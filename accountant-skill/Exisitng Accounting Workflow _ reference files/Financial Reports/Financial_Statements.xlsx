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ement_of_Profit&amp;Loss" sheetId="1" r:id="rId4"/>
    <sheet state="visible" name="Statement_of_Financial Position" sheetId="2" r:id="rId5"/>
    <sheet state="visible" name="Statement_of Cashflow" sheetId="3" r:id="rId6"/>
    <sheet state="visible" name="Financial_Notes" sheetId="4" r:id="rId7"/>
    <sheet state="visible" name="Sheet4" sheetId="5" r:id="rId8"/>
    <sheet state="hidden" name="Copy of Monthly P&amp;L" sheetId="6" r:id="rId9"/>
  </sheets>
  <definedNames/>
  <calcPr/>
  <extLst>
    <ext uri="GoogleSheetsCustomDataVersion2">
      <go:sheetsCustomData xmlns:go="http://customooxmlschemas.google.com/" r:id="rId10" roundtripDataChecksum="zcD6ZCHb555bEZzXWUNhpyN3XCmsxl8Onnqunj/sWys="/>
    </ext>
  </extLst>
</workbook>
</file>

<file path=xl/sharedStrings.xml><?xml version="1.0" encoding="utf-8"?>
<sst xmlns="http://schemas.openxmlformats.org/spreadsheetml/2006/main" count="228" uniqueCount="157">
  <si>
    <t>Period Start</t>
  </si>
  <si>
    <t>Period End</t>
  </si>
  <si>
    <t>ဝင်ငွေအလုံးစုံပါဝင်သောရှင်းတမ်းပေါင်းချုပ် ( Profit &amp; Loss Accounts )</t>
  </si>
  <si>
    <t>Notes</t>
  </si>
  <si>
    <t>ဝင်ငွေ ( Revenue )</t>
  </si>
  <si>
    <t>ကုန်ရောင်းတန်ဖိုး ( Cost of Sale )</t>
  </si>
  <si>
    <t>အကြမ်းအမြတ် ( Gross Profit)</t>
  </si>
  <si>
    <t>အကြမ်းအမြတ်အစွန်း % ( Gross Profit Margin % )</t>
  </si>
  <si>
    <t>လုပ်ငန်းလည်ပတ်မှုကုန်ကျစရိတ်များ ( SG&amp;A Expenses ) -</t>
  </si>
  <si>
    <t>- ဈေးကွက်ရှာဖွေရေးနှင့် ကြောငြာကုန်ကျစရိတ်များ ( Marketing &amp; Advertising Expenses )</t>
  </si>
  <si>
    <t>- ရုံးပိုင်းဆိုင်ရာဝန်ထမ်းစရိတ်များ ( Staff Salaries )</t>
  </si>
  <si>
    <t>- ဝန်ထမ်းစားသောက်စရိတ်များ ( Meal Allowance )</t>
  </si>
  <si>
    <t>- ရေ၊ မီးသုံးစွဲမှု ထိန်းသိမ်းခြင်းစရိတ်များ ( Utilities Expenses )</t>
  </si>
  <si>
    <t>- သယ်ယူပို့ဆောင်ရေးနှင့် ဖြန့်ဖြူးရေးကုန်ကျစရိတ်များ ( Transportation &amp; Distribution Expense )</t>
  </si>
  <si>
    <t>- စက်ရုံအဆောက်အဦများနှင့် ရုံးသုံးပစ္စည်းများနှင့် ပြုပြင်ထိန်းသိမ်းရေးစရိတ်များ ( Factory Buildings &amp; Office Supplies and Maintenance )</t>
  </si>
  <si>
    <t>- ကုန်ထုတ်လုပ်ငန်းနှင့်တိုက်ရိုက်မပတ်သတ်သော ပုံသေပိုင်ပစ္စည်း တန်ဖိုးလျှော့စရိတ်များ ( Depreciation Expenses - SG&amp;A )</t>
  </si>
  <si>
    <t>- ဂိုဒေါင်ရှိပစ္စည်းစာရင်းပယ်ဖျက်မှုဆိုင်ရာ ကုန်ကျစရိတ်များ ( Inventory Write-off )</t>
  </si>
  <si>
    <t>- တခြားကုန်ကျစရိတ်များ ( Other Expenses )</t>
  </si>
  <si>
    <t>- စီမံအုပ်ချုပ်သူများနှင့် ဒါရိုက်တာများ ခံစားခွင့် ( Key Managment Personnel and Director Compensation)</t>
  </si>
  <si>
    <t>ဘဏ္ဍာရေးစရိတ်နှင့် အခွန်မဆောင်မီ အမြတ်ငွေ ( EBIT )</t>
  </si>
  <si>
    <t>ဘဏ္ဍာရေးစရိတ်နှင့် အခွန်မဆောင်မီ အမြတ်အစွန်း % ( EBIT Margin % )</t>
  </si>
  <si>
    <t>တန်ဖိုးလျှော့စရိတ်စုစုပေါင်း ( Depreciation &amp; Amortisation )</t>
  </si>
  <si>
    <t>တန်ဖိုးလျှော့စရိတ်များ၊ ဘဏ္ဍာရေးစရိတ်နှင့် အခွန်မဆောင်မီ အမြတ်ငွေ ( EBITDA )</t>
  </si>
  <si>
    <t>တန်ဖိုးလျှော့စရိတ်များ၊ ဘဏ္ဍာရေးစရိတ်နှင့် အခွန်မဆောင်မီ အမြတ်အစွန်း % ( EBITDA Margin % )</t>
  </si>
  <si>
    <t>တခြားဝင်ငွေများ ( Other Income )</t>
  </si>
  <si>
    <t>မမျှော်လင့်သောသဘာဝဘေးအန္တရာယ်များကြောင့် ထိခိုက်ဆုံးရှုံးမှုများအတွက် 
စာရင်းပယ်ဖျက်မှုစရိတ်များ ( Inventory Loss due to unexpected events )</t>
  </si>
  <si>
    <t>အခွန်မလျာထားမီ အမြတ် ( Profit Before Tax )</t>
  </si>
  <si>
    <t>အခွန်မလျာထားမီ အမြတ်အစွန်း % ( Profit Before Tax Margin % )</t>
  </si>
  <si>
    <t>ဘဏ္ဍာရေးအခြေအနေပြရှင်းတမ်းပေါင်းချုပ် ( Balance Sheet Accounts )</t>
  </si>
  <si>
    <t>ရပိုင်ခွင့်များ ( Assets )</t>
  </si>
  <si>
    <t>ငွေသားလက်ကျန်များ ( Cash )</t>
  </si>
  <si>
    <t>ကုန်ပစ္စည်းရောင်းခြင်းမှ ရရန်ရှိများ ( Account Receivable )</t>
  </si>
  <si>
    <t>ကုန်ပစ္စည်းလက်ကျန်များ ( Inventory )</t>
  </si>
  <si>
    <t>ကြိုတင်ပေးချေထားမှုများ ( Advance Payments )</t>
  </si>
  <si>
    <t>ရွှေ့ဆိုင်းထားသော ပမာဏကုန်ကျစရိတ်များ (Deferred Preliminary Expenses)</t>
  </si>
  <si>
    <t>လက်ငင်းရပိုင်ခွင့်များ၏ စုစုပေါင်းတန်ဖိုး ( Total Current Assets )</t>
  </si>
  <si>
    <t>ပုံသေပိုင်ပစ္စည်းများ ( Property Plant and Equipment ) -</t>
  </si>
  <si>
    <t>- မြေပိုင်ဆိုင်မှုများ ( Land )</t>
  </si>
  <si>
    <t>- အဆောင်အဦးနှင့် တခြားဆက်စပ်ပိုင်ဆိုင်မှုများ ( Buildings &amp; Structures )</t>
  </si>
  <si>
    <t>- စက်ယန္တရားနှင့် စက်ပစ္စည်းပိုင်ဆိုင်မှုများ ( Machinery &amp; Equipment )</t>
  </si>
  <si>
    <t>- လျှပ်စစ်နှင့် အသုံးအဆောင်ပစ္စည်းပိုင်ဆိုင်မှုများ ( Electrical &amp; Utility Systems )</t>
  </si>
  <si>
    <t>- ဆောက်လုပ်ဆဲအဆောက်အဦးပိုင်ဆိုင်မှုများ ( Construction in Progress )</t>
  </si>
  <si>
    <t>လက်ငင်းမဟုတ်သော ရပိုင်ခွင့်များ၏ စုစုပေါင်းတန်ဖိုး ( Total Non-current Assets )</t>
  </si>
  <si>
    <t>ရပိုင်ခွင့်များ၏ စုစုပေါင်းတန်ဖိုး ( Total Assets )</t>
  </si>
  <si>
    <t>ရင်းနှီးငွေ ( Equity )</t>
  </si>
  <si>
    <t>ထုတ်ဝေပေးသွင်းပြီးရှယ်ယာရင်းနှီးငွေ ( Paid-up Capital )</t>
  </si>
  <si>
    <t>ကာလအစရှိ အမြတ်လက်ကျန်များ ( Retained Earnings )</t>
  </si>
  <si>
    <t>ကာလအဆုံးရှိ လုပ်ငန်း၏အသားတင်အမြတ် သို့ ဆုံးရှုံးမှု ( Profit or Loss for the period )</t>
  </si>
  <si>
    <t>ရင်းနှီးငွေ စုစုပေါင်းတန်ဖိုး ( Total Equity )</t>
  </si>
  <si>
    <t>Balance Check</t>
  </si>
  <si>
    <t>ငွေသားစီးဆင်းမှုရှင်းတမ်းများပေါင်းချုပ် ( Cash Flow Accounts )</t>
  </si>
  <si>
    <t xml:space="preserve">လုပ်ငန်းဆောင်ရွက်ချက်များအရ ငွေသားစီးဆင်းမှုများ ( Operating Activites ) - </t>
  </si>
  <si>
    <t>အခွန်မဆောင်မီ အသားတင်အမြတ် ( Profit Before Tax )</t>
  </si>
  <si>
    <t xml:space="preserve">ငွေသားမဟုတ်သော ကိုက်ညှိရေးဆွဲချက်များ (Non-cash items adjustment ) - </t>
  </si>
  <si>
    <t>- တန်ဖိုးလျှော့စရိတ်များ ( Depreication and Amortisation )</t>
  </si>
  <si>
    <t xml:space="preserve">လုပ်ငန်းလည်ပတ်ငွေပြောင်းလဲမှုများ ( Changes in Working Capital ) - </t>
  </si>
  <si>
    <t>- ဝယ်သူများထံမှ ရရန်ရှိများ ( Changes in Account receivable )</t>
  </si>
  <si>
    <t>- ကုန်ပစ္စည်းလက်ကျန်များ ( Changes in Inventory )</t>
  </si>
  <si>
    <t>- ကြိုတင်ပေးချေထားမှုများ ( Changes in Advanced Payments )</t>
  </si>
  <si>
    <t>- ရွှေ့ဆိုင်းထားသော ပဏာမကုန်ကျစရိတ်များ (Changes in Deferred Preliminary Expenses)</t>
  </si>
  <si>
    <t>လုပ်ငန်းဆောင်ရွက်ချက်များအရ အသားတင်ငွေသား (အသုံးပြုမှု)/စီးဝင်မှု ( Net Cash Flow from Operating Activities )</t>
  </si>
  <si>
    <t>ရင်းနှီးမြှပ်နှံမှုလုပ်ဆောင်ချက်များအရ ငွေသားစီးဆင်းမှုများ ( Investing Activites ) -</t>
  </si>
  <si>
    <t>- စက်ရုံတည်ဆောက်ခြင်းလုပ်ငန်းစဉ်များအတွက် ငွေသားအသုံးပြုမှုများ ( Investments in PPE - Construction in progress )</t>
  </si>
  <si>
    <t>- မြေယာဝယ်ယူမှု ( Land Purchase )</t>
  </si>
  <si>
    <t>- ပုံသေပိုင်ပစ္စည်းဝယ်ယူမှု ( Fixed Asset Purchase )</t>
  </si>
  <si>
    <t>ရင်းနှီးမြှပ်နှံမှုလုပ်ဆောင်ချက်များအရ အသားတင် (အသုံးပြုမှု)/စီးဝင်မှု ( Net Cash Flow from Investing Activities )</t>
  </si>
  <si>
    <t>ဘဏ္ဍာရေးဆောင်ရွက်များအရ အသားတင်ငွေသား အသုံးပြုမှု ( Financing Activites ) -</t>
  </si>
  <si>
    <t>အစုရှယ်ယာထုတ်ဝေရောင်းချခြင်းမှ ရငွေ ( Proceeds from issuance of ordinary shares )</t>
  </si>
  <si>
    <t>ဘဏ္ဍာရေးဆောင်ရွက်များအရ အသားတင်ငွေသား (အသုံးပြုမှု)/စီးဝင်မှု ( Net Cash Flow from Investing Activities )</t>
  </si>
  <si>
    <t>ငွေသားလက်ကျန်များ အသားတင် (အလျော့)/အတိုး ( Net Changes in Cash During the Period )</t>
  </si>
  <si>
    <t>ကာလအစရှိ ငွေသားလက်ကျန်များ ( Cash at the beginning )</t>
  </si>
  <si>
    <t>ကာလအဆုံးရှိ ငွေသားလက်ကျန်များ ( Cash at the end of the period )</t>
  </si>
  <si>
    <t>Check</t>
  </si>
  <si>
    <t>Note</t>
  </si>
  <si>
    <t>Revenue</t>
  </si>
  <si>
    <t>COGS</t>
  </si>
  <si>
    <t>SG&amp;A</t>
  </si>
  <si>
    <t>Depreication &amp; Amortisation</t>
  </si>
  <si>
    <t>Feb_2025</t>
  </si>
  <si>
    <t>Mar_2025</t>
  </si>
  <si>
    <t>April_2025</t>
  </si>
  <si>
    <t>May_2025</t>
  </si>
  <si>
    <t>June_2025</t>
  </si>
  <si>
    <t>July_2025</t>
  </si>
  <si>
    <t>Aug_2025</t>
  </si>
  <si>
    <t>Sep_2025</t>
  </si>
  <si>
    <t>Other Income</t>
  </si>
  <si>
    <t>Other Expenses</t>
  </si>
  <si>
    <t xml:space="preserve">Bank Balance </t>
  </si>
  <si>
    <t xml:space="preserve">Cash </t>
  </si>
  <si>
    <t>Account Receivables</t>
  </si>
  <si>
    <t>Inventory</t>
  </si>
  <si>
    <t>Advance Payments</t>
  </si>
  <si>
    <t>Deferred Preliminary Expenses</t>
  </si>
  <si>
    <t>Property, Plant and Equipment</t>
  </si>
  <si>
    <t>Paid-up Capital</t>
  </si>
  <si>
    <t>Retained Earnings</t>
  </si>
  <si>
    <t>Oct_2025</t>
  </si>
  <si>
    <t>Account</t>
  </si>
  <si>
    <t>February-2025</t>
  </si>
  <si>
    <t>March-2025</t>
  </si>
  <si>
    <t>April-2025</t>
  </si>
  <si>
    <t>May-2025</t>
  </si>
  <si>
    <t>June-2025</t>
  </si>
  <si>
    <t>July-2025</t>
  </si>
  <si>
    <t>August-2025</t>
  </si>
  <si>
    <t>September-2025</t>
  </si>
  <si>
    <t>October-2025</t>
  </si>
  <si>
    <t>YOUR COMPANY NAME</t>
  </si>
  <si>
    <t>Monthly Profit and Loss Statement</t>
  </si>
  <si>
    <t>For the Year Ended MM/DD/YYYY</t>
  </si>
  <si>
    <t>Show Categories</t>
  </si>
  <si>
    <t>CATEGORY</t>
  </si>
  <si>
    <t>TREND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</si>
  <si>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</si>
  <si>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</si>
  <si>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</si>
  <si>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</si>
  <si>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</si>
  <si>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</si>
  <si>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</si>
  <si>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</si>
  <si>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</si>
  <si>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</si>
  <si>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</si>
  <si>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</si>
  <si>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YTD</t>
  </si>
  <si>
    <t>REVENUE</t>
  </si>
  <si>
    <t>COST OF GOODS SOLD</t>
  </si>
  <si>
    <t>TOTAL EXPENSES</t>
  </si>
  <si>
    <t>NET PROFIT / LOSS</t>
  </si>
  <si>
    <t>Sales Revenue</t>
  </si>
  <si>
    <t>Other Revenue</t>
  </si>
  <si>
    <t>Sales Discounts</t>
  </si>
  <si>
    <t>Sales Returns, allowances and others</t>
  </si>
  <si>
    <t>Cost of raw materials</t>
  </si>
  <si>
    <t>Cost of parts used</t>
  </si>
  <si>
    <t>Direct labor costs</t>
  </si>
  <si>
    <t>Overhead costs</t>
  </si>
  <si>
    <t>Inventory Adjustments</t>
  </si>
  <si>
    <t>Freight and Shipping</t>
  </si>
  <si>
    <t>Depreciation</t>
  </si>
  <si>
    <t>GROSS PROFIT/LOSS</t>
  </si>
  <si>
    <t>EXPENSES</t>
  </si>
  <si>
    <t>Automobile</t>
  </si>
  <si>
    <t>Rented Equipment</t>
  </si>
  <si>
    <t>Insurance</t>
  </si>
  <si>
    <t>Job expenses</t>
  </si>
  <si>
    <t>Legal and Professional Fees</t>
  </si>
  <si>
    <t>Maintenance and Repair</t>
  </si>
  <si>
    <t>Meals</t>
  </si>
  <si>
    <t>Office Expenses</t>
  </si>
  <si>
    <t>Rent or Lease</t>
  </si>
  <si>
    <t>Utilities</t>
  </si>
  <si>
    <t>Vehicle Expenses</t>
  </si>
  <si>
    <t>Miscellaneous Expenses</t>
  </si>
  <si>
    <t>NET PROFIT/LOSS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</si>
</sst>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/M/YYYY"/>
    <numFmt numFmtId="165" formatCode="dd/mm/yyyy"/>
    <numFmt numFmtId="166" formatCode="#,##0_);(#,##0);&quot;OK&quot;"/>
    <numFmt numFmtId="167" formatCode="#,##0.00;(#,##0.00)"/>
    <numFmt numFmtId="168" formatCode="[$$]#,##0;-[$$]#,##0;-"/>
    <numFmt numFmtId="169" formatCode="[$$]#,##0;-[$$]#,##0;"/>
    <numFmt numFmtId="170" formatCode="0.0%"/>
  </numFmts>
  <fonts count="24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>
      <i/>
      <color theme="1"/>
      <name val="Arial"/>
    </font>
    <font>
      <u/>
      <color theme="1"/>
      <name val="Arial"/>
    </font>
    <font>
      <color theme="1"/>
      <name val="Arial"/>
      <scheme val="minor"/>
    </font>
    <font>
      <b/>
      <u/>
      <color theme="1"/>
      <name val="Arial"/>
    </font>
    <font>
      <color rgb="FF000000"/>
      <name val="Arial"/>
    </font>
    <font>
      <sz val="11.0"/>
      <color theme="1"/>
      <name val="Barlow"/>
    </font>
    <font>
      <b/>
      <sz val="22.0"/>
      <color theme="1"/>
      <name val="Barlow"/>
    </font>
    <font>
      <b/>
      <sz val="20.0"/>
      <color theme="1"/>
      <name val="Barlow"/>
    </font>
    <font>
      <b/>
      <sz val="26.0"/>
      <color rgb="FF000000"/>
      <name val="Barlow"/>
    </font>
    <font>
      <color theme="1"/>
      <name val="Barlow"/>
    </font>
    <font>
      <sz val="20.0"/>
      <color rgb="FF000000"/>
      <name val="Barlow"/>
    </font>
    <font>
      <sz val="13.0"/>
      <color rgb="FF000000"/>
      <name val="Barlow"/>
    </font>
    <font>
      <sz val="12.0"/>
      <color rgb="FF000000"/>
      <name val="Barlow"/>
    </font>
    <font>
      <sz val="10.0"/>
      <color rgb="FF000000"/>
      <name val="Barlow"/>
    </font>
    <font>
      <b/>
      <sz val="10.0"/>
      <color theme="1"/>
      <name val="Barlow"/>
    </font>
    <font>
      <sz val="10.0"/>
      <color theme="1"/>
      <name val="Barlow"/>
    </font>
    <font>
      <sz val="12.0"/>
      <color theme="1"/>
      <name val="Barlow"/>
    </font>
    <font>
      <i/>
      <sz val="10.0"/>
      <color theme="1"/>
      <name val="Barlow"/>
    </font>
    <font>
      <b/>
      <sz val="12.0"/>
      <color theme="1"/>
      <name val="Barlow"/>
    </font>
    <font>
      <sz val="10.0"/>
      <color theme="5"/>
      <name val="Barlow"/>
    </font>
    <font>
      <b/>
      <sz val="11.0"/>
      <color theme="1"/>
      <name val="Barlow"/>
    </font>
  </fonts>
  <fills count="6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6">
    <border/>
    <border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/>
      <top/>
      <bottom/>
    </border>
    <border>
      <left/>
      <right/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0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165" xfId="0" applyFont="1" applyNumberFormat="1"/>
    <xf borderId="0" fillId="0" fontId="1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vertical="center"/>
    </xf>
    <xf borderId="0" fillId="0" fontId="2" numFmtId="0" xfId="0" applyAlignment="1" applyFont="1">
      <alignment horizontal="right" vertical="center"/>
    </xf>
    <xf borderId="0" fillId="0" fontId="1" numFmtId="4" xfId="0" applyAlignment="1" applyFont="1" applyNumberFormat="1">
      <alignment vertical="center"/>
    </xf>
    <xf borderId="0" fillId="0" fontId="1" numFmtId="4" xfId="0" applyAlignment="1" applyFont="1" applyNumberFormat="1">
      <alignment vertical="center"/>
    </xf>
    <xf borderId="1" fillId="0" fontId="1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1" numFmtId="4" xfId="0" applyAlignment="1" applyBorder="1" applyFont="1" applyNumberFormat="1">
      <alignment vertical="center"/>
    </xf>
    <xf borderId="0" fillId="0" fontId="3" numFmtId="0" xfId="0" applyAlignment="1" applyFont="1">
      <alignment vertical="center"/>
    </xf>
    <xf borderId="0" fillId="0" fontId="3" numFmtId="10" xfId="0" applyAlignment="1" applyFont="1" applyNumberFormat="1">
      <alignment vertical="center"/>
    </xf>
    <xf borderId="0" fillId="0" fontId="4" numFmtId="0" xfId="0" applyAlignment="1" applyFont="1">
      <alignment vertical="center"/>
    </xf>
    <xf borderId="2" fillId="0" fontId="2" numFmtId="0" xfId="0" applyAlignment="1" applyBorder="1" applyFont="1">
      <alignment vertical="center"/>
    </xf>
    <xf borderId="2" fillId="0" fontId="1" numFmtId="0" xfId="0" applyAlignment="1" applyBorder="1" applyFont="1">
      <alignment vertical="center"/>
    </xf>
    <xf borderId="2" fillId="0" fontId="2" numFmtId="4" xfId="0" applyAlignment="1" applyBorder="1" applyFont="1" applyNumberFormat="1">
      <alignment vertical="center"/>
    </xf>
    <xf borderId="0" fillId="0" fontId="1" numFmtId="10" xfId="0" applyAlignment="1" applyFont="1" applyNumberFormat="1">
      <alignment vertical="center"/>
    </xf>
    <xf borderId="0" fillId="0" fontId="1" numFmtId="4" xfId="0" applyFont="1" applyNumberFormat="1"/>
    <xf borderId="1" fillId="0" fontId="2" numFmtId="4" xfId="0" applyAlignment="1" applyBorder="1" applyFont="1" applyNumberFormat="1">
      <alignment vertical="center"/>
    </xf>
    <xf borderId="0" fillId="0" fontId="1" numFmtId="0" xfId="0" applyFont="1"/>
    <xf borderId="0" fillId="0" fontId="5" numFmtId="0" xfId="0" applyFont="1"/>
    <xf borderId="0" fillId="0" fontId="1" numFmtId="166" xfId="0" applyFont="1" applyNumberFormat="1"/>
    <xf borderId="0" fillId="0" fontId="1" numFmtId="167" xfId="0" applyAlignment="1" applyFont="1" applyNumberFormat="1">
      <alignment vertical="center"/>
    </xf>
    <xf borderId="0" fillId="0" fontId="1" numFmtId="0" xfId="0" applyAlignment="1" applyFont="1">
      <alignment shrinkToFit="0" vertical="center" wrapText="1"/>
    </xf>
    <xf borderId="1" fillId="0" fontId="1" numFmtId="0" xfId="0" applyAlignment="1" applyBorder="1" applyFont="1">
      <alignment shrinkToFit="0" vertical="center" wrapText="1"/>
    </xf>
    <xf borderId="1" fillId="0" fontId="1" numFmtId="167" xfId="0" applyAlignment="1" applyBorder="1" applyFont="1" applyNumberFormat="1">
      <alignment vertical="center"/>
    </xf>
    <xf borderId="1" fillId="0" fontId="2" numFmtId="167" xfId="0" applyAlignment="1" applyBorder="1" applyFont="1" applyNumberFormat="1">
      <alignment vertical="center"/>
    </xf>
    <xf borderId="0" fillId="0" fontId="1" numFmtId="4" xfId="0" applyFont="1" applyNumberFormat="1"/>
    <xf borderId="0" fillId="0" fontId="6" numFmtId="0" xfId="0" applyFont="1"/>
    <xf borderId="2" fillId="0" fontId="1" numFmtId="0" xfId="0" applyBorder="1" applyFont="1"/>
    <xf borderId="2" fillId="0" fontId="1" numFmtId="4" xfId="0" applyBorder="1" applyFont="1" applyNumberFormat="1"/>
    <xf borderId="1" fillId="0" fontId="1" numFmtId="0" xfId="0" applyBorder="1" applyFont="1"/>
    <xf borderId="1" fillId="0" fontId="1" numFmtId="4" xfId="0" applyBorder="1" applyFont="1" applyNumberFormat="1"/>
    <xf borderId="0" fillId="0" fontId="1" numFmtId="10" xfId="0" applyFont="1" applyNumberFormat="1"/>
    <xf borderId="0" fillId="0" fontId="7" numFmtId="0" xfId="0" applyFont="1"/>
    <xf borderId="0" fillId="2" fontId="8" numFmtId="0" xfId="0" applyFill="1" applyFont="1"/>
    <xf borderId="0" fillId="2" fontId="9" numFmtId="0" xfId="0" applyAlignment="1" applyFont="1">
      <alignment horizontal="left" vertical="center"/>
    </xf>
    <xf borderId="0" fillId="2" fontId="10" numFmtId="0" xfId="0" applyAlignment="1" applyFont="1">
      <alignment vertical="center"/>
    </xf>
    <xf borderId="0" fillId="2" fontId="10" numFmtId="168" xfId="0" applyAlignment="1" applyFont="1" applyNumberFormat="1">
      <alignment horizontal="center" vertical="center"/>
    </xf>
    <xf borderId="0" fillId="2" fontId="8" numFmtId="0" xfId="0" applyAlignment="1" applyFont="1">
      <alignment horizontal="center"/>
    </xf>
    <xf borderId="0" fillId="2" fontId="11" numFmtId="0" xfId="0" applyAlignment="1" applyFont="1">
      <alignment horizontal="left" vertical="center"/>
    </xf>
    <xf borderId="0" fillId="2" fontId="11" numFmtId="0" xfId="0" applyAlignment="1" applyFont="1">
      <alignment horizontal="center" vertical="center"/>
    </xf>
    <xf borderId="0" fillId="2" fontId="12" numFmtId="0" xfId="0" applyFont="1"/>
    <xf borderId="0" fillId="2" fontId="13" numFmtId="0" xfId="0" applyAlignment="1" applyFont="1">
      <alignment horizontal="right" vertical="center"/>
    </xf>
    <xf borderId="0" fillId="2" fontId="10" numFmtId="0" xfId="0" applyAlignment="1" applyFont="1">
      <alignment horizontal="center" vertical="center"/>
    </xf>
    <xf borderId="0" fillId="2" fontId="14" numFmtId="0" xfId="0" applyAlignment="1" applyFont="1">
      <alignment horizontal="left" vertical="center"/>
    </xf>
    <xf borderId="0" fillId="2" fontId="14" numFmtId="0" xfId="0" applyAlignment="1" applyFont="1">
      <alignment horizontal="center" vertical="center"/>
    </xf>
    <xf borderId="0" fillId="2" fontId="15" numFmtId="0" xfId="0" applyAlignment="1" applyFont="1">
      <alignment horizontal="right" vertical="center"/>
    </xf>
    <xf borderId="0" fillId="2" fontId="16" numFmtId="0" xfId="0" applyAlignment="1" applyFont="1">
      <alignment horizontal="left" vertical="center"/>
    </xf>
    <xf borderId="0" fillId="2" fontId="16" numFmtId="0" xfId="0" applyAlignment="1" applyFont="1">
      <alignment horizontal="center" vertical="center"/>
    </xf>
    <xf borderId="0" fillId="3" fontId="8" numFmtId="0" xfId="0" applyFill="1" applyFont="1"/>
    <xf borderId="0" fillId="3" fontId="9" numFmtId="0" xfId="0" applyAlignment="1" applyFont="1">
      <alignment horizontal="left" vertical="center"/>
    </xf>
    <xf borderId="0" fillId="3" fontId="10" numFmtId="0" xfId="0" applyAlignment="1" applyFont="1">
      <alignment vertical="center"/>
    </xf>
    <xf borderId="0" fillId="3" fontId="10" numFmtId="168" xfId="0" applyAlignment="1" applyFont="1" applyNumberFormat="1">
      <alignment horizontal="center" vertical="center"/>
    </xf>
    <xf borderId="0" fillId="3" fontId="17" numFmtId="0" xfId="0" applyAlignment="1" applyFont="1">
      <alignment horizontal="left" vertical="center"/>
    </xf>
    <xf borderId="0" fillId="3" fontId="18" numFmtId="0" xfId="0" applyAlignment="1" applyFont="1">
      <alignment horizontal="left" vertical="center"/>
    </xf>
    <xf borderId="0" fillId="3" fontId="18" numFmtId="0" xfId="0" applyAlignment="1" applyFont="1">
      <alignment horizontal="center" vertical="center"/>
    </xf>
    <xf borderId="0" fillId="3" fontId="9" numFmtId="0" xfId="0" applyAlignment="1" applyFont="1">
      <alignment vertical="center"/>
    </xf>
    <xf borderId="3" fillId="3" fontId="19" numFmtId="0" xfId="0" applyBorder="1" applyFont="1"/>
    <xf borderId="0" fillId="3" fontId="20" numFmtId="168" xfId="0" applyAlignment="1" applyFont="1" applyNumberFormat="1">
      <alignment horizontal="center" vertical="center"/>
    </xf>
    <xf borderId="4" fillId="3" fontId="19" numFmtId="0" xfId="0" applyBorder="1" applyFont="1"/>
    <xf borderId="3" fillId="3" fontId="21" numFmtId="0" xfId="0" applyAlignment="1" applyBorder="1" applyFont="1">
      <alignment horizontal="center" shrinkToFit="0" vertical="center" wrapText="1"/>
    </xf>
    <xf borderId="5" fillId="3" fontId="17" numFmtId="168" xfId="0" applyAlignment="1" applyBorder="1" applyFont="1" applyNumberFormat="1">
      <alignment horizontal="center" shrinkToFit="0" vertical="center" wrapText="1"/>
    </xf>
    <xf borderId="4" fillId="3" fontId="17" numFmtId="168" xfId="0" applyAlignment="1" applyBorder="1" applyFont="1" applyNumberFormat="1">
      <alignment horizontal="center" shrinkToFit="0" vertical="center" wrapText="1"/>
    </xf>
    <xf borderId="4" fillId="3" fontId="21" numFmtId="0" xfId="0" applyAlignment="1" applyBorder="1" applyFont="1">
      <alignment horizontal="center" shrinkToFit="0" vertical="center" wrapText="1"/>
    </xf>
    <xf borderId="4" fillId="3" fontId="19" numFmtId="168" xfId="0" applyAlignment="1" applyBorder="1" applyFont="1" applyNumberFormat="1">
      <alignment horizontal="center" shrinkToFit="0" wrapText="1"/>
    </xf>
    <xf borderId="0" fillId="3" fontId="12" numFmtId="0" xfId="0" applyFont="1"/>
    <xf borderId="0" fillId="3" fontId="19" numFmtId="0" xfId="0" applyFont="1"/>
    <xf borderId="0" fillId="0" fontId="19" numFmtId="0" xfId="0" applyFont="1"/>
    <xf borderId="0" fillId="0" fontId="8" numFmtId="0" xfId="0" applyAlignment="1" applyFont="1">
      <alignment horizontal="left" vertical="center"/>
    </xf>
    <xf borderId="0" fillId="0" fontId="18" numFmtId="168" xfId="0" applyAlignment="1" applyFont="1" applyNumberFormat="1">
      <alignment horizontal="left" vertical="center"/>
    </xf>
    <xf borderId="0" fillId="0" fontId="18" numFmtId="0" xfId="0" applyAlignment="1" applyFont="1">
      <alignment horizontal="left" vertical="center"/>
    </xf>
    <xf borderId="0" fillId="0" fontId="18" numFmtId="169" xfId="0" applyAlignment="1" applyFont="1" applyNumberFormat="1">
      <alignment horizontal="left" vertical="center"/>
    </xf>
    <xf borderId="0" fillId="0" fontId="9" numFmtId="0" xfId="0" applyAlignment="1" applyFont="1">
      <alignment vertical="center"/>
    </xf>
    <xf borderId="0" fillId="0" fontId="20" numFmtId="168" xfId="0" applyAlignment="1" applyFont="1" applyNumberFormat="1">
      <alignment horizontal="center" vertical="center"/>
    </xf>
    <xf borderId="0" fillId="0" fontId="21" numFmtId="0" xfId="0" applyAlignment="1" applyFont="1">
      <alignment horizontal="center" shrinkToFit="0" vertical="center" wrapText="1"/>
    </xf>
    <xf borderId="0" fillId="4" fontId="17" numFmtId="0" xfId="0" applyAlignment="1" applyFill="1" applyFont="1">
      <alignment horizontal="left" vertical="center"/>
    </xf>
    <xf borderId="0" fillId="4" fontId="17" numFmtId="0" xfId="0" applyAlignment="1" applyFont="1">
      <alignment horizontal="center" vertical="center"/>
    </xf>
    <xf borderId="0" fillId="4" fontId="17" numFmtId="168" xfId="0" applyAlignment="1" applyFont="1" applyNumberFormat="1">
      <alignment horizontal="center" vertical="center"/>
    </xf>
    <xf borderId="0" fillId="0" fontId="12" numFmtId="0" xfId="0" applyFont="1"/>
    <xf borderId="0" fillId="3" fontId="18" numFmtId="170" xfId="0" applyAlignment="1" applyFont="1" applyNumberFormat="1">
      <alignment horizontal="left" vertical="center"/>
    </xf>
    <xf borderId="0" fillId="3" fontId="18" numFmtId="168" xfId="0" applyAlignment="1" applyFont="1" applyNumberFormat="1">
      <alignment horizontal="center" vertical="center"/>
    </xf>
    <xf borderId="0" fillId="5" fontId="17" numFmtId="0" xfId="0" applyAlignment="1" applyFill="1" applyFont="1">
      <alignment horizontal="left" vertical="center"/>
    </xf>
    <xf borderId="0" fillId="5" fontId="18" numFmtId="170" xfId="0" applyAlignment="1" applyFont="1" applyNumberFormat="1">
      <alignment horizontal="left" vertical="center"/>
    </xf>
    <xf borderId="0" fillId="5" fontId="18" numFmtId="168" xfId="0" applyAlignment="1" applyFont="1" applyNumberFormat="1">
      <alignment horizontal="center" vertical="center"/>
    </xf>
    <xf borderId="0" fillId="5" fontId="17" numFmtId="170" xfId="0" applyAlignment="1" applyFont="1" applyNumberFormat="1">
      <alignment horizontal="left" vertical="center"/>
    </xf>
    <xf borderId="0" fillId="5" fontId="17" numFmtId="168" xfId="0" applyAlignment="1" applyFont="1" applyNumberFormat="1">
      <alignment horizontal="center" vertical="center"/>
    </xf>
    <xf borderId="0" fillId="0" fontId="18" numFmtId="170" xfId="0" applyAlignment="1" applyFont="1" applyNumberFormat="1">
      <alignment horizontal="left" vertical="center"/>
    </xf>
    <xf borderId="0" fillId="0" fontId="19" numFmtId="168" xfId="0" applyAlignment="1" applyFont="1" applyNumberFormat="1">
      <alignment horizontal="center"/>
    </xf>
    <xf borderId="0" fillId="5" fontId="18" numFmtId="0" xfId="0" applyAlignment="1" applyFont="1">
      <alignment horizontal="left" vertical="center"/>
    </xf>
    <xf borderId="0" fillId="3" fontId="22" numFmtId="168" xfId="0" applyAlignment="1" applyFont="1" applyNumberFormat="1">
      <alignment horizontal="center" vertical="center"/>
    </xf>
    <xf borderId="0" fillId="5" fontId="22" numFmtId="168" xfId="0" applyAlignment="1" applyFont="1" applyNumberFormat="1">
      <alignment horizontal="center" vertical="center"/>
    </xf>
    <xf borderId="0" fillId="3" fontId="17" numFmtId="168" xfId="0" applyAlignment="1" applyFont="1" applyNumberFormat="1">
      <alignment horizontal="center" vertical="center"/>
    </xf>
    <xf borderId="0" fillId="0" fontId="21" numFmtId="0" xfId="0" applyFont="1"/>
    <xf borderId="0" fillId="3" fontId="23" numFmtId="0" xfId="0" applyAlignment="1" applyFont="1">
      <alignment horizontal="left" vertical="center"/>
    </xf>
    <xf borderId="0" fillId="3" fontId="8" numFmtId="170" xfId="0" applyAlignment="1" applyFont="1" applyNumberFormat="1">
      <alignment horizontal="left" vertical="center"/>
    </xf>
    <xf borderId="0" fillId="3" fontId="23" numFmtId="168" xfId="0" applyAlignment="1" applyFont="1" applyNumberFormat="1">
      <alignment horizontal="center" vertical="center"/>
    </xf>
    <xf borderId="0" fillId="0" fontId="19" numFmtId="168" xfId="0" applyAlignment="1" applyFont="1" applyNumberFormat="1">
      <alignment horizontal="center" shrinkToFit="0" wrapText="1"/>
    </xf>
    <xf borderId="0" fillId="4" fontId="23" numFmtId="0" xfId="0" applyAlignment="1" applyFont="1">
      <alignment horizontal="left" vertical="center"/>
    </xf>
    <xf borderId="0" fillId="0" fontId="18" numFmtId="168" xfId="0" applyAlignment="1" applyFont="1" applyNumberFormat="1">
      <alignment horizontal="center" vertical="center"/>
    </xf>
    <xf borderId="0" fillId="0" fontId="12" numFmtId="0" xfId="0" applyAlignment="1" applyFont="1">
      <alignment vertical="bottom"/>
    </xf>
    <xf borderId="0" fillId="2" fontId="23" numFmtId="0" xfId="0" applyAlignment="1" applyFont="1">
      <alignment vertical="center"/>
    </xf>
    <xf borderId="0" fillId="2" fontId="8" numFmtId="170" xfId="0" applyAlignment="1" applyFont="1" applyNumberFormat="1">
      <alignment vertical="center"/>
    </xf>
    <xf borderId="0" fillId="2" fontId="23" numFmtId="168" xfId="0" applyAlignment="1" applyFont="1" applyNumberFormat="1">
      <alignment horizontal="center" vertical="center"/>
    </xf>
    <xf borderId="0" fillId="0" fontId="17" numFmtId="0" xfId="0" applyAlignment="1" applyFont="1">
      <alignment horizontal="left" vertical="center"/>
    </xf>
    <xf borderId="0" fillId="0" fontId="17" numFmtId="168" xfId="0" applyAlignment="1" applyFont="1" applyNumberFormat="1">
      <alignment horizontal="center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7CB4D"/>
          <bgColor rgb="FFF7CB4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EF8E3"/>
          <bgColor rgb="FFFEF8E3"/>
        </patternFill>
      </fill>
      <border/>
    </dxf>
    <dxf>
      <font>
        <color rgb="FFC00000"/>
      </font>
      <fill>
        <patternFill patternType="none"/>
      </fill>
      <border/>
    </dxf>
  </dxfs>
  <tableStyles count="3">
    <tableStyle count="3" pivot="0" name="Statement_of_Profit&amp;Loss-style">
      <tableStyleElement dxfId="1" type="headerRow"/>
      <tableStyleElement dxfId="2" type="firstRowStripe"/>
      <tableStyleElement dxfId="3" type="secondRowStripe"/>
    </tableStyle>
    <tableStyle count="3" pivot="0" name="Statement_of_Financial Position-style">
      <tableStyleElement dxfId="1" type="headerRow"/>
      <tableStyleElement dxfId="2" type="firstRowStripe"/>
      <tableStyleElement dxfId="3" type="secondRowStripe"/>
    </tableStyle>
    <tableStyle count="3" pivot="0" name="Statement_of Cashflow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rPr b="0" i="0">
                <a:solidFill>
                  <a:srgbClr val="000000"/>
                </a:solidFill>
                <a:latin typeface="+mn-lt"/>
              </a:rPr>
              <a:t>Financial Performance (Unit in MMK)</a:t>
            </a:r>
          </a:p>
        </c:rich>
      </c:tx>
      <c:layout>
        <c:manualLayout>
          <c:xMode val="edge"/>
          <c:yMode val="edge"/>
          <c:x val="0.02129054520358868"/>
          <c:y val="0.02225891677675033"/>
        </c:manualLayout>
      </c:layout>
      <c:overlay val="0"/>
    </c:title>
    <c:plotArea>
      <c:layout/>
      <c:barChart>
        <c:barDir val="col"/>
        <c:ser>
          <c:idx val="0"/>
          <c:order val="0"/>
          <c:tx>
            <c:strRef>
              <c:f>Sheet4!$B$5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#,##0" sourceLinked="0"/>
            <c:txPr>
              <a:bodyPr/>
              <a:lstStyle/>
              <a:p>
                <a:pPr lvl="0">
                  <a:defRPr b="1" i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Sheet4!$C$4:$K$4</c:f>
            </c:strRef>
          </c:cat>
          <c:val>
            <c:numRef>
              <c:f>Sheet4!$C$5:$K$5</c:f>
              <c:numCache/>
            </c:numRef>
          </c:val>
        </c:ser>
        <c:ser>
          <c:idx val="1"/>
          <c:order val="1"/>
          <c:tx>
            <c:strRef>
              <c:f>Sheet4!$B$6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dLbls>
            <c:numFmt formatCode="#,##0" sourceLinked="0"/>
            <c:txPr>
              <a:bodyPr/>
              <a:lstStyle/>
              <a:p>
                <a:pPr lvl="0">
                  <a:defRPr b="1" i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Sheet4!$C$4:$K$4</c:f>
            </c:strRef>
          </c:cat>
          <c:val>
            <c:numRef>
              <c:f>Sheet4!$C$6:$K$6</c:f>
              <c:numCache/>
            </c:numRef>
          </c:val>
        </c:ser>
        <c:axId val="1617795919"/>
        <c:axId val="1572087217"/>
      </c:barChart>
      <c:lineChart>
        <c:varyColors val="0"/>
        <c:ser>
          <c:idx val="2"/>
          <c:order val="2"/>
          <c:tx>
            <c:strRef>
              <c:f>Sheet4!$B$7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 b="1" i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Sheet4!$C$4:$K$4</c:f>
            </c:strRef>
          </c:cat>
          <c:val>
            <c:numRef>
              <c:f>Sheet4!$C$7:$K$7</c:f>
              <c:numCache/>
            </c:numRef>
          </c:val>
          <c:smooth val="0"/>
        </c:ser>
        <c:axId val="1617795919"/>
        <c:axId val="1572087217"/>
      </c:lineChart>
      <c:catAx>
        <c:axId val="16177959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572087217"/>
      </c:catAx>
      <c:valAx>
        <c:axId val="15720872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617795919"/>
      </c:valAx>
    </c:plotArea>
    <c:legend>
      <c:legendPos val="t"/>
      <c:layout>
        <c:manualLayout>
          <c:xMode val="edge"/>
          <c:yMode val="edge"/>
          <c:x val="0.2064159280106971"/>
          <c:y val="0.09390136503742846"/>
        </c:manualLayout>
      </c:layout>
      <c:overlay val="0"/>
      <c:txPr>
        <a:bodyPr/>
        <a:lstStyle/>
        <a:p>
          <a:pPr lvl="0">
            <a:defRPr b="0" i="0" sz="14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areaChart>
        <c:grouping val="stacked"/>
        <c:ser>
          <c:idx val="0"/>
          <c:order val="0"/>
          <c:tx>
            <c:strRef>
              <c:f>'Copy of Monthly P&amp;L'!$B$18</c:f>
            </c:strRef>
          </c:tx>
          <c:spPr>
            <a:solidFill>
              <a:srgbClr val="1155CC">
                <a:alpha val="30000"/>
              </a:srgbClr>
            </a:solidFill>
            <a:ln cmpd="sng" w="19050">
              <a:solidFill>
                <a:srgbClr val="1155CC">
                  <a:alpha val="100000"/>
                </a:srgbClr>
              </a:solidFill>
              <a:prstDash val="solid"/>
            </a:ln>
          </c:spPr>
          <c:cat>
            <c:strRef>
              <c:f>'Copy of Monthly P&amp;L'!$C$17:$O$17</c:f>
            </c:strRef>
          </c:cat>
          <c:val>
            <c:numRef>
              <c:f>'Copy of Monthly P&amp;L'!$C$18:$O$18</c:f>
              <c:numCache/>
            </c:numRef>
          </c:val>
        </c:ser>
        <c:ser>
          <c:idx val="1"/>
          <c:order val="1"/>
          <c:tx>
            <c:strRef>
              <c:f>'Copy of Monthly P&amp;L'!$B$19</c:f>
            </c:strRef>
          </c:tx>
          <c:spPr>
            <a:solidFill>
              <a:srgbClr val="E69138">
                <a:alpha val="30000"/>
              </a:srgbClr>
            </a:solidFill>
            <a:ln cmpd="sng" w="28575">
              <a:solidFill>
                <a:srgbClr val="E69138">
                  <a:alpha val="100000"/>
                </a:srgbClr>
              </a:solidFill>
              <a:prstDash val="solid"/>
            </a:ln>
          </c:spPr>
          <c:cat>
            <c:strRef>
              <c:f>'Copy of Monthly P&amp;L'!$C$17:$O$17</c:f>
            </c:strRef>
          </c:cat>
          <c:val>
            <c:numRef>
              <c:f>'Copy of Monthly P&amp;L'!$C$19:$O$19</c:f>
              <c:numCache/>
            </c:numRef>
          </c:val>
        </c:ser>
        <c:ser>
          <c:idx val="2"/>
          <c:order val="2"/>
          <c:tx>
            <c:strRef>
              <c:f>'Copy of Monthly P&amp;L'!$B$20</c:f>
            </c:strRef>
          </c:tx>
          <c:spPr>
            <a:solidFill>
              <a:srgbClr val="CC0000">
                <a:alpha val="30000"/>
              </a:srgbClr>
            </a:solidFill>
            <a:ln cmpd="sng" w="28575">
              <a:solidFill>
                <a:srgbClr val="CC0000">
                  <a:alpha val="100000"/>
                </a:srgbClr>
              </a:solidFill>
              <a:prstDash val="solid"/>
            </a:ln>
          </c:spPr>
          <c:cat>
            <c:strRef>
              <c:f>'Copy of Monthly P&amp;L'!$C$17:$O$17</c:f>
            </c:strRef>
          </c:cat>
          <c:val>
            <c:numRef>
              <c:f>'Copy of Monthly P&amp;L'!$C$20:$O$20</c:f>
              <c:numCache/>
            </c:numRef>
          </c:val>
        </c:ser>
        <c:ser>
          <c:idx val="3"/>
          <c:order val="3"/>
          <c:tx>
            <c:strRef>
              <c:f>'Copy of Monthly P&amp;L'!$B$21</c:f>
            </c:strRef>
          </c:tx>
          <c:spPr>
            <a:solidFill>
              <a:srgbClr val="6AA84F">
                <a:alpha val="30000"/>
              </a:srgbClr>
            </a:solidFill>
            <a:ln cmpd="sng">
              <a:solidFill>
                <a:srgbClr val="6AA84F"/>
              </a:solidFill>
            </a:ln>
          </c:spPr>
          <c:cat>
            <c:strRef>
              <c:f>'Copy of Monthly P&amp;L'!$C$17:$O$17</c:f>
            </c:strRef>
          </c:cat>
          <c:val>
            <c:numRef>
              <c:f>'Copy of Monthly P&amp;L'!$C$21:$O$21</c:f>
              <c:numCache/>
            </c:numRef>
          </c:val>
        </c:ser>
        <c:axId val="1639844352"/>
        <c:axId val="786424661"/>
      </c:areaChart>
      <c:catAx>
        <c:axId val="16398443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1000">
                <a:solidFill>
                  <a:srgbClr val="999999"/>
                </a:solidFill>
                <a:latin typeface="sans-serif"/>
              </a:defRPr>
            </a:pPr>
          </a:p>
        </c:txPr>
        <c:crossAx val="786424661"/>
      </c:catAx>
      <c:valAx>
        <c:axId val="786424661"/>
        <c:scaling>
          <c:orientation val="minMax"/>
          <c:min val="0.0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999999"/>
                </a:solidFill>
                <a:latin typeface="Roboto"/>
              </a:defRPr>
            </a:pPr>
          </a:p>
        </c:txPr>
        <c:crossAx val="1639844352"/>
      </c:valAx>
    </c:plotArea>
    <c:legend>
      <c:legendPos val="t"/>
      <c:overlay val="0"/>
      <c:txPr>
        <a:bodyPr/>
        <a:lstStyle/>
        <a:p>
          <a:pPr lvl="0">
            <a:defRPr b="0" i="0" sz="1400">
              <a:solidFill>
                <a:srgbClr val="1A1A1A"/>
              </a:solidFill>
              <a:latin typeface="Roboto"/>
            </a:defRPr>
          </a:pPr>
        </a:p>
      </c:txPr>
    </c:legend>
    <c:plotVisOnly val="0"/>
  </c:chart>
  <c:spPr>
    <a:solidFill>
      <a:srgbClr val="FFFFFF"/>
    </a:solidFill>
  </c:spPr>
</c:chartSpace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28575</xdr:colOff>
      <xdr:row>9</xdr:row>
      <xdr:rowOff>180975</xdr:rowOff>
    </xdr:from>
    <xdr:ext cx="13801725" cy="7210425"/>
    <xdr:graphicFrame>
      <xdr:nvGraphicFramePr>
        <xdr:cNvPr id="1435069983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1304925</xdr:colOff>
      <xdr:row>5</xdr:row>
      <xdr:rowOff>180975</xdr:rowOff>
    </xdr:from>
    <xdr:ext cx="12277725" cy="1905000"/>
    <xdr:graphicFrame>
      <xdr:nvGraphicFramePr>
        <xdr:cNvPr id="958997624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headerRowCount="0" ref="B4:M28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Statement_of_Profit&amp;Los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B4:M27" displayName="Table_2" name="Table_2" id="2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Statement_of_Financial Position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headerRowCount="0" ref="B4:M29" displayName="Table_3" name="Table_3" id="3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Statement_of Cashflow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1" max="1" width="13.88"/>
    <col customWidth="1" min="2" max="2" width="75.38"/>
    <col customWidth="1" min="3" max="3" width="12.63"/>
    <col customWidth="1" min="4" max="4" width="10.13"/>
    <col customWidth="1" min="5" max="5" width="15.38"/>
    <col customWidth="1" min="6" max="6" width="15.13"/>
    <col customWidth="1" min="7" max="7" width="14.75"/>
    <col customWidth="1" min="11" max="11" width="13.25"/>
    <col customWidth="1" min="12" max="12" width="15.13"/>
  </cols>
  <sheetData>
    <row r="1" ht="15.75" customHeight="1"/>
    <row r="2" ht="15.75" customHeight="1">
      <c r="B2" s="1" t="s">
        <v>0</v>
      </c>
      <c r="E2" s="2">
        <v>45694.0</v>
      </c>
      <c r="F2" s="2">
        <f t="shared" ref="F2:M2" si="1">E3+1</f>
        <v>45717</v>
      </c>
      <c r="G2" s="2">
        <f t="shared" si="1"/>
        <v>45748</v>
      </c>
      <c r="H2" s="2">
        <f t="shared" si="1"/>
        <v>45778</v>
      </c>
      <c r="I2" s="2">
        <f t="shared" si="1"/>
        <v>45809</v>
      </c>
      <c r="J2" s="2">
        <f t="shared" si="1"/>
        <v>45839</v>
      </c>
      <c r="K2" s="2">
        <f t="shared" si="1"/>
        <v>45870</v>
      </c>
      <c r="L2" s="2">
        <f t="shared" si="1"/>
        <v>45901</v>
      </c>
      <c r="M2" s="2">
        <f t="shared" si="1"/>
        <v>45931</v>
      </c>
    </row>
    <row r="3" ht="15.75" customHeight="1">
      <c r="B3" s="1" t="s">
        <v>1</v>
      </c>
      <c r="C3" s="1"/>
      <c r="E3" s="3">
        <f t="shared" ref="E3:M3" si="2">EOMONTH(E2,0)</f>
        <v>45716</v>
      </c>
      <c r="F3" s="3">
        <f t="shared" si="2"/>
        <v>45747</v>
      </c>
      <c r="G3" s="3">
        <f t="shared" si="2"/>
        <v>45777</v>
      </c>
      <c r="H3" s="3">
        <f t="shared" si="2"/>
        <v>45808</v>
      </c>
      <c r="I3" s="3">
        <f t="shared" si="2"/>
        <v>45838</v>
      </c>
      <c r="J3" s="3">
        <f t="shared" si="2"/>
        <v>45869</v>
      </c>
      <c r="K3" s="3">
        <f t="shared" si="2"/>
        <v>45900</v>
      </c>
      <c r="L3" s="3">
        <f t="shared" si="2"/>
        <v>45930</v>
      </c>
      <c r="M3" s="3">
        <f t="shared" si="2"/>
        <v>45961</v>
      </c>
    </row>
    <row r="4" ht="22.5" customHeight="1">
      <c r="A4" s="4"/>
      <c r="B4" s="5" t="s">
        <v>2</v>
      </c>
      <c r="C4" s="6" t="s">
        <v>3</v>
      </c>
      <c r="D4" s="6"/>
      <c r="E4" s="7" t="str">
        <f t="shared" ref="E4:M4" si="3">TEXT(E3,"MMMM-YYY")</f>
        <v>February-2025</v>
      </c>
      <c r="F4" s="7" t="str">
        <f t="shared" si="3"/>
        <v>March-2025</v>
      </c>
      <c r="G4" s="7" t="str">
        <f t="shared" si="3"/>
        <v>April-2025</v>
      </c>
      <c r="H4" s="7" t="str">
        <f t="shared" si="3"/>
        <v>May-2025</v>
      </c>
      <c r="I4" s="7" t="str">
        <f t="shared" si="3"/>
        <v>June-2025</v>
      </c>
      <c r="J4" s="7" t="str">
        <f t="shared" si="3"/>
        <v>July-2025</v>
      </c>
      <c r="K4" s="7" t="str">
        <f t="shared" si="3"/>
        <v>August-2025</v>
      </c>
      <c r="L4" s="7" t="str">
        <f t="shared" si="3"/>
        <v>September-2025</v>
      </c>
      <c r="M4" s="7" t="str">
        <f t="shared" si="3"/>
        <v>October-2025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2.5" customHeight="1">
      <c r="A5" s="4"/>
      <c r="B5" s="6" t="s">
        <v>4</v>
      </c>
      <c r="C5" s="6">
        <v>1.0</v>
      </c>
      <c r="D5" s="6"/>
      <c r="E5" s="8">
        <f>Financial_Notes!D7</f>
        <v>0</v>
      </c>
      <c r="F5" s="8">
        <f>Financial_Notes!E7</f>
        <v>0</v>
      </c>
      <c r="G5" s="8">
        <f>Financial_Notes!F7</f>
        <v>0</v>
      </c>
      <c r="H5" s="8">
        <f>Financial_Notes!G7</f>
        <v>0</v>
      </c>
      <c r="I5" s="8">
        <f>Financial_Notes!H7</f>
        <v>0</v>
      </c>
      <c r="J5" s="8">
        <f>Financial_Notes!I7</f>
        <v>0</v>
      </c>
      <c r="K5" s="8">
        <f>Financial_Notes!J7</f>
        <v>0</v>
      </c>
      <c r="L5" s="8">
        <f>Financial_Notes!K7</f>
        <v>0</v>
      </c>
      <c r="M5" s="8">
        <f>Financial_Notes!L7</f>
        <v>0</v>
      </c>
      <c r="N5" s="4"/>
      <c r="O5" s="4"/>
      <c r="P5" s="4"/>
      <c r="Q5" s="9">
        <f>sum(K5:M5)</f>
        <v>0</v>
      </c>
      <c r="R5" s="4"/>
      <c r="S5" s="4"/>
      <c r="T5" s="4"/>
      <c r="U5" s="4"/>
      <c r="V5" s="4"/>
      <c r="W5" s="4"/>
      <c r="X5" s="4"/>
      <c r="Y5" s="4"/>
      <c r="Z5" s="4"/>
    </row>
    <row r="6" ht="22.5" customHeight="1">
      <c r="A6" s="4"/>
      <c r="B6" s="6" t="s">
        <v>5</v>
      </c>
      <c r="C6" s="6">
        <v>2.0</v>
      </c>
      <c r="D6" s="6"/>
      <c r="E6" s="8">
        <f>Financial_Notes!D24</f>
        <v>0</v>
      </c>
      <c r="F6" s="8">
        <f>Financial_Notes!E24</f>
        <v>0</v>
      </c>
      <c r="G6" s="8">
        <f>Financial_Notes!F24</f>
        <v>0</v>
      </c>
      <c r="H6" s="8">
        <f>Financial_Notes!G24</f>
        <v>0</v>
      </c>
      <c r="I6" s="8">
        <f>Financial_Notes!H24</f>
        <v>0</v>
      </c>
      <c r="J6" s="8">
        <f>Financial_Notes!I24</f>
        <v>0</v>
      </c>
      <c r="K6" s="8">
        <f>Financial_Notes!J24</f>
        <v>0</v>
      </c>
      <c r="L6" s="8">
        <f>Financial_Notes!K24</f>
        <v>0</v>
      </c>
      <c r="M6" s="8">
        <f>Financial_Notes!L24</f>
        <v>0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2.5" customHeight="1">
      <c r="A7" s="4"/>
      <c r="B7" s="10" t="s">
        <v>6</v>
      </c>
      <c r="C7" s="11"/>
      <c r="D7" s="11"/>
      <c r="E7" s="12">
        <f t="shared" ref="E7:M7" si="4">E5-E6</f>
        <v>0</v>
      </c>
      <c r="F7" s="12">
        <f t="shared" si="4"/>
        <v>0</v>
      </c>
      <c r="G7" s="12">
        <f t="shared" si="4"/>
        <v>0</v>
      </c>
      <c r="H7" s="12">
        <f t="shared" si="4"/>
        <v>0</v>
      </c>
      <c r="I7" s="12">
        <f t="shared" si="4"/>
        <v>0</v>
      </c>
      <c r="J7" s="12">
        <f t="shared" si="4"/>
        <v>0</v>
      </c>
      <c r="K7" s="12">
        <f t="shared" si="4"/>
        <v>0</v>
      </c>
      <c r="L7" s="12">
        <f t="shared" si="4"/>
        <v>0</v>
      </c>
      <c r="M7" s="12">
        <f t="shared" si="4"/>
        <v>0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2.5" customHeight="1">
      <c r="A8" s="4"/>
      <c r="B8" s="13" t="s">
        <v>7</v>
      </c>
      <c r="C8" s="6"/>
      <c r="D8" s="6"/>
      <c r="E8" s="14" t="str">
        <f t="shared" ref="E8:M8" si="5">E7/E5</f>
        <v>#DIV/0!</v>
      </c>
      <c r="F8" s="14" t="str">
        <f t="shared" si="5"/>
        <v>#DIV/0!</v>
      </c>
      <c r="G8" s="14" t="str">
        <f t="shared" si="5"/>
        <v>#DIV/0!</v>
      </c>
      <c r="H8" s="14" t="str">
        <f t="shared" si="5"/>
        <v>#DIV/0!</v>
      </c>
      <c r="I8" s="14" t="str">
        <f t="shared" si="5"/>
        <v>#DIV/0!</v>
      </c>
      <c r="J8" s="14" t="str">
        <f t="shared" si="5"/>
        <v>#DIV/0!</v>
      </c>
      <c r="K8" s="14" t="str">
        <f t="shared" si="5"/>
        <v>#DIV/0!</v>
      </c>
      <c r="L8" s="14" t="str">
        <f t="shared" si="5"/>
        <v>#DIV/0!</v>
      </c>
      <c r="M8" s="14" t="str">
        <f t="shared" si="5"/>
        <v>#DIV/0!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2.5" customHeight="1">
      <c r="A9" s="4"/>
      <c r="B9" s="15" t="s">
        <v>8</v>
      </c>
      <c r="C9" s="6">
        <v>3.0</v>
      </c>
      <c r="D9" s="6"/>
      <c r="E9" s="6"/>
      <c r="F9" s="6"/>
      <c r="G9" s="6"/>
      <c r="H9" s="6"/>
      <c r="I9" s="6"/>
      <c r="J9" s="6"/>
      <c r="K9" s="6"/>
      <c r="L9" s="6"/>
      <c r="M9" s="6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2.5" customHeight="1">
      <c r="A10" s="4"/>
      <c r="B10" s="6" t="s">
        <v>9</v>
      </c>
      <c r="C10" s="6"/>
      <c r="D10" s="6"/>
      <c r="E10" s="8" t="str">
        <f t="array" ref="E10:E19">Financial_Notes!D29:D38</f>
        <v/>
      </c>
      <c r="F10" s="8" t="str">
        <f t="array" ref="F10:F19">Financial_Notes!E29:E38</f>
        <v/>
      </c>
      <c r="G10" s="8" t="str">
        <f t="array" ref="G10:G19">Financial_Notes!F29:F38</f>
        <v/>
      </c>
      <c r="H10" s="8" t="str">
        <f t="array" ref="H10:H19">Financial_Notes!G29:G38</f>
        <v/>
      </c>
      <c r="I10" s="8" t="str">
        <f t="array" ref="I10:I19">Financial_Notes!H29:H38</f>
        <v/>
      </c>
      <c r="J10" s="8" t="str">
        <f t="array" ref="J10:J19">Financial_Notes!I29:I38</f>
        <v/>
      </c>
      <c r="K10" s="8" t="str">
        <f t="array" ref="K10:K19">Financial_Notes!J29:J38</f>
        <v/>
      </c>
      <c r="L10" s="8" t="str">
        <f t="array" ref="L10:L19">Financial_Notes!K29:K38</f>
        <v/>
      </c>
      <c r="M10" s="8" t="str">
        <f t="array" ref="M10:M19">Financial_Notes!L29:L38</f>
        <v/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2.5" customHeight="1">
      <c r="A11" s="4"/>
      <c r="B11" s="6" t="s">
        <v>10</v>
      </c>
      <c r="C11" s="6"/>
      <c r="D11" s="6"/>
      <c r="E11" s="8"/>
      <c r="F11" s="8"/>
      <c r="G11" s="8"/>
      <c r="H11" s="8"/>
      <c r="I11" s="8"/>
      <c r="J11" s="8"/>
      <c r="K11" s="8"/>
      <c r="L11" s="8"/>
      <c r="M11" s="8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2.5" customHeight="1">
      <c r="A12" s="4"/>
      <c r="B12" s="6" t="s">
        <v>11</v>
      </c>
      <c r="C12" s="6"/>
      <c r="D12" s="6"/>
      <c r="E12" s="8"/>
      <c r="F12" s="8"/>
      <c r="G12" s="8"/>
      <c r="H12" s="8"/>
      <c r="I12" s="8"/>
      <c r="J12" s="8"/>
      <c r="K12" s="8"/>
      <c r="L12" s="8"/>
      <c r="M12" s="8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2.5" customHeight="1">
      <c r="A13" s="4"/>
      <c r="B13" s="6" t="s">
        <v>12</v>
      </c>
      <c r="C13" s="6"/>
      <c r="D13" s="6"/>
      <c r="E13" s="8"/>
      <c r="F13" s="8"/>
      <c r="G13" s="8"/>
      <c r="H13" s="8"/>
      <c r="I13" s="8"/>
      <c r="J13" s="8"/>
      <c r="K13" s="8"/>
      <c r="L13" s="8"/>
      <c r="M13" s="8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2.5" customHeight="1">
      <c r="A14" s="4"/>
      <c r="B14" s="6" t="s">
        <v>13</v>
      </c>
      <c r="C14" s="6"/>
      <c r="D14" s="6"/>
      <c r="E14" s="8"/>
      <c r="F14" s="8"/>
      <c r="G14" s="8"/>
      <c r="H14" s="8"/>
      <c r="I14" s="8"/>
      <c r="J14" s="8"/>
      <c r="K14" s="8"/>
      <c r="L14" s="8"/>
      <c r="M14" s="8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2.5" customHeight="1">
      <c r="A15" s="4"/>
      <c r="B15" s="6" t="s">
        <v>14</v>
      </c>
      <c r="C15" s="6"/>
      <c r="D15" s="6"/>
      <c r="E15" s="8"/>
      <c r="F15" s="8"/>
      <c r="G15" s="8"/>
      <c r="H15" s="8"/>
      <c r="I15" s="8"/>
      <c r="J15" s="8"/>
      <c r="K15" s="8"/>
      <c r="L15" s="8"/>
      <c r="M15" s="8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2.5" customHeight="1">
      <c r="A16" s="4"/>
      <c r="B16" s="6" t="s">
        <v>15</v>
      </c>
      <c r="C16" s="6"/>
      <c r="D16" s="6"/>
      <c r="E16" s="8"/>
      <c r="F16" s="8"/>
      <c r="G16" s="8"/>
      <c r="H16" s="8"/>
      <c r="I16" s="8"/>
      <c r="J16" s="8"/>
      <c r="K16" s="8"/>
      <c r="L16" s="8"/>
      <c r="M16" s="8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2.5" customHeight="1">
      <c r="A17" s="4"/>
      <c r="B17" s="6" t="s">
        <v>16</v>
      </c>
      <c r="C17" s="6"/>
      <c r="D17" s="6"/>
      <c r="E17" s="8"/>
      <c r="F17" s="8"/>
      <c r="G17" s="8"/>
      <c r="H17" s="8"/>
      <c r="I17" s="8"/>
      <c r="J17" s="8"/>
      <c r="K17" s="8"/>
      <c r="L17" s="8"/>
      <c r="M17" s="8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2.5" customHeight="1">
      <c r="A18" s="4"/>
      <c r="B18" s="6" t="s">
        <v>17</v>
      </c>
      <c r="C18" s="6"/>
      <c r="D18" s="6"/>
      <c r="E18" s="8"/>
      <c r="F18" s="8"/>
      <c r="G18" s="8"/>
      <c r="H18" s="8"/>
      <c r="I18" s="8"/>
      <c r="J18" s="8"/>
      <c r="K18" s="8"/>
      <c r="L18" s="8"/>
      <c r="M18" s="8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2.5" customHeight="1">
      <c r="A19" s="4"/>
      <c r="B19" s="6" t="s">
        <v>18</v>
      </c>
      <c r="C19" s="5"/>
      <c r="D19" s="5"/>
      <c r="E19" s="8"/>
      <c r="F19" s="8"/>
      <c r="G19" s="8"/>
      <c r="H19" s="8"/>
      <c r="I19" s="8"/>
      <c r="J19" s="8"/>
      <c r="K19" s="8"/>
      <c r="L19" s="8"/>
      <c r="M19" s="8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2.5" customHeight="1">
      <c r="A20" s="4"/>
      <c r="B20" s="10" t="s">
        <v>19</v>
      </c>
      <c r="C20" s="11"/>
      <c r="D20" s="11"/>
      <c r="E20" s="12">
        <f t="shared" ref="E20:M20" si="6">E7-SUM(E10:E19)</f>
        <v>0</v>
      </c>
      <c r="F20" s="12">
        <f t="shared" si="6"/>
        <v>0</v>
      </c>
      <c r="G20" s="12">
        <f t="shared" si="6"/>
        <v>0</v>
      </c>
      <c r="H20" s="12">
        <f t="shared" si="6"/>
        <v>0</v>
      </c>
      <c r="I20" s="12">
        <f t="shared" si="6"/>
        <v>0</v>
      </c>
      <c r="J20" s="12">
        <f t="shared" si="6"/>
        <v>0</v>
      </c>
      <c r="K20" s="12">
        <f t="shared" si="6"/>
        <v>0</v>
      </c>
      <c r="L20" s="12">
        <f t="shared" si="6"/>
        <v>0</v>
      </c>
      <c r="M20" s="12">
        <f t="shared" si="6"/>
        <v>0</v>
      </c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2.5" customHeight="1">
      <c r="A21" s="4"/>
      <c r="B21" s="13" t="s">
        <v>20</v>
      </c>
      <c r="C21" s="6"/>
      <c r="D21" s="6"/>
      <c r="E21" s="14" t="str">
        <f t="shared" ref="E21:M21" si="7">E20/E5</f>
        <v>#DIV/0!</v>
      </c>
      <c r="F21" s="14" t="str">
        <f t="shared" si="7"/>
        <v>#DIV/0!</v>
      </c>
      <c r="G21" s="14" t="str">
        <f t="shared" si="7"/>
        <v>#DIV/0!</v>
      </c>
      <c r="H21" s="14" t="str">
        <f t="shared" si="7"/>
        <v>#DIV/0!</v>
      </c>
      <c r="I21" s="14" t="str">
        <f t="shared" si="7"/>
        <v>#DIV/0!</v>
      </c>
      <c r="J21" s="14" t="str">
        <f t="shared" si="7"/>
        <v>#DIV/0!</v>
      </c>
      <c r="K21" s="14" t="str">
        <f t="shared" si="7"/>
        <v>#DIV/0!</v>
      </c>
      <c r="L21" s="14" t="str">
        <f t="shared" si="7"/>
        <v>#DIV/0!</v>
      </c>
      <c r="M21" s="14" t="str">
        <f t="shared" si="7"/>
        <v>#DIV/0!</v>
      </c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2.5" customHeight="1">
      <c r="A22" s="4"/>
      <c r="B22" s="6" t="s">
        <v>21</v>
      </c>
      <c r="C22" s="6">
        <v>4.0</v>
      </c>
      <c r="D22" s="6"/>
      <c r="E22" s="8">
        <f>Financial_Notes!D45</f>
        <v>0</v>
      </c>
      <c r="F22" s="8" t="str">
        <f>Financial_Notes!E45</f>
        <v>#REF!</v>
      </c>
      <c r="G22" s="8" t="str">
        <f>Financial_Notes!F45</f>
        <v>#REF!</v>
      </c>
      <c r="H22" s="8" t="str">
        <f>Financial_Notes!G45</f>
        <v>#REF!</v>
      </c>
      <c r="I22" s="8" t="str">
        <f>Financial_Notes!H45</f>
        <v>#REF!</v>
      </c>
      <c r="J22" s="8" t="str">
        <f>Financial_Notes!I45</f>
        <v>#REF!</v>
      </c>
      <c r="K22" s="8" t="str">
        <f>Financial_Notes!J45</f>
        <v>#REF!</v>
      </c>
      <c r="L22" s="8" t="str">
        <f>Financial_Notes!K45</f>
        <v>#REF!</v>
      </c>
      <c r="M22" s="8" t="str">
        <f>Financial_Notes!L45</f>
        <v>#REF!</v>
      </c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2.5" customHeight="1">
      <c r="A23" s="4"/>
      <c r="B23" s="10" t="s">
        <v>22</v>
      </c>
      <c r="C23" s="11"/>
      <c r="D23" s="11"/>
      <c r="E23" s="12">
        <f t="shared" ref="E23:M23" si="8">E20+E22</f>
        <v>0</v>
      </c>
      <c r="F23" s="12" t="str">
        <f t="shared" si="8"/>
        <v>#REF!</v>
      </c>
      <c r="G23" s="12" t="str">
        <f t="shared" si="8"/>
        <v>#REF!</v>
      </c>
      <c r="H23" s="12" t="str">
        <f t="shared" si="8"/>
        <v>#REF!</v>
      </c>
      <c r="I23" s="12" t="str">
        <f t="shared" si="8"/>
        <v>#REF!</v>
      </c>
      <c r="J23" s="12" t="str">
        <f t="shared" si="8"/>
        <v>#REF!</v>
      </c>
      <c r="K23" s="12" t="str">
        <f t="shared" si="8"/>
        <v>#REF!</v>
      </c>
      <c r="L23" s="12" t="str">
        <f t="shared" si="8"/>
        <v>#REF!</v>
      </c>
      <c r="M23" s="12" t="str">
        <f t="shared" si="8"/>
        <v>#REF!</v>
      </c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2.5" customHeight="1">
      <c r="A24" s="4"/>
      <c r="B24" s="13" t="s">
        <v>23</v>
      </c>
      <c r="C24" s="6"/>
      <c r="D24" s="6"/>
      <c r="E24" s="14" t="str">
        <f t="shared" ref="E24:M24" si="9">E23/E5</f>
        <v>#DIV/0!</v>
      </c>
      <c r="F24" s="14" t="str">
        <f t="shared" si="9"/>
        <v>#REF!</v>
      </c>
      <c r="G24" s="14" t="str">
        <f t="shared" si="9"/>
        <v>#REF!</v>
      </c>
      <c r="H24" s="14" t="str">
        <f t="shared" si="9"/>
        <v>#REF!</v>
      </c>
      <c r="I24" s="14" t="str">
        <f t="shared" si="9"/>
        <v>#REF!</v>
      </c>
      <c r="J24" s="14" t="str">
        <f t="shared" si="9"/>
        <v>#REF!</v>
      </c>
      <c r="K24" s="14" t="str">
        <f t="shared" si="9"/>
        <v>#REF!</v>
      </c>
      <c r="L24" s="14" t="str">
        <f t="shared" si="9"/>
        <v>#REF!</v>
      </c>
      <c r="M24" s="14" t="str">
        <f t="shared" si="9"/>
        <v>#REF!</v>
      </c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2.5" customHeight="1">
      <c r="A25" s="4"/>
      <c r="B25" s="6" t="s">
        <v>24</v>
      </c>
      <c r="C25" s="6">
        <v>5.0</v>
      </c>
      <c r="D25" s="6"/>
      <c r="E25" s="8">
        <f>Financial_Notes!D51</f>
        <v>0</v>
      </c>
      <c r="F25" s="8">
        <f>Financial_Notes!E51</f>
        <v>0</v>
      </c>
      <c r="G25" s="8">
        <f>Financial_Notes!F51</f>
        <v>0</v>
      </c>
      <c r="H25" s="8">
        <f>Financial_Notes!G51</f>
        <v>0</v>
      </c>
      <c r="I25" s="8">
        <f>Financial_Notes!H51</f>
        <v>0</v>
      </c>
      <c r="J25" s="8">
        <f>Financial_Notes!I51</f>
        <v>0</v>
      </c>
      <c r="K25" s="8">
        <f>Financial_Notes!J51</f>
        <v>0</v>
      </c>
      <c r="L25" s="8">
        <f>Financial_Notes!K51</f>
        <v>0</v>
      </c>
      <c r="M25" s="8">
        <f>Financial_Notes!L51</f>
        <v>0</v>
      </c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30.75" customHeight="1">
      <c r="A26" s="4"/>
      <c r="B26" s="6" t="s">
        <v>25</v>
      </c>
      <c r="C26" s="6">
        <v>6.0</v>
      </c>
      <c r="D26" s="6"/>
      <c r="E26" s="8">
        <f>Financial_Notes!D58</f>
        <v>0</v>
      </c>
      <c r="F26" s="8">
        <f>Financial_Notes!E58</f>
        <v>0</v>
      </c>
      <c r="G26" s="8">
        <f>Financial_Notes!F58</f>
        <v>0</v>
      </c>
      <c r="H26" s="8">
        <f>Financial_Notes!G58</f>
        <v>0</v>
      </c>
      <c r="I26" s="8">
        <f>Financial_Notes!H58</f>
        <v>0</v>
      </c>
      <c r="J26" s="8">
        <f>Financial_Notes!I58</f>
        <v>0</v>
      </c>
      <c r="K26" s="8">
        <f>Financial_Notes!J58</f>
        <v>0</v>
      </c>
      <c r="L26" s="8">
        <f>Financial_Notes!K58</f>
        <v>0</v>
      </c>
      <c r="M26" s="8">
        <f>Financial_Notes!L58</f>
        <v>0</v>
      </c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2.5" customHeight="1">
      <c r="A27" s="4"/>
      <c r="B27" s="16" t="s">
        <v>26</v>
      </c>
      <c r="C27" s="17"/>
      <c r="D27" s="17"/>
      <c r="E27" s="18">
        <f t="shared" ref="E27:M27" si="10">E20+E25-E26</f>
        <v>0</v>
      </c>
      <c r="F27" s="18">
        <f t="shared" si="10"/>
        <v>0</v>
      </c>
      <c r="G27" s="18">
        <f t="shared" si="10"/>
        <v>0</v>
      </c>
      <c r="H27" s="18">
        <f t="shared" si="10"/>
        <v>0</v>
      </c>
      <c r="I27" s="18">
        <f t="shared" si="10"/>
        <v>0</v>
      </c>
      <c r="J27" s="18">
        <f t="shared" si="10"/>
        <v>0</v>
      </c>
      <c r="K27" s="18">
        <f t="shared" si="10"/>
        <v>0</v>
      </c>
      <c r="L27" s="18">
        <f t="shared" si="10"/>
        <v>0</v>
      </c>
      <c r="M27" s="18">
        <f t="shared" si="10"/>
        <v>0</v>
      </c>
      <c r="N27" s="4"/>
      <c r="O27" s="4"/>
      <c r="P27" s="4"/>
      <c r="Q27" s="9">
        <f>sum(K27:M27)</f>
        <v>0</v>
      </c>
      <c r="R27" s="4"/>
      <c r="S27" s="4"/>
      <c r="T27" s="4"/>
      <c r="U27" s="4"/>
      <c r="V27" s="4"/>
      <c r="W27" s="4"/>
      <c r="X27" s="4"/>
      <c r="Y27" s="4"/>
      <c r="Z27" s="4"/>
    </row>
    <row r="28" ht="22.5" customHeight="1">
      <c r="A28" s="4"/>
      <c r="B28" s="13" t="s">
        <v>27</v>
      </c>
      <c r="C28" s="6"/>
      <c r="D28" s="6"/>
      <c r="E28" s="14" t="str">
        <f t="shared" ref="E28:M28" si="11">E27/E5</f>
        <v>#DIV/0!</v>
      </c>
      <c r="F28" s="14" t="str">
        <f t="shared" si="11"/>
        <v>#DIV/0!</v>
      </c>
      <c r="G28" s="14" t="str">
        <f t="shared" si="11"/>
        <v>#DIV/0!</v>
      </c>
      <c r="H28" s="14" t="str">
        <f t="shared" si="11"/>
        <v>#DIV/0!</v>
      </c>
      <c r="I28" s="14" t="str">
        <f t="shared" si="11"/>
        <v>#DIV/0!</v>
      </c>
      <c r="J28" s="14" t="str">
        <f t="shared" si="11"/>
        <v>#DIV/0!</v>
      </c>
      <c r="K28" s="14" t="str">
        <f t="shared" si="11"/>
        <v>#DIV/0!</v>
      </c>
      <c r="L28" s="14" t="str">
        <f t="shared" si="11"/>
        <v>#DIV/0!</v>
      </c>
      <c r="M28" s="14" t="str">
        <f t="shared" si="11"/>
        <v>#DIV/0!</v>
      </c>
      <c r="N28" s="4"/>
      <c r="O28" s="4"/>
      <c r="P28" s="4"/>
      <c r="Q28" s="19" t="str">
        <f>Q27/Q5</f>
        <v>#DIV/0!</v>
      </c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>
      <c r="E36" s="20"/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25" right="0.25" top="0.75"/>
  <pageSetup fitToHeight="0" paperSize="6" cellComments="atEnd" orientation="landscape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1" max="1" width="12.63"/>
    <col customWidth="1" min="2" max="2" width="56.25"/>
    <col customWidth="1" min="3" max="3" width="12.63"/>
    <col customWidth="1" min="4" max="4" width="10.13"/>
    <col customWidth="1" min="5" max="5" width="13.63"/>
    <col customWidth="1" min="6" max="6" width="14.88"/>
    <col customWidth="1" min="7" max="7" width="13.38"/>
    <col customWidth="1" min="12" max="12" width="14.13"/>
    <col customWidth="1" min="13" max="13" width="14.38"/>
  </cols>
  <sheetData>
    <row r="1" ht="15.75" customHeight="1"/>
    <row r="2" ht="15.75" customHeight="1">
      <c r="B2" s="1" t="s">
        <v>0</v>
      </c>
      <c r="E2" s="2">
        <v>45694.0</v>
      </c>
      <c r="F2" s="2">
        <f t="shared" ref="F2:M2" si="1">E3+1</f>
        <v>45717</v>
      </c>
      <c r="G2" s="2">
        <f t="shared" si="1"/>
        <v>45748</v>
      </c>
      <c r="H2" s="2">
        <f t="shared" si="1"/>
        <v>45778</v>
      </c>
      <c r="I2" s="2">
        <f t="shared" si="1"/>
        <v>45809</v>
      </c>
      <c r="J2" s="2">
        <f t="shared" si="1"/>
        <v>45839</v>
      </c>
      <c r="K2" s="2">
        <f t="shared" si="1"/>
        <v>45870</v>
      </c>
      <c r="L2" s="2">
        <f t="shared" si="1"/>
        <v>45901</v>
      </c>
      <c r="M2" s="2">
        <f t="shared" si="1"/>
        <v>45931</v>
      </c>
    </row>
    <row r="3" ht="15.75" customHeight="1">
      <c r="B3" s="1" t="s">
        <v>1</v>
      </c>
      <c r="C3" s="1"/>
      <c r="E3" s="3">
        <f t="shared" ref="E3:M3" si="2">EOMONTH(E2,0)</f>
        <v>45716</v>
      </c>
      <c r="F3" s="3">
        <f t="shared" si="2"/>
        <v>45747</v>
      </c>
      <c r="G3" s="3">
        <f t="shared" si="2"/>
        <v>45777</v>
      </c>
      <c r="H3" s="3">
        <f t="shared" si="2"/>
        <v>45808</v>
      </c>
      <c r="I3" s="3">
        <f t="shared" si="2"/>
        <v>45838</v>
      </c>
      <c r="J3" s="3">
        <f t="shared" si="2"/>
        <v>45869</v>
      </c>
      <c r="K3" s="3">
        <f t="shared" si="2"/>
        <v>45900</v>
      </c>
      <c r="L3" s="3">
        <f t="shared" si="2"/>
        <v>45930</v>
      </c>
      <c r="M3" s="3">
        <f t="shared" si="2"/>
        <v>45961</v>
      </c>
    </row>
    <row r="4" ht="22.5" customHeight="1">
      <c r="A4" s="4"/>
      <c r="B4" s="5" t="s">
        <v>28</v>
      </c>
      <c r="C4" s="5" t="s">
        <v>3</v>
      </c>
      <c r="D4" s="5"/>
      <c r="E4" s="7" t="str">
        <f t="shared" ref="E4:M4" si="3">TEXT(E3,"MMMM-YYY")</f>
        <v>February-2025</v>
      </c>
      <c r="F4" s="7" t="str">
        <f t="shared" si="3"/>
        <v>March-2025</v>
      </c>
      <c r="G4" s="7" t="str">
        <f t="shared" si="3"/>
        <v>April-2025</v>
      </c>
      <c r="H4" s="7" t="str">
        <f t="shared" si="3"/>
        <v>May-2025</v>
      </c>
      <c r="I4" s="7" t="str">
        <f t="shared" si="3"/>
        <v>June-2025</v>
      </c>
      <c r="J4" s="7" t="str">
        <f t="shared" si="3"/>
        <v>July-2025</v>
      </c>
      <c r="K4" s="7" t="str">
        <f t="shared" si="3"/>
        <v>August-2025</v>
      </c>
      <c r="L4" s="7" t="str">
        <f t="shared" si="3"/>
        <v>September-2025</v>
      </c>
      <c r="M4" s="7" t="str">
        <f t="shared" si="3"/>
        <v>October-2025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2.5" customHeight="1">
      <c r="A5" s="4"/>
      <c r="B5" s="5" t="s">
        <v>29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2.5" customHeight="1">
      <c r="A6" s="4"/>
      <c r="B6" s="6" t="s">
        <v>30</v>
      </c>
      <c r="C6" s="6">
        <v>11.0</v>
      </c>
      <c r="D6" s="6"/>
      <c r="E6" s="8">
        <f>Financial_Notes!D65</f>
        <v>0</v>
      </c>
      <c r="F6" s="8">
        <f>Financial_Notes!E65</f>
        <v>0</v>
      </c>
      <c r="G6" s="8">
        <f>Financial_Notes!F65</f>
        <v>0</v>
      </c>
      <c r="H6" s="8">
        <f>Financial_Notes!G65</f>
        <v>0</v>
      </c>
      <c r="I6" s="8">
        <f>Financial_Notes!H65</f>
        <v>0</v>
      </c>
      <c r="J6" s="8">
        <f>Financial_Notes!I65</f>
        <v>0</v>
      </c>
      <c r="K6" s="8">
        <f>Financial_Notes!J65</f>
        <v>0</v>
      </c>
      <c r="L6" s="8">
        <f>Financial_Notes!K65</f>
        <v>0</v>
      </c>
      <c r="M6" s="8">
        <f>Financial_Notes!L65</f>
        <v>0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2.5" customHeight="1">
      <c r="A7" s="4"/>
      <c r="B7" s="6" t="s">
        <v>31</v>
      </c>
      <c r="C7" s="6">
        <v>12.0</v>
      </c>
      <c r="D7" s="6"/>
      <c r="E7" s="8" t="str">
        <f>Financial_Notes!D70</f>
        <v/>
      </c>
      <c r="F7" s="8" t="str">
        <f>Financial_Notes!E70</f>
        <v/>
      </c>
      <c r="G7" s="8" t="str">
        <f>Financial_Notes!F70</f>
        <v/>
      </c>
      <c r="H7" s="8" t="str">
        <f>Financial_Notes!G70</f>
        <v/>
      </c>
      <c r="I7" s="8" t="str">
        <f>Financial_Notes!H70</f>
        <v/>
      </c>
      <c r="J7" s="8" t="str">
        <f>Financial_Notes!I70</f>
        <v/>
      </c>
      <c r="K7" s="8" t="str">
        <f>Financial_Notes!J70</f>
        <v/>
      </c>
      <c r="L7" s="8" t="str">
        <f>Financial_Notes!K70</f>
        <v/>
      </c>
      <c r="M7" s="8" t="str">
        <f>Financial_Notes!L70</f>
        <v/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2.5" customHeight="1">
      <c r="A8" s="4"/>
      <c r="B8" s="6" t="s">
        <v>32</v>
      </c>
      <c r="C8" s="6">
        <v>13.0</v>
      </c>
      <c r="D8" s="6"/>
      <c r="E8" s="8">
        <f>Financial_Notes!D78</f>
        <v>0</v>
      </c>
      <c r="F8" s="8">
        <f>Financial_Notes!E78</f>
        <v>0</v>
      </c>
      <c r="G8" s="8">
        <f>Financial_Notes!F78</f>
        <v>0</v>
      </c>
      <c r="H8" s="8">
        <f>Financial_Notes!G78</f>
        <v>0</v>
      </c>
      <c r="I8" s="8">
        <f>Financial_Notes!H78</f>
        <v>0</v>
      </c>
      <c r="J8" s="8">
        <f>Financial_Notes!I78</f>
        <v>0</v>
      </c>
      <c r="K8" s="8">
        <f>Financial_Notes!J78</f>
        <v>0</v>
      </c>
      <c r="L8" s="8">
        <f>Financial_Notes!K78</f>
        <v>0</v>
      </c>
      <c r="M8" s="8">
        <f>Financial_Notes!L78</f>
        <v>0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2.5" customHeight="1">
      <c r="A9" s="4"/>
      <c r="B9" s="6" t="s">
        <v>33</v>
      </c>
      <c r="C9" s="6">
        <v>14.0</v>
      </c>
      <c r="D9" s="6"/>
      <c r="E9" s="8" t="str">
        <f>Financial_Notes!D84</f>
        <v/>
      </c>
      <c r="F9" s="8" t="str">
        <f>Financial_Notes!E84</f>
        <v/>
      </c>
      <c r="G9" s="8" t="str">
        <f>Financial_Notes!F84</f>
        <v/>
      </c>
      <c r="H9" s="8" t="str">
        <f>Financial_Notes!G84</f>
        <v/>
      </c>
      <c r="I9" s="8" t="str">
        <f>Financial_Notes!H84</f>
        <v/>
      </c>
      <c r="J9" s="8" t="str">
        <f>Financial_Notes!I84</f>
        <v/>
      </c>
      <c r="K9" s="8" t="str">
        <f>Financial_Notes!J84</f>
        <v/>
      </c>
      <c r="L9" s="8" t="str">
        <f>Financial_Notes!K84</f>
        <v/>
      </c>
      <c r="M9" s="8" t="str">
        <f>Financial_Notes!L84</f>
        <v/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2.5" customHeight="1">
      <c r="A10" s="4"/>
      <c r="B10" s="6" t="s">
        <v>34</v>
      </c>
      <c r="C10" s="6">
        <v>15.0</v>
      </c>
      <c r="D10" s="5"/>
      <c r="E10" s="8">
        <f>Financial_Notes!D87</f>
        <v>0</v>
      </c>
      <c r="F10" s="8">
        <f>Financial_Notes!E87</f>
        <v>0</v>
      </c>
      <c r="G10" s="8">
        <f>Financial_Notes!F87</f>
        <v>0</v>
      </c>
      <c r="H10" s="8">
        <f>Financial_Notes!G87</f>
        <v>0</v>
      </c>
      <c r="I10" s="8">
        <f>Financial_Notes!H87</f>
        <v>0</v>
      </c>
      <c r="J10" s="8">
        <f>Financial_Notes!I87</f>
        <v>0</v>
      </c>
      <c r="K10" s="8">
        <f>Financial_Notes!J87</f>
        <v>0</v>
      </c>
      <c r="L10" s="8">
        <f>Financial_Notes!K87</f>
        <v>0</v>
      </c>
      <c r="M10" s="8" t="str">
        <f>Financial_Notes!L87</f>
        <v/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2.5" customHeight="1">
      <c r="A11" s="4"/>
      <c r="B11" s="10" t="s">
        <v>35</v>
      </c>
      <c r="C11" s="11"/>
      <c r="D11" s="11"/>
      <c r="E11" s="12">
        <f t="shared" ref="E11:M11" si="4">sum(E6:E10)</f>
        <v>0</v>
      </c>
      <c r="F11" s="12">
        <f t="shared" si="4"/>
        <v>0</v>
      </c>
      <c r="G11" s="12">
        <f t="shared" si="4"/>
        <v>0</v>
      </c>
      <c r="H11" s="12">
        <f t="shared" si="4"/>
        <v>0</v>
      </c>
      <c r="I11" s="12">
        <f t="shared" si="4"/>
        <v>0</v>
      </c>
      <c r="J11" s="12">
        <f t="shared" si="4"/>
        <v>0</v>
      </c>
      <c r="K11" s="12">
        <f t="shared" si="4"/>
        <v>0</v>
      </c>
      <c r="L11" s="12">
        <f t="shared" si="4"/>
        <v>0</v>
      </c>
      <c r="M11" s="12">
        <f t="shared" si="4"/>
        <v>0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2.5" customHeight="1">
      <c r="A12" s="4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2.5" customHeight="1">
      <c r="A13" s="4"/>
      <c r="B13" s="6" t="s">
        <v>36</v>
      </c>
      <c r="C13" s="6">
        <v>16.0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2.5" customHeight="1">
      <c r="A14" s="4"/>
      <c r="B14" s="6" t="s">
        <v>37</v>
      </c>
      <c r="C14" s="6"/>
      <c r="D14" s="6"/>
      <c r="E14" s="8" t="str">
        <f>Financial_Notes!D92</f>
        <v/>
      </c>
      <c r="F14" s="8" t="str">
        <f>Financial_Notes!E92</f>
        <v/>
      </c>
      <c r="G14" s="8" t="str">
        <f>Financial_Notes!F92</f>
        <v/>
      </c>
      <c r="H14" s="8" t="str">
        <f>Financial_Notes!G92</f>
        <v/>
      </c>
      <c r="I14" s="8" t="str">
        <f>Financial_Notes!H92</f>
        <v/>
      </c>
      <c r="J14" s="8" t="str">
        <f>Financial_Notes!I92</f>
        <v/>
      </c>
      <c r="K14" s="8" t="str">
        <f>Financial_Notes!J92</f>
        <v/>
      </c>
      <c r="L14" s="8" t="str">
        <f>Financial_Notes!K92</f>
        <v/>
      </c>
      <c r="M14" s="8" t="str">
        <f>Financial_Notes!L92</f>
        <v/>
      </c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2.5" customHeight="1">
      <c r="A15" s="4"/>
      <c r="B15" s="6" t="s">
        <v>38</v>
      </c>
      <c r="C15" s="6"/>
      <c r="D15" s="6"/>
      <c r="E15" s="8">
        <f>Financial_Notes!D93-Financial_Notes!D99</f>
        <v>0</v>
      </c>
      <c r="F15" s="8">
        <f>Financial_Notes!E93-Financial_Notes!E99</f>
        <v>0</v>
      </c>
      <c r="G15" s="8">
        <f>Financial_Notes!F93-Financial_Notes!F99</f>
        <v>0</v>
      </c>
      <c r="H15" s="8">
        <f>Financial_Notes!G93-Financial_Notes!G99</f>
        <v>0</v>
      </c>
      <c r="I15" s="8">
        <f>Financial_Notes!H93-Financial_Notes!H99</f>
        <v>0</v>
      </c>
      <c r="J15" s="8">
        <f>Financial_Notes!I93-Financial_Notes!I99</f>
        <v>0</v>
      </c>
      <c r="K15" s="8">
        <f>Financial_Notes!J93-Financial_Notes!J99</f>
        <v>0</v>
      </c>
      <c r="L15" s="8">
        <f>Financial_Notes!K93-Financial_Notes!K99</f>
        <v>0</v>
      </c>
      <c r="M15" s="8">
        <f>Financial_Notes!L93-Financial_Notes!L99</f>
        <v>0</v>
      </c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2.5" customHeight="1">
      <c r="A16" s="4"/>
      <c r="B16" s="6" t="s">
        <v>39</v>
      </c>
      <c r="C16" s="6"/>
      <c r="D16" s="6"/>
      <c r="E16" s="8">
        <f>Financial_Notes!D94-Financial_Notes!D100</f>
        <v>0</v>
      </c>
      <c r="F16" s="8">
        <f>Financial_Notes!E94-Financial_Notes!E100</f>
        <v>0</v>
      </c>
      <c r="G16" s="8">
        <f>Financial_Notes!F94-Financial_Notes!F100</f>
        <v>0</v>
      </c>
      <c r="H16" s="8">
        <f>Financial_Notes!G94-Financial_Notes!G100</f>
        <v>0</v>
      </c>
      <c r="I16" s="8">
        <f>Financial_Notes!H94-Financial_Notes!H100</f>
        <v>0</v>
      </c>
      <c r="J16" s="8">
        <f>Financial_Notes!I94-Financial_Notes!I100</f>
        <v>0</v>
      </c>
      <c r="K16" s="8">
        <f>Financial_Notes!J94-Financial_Notes!J100</f>
        <v>0</v>
      </c>
      <c r="L16" s="8">
        <f>Financial_Notes!K94-Financial_Notes!K100</f>
        <v>0</v>
      </c>
      <c r="M16" s="8">
        <f>Financial_Notes!L94-Financial_Notes!L100</f>
        <v>0</v>
      </c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2.5" customHeight="1">
      <c r="A17" s="4"/>
      <c r="B17" s="6" t="s">
        <v>40</v>
      </c>
      <c r="C17" s="6"/>
      <c r="D17" s="6"/>
      <c r="E17" s="8">
        <f>Financial_Notes!D96-Financial_Notes!D102</f>
        <v>0</v>
      </c>
      <c r="F17" s="8">
        <f>Financial_Notes!E96-Financial_Notes!E102</f>
        <v>0</v>
      </c>
      <c r="G17" s="8">
        <f>Financial_Notes!F96-Financial_Notes!F102</f>
        <v>0</v>
      </c>
      <c r="H17" s="8">
        <f>Financial_Notes!G96-Financial_Notes!G102</f>
        <v>0</v>
      </c>
      <c r="I17" s="8">
        <f>Financial_Notes!H96-Financial_Notes!H102</f>
        <v>0</v>
      </c>
      <c r="J17" s="8">
        <f>Financial_Notes!I96-Financial_Notes!I102</f>
        <v>0</v>
      </c>
      <c r="K17" s="8">
        <f>Financial_Notes!J96-Financial_Notes!J102</f>
        <v>0</v>
      </c>
      <c r="L17" s="8">
        <f>Financial_Notes!K96-Financial_Notes!K102</f>
        <v>0</v>
      </c>
      <c r="M17" s="8">
        <f>Financial_Notes!L96-Financial_Notes!L102</f>
        <v>0</v>
      </c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2.5" customHeight="1">
      <c r="A18" s="4"/>
      <c r="B18" s="6" t="s">
        <v>41</v>
      </c>
      <c r="C18" s="6"/>
      <c r="D18" s="6"/>
      <c r="E18" s="8" t="str">
        <f>Financial_Notes!D97</f>
        <v/>
      </c>
      <c r="F18" s="8" t="str">
        <f>Financial_Notes!E97</f>
        <v/>
      </c>
      <c r="G18" s="8" t="str">
        <f>Financial_Notes!F97</f>
        <v/>
      </c>
      <c r="H18" s="8" t="str">
        <f>Financial_Notes!G97</f>
        <v/>
      </c>
      <c r="I18" s="8" t="str">
        <f>Financial_Notes!H97</f>
        <v/>
      </c>
      <c r="J18" s="8" t="str">
        <f>Financial_Notes!I97</f>
        <v/>
      </c>
      <c r="K18" s="8" t="str">
        <f>Financial_Notes!J97</f>
        <v/>
      </c>
      <c r="L18" s="8" t="str">
        <f>Financial_Notes!K97</f>
        <v/>
      </c>
      <c r="M18" s="8" t="str">
        <f>Financial_Notes!L97</f>
        <v/>
      </c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2.5" customHeight="1">
      <c r="A19" s="4"/>
      <c r="B19" s="10" t="s">
        <v>42</v>
      </c>
      <c r="C19" s="10"/>
      <c r="D19" s="10"/>
      <c r="E19" s="12">
        <f t="shared" ref="E19:M19" si="5">SUM(E14:E18)</f>
        <v>0</v>
      </c>
      <c r="F19" s="12">
        <f t="shared" si="5"/>
        <v>0</v>
      </c>
      <c r="G19" s="12">
        <f t="shared" si="5"/>
        <v>0</v>
      </c>
      <c r="H19" s="12">
        <f t="shared" si="5"/>
        <v>0</v>
      </c>
      <c r="I19" s="12">
        <f t="shared" si="5"/>
        <v>0</v>
      </c>
      <c r="J19" s="12">
        <f t="shared" si="5"/>
        <v>0</v>
      </c>
      <c r="K19" s="12">
        <f t="shared" si="5"/>
        <v>0</v>
      </c>
      <c r="L19" s="12">
        <f t="shared" si="5"/>
        <v>0</v>
      </c>
      <c r="M19" s="12">
        <f t="shared" si="5"/>
        <v>0</v>
      </c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2.5" customHeight="1">
      <c r="A20" s="4"/>
      <c r="B20" s="16" t="s">
        <v>43</v>
      </c>
      <c r="C20" s="16"/>
      <c r="D20" s="16"/>
      <c r="E20" s="18">
        <f t="shared" ref="E20:M20" si="6">E11+E19</f>
        <v>0</v>
      </c>
      <c r="F20" s="18">
        <f t="shared" si="6"/>
        <v>0</v>
      </c>
      <c r="G20" s="18">
        <f t="shared" si="6"/>
        <v>0</v>
      </c>
      <c r="H20" s="18">
        <f t="shared" si="6"/>
        <v>0</v>
      </c>
      <c r="I20" s="18">
        <f t="shared" si="6"/>
        <v>0</v>
      </c>
      <c r="J20" s="18">
        <f t="shared" si="6"/>
        <v>0</v>
      </c>
      <c r="K20" s="18">
        <f t="shared" si="6"/>
        <v>0</v>
      </c>
      <c r="L20" s="18">
        <f t="shared" si="6"/>
        <v>0</v>
      </c>
      <c r="M20" s="18">
        <f t="shared" si="6"/>
        <v>0</v>
      </c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2.5" customHeight="1">
      <c r="A21" s="4"/>
      <c r="B21" s="5"/>
      <c r="C21" s="6"/>
      <c r="D21" s="6"/>
      <c r="E21" s="8"/>
      <c r="F21" s="8"/>
      <c r="G21" s="8"/>
      <c r="H21" s="8"/>
      <c r="I21" s="6"/>
      <c r="J21" s="6"/>
      <c r="K21" s="6"/>
      <c r="L21" s="6"/>
      <c r="M21" s="6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2.5" customHeight="1">
      <c r="A22" s="4"/>
      <c r="B22" s="5" t="s">
        <v>44</v>
      </c>
      <c r="C22" s="6"/>
      <c r="D22" s="6"/>
      <c r="E22" s="8"/>
      <c r="F22" s="8"/>
      <c r="G22" s="8"/>
      <c r="H22" s="8"/>
      <c r="I22" s="6"/>
      <c r="J22" s="6"/>
      <c r="K22" s="6"/>
      <c r="L22" s="6"/>
      <c r="M22" s="6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2.5" customHeight="1">
      <c r="A23" s="4"/>
      <c r="B23" s="6" t="s">
        <v>45</v>
      </c>
      <c r="C23" s="6">
        <v>17.0</v>
      </c>
      <c r="D23" s="6"/>
      <c r="E23" s="8" t="str">
        <f>Financial_Notes!D108</f>
        <v/>
      </c>
      <c r="F23" s="8" t="str">
        <f>Financial_Notes!E108</f>
        <v/>
      </c>
      <c r="G23" s="8" t="str">
        <f>Financial_Notes!F108</f>
        <v/>
      </c>
      <c r="H23" s="8" t="str">
        <f>Financial_Notes!G108</f>
        <v/>
      </c>
      <c r="I23" s="8" t="str">
        <f>Financial_Notes!H108</f>
        <v/>
      </c>
      <c r="J23" s="8" t="str">
        <f>Financial_Notes!I108</f>
        <v/>
      </c>
      <c r="K23" s="8" t="str">
        <f>Financial_Notes!J108</f>
        <v/>
      </c>
      <c r="L23" s="8" t="str">
        <f>Financial_Notes!K108</f>
        <v/>
      </c>
      <c r="M23" s="8" t="str">
        <f>Financial_Notes!L108</f>
        <v/>
      </c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2.5" customHeight="1">
      <c r="A24" s="4"/>
      <c r="B24" s="6" t="s">
        <v>46</v>
      </c>
      <c r="C24" s="6">
        <v>18.0</v>
      </c>
      <c r="D24" s="6"/>
      <c r="E24" s="8" t="str">
        <f>Financial_Notes!D114</f>
        <v/>
      </c>
      <c r="F24" s="8">
        <f>Financial_Notes!E114</f>
        <v>0</v>
      </c>
      <c r="G24" s="8">
        <f>Financial_Notes!F114</f>
        <v>0</v>
      </c>
      <c r="H24" s="8">
        <f>Financial_Notes!G114</f>
        <v>0</v>
      </c>
      <c r="I24" s="8">
        <f>Financial_Notes!H114</f>
        <v>0</v>
      </c>
      <c r="J24" s="8">
        <f>Financial_Notes!I114</f>
        <v>0</v>
      </c>
      <c r="K24" s="8">
        <f>Financial_Notes!J114</f>
        <v>0</v>
      </c>
      <c r="L24" s="8">
        <f>Financial_Notes!K114</f>
        <v>0</v>
      </c>
      <c r="M24" s="8">
        <f>Financial_Notes!L114</f>
        <v>0</v>
      </c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2.5" customHeight="1">
      <c r="A25" s="4"/>
      <c r="B25" s="6" t="s">
        <v>47</v>
      </c>
      <c r="C25" s="6"/>
      <c r="D25" s="6"/>
      <c r="E25" s="8">
        <f>'Statement_of_Profit&amp;Loss'!E27</f>
        <v>0</v>
      </c>
      <c r="F25" s="8">
        <f>'Statement_of_Profit&amp;Loss'!F27</f>
        <v>0</v>
      </c>
      <c r="G25" s="8">
        <f>'Statement_of_Profit&amp;Loss'!G27</f>
        <v>0</v>
      </c>
      <c r="H25" s="8">
        <f>'Statement_of_Profit&amp;Loss'!H27</f>
        <v>0</v>
      </c>
      <c r="I25" s="8">
        <f>'Statement_of_Profit&amp;Loss'!I27</f>
        <v>0</v>
      </c>
      <c r="J25" s="8">
        <f>'Statement_of_Profit&amp;Loss'!J27</f>
        <v>0</v>
      </c>
      <c r="K25" s="8">
        <f>'Statement_of_Profit&amp;Loss'!K27</f>
        <v>0</v>
      </c>
      <c r="L25" s="8">
        <f>'Statement_of_Profit&amp;Loss'!L27</f>
        <v>0</v>
      </c>
      <c r="M25" s="8">
        <f>'Statement_of_Profit&amp;Loss'!M27</f>
        <v>0</v>
      </c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2.5" customHeight="1">
      <c r="A26" s="4"/>
      <c r="B26" s="11" t="s">
        <v>48</v>
      </c>
      <c r="C26" s="11"/>
      <c r="D26" s="11"/>
      <c r="E26" s="21">
        <f t="shared" ref="E26:M26" si="7">SUM(E23:E25)</f>
        <v>0</v>
      </c>
      <c r="F26" s="21">
        <f t="shared" si="7"/>
        <v>0</v>
      </c>
      <c r="G26" s="21">
        <f t="shared" si="7"/>
        <v>0</v>
      </c>
      <c r="H26" s="21">
        <f t="shared" si="7"/>
        <v>0</v>
      </c>
      <c r="I26" s="21">
        <f t="shared" si="7"/>
        <v>0</v>
      </c>
      <c r="J26" s="21">
        <f t="shared" si="7"/>
        <v>0</v>
      </c>
      <c r="K26" s="21">
        <f t="shared" si="7"/>
        <v>0</v>
      </c>
      <c r="L26" s="21">
        <f t="shared" si="7"/>
        <v>0</v>
      </c>
      <c r="M26" s="21">
        <f t="shared" si="7"/>
        <v>0</v>
      </c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B27" s="22" t="s">
        <v>49</v>
      </c>
      <c r="C27" s="23"/>
      <c r="D27" s="23"/>
      <c r="E27" s="24">
        <f t="shared" ref="E27:M27" si="8">E26-E20</f>
        <v>0</v>
      </c>
      <c r="F27" s="24">
        <f t="shared" si="8"/>
        <v>0</v>
      </c>
      <c r="G27" s="24">
        <f t="shared" si="8"/>
        <v>0</v>
      </c>
      <c r="H27" s="24">
        <f t="shared" si="8"/>
        <v>0</v>
      </c>
      <c r="I27" s="24">
        <f t="shared" si="8"/>
        <v>0</v>
      </c>
      <c r="J27" s="24">
        <f t="shared" si="8"/>
        <v>0</v>
      </c>
      <c r="K27" s="24">
        <f t="shared" si="8"/>
        <v>0</v>
      </c>
      <c r="L27" s="24">
        <f t="shared" si="8"/>
        <v>0</v>
      </c>
      <c r="M27" s="24">
        <f t="shared" si="8"/>
        <v>0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25" right="0.25" top="0.75"/>
  <pageSetup fitToHeight="0" paperSize="9" cellComments="atEnd" orientation="landscape" pageOrder="overThenDown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1" max="1" width="12.63"/>
    <col customWidth="1" min="2" max="2" width="54.75"/>
    <col customWidth="1" min="3" max="3" width="10.5"/>
    <col customWidth="1" min="4" max="4" width="10.13"/>
    <col customWidth="1" min="5" max="5" width="14.13"/>
    <col customWidth="1" min="6" max="6" width="12.63"/>
    <col customWidth="1" min="11" max="11" width="15.0"/>
    <col customWidth="1" min="12" max="12" width="15.25"/>
    <col customWidth="1" min="13" max="13" width="15.38"/>
  </cols>
  <sheetData>
    <row r="1" ht="15.75" customHeight="1"/>
    <row r="2" ht="15.75" customHeight="1">
      <c r="B2" s="1" t="s">
        <v>0</v>
      </c>
      <c r="E2" s="2">
        <v>45694.0</v>
      </c>
      <c r="F2" s="2">
        <f t="shared" ref="F2:M2" si="1">E3+1</f>
        <v>45717</v>
      </c>
      <c r="G2" s="2">
        <f t="shared" si="1"/>
        <v>45748</v>
      </c>
      <c r="H2" s="2">
        <f t="shared" si="1"/>
        <v>45778</v>
      </c>
      <c r="I2" s="2">
        <f t="shared" si="1"/>
        <v>45809</v>
      </c>
      <c r="J2" s="2">
        <f t="shared" si="1"/>
        <v>45839</v>
      </c>
      <c r="K2" s="2">
        <f t="shared" si="1"/>
        <v>45870</v>
      </c>
      <c r="L2" s="2">
        <f t="shared" si="1"/>
        <v>45901</v>
      </c>
      <c r="M2" s="2">
        <f t="shared" si="1"/>
        <v>45931</v>
      </c>
    </row>
    <row r="3" ht="15.75" customHeight="1">
      <c r="B3" s="1" t="s">
        <v>1</v>
      </c>
      <c r="C3" s="1"/>
      <c r="E3" s="3">
        <f t="shared" ref="E3:M3" si="2">EOMONTH(E2,0)</f>
        <v>45716</v>
      </c>
      <c r="F3" s="3">
        <f t="shared" si="2"/>
        <v>45747</v>
      </c>
      <c r="G3" s="3">
        <f t="shared" si="2"/>
        <v>45777</v>
      </c>
      <c r="H3" s="3">
        <f t="shared" si="2"/>
        <v>45808</v>
      </c>
      <c r="I3" s="3">
        <f t="shared" si="2"/>
        <v>45838</v>
      </c>
      <c r="J3" s="3">
        <f t="shared" si="2"/>
        <v>45869</v>
      </c>
      <c r="K3" s="3">
        <f t="shared" si="2"/>
        <v>45900</v>
      </c>
      <c r="L3" s="3">
        <f t="shared" si="2"/>
        <v>45930</v>
      </c>
      <c r="M3" s="3">
        <f t="shared" si="2"/>
        <v>45961</v>
      </c>
    </row>
    <row r="4" ht="22.5" customHeight="1">
      <c r="A4" s="4"/>
      <c r="B4" s="5" t="s">
        <v>50</v>
      </c>
      <c r="C4" s="5" t="s">
        <v>3</v>
      </c>
      <c r="D4" s="5"/>
      <c r="E4" s="7" t="str">
        <f t="shared" ref="E4:M4" si="3">TEXT(E3,"MMMM-YYY")</f>
        <v>February-2025</v>
      </c>
      <c r="F4" s="7" t="str">
        <f t="shared" si="3"/>
        <v>March-2025</v>
      </c>
      <c r="G4" s="7" t="str">
        <f t="shared" si="3"/>
        <v>April-2025</v>
      </c>
      <c r="H4" s="7" t="str">
        <f t="shared" si="3"/>
        <v>May-2025</v>
      </c>
      <c r="I4" s="7" t="str">
        <f t="shared" si="3"/>
        <v>June-2025</v>
      </c>
      <c r="J4" s="7" t="str">
        <f t="shared" si="3"/>
        <v>July-2025</v>
      </c>
      <c r="K4" s="7" t="str">
        <f t="shared" si="3"/>
        <v>August-2025</v>
      </c>
      <c r="L4" s="7" t="str">
        <f t="shared" si="3"/>
        <v>September-2025</v>
      </c>
      <c r="M4" s="7" t="str">
        <f t="shared" si="3"/>
        <v>October-2025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2.5" customHeight="1">
      <c r="A5" s="4"/>
      <c r="B5" s="5" t="s">
        <v>51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2.5" customHeight="1">
      <c r="A6" s="4"/>
      <c r="B6" s="6" t="s">
        <v>52</v>
      </c>
      <c r="C6" s="6"/>
      <c r="D6" s="6"/>
      <c r="E6" s="25">
        <f>'Statement_of_Profit&amp;Loss'!E27</f>
        <v>0</v>
      </c>
      <c r="F6" s="25">
        <f>'Statement_of_Profit&amp;Loss'!F27</f>
        <v>0</v>
      </c>
      <c r="G6" s="25">
        <f>'Statement_of_Profit&amp;Loss'!G27</f>
        <v>0</v>
      </c>
      <c r="H6" s="25">
        <f>'Statement_of_Profit&amp;Loss'!H27</f>
        <v>0</v>
      </c>
      <c r="I6" s="25">
        <f>'Statement_of_Profit&amp;Loss'!I27</f>
        <v>0</v>
      </c>
      <c r="J6" s="25">
        <f>'Statement_of_Profit&amp;Loss'!J27</f>
        <v>0</v>
      </c>
      <c r="K6" s="25">
        <f>'Statement_of_Profit&amp;Loss'!K27</f>
        <v>0</v>
      </c>
      <c r="L6" s="25">
        <f>'Statement_of_Profit&amp;Loss'!L27</f>
        <v>0</v>
      </c>
      <c r="M6" s="25">
        <f>'Statement_of_Profit&amp;Loss'!M27</f>
        <v>0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2.5" customHeight="1">
      <c r="A7" s="4"/>
      <c r="B7" s="6" t="s">
        <v>53</v>
      </c>
      <c r="C7" s="6"/>
      <c r="D7" s="6"/>
      <c r="E7" s="25"/>
      <c r="F7" s="25"/>
      <c r="G7" s="25"/>
      <c r="H7" s="25"/>
      <c r="I7" s="25"/>
      <c r="J7" s="25"/>
      <c r="K7" s="25"/>
      <c r="L7" s="25"/>
      <c r="M7" s="25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2.5" customHeight="1">
      <c r="A8" s="4"/>
      <c r="B8" s="6" t="s">
        <v>54</v>
      </c>
      <c r="C8" s="6"/>
      <c r="D8" s="6"/>
      <c r="E8" s="25">
        <f>'Statement_of_Profit&amp;Loss'!E22</f>
        <v>0</v>
      </c>
      <c r="F8" s="25" t="str">
        <f>'Statement_of_Profit&amp;Loss'!F22</f>
        <v>#REF!</v>
      </c>
      <c r="G8" s="25" t="str">
        <f>'Statement_of_Profit&amp;Loss'!G22</f>
        <v>#REF!</v>
      </c>
      <c r="H8" s="25" t="str">
        <f>'Statement_of_Profit&amp;Loss'!H22</f>
        <v>#REF!</v>
      </c>
      <c r="I8" s="25" t="str">
        <f>'Statement_of_Profit&amp;Loss'!I22</f>
        <v>#REF!</v>
      </c>
      <c r="J8" s="25" t="str">
        <f>'Statement_of_Profit&amp;Loss'!J22</f>
        <v>#REF!</v>
      </c>
      <c r="K8" s="25" t="str">
        <f>'Statement_of_Profit&amp;Loss'!K22</f>
        <v>#REF!</v>
      </c>
      <c r="L8" s="25" t="str">
        <f>'Statement_of_Profit&amp;Loss'!L22</f>
        <v>#REF!</v>
      </c>
      <c r="M8" s="25" t="str">
        <f>'Statement_of_Profit&amp;Loss'!M22</f>
        <v>#REF!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2.5" customHeight="1">
      <c r="A9" s="4"/>
      <c r="B9" s="6" t="s">
        <v>55</v>
      </c>
      <c r="C9" s="6"/>
      <c r="D9" s="6"/>
      <c r="E9" s="25"/>
      <c r="F9" s="25"/>
      <c r="G9" s="25"/>
      <c r="H9" s="25"/>
      <c r="I9" s="25"/>
      <c r="J9" s="25"/>
      <c r="K9" s="25"/>
      <c r="L9" s="25"/>
      <c r="M9" s="25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2.5" customHeight="1">
      <c r="A10" s="4"/>
      <c r="B10" s="6" t="s">
        <v>56</v>
      </c>
      <c r="C10" s="6"/>
      <c r="D10" s="6"/>
      <c r="E10" s="25" t="str">
        <f>Financial_Notes!D70</f>
        <v/>
      </c>
      <c r="F10" s="25" t="str">
        <f>Financial_Notes!E70</f>
        <v/>
      </c>
      <c r="G10" s="25" t="str">
        <f>Financial_Notes!F70</f>
        <v/>
      </c>
      <c r="H10" s="25" t="str">
        <f>Financial_Notes!G70</f>
        <v/>
      </c>
      <c r="I10" s="25" t="str">
        <f>Financial_Notes!H70</f>
        <v/>
      </c>
      <c r="J10" s="25" t="str">
        <f>Financial_Notes!I70</f>
        <v/>
      </c>
      <c r="K10" s="25" t="str">
        <f>Financial_Notes!J70</f>
        <v/>
      </c>
      <c r="L10" s="25" t="str">
        <f>Financial_Notes!K70</f>
        <v/>
      </c>
      <c r="M10" s="25" t="str">
        <f>Financial_Notes!L70</f>
        <v/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2.5" customHeight="1">
      <c r="A11" s="4"/>
      <c r="B11" s="6" t="s">
        <v>57</v>
      </c>
      <c r="C11" s="6"/>
      <c r="D11" s="6"/>
      <c r="E11" s="25">
        <f>47966123.44-Financial_Notes!D78</f>
        <v>47966123.44</v>
      </c>
      <c r="F11" s="25">
        <f>'Statement_of_Financial Position'!E8-'Statement_of_Financial Position'!F8</f>
        <v>0</v>
      </c>
      <c r="G11" s="25">
        <f>'Statement_of_Financial Position'!F8-'Statement_of_Financial Position'!G8</f>
        <v>0</v>
      </c>
      <c r="H11" s="25">
        <f>'Statement_of_Financial Position'!G8-'Statement_of_Financial Position'!H8</f>
        <v>0</v>
      </c>
      <c r="I11" s="25">
        <f>'Statement_of_Financial Position'!H8-'Statement_of_Financial Position'!I8</f>
        <v>0</v>
      </c>
      <c r="J11" s="25">
        <f>'Statement_of_Financial Position'!I8-'Statement_of_Financial Position'!J8</f>
        <v>0</v>
      </c>
      <c r="K11" s="25">
        <f>'Statement_of_Financial Position'!J8-'Statement_of_Financial Position'!K8</f>
        <v>0</v>
      </c>
      <c r="L11" s="25">
        <f>'Statement_of_Financial Position'!K8-'Statement_of_Financial Position'!L8</f>
        <v>0</v>
      </c>
      <c r="M11" s="25">
        <f>'Statement_of_Financial Position'!L8-'Statement_of_Financial Position'!M8</f>
        <v>0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2.5" customHeight="1">
      <c r="A12" s="4"/>
      <c r="B12" s="6" t="s">
        <v>58</v>
      </c>
      <c r="C12" s="6"/>
      <c r="D12" s="6"/>
      <c r="E12" s="25">
        <v>0.0</v>
      </c>
      <c r="F12" s="25">
        <f>'Statement_of_Financial Position'!F9-'Statement_of_Financial Position'!E9</f>
        <v>0</v>
      </c>
      <c r="G12" s="25">
        <f>'Statement_of_Financial Position'!G9-'Statement_of_Financial Position'!F9</f>
        <v>0</v>
      </c>
      <c r="H12" s="25">
        <f>'Statement_of_Financial Position'!H9-'Statement_of_Financial Position'!G9</f>
        <v>0</v>
      </c>
      <c r="I12" s="25">
        <f>'Statement_of_Financial Position'!I9-'Statement_of_Financial Position'!H9</f>
        <v>0</v>
      </c>
      <c r="J12" s="25">
        <f>'Statement_of_Financial Position'!J9-'Statement_of_Financial Position'!I9</f>
        <v>0</v>
      </c>
      <c r="K12" s="25">
        <f>-('Statement_of_Financial Position'!K9-'Statement_of_Financial Position'!J9)</f>
        <v>0</v>
      </c>
      <c r="L12" s="25">
        <f>-('Statement_of_Financial Position'!L9-'Statement_of_Financial Position'!K9)</f>
        <v>0</v>
      </c>
      <c r="M12" s="25">
        <f>-('Statement_of_Financial Position'!M9-'Statement_of_Financial Position'!L9)</f>
        <v>0</v>
      </c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4"/>
      <c r="B13" s="26" t="s">
        <v>59</v>
      </c>
      <c r="C13" s="6"/>
      <c r="D13" s="6"/>
      <c r="E13" s="25">
        <v>0.0</v>
      </c>
      <c r="F13" s="25">
        <f>-('Statement_of_Financial Position'!F10-'Statement_of_Financial Position'!E10)</f>
        <v>0</v>
      </c>
      <c r="G13" s="25">
        <f>-('Statement_of_Financial Position'!G10-'Statement_of_Financial Position'!F10)</f>
        <v>0</v>
      </c>
      <c r="H13" s="25">
        <f>-('Statement_of_Financial Position'!H10-'Statement_of_Financial Position'!G10)</f>
        <v>0</v>
      </c>
      <c r="I13" s="25">
        <f>-('Statement_of_Financial Position'!I10-'Statement_of_Financial Position'!H10)</f>
        <v>0</v>
      </c>
      <c r="J13" s="25">
        <f>-('Statement_of_Financial Position'!J10-'Statement_of_Financial Position'!I10)</f>
        <v>0</v>
      </c>
      <c r="K13" s="25">
        <f>-('Statement_of_Financial Position'!K10-'Statement_of_Financial Position'!J10)</f>
        <v>0</v>
      </c>
      <c r="L13" s="25">
        <f>-('Statement_of_Financial Position'!L10-'Statement_of_Financial Position'!K10)</f>
        <v>0</v>
      </c>
      <c r="M13" s="25">
        <f>-('Statement_of_Financial Position'!M10-'Statement_of_Financial Position'!L10)</f>
        <v>0</v>
      </c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4"/>
      <c r="B14" s="27" t="s">
        <v>60</v>
      </c>
      <c r="C14" s="10"/>
      <c r="D14" s="10"/>
      <c r="E14" s="28">
        <f t="shared" ref="E14:M14" si="4">sum(E6:E13)</f>
        <v>47966123.44</v>
      </c>
      <c r="F14" s="28" t="str">
        <f t="shared" si="4"/>
        <v>#REF!</v>
      </c>
      <c r="G14" s="28" t="str">
        <f t="shared" si="4"/>
        <v>#REF!</v>
      </c>
      <c r="H14" s="28" t="str">
        <f t="shared" si="4"/>
        <v>#REF!</v>
      </c>
      <c r="I14" s="28" t="str">
        <f t="shared" si="4"/>
        <v>#REF!</v>
      </c>
      <c r="J14" s="28" t="str">
        <f t="shared" si="4"/>
        <v>#REF!</v>
      </c>
      <c r="K14" s="28" t="str">
        <f t="shared" si="4"/>
        <v>#REF!</v>
      </c>
      <c r="L14" s="28" t="str">
        <f t="shared" si="4"/>
        <v>#REF!</v>
      </c>
      <c r="M14" s="28" t="str">
        <f t="shared" si="4"/>
        <v>#REF!</v>
      </c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2.5" customHeight="1">
      <c r="A15" s="4"/>
      <c r="B15" s="6"/>
      <c r="C15" s="6"/>
      <c r="D15" s="6"/>
      <c r="E15" s="25"/>
      <c r="F15" s="25"/>
      <c r="G15" s="25"/>
      <c r="H15" s="25"/>
      <c r="I15" s="25"/>
      <c r="J15" s="25"/>
      <c r="K15" s="25"/>
      <c r="L15" s="25"/>
      <c r="M15" s="25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2.5" customHeight="1">
      <c r="A16" s="4"/>
      <c r="B16" s="5" t="s">
        <v>61</v>
      </c>
      <c r="C16" s="6"/>
      <c r="D16" s="6"/>
      <c r="E16" s="25"/>
      <c r="F16" s="25"/>
      <c r="G16" s="25"/>
      <c r="H16" s="25"/>
      <c r="I16" s="25"/>
      <c r="J16" s="25"/>
      <c r="K16" s="25"/>
      <c r="L16" s="25"/>
      <c r="M16" s="25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75" customHeight="1">
      <c r="A17" s="4"/>
      <c r="B17" s="26" t="s">
        <v>62</v>
      </c>
      <c r="C17" s="6"/>
      <c r="D17" s="6"/>
      <c r="E17" s="25">
        <f>-Financial_Notes!D97</f>
        <v>0</v>
      </c>
      <c r="F17" s="25">
        <v>-3.0272E7</v>
      </c>
      <c r="G17" s="25">
        <v>-13500.0</v>
      </c>
      <c r="H17" s="25">
        <v>-4.0E7</v>
      </c>
      <c r="I17" s="25">
        <v>-5.0E7</v>
      </c>
      <c r="J17" s="25">
        <v>-1.30033E8</v>
      </c>
      <c r="K17" s="25">
        <v>-640000.0</v>
      </c>
      <c r="L17" s="25">
        <v>0.0</v>
      </c>
      <c r="M17" s="25">
        <v>-5.0945E7</v>
      </c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2.5" customHeight="1">
      <c r="A18" s="4"/>
      <c r="B18" s="6" t="s">
        <v>63</v>
      </c>
      <c r="C18" s="6"/>
      <c r="D18" s="6"/>
      <c r="E18" s="25">
        <f>219000000-Financial_Notes!D92</f>
        <v>219000000</v>
      </c>
      <c r="F18" s="25">
        <v>0.0</v>
      </c>
      <c r="G18" s="25">
        <v>0.0</v>
      </c>
      <c r="H18" s="25">
        <v>0.0</v>
      </c>
      <c r="I18" s="25">
        <v>0.0</v>
      </c>
      <c r="J18" s="25">
        <v>0.0</v>
      </c>
      <c r="K18" s="25">
        <v>0.0</v>
      </c>
      <c r="L18" s="25">
        <v>0.0</v>
      </c>
      <c r="M18" s="25">
        <v>0.0</v>
      </c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2.5" customHeight="1">
      <c r="A19" s="4"/>
      <c r="B19" s="6" t="s">
        <v>64</v>
      </c>
      <c r="C19" s="6"/>
      <c r="D19" s="6"/>
      <c r="E19" s="25">
        <v>-6856000.0</v>
      </c>
      <c r="F19" s="25">
        <v>-1520000.0</v>
      </c>
      <c r="G19" s="25">
        <v>0.0</v>
      </c>
      <c r="H19" s="25">
        <v>0.0</v>
      </c>
      <c r="I19" s="25">
        <v>0.0</v>
      </c>
      <c r="J19" s="25">
        <v>-1.60025E8</v>
      </c>
      <c r="K19" s="25">
        <v>0.0</v>
      </c>
      <c r="L19" s="25">
        <v>-2054300.0</v>
      </c>
      <c r="M19" s="25">
        <v>-128000.0</v>
      </c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5.25" customHeight="1">
      <c r="A20" s="4"/>
      <c r="B20" s="27" t="s">
        <v>65</v>
      </c>
      <c r="C20" s="10"/>
      <c r="D20" s="10"/>
      <c r="E20" s="28">
        <f t="shared" ref="E20:M20" si="5">SUM(E17:E19)</f>
        <v>212144000</v>
      </c>
      <c r="F20" s="28">
        <f t="shared" si="5"/>
        <v>-31792000</v>
      </c>
      <c r="G20" s="28">
        <f t="shared" si="5"/>
        <v>-13500</v>
      </c>
      <c r="H20" s="28">
        <f t="shared" si="5"/>
        <v>-40000000</v>
      </c>
      <c r="I20" s="28">
        <f t="shared" si="5"/>
        <v>-50000000</v>
      </c>
      <c r="J20" s="28">
        <f t="shared" si="5"/>
        <v>-290058000</v>
      </c>
      <c r="K20" s="28">
        <f t="shared" si="5"/>
        <v>-640000</v>
      </c>
      <c r="L20" s="28">
        <f t="shared" si="5"/>
        <v>-2054300</v>
      </c>
      <c r="M20" s="28">
        <f t="shared" si="5"/>
        <v>-51073000</v>
      </c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2.5" customHeight="1">
      <c r="A21" s="4"/>
      <c r="B21" s="6"/>
      <c r="C21" s="6"/>
      <c r="D21" s="6"/>
      <c r="E21" s="25"/>
      <c r="F21" s="25"/>
      <c r="G21" s="25"/>
      <c r="H21" s="25"/>
      <c r="I21" s="25"/>
      <c r="J21" s="25"/>
      <c r="K21" s="25"/>
      <c r="L21" s="25"/>
      <c r="M21" s="25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2.5" customHeight="1">
      <c r="A22" s="4"/>
      <c r="B22" s="5" t="s">
        <v>66</v>
      </c>
      <c r="C22" s="6"/>
      <c r="D22" s="6"/>
      <c r="E22" s="25"/>
      <c r="F22" s="25"/>
      <c r="G22" s="25"/>
      <c r="H22" s="25"/>
      <c r="I22" s="25"/>
      <c r="J22" s="25"/>
      <c r="K22" s="25"/>
      <c r="L22" s="25"/>
      <c r="M22" s="25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2.5" customHeight="1">
      <c r="A23" s="4"/>
      <c r="B23" s="6" t="s">
        <v>67</v>
      </c>
      <c r="C23" s="6"/>
      <c r="D23" s="6"/>
      <c r="E23" s="25">
        <v>4.0E8</v>
      </c>
      <c r="F23" s="25">
        <v>0.0</v>
      </c>
      <c r="G23" s="25">
        <v>0.0</v>
      </c>
      <c r="H23" s="25">
        <v>0.0</v>
      </c>
      <c r="I23" s="25">
        <v>1.5E8</v>
      </c>
      <c r="J23" s="25">
        <v>4.5E8</v>
      </c>
      <c r="K23" s="25">
        <v>0.0</v>
      </c>
      <c r="L23" s="25">
        <v>0.0</v>
      </c>
      <c r="M23" s="25">
        <v>4.5E8</v>
      </c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36.0" customHeight="1">
      <c r="A24" s="4"/>
      <c r="B24" s="27" t="s">
        <v>68</v>
      </c>
      <c r="C24" s="10"/>
      <c r="D24" s="10"/>
      <c r="E24" s="28">
        <f t="shared" ref="E24:M24" si="6">E23</f>
        <v>400000000</v>
      </c>
      <c r="F24" s="28">
        <f t="shared" si="6"/>
        <v>0</v>
      </c>
      <c r="G24" s="28">
        <f t="shared" si="6"/>
        <v>0</v>
      </c>
      <c r="H24" s="28">
        <f t="shared" si="6"/>
        <v>0</v>
      </c>
      <c r="I24" s="28">
        <f t="shared" si="6"/>
        <v>150000000</v>
      </c>
      <c r="J24" s="28">
        <f t="shared" si="6"/>
        <v>450000000</v>
      </c>
      <c r="K24" s="28">
        <f t="shared" si="6"/>
        <v>0</v>
      </c>
      <c r="L24" s="28">
        <f t="shared" si="6"/>
        <v>0</v>
      </c>
      <c r="M24" s="28">
        <f t="shared" si="6"/>
        <v>450000000</v>
      </c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2.5" customHeight="1">
      <c r="A25" s="4"/>
      <c r="B25" s="6"/>
      <c r="C25" s="6"/>
      <c r="D25" s="6"/>
      <c r="E25" s="25"/>
      <c r="F25" s="25"/>
      <c r="G25" s="25"/>
      <c r="H25" s="25"/>
      <c r="I25" s="25"/>
      <c r="J25" s="25"/>
      <c r="K25" s="25"/>
      <c r="L25" s="25"/>
      <c r="M25" s="25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2.5" customHeight="1">
      <c r="A26" s="4"/>
      <c r="B26" s="6" t="s">
        <v>69</v>
      </c>
      <c r="C26" s="6"/>
      <c r="D26" s="6"/>
      <c r="E26" s="25">
        <f t="shared" ref="E26:M26" si="7">E14+E20+E24</f>
        <v>660110123.4</v>
      </c>
      <c r="F26" s="25" t="str">
        <f t="shared" si="7"/>
        <v>#REF!</v>
      </c>
      <c r="G26" s="25" t="str">
        <f t="shared" si="7"/>
        <v>#REF!</v>
      </c>
      <c r="H26" s="25" t="str">
        <f t="shared" si="7"/>
        <v>#REF!</v>
      </c>
      <c r="I26" s="25" t="str">
        <f t="shared" si="7"/>
        <v>#REF!</v>
      </c>
      <c r="J26" s="25" t="str">
        <f t="shared" si="7"/>
        <v>#REF!</v>
      </c>
      <c r="K26" s="25" t="str">
        <f t="shared" si="7"/>
        <v>#REF!</v>
      </c>
      <c r="L26" s="25" t="str">
        <f t="shared" si="7"/>
        <v>#REF!</v>
      </c>
      <c r="M26" s="25" t="str">
        <f t="shared" si="7"/>
        <v>#REF!</v>
      </c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2.5" customHeight="1">
      <c r="A27" s="4"/>
      <c r="B27" s="6" t="s">
        <v>70</v>
      </c>
      <c r="C27" s="6"/>
      <c r="D27" s="6"/>
      <c r="E27" s="25">
        <v>0.0</v>
      </c>
      <c r="F27" s="25">
        <f t="shared" ref="F27:M27" si="8">E28</f>
        <v>660110123.4</v>
      </c>
      <c r="G27" s="25" t="str">
        <f t="shared" si="8"/>
        <v>#REF!</v>
      </c>
      <c r="H27" s="25" t="str">
        <f t="shared" si="8"/>
        <v>#REF!</v>
      </c>
      <c r="I27" s="25" t="str">
        <f t="shared" si="8"/>
        <v>#REF!</v>
      </c>
      <c r="J27" s="25" t="str">
        <f t="shared" si="8"/>
        <v>#REF!</v>
      </c>
      <c r="K27" s="25" t="str">
        <f t="shared" si="8"/>
        <v>#REF!</v>
      </c>
      <c r="L27" s="25" t="str">
        <f t="shared" si="8"/>
        <v>#REF!</v>
      </c>
      <c r="M27" s="25" t="str">
        <f t="shared" si="8"/>
        <v>#REF!</v>
      </c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2.5" customHeight="1">
      <c r="A28" s="4"/>
      <c r="B28" s="11" t="s">
        <v>71</v>
      </c>
      <c r="C28" s="11"/>
      <c r="D28" s="11"/>
      <c r="E28" s="29">
        <f t="shared" ref="E28:M28" si="9">E26+E27</f>
        <v>660110123.4</v>
      </c>
      <c r="F28" s="29" t="str">
        <f t="shared" si="9"/>
        <v>#REF!</v>
      </c>
      <c r="G28" s="29" t="str">
        <f t="shared" si="9"/>
        <v>#REF!</v>
      </c>
      <c r="H28" s="29" t="str">
        <f t="shared" si="9"/>
        <v>#REF!</v>
      </c>
      <c r="I28" s="29" t="str">
        <f t="shared" si="9"/>
        <v>#REF!</v>
      </c>
      <c r="J28" s="29" t="str">
        <f t="shared" si="9"/>
        <v>#REF!</v>
      </c>
      <c r="K28" s="29" t="str">
        <f t="shared" si="9"/>
        <v>#REF!</v>
      </c>
      <c r="L28" s="29" t="str">
        <f t="shared" si="9"/>
        <v>#REF!</v>
      </c>
      <c r="M28" s="29" t="str">
        <f t="shared" si="9"/>
        <v>#REF!</v>
      </c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B29" s="22" t="s">
        <v>72</v>
      </c>
      <c r="C29" s="23"/>
      <c r="D29" s="23"/>
      <c r="E29" s="30" t="b">
        <f>E28='Statement_of_Financial Position'!E6</f>
        <v>0</v>
      </c>
      <c r="F29" s="30" t="str">
        <f>F28='Statement_of_Financial Position'!F6</f>
        <v>#REF!</v>
      </c>
      <c r="G29" s="30" t="str">
        <f>G28='Statement_of_Financial Position'!G6</f>
        <v>#REF!</v>
      </c>
      <c r="H29" s="30" t="str">
        <f>H28='Statement_of_Financial Position'!H6</f>
        <v>#REF!</v>
      </c>
      <c r="I29" s="30" t="str">
        <f>I28='Statement_of_Financial Position'!I6</f>
        <v>#REF!</v>
      </c>
      <c r="J29" s="30" t="str">
        <f>J28='Statement_of_Financial Position'!J6</f>
        <v>#REF!</v>
      </c>
      <c r="K29" s="30" t="str">
        <f>K28='Statement_of_Financial Position'!K6</f>
        <v>#REF!</v>
      </c>
      <c r="L29" s="30" t="str">
        <f>L28='Statement_of_Financial Position'!L6</f>
        <v>#REF!</v>
      </c>
      <c r="M29" s="30" t="str">
        <f>M28='Statement_of_Financial Position'!M6</f>
        <v>#REF!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2" width="12.63"/>
    <col customWidth="1" min="3" max="3" width="46.5"/>
    <col customWidth="1" min="4" max="6" width="12.63"/>
    <col customWidth="1" min="10" max="10" width="13.75"/>
  </cols>
  <sheetData>
    <row r="1" ht="15.75" customHeight="1"/>
    <row r="2" ht="15.75" customHeight="1">
      <c r="B2" s="1" t="s">
        <v>73</v>
      </c>
    </row>
    <row r="3" ht="15.75" customHeight="1">
      <c r="B3" s="1">
        <v>1.0</v>
      </c>
      <c r="C3" s="31" t="s">
        <v>74</v>
      </c>
      <c r="D3" s="1"/>
    </row>
    <row r="4" ht="15.75" customHeight="1">
      <c r="C4" s="1" t="str">
        <f>IFERROR(__xludf.DUMMYFUNCTION("QUERY(IMPORTRANGE(""https://docs.google.com/spreadsheets/d/1cPJkZTbu617m80O_L5dMmofSU_pxmkDRV8wMXv-kDfI/edit?gid=0#gid=0"", ""Feb_2025!A7:F""),
""SELECT Col1, Col6 WHERE Col2 &gt;= 40000 AND Col2 &lt;= 49999 LABEL Col6'Feb_2025'"", 0)"),"#REF!")</f>
        <v>#REF!</v>
      </c>
      <c r="D4" s="1"/>
      <c r="E4" s="1" t="str">
        <f>IFERROR(__xludf.DUMMYFUNCTION("QUERY(IMPORTRANGE(""https://docs.google.com/spreadsheets/d/1cPJkZTbu617m80O_L5dMmofSU_pxmkDRV8wMXv-kDfI/edit?gid=0#gid=0"", ""Mar_2025!A7:F""),
""SELECT Col6 WHERE Col2 &gt;= 40000 AND Col2 &lt;= 49999 LABEL Col6'Mar_2025'"", 0)"),"#REF!")</f>
        <v>#REF!</v>
      </c>
      <c r="F4" s="1" t="str">
        <f>IFERROR(__xludf.DUMMYFUNCTION("QUERY(IMPORTRANGE(""https://docs.google.com/spreadsheets/d/1cPJkZTbu617m80O_L5dMmofSU_pxmkDRV8wMXv-kDfI/edit?gid=0#gid=0"", ""April_2025!A7:F""),
""SELECT Col6 WHERE Col2 &gt;= 40000 AND Col2 &lt;= 49999 LABEL Col6'April_2025'"", 0)"),"#REF!")</f>
        <v>#REF!</v>
      </c>
      <c r="G4" s="1" t="str">
        <f>IFERROR(__xludf.DUMMYFUNCTION("QUERY(IMPORTRANGE(""https://docs.google.com/spreadsheets/d/1cPJkZTbu617m80O_L5dMmofSU_pxmkDRV8wMXv-kDfI/edit?gid=0#gid=0"", ""May_2025!A7:F""),
""SELECT Col6 WHERE Col2 &gt;= 40000 AND Col2 &lt;= 49999 LABEL Col6'May_2025'"", 0)"),"#REF!")</f>
        <v>#REF!</v>
      </c>
      <c r="H4" s="1" t="str">
        <f>IFERROR(__xludf.DUMMYFUNCTION("QUERY(IMPORTRANGE(""https://docs.google.com/spreadsheets/d/1cPJkZTbu617m80O_L5dMmofSU_pxmkDRV8wMXv-kDfI/edit?gid=0#gid=0"", ""June_2025!A7:F""),
""SELECT Col6 WHERE Col2 &gt;= 40000 AND Col2 &lt;= 49999 LABEL Col6'June_2025'"", 0)"),"#REF!")</f>
        <v>#REF!</v>
      </c>
      <c r="I4" s="1" t="str">
        <f>IFERROR(__xludf.DUMMYFUNCTION("QUERY(IMPORTRANGE(""https://docs.google.com/spreadsheets/d/1cPJkZTbu617m80O_L5dMmofSU_pxmkDRV8wMXv-kDfI/edit?gid=0#gid=0"", ""July_2025!A7:F""),
""SELECT Col6 WHERE Col2 &gt;= 40000 AND Col2 &lt;= 49999 LABEL Col6'July_2025'"", 0)"),"#REF!")</f>
        <v>#REF!</v>
      </c>
      <c r="J4" s="1" t="str">
        <f>IFERROR(__xludf.DUMMYFUNCTION("QUERY(IMPORTRANGE(""https://docs.google.com/spreadsheets/d/1cPJkZTbu617m80O_L5dMmofSU_pxmkDRV8wMXv-kDfI/edit?gid=0#gid=0"", ""Aug_2025!A7:F""),
""SELECT Col6 WHERE Col2 &gt;= 40000 AND Col2 &lt;= 49999 LABEL Col6'Aug_2025'"", 0)"),"#REF!")</f>
        <v>#REF!</v>
      </c>
      <c r="K4" s="1" t="str">
        <f>IFERROR(__xludf.DUMMYFUNCTION("QUERY(IMPORTRANGE(""https://docs.google.com/spreadsheets/d/1cPJkZTbu617m80O_L5dMmofSU_pxmkDRV8wMXv-kDfI/edit?gid=0#gid=0"", ""Sep_2025!A7:F""),
""SELECT Col6 WHERE Col2 &gt;= 40000 AND Col2 &lt;= 49999 LABEL Col6'Sep_2025'"", 0)"),"#REF!")</f>
        <v>#REF!</v>
      </c>
      <c r="L4" s="1" t="str">
        <f>IFERROR(__xludf.DUMMYFUNCTION("QUERY(IMPORTRANGE(""https://docs.google.com/spreadsheets/d/1cPJkZTbu617m80O_L5dMmofSU_pxmkDRV8wMXv-kDfI/edit?gid=0#gid=0"", ""Oct_2025!A7:F""),
""SELECT Col6 WHERE Col2 &gt;= 40000 AND Col2 &lt;= 49999 LABEL Col6'Oct_2025'"", 0)"),"#REF!")</f>
        <v>#REF!</v>
      </c>
    </row>
    <row r="5" ht="15.75" customHeight="1">
      <c r="C5" s="1"/>
      <c r="D5" s="20"/>
      <c r="E5" s="20"/>
      <c r="F5" s="20"/>
      <c r="G5" s="20"/>
      <c r="H5" s="20"/>
      <c r="I5" s="20"/>
      <c r="J5" s="20"/>
      <c r="K5" s="20"/>
      <c r="L5" s="20"/>
    </row>
    <row r="6" ht="15.75" customHeight="1">
      <c r="C6" s="1"/>
      <c r="D6" s="20"/>
      <c r="E6" s="20"/>
      <c r="F6" s="20"/>
      <c r="G6" s="20"/>
      <c r="H6" s="20"/>
      <c r="I6" s="20"/>
      <c r="J6" s="20"/>
      <c r="K6" s="20"/>
      <c r="L6" s="20"/>
    </row>
    <row r="7" ht="15.75" customHeight="1">
      <c r="C7" s="32"/>
      <c r="D7" s="33">
        <f t="shared" ref="D7:L7" si="1">SUM(D5:D6)</f>
        <v>0</v>
      </c>
      <c r="E7" s="33">
        <f t="shared" si="1"/>
        <v>0</v>
      </c>
      <c r="F7" s="33">
        <f t="shared" si="1"/>
        <v>0</v>
      </c>
      <c r="G7" s="33">
        <f t="shared" si="1"/>
        <v>0</v>
      </c>
      <c r="H7" s="33">
        <f t="shared" si="1"/>
        <v>0</v>
      </c>
      <c r="I7" s="33">
        <f t="shared" si="1"/>
        <v>0</v>
      </c>
      <c r="J7" s="33">
        <f t="shared" si="1"/>
        <v>0</v>
      </c>
      <c r="K7" s="33">
        <f t="shared" si="1"/>
        <v>0</v>
      </c>
      <c r="L7" s="33">
        <f t="shared" si="1"/>
        <v>0</v>
      </c>
    </row>
    <row r="8" ht="15.75" customHeight="1">
      <c r="D8" s="20"/>
      <c r="K8" s="20"/>
    </row>
    <row r="9" ht="15.75" customHeight="1">
      <c r="D9" s="20"/>
    </row>
    <row r="10" ht="15.75" customHeight="1">
      <c r="B10" s="1">
        <v>2.0</v>
      </c>
      <c r="C10" s="31" t="s">
        <v>75</v>
      </c>
      <c r="D10" s="20"/>
    </row>
    <row r="11" ht="15.75" customHeight="1">
      <c r="C11" s="1" t="str">
        <f>IFERROR(__xludf.DUMMYFUNCTION("QUERY(IMPORTRANGE(""https://docs.google.com/spreadsheets/d/1cPJkZTbu617m80O_L5dMmofSU_pxmkDRV8wMXv-kDfI/edit?gid=0#gid=0"", ""Feb_2025!A7:F""),
""SELECT Col1, Col6 WHERE Col2 &gt;= 50000 AND Col2 &lt;= 59999 LABEL Col6'Feb_2025'"", 0)"),"#REF!")</f>
        <v>#REF!</v>
      </c>
      <c r="D11" s="20"/>
      <c r="E11" s="1" t="str">
        <f>IFERROR(__xludf.DUMMYFUNCTION("QUERY(IMPORTRANGE(""https://docs.google.com/spreadsheets/d/1cPJkZTbu617m80O_L5dMmofSU_pxmkDRV8wMXv-kDfI/edit?gid=0#gid=0"", ""Mar_2025!A7:F""),
""SELECT Col6 WHERE Col2 &gt;= 50000 AND Col2 &lt;= 59999 LABEL Col6'Mar_2025'"", 0)"),"#REF!")</f>
        <v>#REF!</v>
      </c>
      <c r="F11" s="1" t="str">
        <f>IFERROR(__xludf.DUMMYFUNCTION("QUERY(IMPORTRANGE(""https://docs.google.com/spreadsheets/d/1cPJkZTbu617m80O_L5dMmofSU_pxmkDRV8wMXv-kDfI/edit?gid=0#gid=0"", ""April_2025!A7:F""),
""SELECT Col6 WHERE Col2 &gt;= 50000 AND Col2 &lt;= 59999 LABEL Col6'April_2025'"", 0)"),"#REF!")</f>
        <v>#REF!</v>
      </c>
      <c r="G11" s="1" t="str">
        <f>IFERROR(__xludf.DUMMYFUNCTION("QUERY(IMPORTRANGE(""https://docs.google.com/spreadsheets/d/1cPJkZTbu617m80O_L5dMmofSU_pxmkDRV8wMXv-kDfI/edit?gid=0#gid=0"", ""May_2025!A7:F""),
""SELECT Col6 WHERE Col2 &gt;= 50000 AND Col2 &lt;= 59999 LABEL Col6'May_2025'"", 0)"),"#REF!")</f>
        <v>#REF!</v>
      </c>
      <c r="H11" s="1" t="str">
        <f>IFERROR(__xludf.DUMMYFUNCTION("QUERY(IMPORTRANGE(""https://docs.google.com/spreadsheets/d/1cPJkZTbu617m80O_L5dMmofSU_pxmkDRV8wMXv-kDfI/edit?gid=0#gid=0"", ""June_2025!A7:F""),
""SELECT Col6 WHERE Col2 &gt;= 50000 AND Col2 &lt;= 59999 LABEL Col6'June_2025'"", 0)"),"#REF!")</f>
        <v>#REF!</v>
      </c>
      <c r="I11" s="1" t="str">
        <f>IFERROR(__xludf.DUMMYFUNCTION("QUERY(IMPORTRANGE(""https://docs.google.com/spreadsheets/d/1cPJkZTbu617m80O_L5dMmofSU_pxmkDRV8wMXv-kDfI/edit?gid=0#gid=0"", ""July_2025!A7:F""),
""SELECT Col6 WHERE Col2 &gt;= 50000 AND Col2 &lt;= 59999 LABEL Col6'July_2025'"", 0)"),"#REF!")</f>
        <v>#REF!</v>
      </c>
      <c r="J11" s="1" t="str">
        <f>IFERROR(__xludf.DUMMYFUNCTION("QUERY(IMPORTRANGE(""https://docs.google.com/spreadsheets/d/1cPJkZTbu617m80O_L5dMmofSU_pxmkDRV8wMXv-kDfI/edit?gid=0#gid=0"", ""Aug_2025!A7:F""),
""SELECT Col6 WHERE Col2 &gt;= 50000 AND Col2 &lt;= 59999 LABEL Col6'Aug_2025'"", 0)"),"#REF!")</f>
        <v>#REF!</v>
      </c>
      <c r="K11" s="1" t="str">
        <f>IFERROR(__xludf.DUMMYFUNCTION("QUERY(IMPORTRANGE(""https://docs.google.com/spreadsheets/d/1cPJkZTbu617m80O_L5dMmofSU_pxmkDRV8wMXv-kDfI/edit?gid=0#gid=0"", ""Sep_2025!A7:F""),
""SELECT Col6 WHERE Col2 &gt;= 50000 AND Col2 &lt;= 59999 LABEL Col6'Sep_2025'"", 0)"),"#REF!")</f>
        <v>#REF!</v>
      </c>
      <c r="L11" s="1" t="str">
        <f>IFERROR(__xludf.DUMMYFUNCTION("QUERY(IMPORTRANGE(""https://docs.google.com/spreadsheets/d/1cPJkZTbu617m80O_L5dMmofSU_pxmkDRV8wMXv-kDfI/edit?gid=0#gid=0"", ""Oct_2025!A7:F""),
""SELECT Col6 WHERE Col2 &gt;= 50000 AND Col2 &lt;= 59999 LABEL Col6'Oct_2025'"", 0)"),"#REF!")</f>
        <v>#REF!</v>
      </c>
    </row>
    <row r="12" ht="15.75" customHeight="1">
      <c r="C12" s="1"/>
      <c r="D12" s="20"/>
      <c r="E12" s="20"/>
      <c r="F12" s="20"/>
      <c r="G12" s="20"/>
      <c r="H12" s="20"/>
      <c r="I12" s="20"/>
      <c r="J12" s="20"/>
      <c r="K12" s="20"/>
      <c r="L12" s="20"/>
    </row>
    <row r="13" ht="15.75" customHeight="1">
      <c r="C13" s="1"/>
      <c r="D13" s="20"/>
      <c r="E13" s="20"/>
      <c r="F13" s="20"/>
      <c r="G13" s="20"/>
      <c r="H13" s="20"/>
      <c r="I13" s="20"/>
      <c r="J13" s="20"/>
      <c r="K13" s="20"/>
      <c r="L13" s="20"/>
    </row>
    <row r="14" ht="15.75" customHeight="1">
      <c r="C14" s="1"/>
      <c r="D14" s="20"/>
      <c r="E14" s="20"/>
      <c r="F14" s="20"/>
      <c r="G14" s="20"/>
      <c r="H14" s="20"/>
      <c r="I14" s="20"/>
      <c r="J14" s="20"/>
      <c r="K14" s="20"/>
      <c r="L14" s="20"/>
    </row>
    <row r="15" ht="15.75" customHeight="1">
      <c r="C15" s="1"/>
      <c r="D15" s="20"/>
      <c r="E15" s="20"/>
      <c r="F15" s="20"/>
      <c r="G15" s="20"/>
      <c r="H15" s="20"/>
      <c r="I15" s="20"/>
      <c r="J15" s="20"/>
      <c r="K15" s="20"/>
      <c r="L15" s="20"/>
    </row>
    <row r="16" ht="15.75" customHeight="1">
      <c r="C16" s="1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</row>
    <row r="17" ht="15.75" customHeight="1">
      <c r="C17" s="1"/>
      <c r="D17" s="20"/>
      <c r="E17" s="20"/>
      <c r="F17" s="20"/>
      <c r="G17" s="20"/>
      <c r="H17" s="20"/>
      <c r="I17" s="20"/>
      <c r="J17" s="20"/>
      <c r="K17" s="20"/>
      <c r="L17" s="20"/>
    </row>
    <row r="18" ht="15.75" customHeight="1">
      <c r="C18" s="1"/>
      <c r="D18" s="20"/>
      <c r="E18" s="20"/>
      <c r="F18" s="20"/>
      <c r="G18" s="20"/>
      <c r="H18" s="20"/>
      <c r="I18" s="20"/>
      <c r="J18" s="20"/>
      <c r="K18" s="20"/>
      <c r="L18" s="20"/>
      <c r="Q18" s="20"/>
    </row>
    <row r="19" ht="15.75" customHeight="1">
      <c r="C19" s="1"/>
      <c r="D19" s="20"/>
      <c r="E19" s="20"/>
      <c r="F19" s="20"/>
      <c r="G19" s="20"/>
      <c r="H19" s="20"/>
      <c r="I19" s="20"/>
      <c r="J19" s="20"/>
      <c r="K19" s="20"/>
      <c r="L19" s="20"/>
    </row>
    <row r="20" ht="15.75" customHeight="1">
      <c r="C20" s="1"/>
      <c r="D20" s="20"/>
      <c r="E20" s="20"/>
      <c r="F20" s="20"/>
      <c r="G20" s="20"/>
      <c r="H20" s="20"/>
      <c r="I20" s="20"/>
      <c r="J20" s="20"/>
      <c r="K20" s="20"/>
      <c r="L20" s="20"/>
    </row>
    <row r="21" ht="15.75" customHeight="1">
      <c r="C21" s="1"/>
      <c r="D21" s="20"/>
      <c r="E21" s="20"/>
      <c r="F21" s="20"/>
      <c r="G21" s="20"/>
      <c r="H21" s="20"/>
      <c r="I21" s="20"/>
      <c r="J21" s="20"/>
      <c r="K21" s="20"/>
      <c r="L21" s="20"/>
    </row>
    <row r="22" ht="15.75" customHeight="1">
      <c r="C22" s="1"/>
      <c r="D22" s="20"/>
      <c r="E22" s="20"/>
      <c r="F22" s="20"/>
      <c r="G22" s="20"/>
      <c r="H22" s="20"/>
      <c r="I22" s="20"/>
      <c r="J22" s="20"/>
      <c r="K22" s="20"/>
      <c r="L22" s="20"/>
    </row>
    <row r="23" ht="15.75" customHeight="1">
      <c r="C23" s="1"/>
      <c r="D23" s="20"/>
      <c r="E23" s="20"/>
      <c r="F23" s="20"/>
      <c r="G23" s="20"/>
      <c r="H23" s="20"/>
      <c r="I23" s="20"/>
      <c r="J23" s="20"/>
      <c r="K23" s="20"/>
      <c r="L23" s="20"/>
    </row>
    <row r="24" ht="15.75" customHeight="1">
      <c r="C24" s="34"/>
      <c r="D24" s="35">
        <f t="shared" ref="D24:L24" si="2">SUM(D12:D23)</f>
        <v>0</v>
      </c>
      <c r="E24" s="35">
        <f t="shared" si="2"/>
        <v>0</v>
      </c>
      <c r="F24" s="35">
        <f t="shared" si="2"/>
        <v>0</v>
      </c>
      <c r="G24" s="35">
        <f t="shared" si="2"/>
        <v>0</v>
      </c>
      <c r="H24" s="35">
        <f t="shared" si="2"/>
        <v>0</v>
      </c>
      <c r="I24" s="35">
        <f t="shared" si="2"/>
        <v>0</v>
      </c>
      <c r="J24" s="35">
        <f t="shared" si="2"/>
        <v>0</v>
      </c>
      <c r="K24" s="35">
        <f t="shared" si="2"/>
        <v>0</v>
      </c>
      <c r="L24" s="35">
        <f t="shared" si="2"/>
        <v>0</v>
      </c>
    </row>
    <row r="25" ht="15.75" customHeight="1">
      <c r="C25" s="1"/>
      <c r="D25" s="20"/>
    </row>
    <row r="26" ht="15.75" customHeight="1">
      <c r="C26" s="1"/>
      <c r="D26" s="20"/>
      <c r="L26" s="20"/>
    </row>
    <row r="27" ht="15.75" customHeight="1">
      <c r="B27" s="1">
        <v>3.0</v>
      </c>
      <c r="C27" s="31" t="s">
        <v>76</v>
      </c>
      <c r="D27" s="20"/>
    </row>
    <row r="28" ht="15.75" customHeight="1">
      <c r="C28" s="1" t="str">
        <f>IFERROR(__xludf.DUMMYFUNCTION("QUERY(IMPORTRANGE(""https://docs.google.com/spreadsheets/d/1cPJkZTbu617m80O_L5dMmofSU_pxmkDRV8wMXv-kDfI/edit?gid=0#gid=0"", ""Feb_2025!A7:F""),
""SELECT Col1, Col6 WHERE Col2 &gt;= 60000 AND Col2 &lt;= 69999 LABEL Col6'Feb_2025'"", 0)"),"#REF!")</f>
        <v>#REF!</v>
      </c>
      <c r="D28" s="20"/>
      <c r="E28" s="1" t="str">
        <f>IFERROR(__xludf.DUMMYFUNCTION("QUERY(IMPORTRANGE(""https://docs.google.com/spreadsheets/d/1cPJkZTbu617m80O_L5dMmofSU_pxmkDRV8wMXv-kDfI/edit?gid=0#gid=0"", ""Mar_2025!A7:F""),
""SELECT Col6 WHERE Col2 &gt;= 60000 AND Col2 &lt;= 69999 LABEL Col6'Mar_2025'"", 0)"),"#REF!")</f>
        <v>#REF!</v>
      </c>
      <c r="F28" s="1" t="str">
        <f>IFERROR(__xludf.DUMMYFUNCTION("QUERY(IMPORTRANGE(""https://docs.google.com/spreadsheets/d/1cPJkZTbu617m80O_L5dMmofSU_pxmkDRV8wMXv-kDfI/edit?gid=0#gid=0"", ""April_2025!A7:F""),
""SELECT Col6 WHERE Col2 &gt;= 60000 AND Col2 &lt;= 69999 LABEL Col6'April_2025'"", 0)"),"#REF!")</f>
        <v>#REF!</v>
      </c>
      <c r="G28" s="1" t="str">
        <f>IFERROR(__xludf.DUMMYFUNCTION("QUERY(IMPORTRANGE(""https://docs.google.com/spreadsheets/d/1cPJkZTbu617m80O_L5dMmofSU_pxmkDRV8wMXv-kDfI/edit?gid=0#gid=0"", ""May_2025!A7:F""),
""SELECT Col6 WHERE Col2 &gt;= 60000 AND Col2 &lt;= 69999 LABEL Col6'May_2025'"", 0)"),"#REF!")</f>
        <v>#REF!</v>
      </c>
      <c r="H28" s="1" t="str">
        <f>IFERROR(__xludf.DUMMYFUNCTION("QUERY(IMPORTRANGE(""https://docs.google.com/spreadsheets/d/1cPJkZTbu617m80O_L5dMmofSU_pxmkDRV8wMXv-kDfI/edit?gid=0#gid=0"", ""June_2025!A7:F""),
""SELECT Col6 WHERE Col2 &gt;= 60000 AND Col2 &lt;= 69999 LABEL Col6'June_2025'"", 0)"),"#REF!")</f>
        <v>#REF!</v>
      </c>
      <c r="I28" s="1" t="str">
        <f>IFERROR(__xludf.DUMMYFUNCTION("QUERY(IMPORTRANGE(""https://docs.google.com/spreadsheets/d/1cPJkZTbu617m80O_L5dMmofSU_pxmkDRV8wMXv-kDfI/edit?gid=0#gid=0"", ""July_2025!A7:F""),
""SELECT Col6 WHERE Col2 &gt;= 60000 AND Col2 &lt;= 69999 LABEL Col6'July_2025'"", 0)"),"#REF!")</f>
        <v>#REF!</v>
      </c>
      <c r="J28" s="1" t="str">
        <f>IFERROR(__xludf.DUMMYFUNCTION("QUERY(IMPORTRANGE(""https://docs.google.com/spreadsheets/d/1cPJkZTbu617m80O_L5dMmofSU_pxmkDRV8wMXv-kDfI/edit?gid=0#gid=0"", ""Aug_2025!A7:F""),
""SELECT Col6 WHERE Col2 &gt;= 60000 AND Col2 &lt;= 69999 LABEL Col6'Aug_2025'"", 0)"),"#REF!")</f>
        <v>#REF!</v>
      </c>
      <c r="K28" s="1" t="str">
        <f>IFERROR(__xludf.DUMMYFUNCTION("QUERY(IMPORTRANGE(""https://docs.google.com/spreadsheets/d/1cPJkZTbu617m80O_L5dMmofSU_pxmkDRV8wMXv-kDfI/edit?gid=0#gid=0"", ""Sep_2025!A7:F""),
""SELECT Col6 WHERE Col2 &gt;= 60000 AND Col2 &lt;= 69999 LABEL Col6'Sep_2025'"", 0)"),"#REF!")</f>
        <v>#REF!</v>
      </c>
      <c r="L28" s="1" t="str">
        <f>IFERROR(__xludf.DUMMYFUNCTION("QUERY(IMPORTRANGE(""https://docs.google.com/spreadsheets/d/1cPJkZTbu617m80O_L5dMmofSU_pxmkDRV8wMXv-kDfI/edit?gid=0#gid=0"", ""Oct_2025!A7:F""),
""SELECT Col6 WHERE Col2 &gt;= 60000 AND Col2 &lt;= 69999 LABEL Col6'Oct_2025'"", 0)"),"#REF!")</f>
        <v>#REF!</v>
      </c>
    </row>
    <row r="29" ht="15.75" customHeight="1">
      <c r="C29" s="1"/>
      <c r="D29" s="20"/>
      <c r="E29" s="20"/>
      <c r="F29" s="20"/>
      <c r="G29" s="20"/>
      <c r="H29" s="20"/>
      <c r="I29" s="20"/>
      <c r="J29" s="20"/>
      <c r="K29" s="20"/>
      <c r="L29" s="20"/>
    </row>
    <row r="30" ht="15.75" customHeight="1">
      <c r="C30" s="1"/>
      <c r="D30" s="20"/>
      <c r="E30" s="20"/>
      <c r="F30" s="20"/>
      <c r="G30" s="20"/>
      <c r="H30" s="20"/>
      <c r="I30" s="20"/>
      <c r="J30" s="20"/>
      <c r="K30" s="20"/>
      <c r="L30" s="20"/>
    </row>
    <row r="31" ht="15.75" customHeight="1">
      <c r="C31" s="1"/>
      <c r="D31" s="20"/>
      <c r="E31" s="20"/>
      <c r="F31" s="20"/>
      <c r="G31" s="20"/>
      <c r="H31" s="20"/>
      <c r="I31" s="20"/>
      <c r="J31" s="20"/>
      <c r="K31" s="20"/>
      <c r="L31" s="20"/>
    </row>
    <row r="32" ht="15.75" customHeight="1">
      <c r="C32" s="1"/>
      <c r="D32" s="20"/>
      <c r="E32" s="20"/>
      <c r="F32" s="20"/>
      <c r="G32" s="20"/>
      <c r="H32" s="20"/>
      <c r="I32" s="20"/>
      <c r="J32" s="20"/>
      <c r="K32" s="20"/>
      <c r="L32" s="20"/>
    </row>
    <row r="33" ht="15.75" customHeight="1">
      <c r="C33" s="1"/>
      <c r="D33" s="20"/>
      <c r="E33" s="20"/>
      <c r="F33" s="20"/>
      <c r="G33" s="20"/>
      <c r="H33" s="20"/>
      <c r="I33" s="20"/>
      <c r="J33" s="20"/>
      <c r="K33" s="20"/>
      <c r="L33" s="20"/>
    </row>
    <row r="34" ht="15.75" customHeight="1">
      <c r="C34" s="1"/>
      <c r="D34" s="20"/>
      <c r="E34" s="20"/>
      <c r="F34" s="20"/>
      <c r="G34" s="20"/>
      <c r="H34" s="20"/>
      <c r="I34" s="20"/>
      <c r="J34" s="20"/>
      <c r="K34" s="20"/>
      <c r="L34" s="20"/>
    </row>
    <row r="35" ht="15.75" customHeight="1">
      <c r="C35" s="1"/>
      <c r="D35" s="20"/>
      <c r="E35" s="20"/>
      <c r="F35" s="20"/>
      <c r="G35" s="20"/>
      <c r="H35" s="20"/>
      <c r="I35" s="20"/>
      <c r="J35" s="20"/>
      <c r="K35" s="20"/>
      <c r="L35" s="20"/>
    </row>
    <row r="36" ht="15.75" customHeight="1">
      <c r="C36" s="1"/>
      <c r="D36" s="20"/>
      <c r="E36" s="20"/>
      <c r="F36" s="20"/>
      <c r="G36" s="20"/>
      <c r="H36" s="20"/>
      <c r="I36" s="20"/>
      <c r="J36" s="20"/>
      <c r="K36" s="20"/>
      <c r="L36" s="20"/>
    </row>
    <row r="37" ht="15.75" customHeight="1">
      <c r="C37" s="1"/>
      <c r="D37" s="20"/>
      <c r="E37" s="20"/>
      <c r="F37" s="20"/>
      <c r="G37" s="20"/>
      <c r="H37" s="20"/>
      <c r="I37" s="20"/>
      <c r="J37" s="20"/>
      <c r="K37" s="20"/>
      <c r="L37" s="20"/>
    </row>
    <row r="38" ht="15.75" customHeight="1">
      <c r="C38" s="1"/>
      <c r="D38" s="20"/>
      <c r="E38" s="20"/>
      <c r="F38" s="20"/>
      <c r="G38" s="20"/>
      <c r="H38" s="20"/>
      <c r="I38" s="20"/>
      <c r="J38" s="20"/>
      <c r="K38" s="20"/>
      <c r="L38" s="20"/>
    </row>
    <row r="39" ht="15.75" customHeight="1">
      <c r="C39" s="32"/>
      <c r="D39" s="33">
        <f t="shared" ref="D39:L39" si="3">SUM(D29:D38)</f>
        <v>0</v>
      </c>
      <c r="E39" s="33">
        <f t="shared" si="3"/>
        <v>0</v>
      </c>
      <c r="F39" s="33">
        <f t="shared" si="3"/>
        <v>0</v>
      </c>
      <c r="G39" s="33">
        <f t="shared" si="3"/>
        <v>0</v>
      </c>
      <c r="H39" s="33">
        <f t="shared" si="3"/>
        <v>0</v>
      </c>
      <c r="I39" s="33">
        <f t="shared" si="3"/>
        <v>0</v>
      </c>
      <c r="J39" s="33">
        <f t="shared" si="3"/>
        <v>0</v>
      </c>
      <c r="K39" s="33">
        <f t="shared" si="3"/>
        <v>0</v>
      </c>
      <c r="L39" s="33">
        <f t="shared" si="3"/>
        <v>0</v>
      </c>
    </row>
    <row r="40" ht="15.75" customHeight="1">
      <c r="D40" s="20"/>
    </row>
    <row r="41" ht="15.75" customHeight="1">
      <c r="D41" s="20"/>
    </row>
    <row r="42" ht="15.75" customHeight="1">
      <c r="B42" s="1">
        <v>4.0</v>
      </c>
      <c r="C42" s="31" t="s">
        <v>77</v>
      </c>
      <c r="D42" s="20" t="s">
        <v>78</v>
      </c>
      <c r="E42" s="1" t="s">
        <v>79</v>
      </c>
      <c r="F42" s="1" t="s">
        <v>80</v>
      </c>
      <c r="G42" s="1" t="s">
        <v>81</v>
      </c>
      <c r="H42" s="1" t="s">
        <v>82</v>
      </c>
      <c r="I42" s="1" t="s">
        <v>83</v>
      </c>
      <c r="J42" s="1" t="s">
        <v>84</v>
      </c>
      <c r="K42" s="1" t="s">
        <v>85</v>
      </c>
      <c r="L42" s="1" t="s">
        <v>85</v>
      </c>
    </row>
    <row r="43" ht="15.75" customHeight="1">
      <c r="C43" s="1" t="str">
        <f>IFERROR(__xludf.DUMMYFUNCTION("QUERY(IMPORTRANGE(""https://docs.google.com/spreadsheets/d/1cPJkZTbu617m80O_L5dMmofSU_pxmkDRV8wMXv-kDfI/edit?gid=0#gid=0"", ""Feb_2025!A7:F""),
""SELECT Col1, Col4 WHERE Col1 LIKE 'Depreciation%'"",0)"),"#REF!")</f>
        <v>#REF!</v>
      </c>
      <c r="D43" s="20"/>
      <c r="E43" s="20" t="str">
        <f>IFERROR(__xludf.DUMMYFUNCTION("QUERY(IMPORTRANGE(""https://docs.google.com/spreadsheets/d/1cPJkZTbu617m80O_L5dMmofSU_pxmkDRV8wMXv-kDfI/edit?gid=0#gid=0"", ""Mar_2025!A7:F""),
""SELECT Col4 WHERE Col1 LIKE 'Depreciation%'"",0)"),"#REF!")</f>
        <v>#REF!</v>
      </c>
      <c r="F43" s="20" t="str">
        <f>IFERROR(__xludf.DUMMYFUNCTION("QUERY(IMPORTRANGE(""https://docs.google.com/spreadsheets/d/1cPJkZTbu617m80O_L5dMmofSU_pxmkDRV8wMXv-kDfI/edit?gid=0#gid=0"", ""April_2025!A7:F""),
""SELECT Col4 WHERE Col1 LIKE 'Depreciation%'"",0)"),"#REF!")</f>
        <v>#REF!</v>
      </c>
      <c r="G43" s="20" t="str">
        <f>IFERROR(__xludf.DUMMYFUNCTION("QUERY(IMPORTRANGE(""https://docs.google.com/spreadsheets/d/1cPJkZTbu617m80O_L5dMmofSU_pxmkDRV8wMXv-kDfI/edit?gid=0#gid=0"", ""May_2025!A7:F""),
""SELECT Col4 WHERE Col1 LIKE 'Depreciation%'"",0)"),"#REF!")</f>
        <v>#REF!</v>
      </c>
      <c r="H43" s="20" t="str">
        <f>IFERROR(__xludf.DUMMYFUNCTION("QUERY(IMPORTRANGE(""https://docs.google.com/spreadsheets/d/1cPJkZTbu617m80O_L5dMmofSU_pxmkDRV8wMXv-kDfI/edit?gid=0#gid=0"", ""June_2025!A7:F""),
""SELECT Col4 WHERE Col1 LIKE 'Depreciation%'"",0)"),"#REF!")</f>
        <v>#REF!</v>
      </c>
      <c r="I43" s="20" t="str">
        <f>IFERROR(__xludf.DUMMYFUNCTION("QUERY(IMPORTRANGE(""https://docs.google.com/spreadsheets/d/1cPJkZTbu617m80O_L5dMmofSU_pxmkDRV8wMXv-kDfI/edit?gid=0#gid=0"", ""July_2025!A7:F""),
""SELECT Col4 WHERE Col1 LIKE 'Depreciation%'"",0)"),"#REF!")</f>
        <v>#REF!</v>
      </c>
      <c r="J43" s="20" t="str">
        <f>IFERROR(__xludf.DUMMYFUNCTION("QUERY(IMPORTRANGE(""https://docs.google.com/spreadsheets/d/1cPJkZTbu617m80O_L5dMmofSU_pxmkDRV8wMXv-kDfI/edit?gid=0#gid=0"", ""Aug_2025!A7:F""),
""SELECT Col4 WHERE Col1 LIKE 'Depreciation%'"",0)"),"#REF!")</f>
        <v>#REF!</v>
      </c>
      <c r="K43" s="20" t="str">
        <f>IFERROR(__xludf.DUMMYFUNCTION("QUERY(IMPORTRANGE(""https://docs.google.com/spreadsheets/d/1cPJkZTbu617m80O_L5dMmofSU_pxmkDRV8wMXv-kDfI/edit?gid=0#gid=0"", ""Sep_2025!A7:F""),
""SELECT Col4 WHERE Col1 LIKE 'Depreciation%'"",0)"),"#REF!")</f>
        <v>#REF!</v>
      </c>
      <c r="L43" s="20" t="str">
        <f>IFERROR(__xludf.DUMMYFUNCTION("QUERY(IMPORTRANGE(""https://docs.google.com/spreadsheets/d/1cPJkZTbu617m80O_L5dMmofSU_pxmkDRV8wMXv-kDfI/edit?gid=0#gid=0"", ""Oct_2025!A7:F""),
""SELECT Col4 WHERE Col1 LIKE 'Depreciation%'"",0)"),"#REF!")</f>
        <v>#REF!</v>
      </c>
    </row>
    <row r="44" ht="15.75" customHeight="1">
      <c r="C44" s="1"/>
      <c r="D44" s="20"/>
      <c r="E44" s="20"/>
      <c r="F44" s="20"/>
      <c r="G44" s="20"/>
      <c r="H44" s="20"/>
      <c r="I44" s="20"/>
      <c r="J44" s="20"/>
      <c r="K44" s="20"/>
      <c r="L44" s="20"/>
    </row>
    <row r="45" ht="15.75" customHeight="1">
      <c r="C45" s="32"/>
      <c r="D45" s="33">
        <f t="shared" ref="D45:L45" si="4">SUM(D43:D44)</f>
        <v>0</v>
      </c>
      <c r="E45" s="33" t="str">
        <f t="shared" si="4"/>
        <v>#REF!</v>
      </c>
      <c r="F45" s="33" t="str">
        <f t="shared" si="4"/>
        <v>#REF!</v>
      </c>
      <c r="G45" s="33" t="str">
        <f t="shared" si="4"/>
        <v>#REF!</v>
      </c>
      <c r="H45" s="33" t="str">
        <f t="shared" si="4"/>
        <v>#REF!</v>
      </c>
      <c r="I45" s="33" t="str">
        <f t="shared" si="4"/>
        <v>#REF!</v>
      </c>
      <c r="J45" s="33" t="str">
        <f t="shared" si="4"/>
        <v>#REF!</v>
      </c>
      <c r="K45" s="33" t="str">
        <f t="shared" si="4"/>
        <v>#REF!</v>
      </c>
      <c r="L45" s="33" t="str">
        <f t="shared" si="4"/>
        <v>#REF!</v>
      </c>
    </row>
    <row r="46" ht="15.75" customHeight="1">
      <c r="D46" s="20"/>
    </row>
    <row r="47" ht="15.75" customHeight="1">
      <c r="D47" s="20"/>
    </row>
    <row r="48" ht="15.75" customHeight="1">
      <c r="B48" s="1">
        <v>5.0</v>
      </c>
      <c r="C48" s="31" t="s">
        <v>86</v>
      </c>
      <c r="D48" s="20"/>
    </row>
    <row r="49" ht="15.75" customHeight="1">
      <c r="C49" s="1" t="str">
        <f>IFERROR(__xludf.DUMMYFUNCTION("QUERY(IMPORTRANGE(""https://docs.google.com/spreadsheets/d/1cPJkZTbu617m80O_L5dMmofSU_pxmkDRV8wMXv-kDfI/edit?gid=0#gid=0"", ""Feb_2025!A7:F""),
""SELECT Col1, Col6 WHERE Col2 &gt;= 70000 AND Col2 &lt;= 79999 LABEL Col6'Feb_2025'"", 0)"),"#REF!")</f>
        <v>#REF!</v>
      </c>
      <c r="D49" s="20"/>
      <c r="E49" s="1" t="str">
        <f>IFERROR(__xludf.DUMMYFUNCTION("QUERY(IMPORTRANGE(""https://docs.google.com/spreadsheets/d/1cPJkZTbu617m80O_L5dMmofSU_pxmkDRV8wMXv-kDfI/edit?gid=0#gid=0"", ""Mar_2025!A7:F""),
""SELECT Col6 WHERE Col2 &gt;= 70000 AND Col2 &lt;= 79999 LABEL Col6'Mar_2025'"", 0)"),"#REF!")</f>
        <v>#REF!</v>
      </c>
      <c r="F49" s="1" t="str">
        <f>IFERROR(__xludf.DUMMYFUNCTION("QUERY(IMPORTRANGE(""https://docs.google.com/spreadsheets/d/1cPJkZTbu617m80O_L5dMmofSU_pxmkDRV8wMXv-kDfI/edit?gid=0#gid=0"", ""April_2025!A7:F""),
""SELECT Col6 WHERE Col2 &gt;= 70000 AND Col2 &lt;= 79999 LABEL Col6'April_2025'"", 0)"),"#REF!")</f>
        <v>#REF!</v>
      </c>
      <c r="G49" s="1" t="str">
        <f>IFERROR(__xludf.DUMMYFUNCTION("QUERY(IMPORTRANGE(""https://docs.google.com/spreadsheets/d/1cPJkZTbu617m80O_L5dMmofSU_pxmkDRV8wMXv-kDfI/edit?gid=0#gid=0"", ""May_2025!A7:F""),
""SELECT Col6 WHERE Col2 &gt;= 70000 AND Col2 &lt;= 79999 LABEL Col6'May_2025'"", 0)"),"#REF!")</f>
        <v>#REF!</v>
      </c>
      <c r="H49" s="1" t="str">
        <f>IFERROR(__xludf.DUMMYFUNCTION("QUERY(IMPORTRANGE(""https://docs.google.com/spreadsheets/d/1cPJkZTbu617m80O_L5dMmofSU_pxmkDRV8wMXv-kDfI/edit?gid=0#gid=0"", ""June_2025!A7:F""),
""SELECT Col6 WHERE Col2 &gt;= 70000 AND Col2 &lt;= 79999 LABEL Col6'June_2025'"", 0)"),"#REF!")</f>
        <v>#REF!</v>
      </c>
      <c r="I49" s="1" t="str">
        <f>IFERROR(__xludf.DUMMYFUNCTION("QUERY(IMPORTRANGE(""https://docs.google.com/spreadsheets/d/1cPJkZTbu617m80O_L5dMmofSU_pxmkDRV8wMXv-kDfI/edit?gid=0#gid=0"", ""July_2025!A7:F""),
""SELECT Col6 WHERE Col2 &gt;= 70000 AND Col2 &lt;= 79999 LABEL Col6'July_2025'"", 0)"),"#REF!")</f>
        <v>#REF!</v>
      </c>
      <c r="J49" s="1" t="str">
        <f>IFERROR(__xludf.DUMMYFUNCTION("QUERY(IMPORTRANGE(""https://docs.google.com/spreadsheets/d/1cPJkZTbu617m80O_L5dMmofSU_pxmkDRV8wMXv-kDfI/edit?gid=0#gid=0"", ""Aug_2025!A7:F""),
""SELECT Col6 WHERE Col2 &gt;= 70000 AND Col2 &lt;= 79999 LABEL Col6'Aug_2025'"", 0)"),"#REF!")</f>
        <v>#REF!</v>
      </c>
      <c r="K49" s="1" t="str">
        <f>IFERROR(__xludf.DUMMYFUNCTION("QUERY(IMPORTRANGE(""https://docs.google.com/spreadsheets/d/1cPJkZTbu617m80O_L5dMmofSU_pxmkDRV8wMXv-kDfI/edit?gid=0#gid=0"", ""Sep_2025!A7:F""),
""SELECT Col6 WHERE Col2 &gt;= 70000 AND Col2 &lt;= 79999 LABEL Col6'Sep_2025'"", 0)"),"#REF!")</f>
        <v>#REF!</v>
      </c>
      <c r="L49" s="1" t="str">
        <f>IFERROR(__xludf.DUMMYFUNCTION("QUERY(IMPORTRANGE(""https://docs.google.com/spreadsheets/d/1cPJkZTbu617m80O_L5dMmofSU_pxmkDRV8wMXv-kDfI/edit?gid=0#gid=0"", ""Oct_2025!A7:F""),
""SELECT Col6 WHERE Col2 &gt;= 70000 AND Col2 &lt;= 79999 LABEL Col6'Oct_2025'"", 0)"),"#REF!")</f>
        <v>#REF!</v>
      </c>
    </row>
    <row r="50" ht="15.75" customHeight="1">
      <c r="C50" s="1"/>
      <c r="D50" s="20"/>
      <c r="E50" s="20"/>
      <c r="F50" s="20"/>
      <c r="G50" s="20"/>
      <c r="H50" s="20"/>
      <c r="I50" s="20"/>
      <c r="J50" s="20"/>
      <c r="K50" s="20"/>
      <c r="L50" s="20"/>
      <c r="N50" s="20"/>
    </row>
    <row r="51" ht="15.75" customHeight="1">
      <c r="C51" s="32"/>
      <c r="D51" s="33">
        <f t="shared" ref="D51:L51" si="5">SUM(D50)</f>
        <v>0</v>
      </c>
      <c r="E51" s="33">
        <f t="shared" si="5"/>
        <v>0</v>
      </c>
      <c r="F51" s="33">
        <f t="shared" si="5"/>
        <v>0</v>
      </c>
      <c r="G51" s="33">
        <f t="shared" si="5"/>
        <v>0</v>
      </c>
      <c r="H51" s="33">
        <f t="shared" si="5"/>
        <v>0</v>
      </c>
      <c r="I51" s="33">
        <f t="shared" si="5"/>
        <v>0</v>
      </c>
      <c r="J51" s="33">
        <f t="shared" si="5"/>
        <v>0</v>
      </c>
      <c r="K51" s="33">
        <f t="shared" si="5"/>
        <v>0</v>
      </c>
      <c r="L51" s="33">
        <f t="shared" si="5"/>
        <v>0</v>
      </c>
    </row>
    <row r="52" ht="15.75" customHeight="1">
      <c r="D52" s="20"/>
    </row>
    <row r="53" ht="15.75" customHeight="1">
      <c r="D53" s="20"/>
    </row>
    <row r="54" ht="15.75" customHeight="1">
      <c r="B54" s="1">
        <v>6.0</v>
      </c>
      <c r="C54" s="31" t="s">
        <v>87</v>
      </c>
      <c r="D54" s="20"/>
    </row>
    <row r="55" ht="15.75" customHeight="1">
      <c r="C55" s="1" t="str">
        <f>IFERROR(__xludf.DUMMYFUNCTION("QUERY(IMPORTRANGE(""https://docs.google.com/spreadsheets/d/1cPJkZTbu617m80O_L5dMmofSU_pxmkDRV8wMXv-kDfI/edit?gid=0#gid=0"", ""Feb_2025!A7:F""),
""SELECT Col1, Col6 WHERE Col2 &gt;= 80000 AND Col2 &lt;= 89999 LABEL Col6'Feb_2025'"", 0)"),"#REF!")</f>
        <v>#REF!</v>
      </c>
      <c r="D55" s="20"/>
      <c r="E55" s="1" t="str">
        <f>IFERROR(__xludf.DUMMYFUNCTION("QUERY(IMPORTRANGE(""https://docs.google.com/spreadsheets/d/1cPJkZTbu617m80O_L5dMmofSU_pxmkDRV8wMXv-kDfI/edit?gid=0#gid=0"", ""Mar_2025!A7:F""),
""SELECT Col6 WHERE Col2 &gt;= 80000 AND Col2 &lt;= 89999 LABEL Col6'Mar_2025'"", 0)"),"#REF!")</f>
        <v>#REF!</v>
      </c>
      <c r="F55" s="1" t="str">
        <f>IFERROR(__xludf.DUMMYFUNCTION("QUERY(IMPORTRANGE(""https://docs.google.com/spreadsheets/d/1cPJkZTbu617m80O_L5dMmofSU_pxmkDRV8wMXv-kDfI/edit?gid=0#gid=0"", ""April_2025!A7:F""),
""SELECT Col6 WHERE Col2 &gt;= 80000 AND Col2 &lt;= 89999 LABEL Col6'April_2025'"", 0)"),"#REF!")</f>
        <v>#REF!</v>
      </c>
      <c r="G55" s="1" t="str">
        <f>IFERROR(__xludf.DUMMYFUNCTION("QUERY(IMPORTRANGE(""https://docs.google.com/spreadsheets/d/1cPJkZTbu617m80O_L5dMmofSU_pxmkDRV8wMXv-kDfI/edit?gid=0#gid=0"", ""May_2025!A7:F""),
""SELECT Col6 WHERE Col2 &gt;= 80000 AND Col2 &lt;= 89999 LABEL Col6'May_2025'"", 0)"),"#REF!")</f>
        <v>#REF!</v>
      </c>
      <c r="H55" s="1" t="str">
        <f>IFERROR(__xludf.DUMMYFUNCTION("QUERY(IMPORTRANGE(""https://docs.google.com/spreadsheets/d/1cPJkZTbu617m80O_L5dMmofSU_pxmkDRV8wMXv-kDfI/edit?gid=0#gid=0"", ""June_2025!A7:F""),
""SELECT Col6 WHERE Col2 &gt;= 80000 AND Col2 &lt;= 89999 LABEL Col6'June_2025'"", 0)"),"#REF!")</f>
        <v>#REF!</v>
      </c>
      <c r="I55" s="1" t="str">
        <f>IFERROR(__xludf.DUMMYFUNCTION("QUERY(IMPORTRANGE(""https://docs.google.com/spreadsheets/d/1cPJkZTbu617m80O_L5dMmofSU_pxmkDRV8wMXv-kDfI/edit?gid=0#gid=0"", ""July_2025!A7:F""),
""SELECT Col6 WHERE Col2 &gt;= 80000 AND Col2 &lt;= 89999 LABEL Col6'July_2025'"", 0)"),"#REF!")</f>
        <v>#REF!</v>
      </c>
      <c r="J55" s="1" t="str">
        <f>IFERROR(__xludf.DUMMYFUNCTION("QUERY(IMPORTRANGE(""https://docs.google.com/spreadsheets/d/1cPJkZTbu617m80O_L5dMmofSU_pxmkDRV8wMXv-kDfI/edit?gid=0#gid=0"", ""Aug_2025!A7:F""),
""SELECT Col6 WHERE Col2 &gt;= 80000 AND Col2 &lt;= 89999 LABEL Col6'Aug_2025'"", 0)"),"#REF!")</f>
        <v>#REF!</v>
      </c>
      <c r="K55" s="1" t="str">
        <f>IFERROR(__xludf.DUMMYFUNCTION("QUERY(IMPORTRANGE(""https://docs.google.com/spreadsheets/d/1cPJkZTbu617m80O_L5dMmofSU_pxmkDRV8wMXv-kDfI/edit?gid=0#gid=0"", ""Sep_2025!A7:F""),
""SELECT Col6 WHERE Col2 &gt;= 80000 AND Col2 &lt;= 89999 LABEL Col6'Sep_2025'"", 0)"),"#REF!")</f>
        <v>#REF!</v>
      </c>
      <c r="L55" s="1" t="str">
        <f>IFERROR(__xludf.DUMMYFUNCTION("QUERY(IMPORTRANGE(""https://docs.google.com/spreadsheets/d/1cPJkZTbu617m80O_L5dMmofSU_pxmkDRV8wMXv-kDfI/edit?gid=0#gid=0"", ""Oct_2025!A7:F""),
""SELECT Col6 WHERE Col2 &gt;= 80000 AND Col2 &lt;= 89999 LABEL Col6'Oct_2025'"", 0)"),"#REF!")</f>
        <v>#REF!</v>
      </c>
    </row>
    <row r="56" ht="15.75" customHeight="1">
      <c r="C56" s="1"/>
      <c r="D56" s="20"/>
      <c r="E56" s="20"/>
      <c r="F56" s="20"/>
      <c r="G56" s="20"/>
      <c r="H56" s="20"/>
      <c r="I56" s="20"/>
      <c r="J56" s="20"/>
      <c r="K56" s="20"/>
      <c r="L56" s="20"/>
    </row>
    <row r="57" ht="15.75" customHeight="1">
      <c r="C57" s="1"/>
      <c r="D57" s="20"/>
      <c r="E57" s="20"/>
      <c r="F57" s="20"/>
      <c r="G57" s="20"/>
      <c r="H57" s="20"/>
      <c r="I57" s="20"/>
      <c r="J57" s="20"/>
      <c r="K57" s="20"/>
      <c r="L57" s="20"/>
    </row>
    <row r="58" ht="15.75" customHeight="1">
      <c r="C58" s="32"/>
      <c r="D58" s="33">
        <f t="shared" ref="D58:L58" si="6">SUM(D56)+D57</f>
        <v>0</v>
      </c>
      <c r="E58" s="33">
        <f t="shared" si="6"/>
        <v>0</v>
      </c>
      <c r="F58" s="33">
        <f t="shared" si="6"/>
        <v>0</v>
      </c>
      <c r="G58" s="33">
        <f t="shared" si="6"/>
        <v>0</v>
      </c>
      <c r="H58" s="33">
        <f t="shared" si="6"/>
        <v>0</v>
      </c>
      <c r="I58" s="33">
        <f t="shared" si="6"/>
        <v>0</v>
      </c>
      <c r="J58" s="33">
        <f t="shared" si="6"/>
        <v>0</v>
      </c>
      <c r="K58" s="33">
        <f t="shared" si="6"/>
        <v>0</v>
      </c>
      <c r="L58" s="33">
        <f t="shared" si="6"/>
        <v>0</v>
      </c>
    </row>
    <row r="59" ht="15.75" customHeight="1">
      <c r="D59" s="20"/>
    </row>
    <row r="60" ht="15.75" customHeight="1">
      <c r="C60" s="1" t="s">
        <v>88</v>
      </c>
      <c r="D60" s="20"/>
      <c r="L60" s="20">
        <v>2.1299481302E8</v>
      </c>
    </row>
    <row r="61" ht="15.75" customHeight="1">
      <c r="B61" s="1">
        <v>11.0</v>
      </c>
      <c r="C61" s="31" t="s">
        <v>89</v>
      </c>
      <c r="D61" s="20"/>
    </row>
    <row r="62" ht="15.75" customHeight="1">
      <c r="C62" s="1" t="str">
        <f>IFERROR(__xludf.DUMMYFUNCTION("QUERY(IMPORTRANGE(""https://docs.google.com/spreadsheets/d/1cPJkZTbu617m80O_L5dMmofSU_pxmkDRV8wMXv-kDfI/edit?gid=0#gid=0"", ""Feb_2025!A7:F""),
""SELECT Col1, Col6 WHERE Col2 &gt;= 10000 AND Col2 &lt;= 10100 LABEL Col6'Feb_2025'"", 0)"),"#REF!")</f>
        <v>#REF!</v>
      </c>
      <c r="D62" s="20"/>
      <c r="E62" s="1" t="str">
        <f>IFERROR(__xludf.DUMMYFUNCTION("QUERY(IMPORTRANGE(""https://docs.google.com/spreadsheets/d/1cPJkZTbu617m80O_L5dMmofSU_pxmkDRV8wMXv-kDfI/edit?gid=0#gid=0"", ""Mar_2025!A7:F""),
""SELECT Col6 WHERE Col2 &gt;= 10000 AND Col2 &lt;= 10100 LABEL Col6'Mar_2025'"", 0)"),"#REF!")</f>
        <v>#REF!</v>
      </c>
      <c r="F62" s="1" t="str">
        <f>IFERROR(__xludf.DUMMYFUNCTION("QUERY(IMPORTRANGE(""https://docs.google.com/spreadsheets/d/1cPJkZTbu617m80O_L5dMmofSU_pxmkDRV8wMXv-kDfI/edit?gid=0#gid=0"", ""April_2025!A7:F""),
""SELECT Col6 WHERE Col2 &gt;= 10000 AND Col2 &lt;= 10100 LABEL Col6'April_2025'"", 0)"),"#REF!")</f>
        <v>#REF!</v>
      </c>
      <c r="G62" s="1" t="str">
        <f>IFERROR(__xludf.DUMMYFUNCTION("QUERY(IMPORTRANGE(""https://docs.google.com/spreadsheets/d/1cPJkZTbu617m80O_L5dMmofSU_pxmkDRV8wMXv-kDfI/edit?gid=0#gid=0"", ""May_2025!A7:F""),
""SELECT Col6 WHERE Col2 &gt;= 10000 AND Col2 &lt;= 10100 LABEL Col6'May_2025'"", 0)"),"#REF!")</f>
        <v>#REF!</v>
      </c>
      <c r="H62" s="1" t="str">
        <f>IFERROR(__xludf.DUMMYFUNCTION("QUERY(IMPORTRANGE(""https://docs.google.com/spreadsheets/d/1cPJkZTbu617m80O_L5dMmofSU_pxmkDRV8wMXv-kDfI/edit?gid=0#gid=0"", ""June_2025!A7:F""),
""SELECT Col6 WHERE Col2 &gt;= 10000 AND Col2 &lt;= 10100 LABEL Col6'June_2025'"", 0)"),"#REF!")</f>
        <v>#REF!</v>
      </c>
      <c r="I62" s="1" t="str">
        <f>IFERROR(__xludf.DUMMYFUNCTION("QUERY(IMPORTRANGE(""https://docs.google.com/spreadsheets/d/1cPJkZTbu617m80O_L5dMmofSU_pxmkDRV8wMXv-kDfI/edit?gid=0#gid=0"", ""July_2025!A7:F""),
""SELECT Col6 WHERE Col2 &gt;= 10000 AND Col2 &lt;= 10100 LABEL Col6'July_2025'"", 0)"),"#REF!")</f>
        <v>#REF!</v>
      </c>
      <c r="J62" s="1" t="str">
        <f>IFERROR(__xludf.DUMMYFUNCTION("QUERY(IMPORTRANGE(""https://docs.google.com/spreadsheets/d/1cPJkZTbu617m80O_L5dMmofSU_pxmkDRV8wMXv-kDfI/edit?gid=0#gid=0"", ""Aug_2025!A7:F""),
""SELECT Col6 WHERE Col2 &gt;= 10000 AND Col2 &lt;= 10100 LABEL Col6'Aug_2025'"", 0)"),"#REF!")</f>
        <v>#REF!</v>
      </c>
      <c r="K62" s="1" t="str">
        <f>IFERROR(__xludf.DUMMYFUNCTION("QUERY(IMPORTRANGE(""https://docs.google.com/spreadsheets/d/1cPJkZTbu617m80O_L5dMmofSU_pxmkDRV8wMXv-kDfI/edit?gid=0#gid=0"", ""Sep_2025!A7:F""),
""SELECT Col6 WHERE Col2 &gt;= 10000 AND Col2 &lt;= 10100 LABEL Col6'Sep_2025'"", 0)"),"#REF!")</f>
        <v>#REF!</v>
      </c>
      <c r="L62" s="1" t="str">
        <f>IFERROR(__xludf.DUMMYFUNCTION("QUERY(IMPORTRANGE(""https://docs.google.com/spreadsheets/d/1cPJkZTbu617m80O_L5dMmofSU_pxmkDRV8wMXv-kDfI/edit?gid=0#gid=0"", ""Oct_2025!A7:F""),
""SELECT Col6 WHERE Col2 &gt;= 10000 AND Col2 &lt;= 10100 LABEL Col6'Oct_2025'"", 0)"),"#REF!")</f>
        <v>#REF!</v>
      </c>
    </row>
    <row r="63" ht="15.75" customHeight="1">
      <c r="C63" s="1"/>
      <c r="D63" s="20"/>
      <c r="E63" s="20"/>
      <c r="F63" s="20"/>
      <c r="G63" s="20"/>
      <c r="H63" s="20"/>
      <c r="I63" s="20"/>
      <c r="J63" s="20"/>
      <c r="K63" s="20"/>
      <c r="L63" s="20"/>
    </row>
    <row r="64" ht="15.75" customHeight="1">
      <c r="C64" s="1"/>
      <c r="D64" s="20"/>
      <c r="E64" s="20"/>
      <c r="F64" s="20"/>
      <c r="G64" s="20"/>
      <c r="H64" s="20"/>
      <c r="I64" s="20"/>
      <c r="J64" s="20"/>
      <c r="K64" s="20"/>
      <c r="L64" s="20"/>
    </row>
    <row r="65" ht="15.75" customHeight="1">
      <c r="C65" s="34"/>
      <c r="D65" s="35">
        <f t="shared" ref="D65:L65" si="7">SUM(D63:D64)</f>
        <v>0</v>
      </c>
      <c r="E65" s="35">
        <f t="shared" si="7"/>
        <v>0</v>
      </c>
      <c r="F65" s="35">
        <f t="shared" si="7"/>
        <v>0</v>
      </c>
      <c r="G65" s="35">
        <f t="shared" si="7"/>
        <v>0</v>
      </c>
      <c r="H65" s="35">
        <f t="shared" si="7"/>
        <v>0</v>
      </c>
      <c r="I65" s="35">
        <f t="shared" si="7"/>
        <v>0</v>
      </c>
      <c r="J65" s="35">
        <f t="shared" si="7"/>
        <v>0</v>
      </c>
      <c r="K65" s="35">
        <f t="shared" si="7"/>
        <v>0</v>
      </c>
      <c r="L65" s="35">
        <f t="shared" si="7"/>
        <v>0</v>
      </c>
    </row>
    <row r="66" ht="15.75" customHeight="1">
      <c r="D66" s="20"/>
      <c r="L66" s="20">
        <f>L64-L60</f>
        <v>-212994813</v>
      </c>
    </row>
    <row r="67" ht="15.75" customHeight="1">
      <c r="B67" s="1">
        <v>12.0</v>
      </c>
      <c r="C67" s="31" t="s">
        <v>90</v>
      </c>
      <c r="D67" s="20"/>
    </row>
    <row r="68" ht="15.75" customHeight="1">
      <c r="C68" s="1" t="str">
        <f>IFERROR(__xludf.DUMMYFUNCTION("QUERY(IMPORTRANGE(""https://docs.google.com/spreadsheets/d/1cPJkZTbu617m80O_L5dMmofSU_pxmkDRV8wMXv-kDfI/edit?gid=0#gid=0"", ""Feb_2025!A7:F""),
""SELECT Col1, Col6 WHERE Col2 &gt;= 11000 AND Col2 &lt;= 11000 LABEL Col6'Feb_2025'"", 0)"),"#REF!")</f>
        <v>#REF!</v>
      </c>
      <c r="D68" s="20"/>
      <c r="E68" s="1" t="str">
        <f>IFERROR(__xludf.DUMMYFUNCTION("QUERY(IMPORTRANGE(""https://docs.google.com/spreadsheets/d/1cPJkZTbu617m80O_L5dMmofSU_pxmkDRV8wMXv-kDfI/edit?gid=0#gid=0"", ""Mar_2025!A7:F""),
""SELECT Col6 WHERE Col2 &gt;= 11000 AND Col2 &lt;= 11000 LABEL Col6'Mar_2025'"", 0)"),"#REF!")</f>
        <v>#REF!</v>
      </c>
      <c r="F68" s="1" t="str">
        <f>IFERROR(__xludf.DUMMYFUNCTION("QUERY(IMPORTRANGE(""https://docs.google.com/spreadsheets/d/1cPJkZTbu617m80O_L5dMmofSU_pxmkDRV8wMXv-kDfI/edit?gid=0#gid=0"", ""April_2025!A7:F""),
""SELECT Col6 WHERE Col2 &gt;= 11000 AND Col2 &lt;= 11000 LABEL Col6'April_2025'"", 0)"),"#REF!")</f>
        <v>#REF!</v>
      </c>
      <c r="G68" s="1" t="str">
        <f>IFERROR(__xludf.DUMMYFUNCTION("QUERY(IMPORTRANGE(""https://docs.google.com/spreadsheets/d/1cPJkZTbu617m80O_L5dMmofSU_pxmkDRV8wMXv-kDfI/edit?gid=0#gid=0"", ""May_2025!A7:F""),
""SELECT Col6 WHERE Col2 &gt;= 11000 AND Col2 &lt;= 11000 LABEL Col6'May_2025'"", 0)"),"#REF!")</f>
        <v>#REF!</v>
      </c>
      <c r="H68" s="1" t="str">
        <f>IFERROR(__xludf.DUMMYFUNCTION("QUERY(IMPORTRANGE(""https://docs.google.com/spreadsheets/d/1cPJkZTbu617m80O_L5dMmofSU_pxmkDRV8wMXv-kDfI/edit?gid=0#gid=0"", ""June_2025!A7:F""),
""SELECT Col6 WHERE Col2 &gt;= 11000 AND Col2 &lt;= 11000 LABEL Col6'June_2025'"", 0)"),"#REF!")</f>
        <v>#REF!</v>
      </c>
      <c r="I68" s="1" t="str">
        <f>IFERROR(__xludf.DUMMYFUNCTION("QUERY(IMPORTRANGE(""https://docs.google.com/spreadsheets/d/1cPJkZTbu617m80O_L5dMmofSU_pxmkDRV8wMXv-kDfI/edit?gid=0#gid=0"", ""July_2025!A7:F""),
""SELECT Col6 WHERE Col2 &gt;= 11000 AND Col2 &lt;= 11000 LABEL Col6'July_2025'"", 0)"),"#REF!")</f>
        <v>#REF!</v>
      </c>
      <c r="J68" s="1" t="str">
        <f>IFERROR(__xludf.DUMMYFUNCTION("QUERY(IMPORTRANGE(""https://docs.google.com/spreadsheets/d/1cPJkZTbu617m80O_L5dMmofSU_pxmkDRV8wMXv-kDfI/edit?gid=0#gid=0"", ""Aug_2025!A7:F""),
""SELECT Col6 WHERE Col2 &gt;= 11000 AND Col2 &lt;= 11000 LABEL Col6'Aug_2025'"", 0)"),"#REF!")</f>
        <v>#REF!</v>
      </c>
      <c r="K68" s="1" t="str">
        <f>IFERROR(__xludf.DUMMYFUNCTION("QUERY(IMPORTRANGE(""https://docs.google.com/spreadsheets/d/1cPJkZTbu617m80O_L5dMmofSU_pxmkDRV8wMXv-kDfI/edit?gid=0#gid=0"", ""Sep_2025!A7:F""),
""SELECT Col6 WHERE Col2 &gt;= 11000 AND Col2 &lt;= 11000 LABEL Col6'Sep_2025'"", 0)"),"#REF!")</f>
        <v>#REF!</v>
      </c>
      <c r="L68" s="1" t="str">
        <f>IFERROR(__xludf.DUMMYFUNCTION("QUERY(IMPORTRANGE(""https://docs.google.com/spreadsheets/d/1cPJkZTbu617m80O_L5dMmofSU_pxmkDRV8wMXv-kDfI/edit?gid=0#gid=0"", ""Oct_2025!A7:F""),
""SELECT Col6 WHERE Col2 &gt;= 11000 AND Col2 &lt;= 11000 LABEL Col6'Oct_2025'"", 0)"),"#REF!")</f>
        <v>#REF!</v>
      </c>
    </row>
    <row r="69" ht="15.75" customHeight="1">
      <c r="C69" s="1"/>
      <c r="D69" s="20"/>
      <c r="E69" s="20"/>
      <c r="F69" s="20"/>
      <c r="G69" s="20"/>
      <c r="H69" s="20"/>
      <c r="I69" s="20"/>
      <c r="J69" s="20"/>
      <c r="K69" s="20"/>
      <c r="L69" s="20"/>
    </row>
    <row r="70" ht="15.75" customHeight="1">
      <c r="C70" s="34"/>
      <c r="D70" s="35" t="str">
        <f t="shared" ref="D70:L70" si="8">D69</f>
        <v/>
      </c>
      <c r="E70" s="35" t="str">
        <f t="shared" si="8"/>
        <v/>
      </c>
      <c r="F70" s="35" t="str">
        <f t="shared" si="8"/>
        <v/>
      </c>
      <c r="G70" s="35" t="str">
        <f t="shared" si="8"/>
        <v/>
      </c>
      <c r="H70" s="35" t="str">
        <f t="shared" si="8"/>
        <v/>
      </c>
      <c r="I70" s="35" t="str">
        <f t="shared" si="8"/>
        <v/>
      </c>
      <c r="J70" s="35" t="str">
        <f t="shared" si="8"/>
        <v/>
      </c>
      <c r="K70" s="35" t="str">
        <f t="shared" si="8"/>
        <v/>
      </c>
      <c r="L70" s="35" t="str">
        <f t="shared" si="8"/>
        <v/>
      </c>
    </row>
    <row r="71" ht="15.75" customHeight="1">
      <c r="D71" s="20"/>
    </row>
    <row r="72" ht="15.75" customHeight="1">
      <c r="B72" s="1">
        <v>13.0</v>
      </c>
      <c r="C72" s="31" t="s">
        <v>91</v>
      </c>
      <c r="D72" s="20"/>
    </row>
    <row r="73" ht="15.75" customHeight="1">
      <c r="C73" s="1" t="str">
        <f>IFERROR(__xludf.DUMMYFUNCTION("QUERY(IMPORTRANGE(""https://docs.google.com/spreadsheets/d/1cPJkZTbu617m80O_L5dMmofSU_pxmkDRV8wMXv-kDfI/edit?gid=0#gid=0"", ""Feb_2025!A7:F""),
""SELECT Col1, Col6 WHERE Col2 &gt;= 12000 AND Col2 &lt;= 12300 LABEL Col6'Feb_2025'"", 0)"),"#REF!")</f>
        <v>#REF!</v>
      </c>
      <c r="D73" s="20"/>
      <c r="E73" s="1" t="str">
        <f>IFERROR(__xludf.DUMMYFUNCTION("QUERY(IMPORTRANGE(""https://docs.google.com/spreadsheets/d/1cPJkZTbu617m80O_L5dMmofSU_pxmkDRV8wMXv-kDfI/edit?gid=0#gid=0"", ""Mar_2025!A7:F""),
""SELECT Col6 WHERE Col2 &gt;= 12000 AND Col2 &lt;= 12300 LABEL Col6'Mar_2025'"", 0)"),"#REF!")</f>
        <v>#REF!</v>
      </c>
      <c r="F73" s="1" t="str">
        <f>IFERROR(__xludf.DUMMYFUNCTION("QUERY(IMPORTRANGE(""https://docs.google.com/spreadsheets/d/1cPJkZTbu617m80O_L5dMmofSU_pxmkDRV8wMXv-kDfI/edit?gid=0#gid=0"", ""April_2025!A7:F""),
""SELECT Col6 WHERE Col2 &gt;= 12000 AND Col2 &lt;= 12300 LABEL Col6'April_2025'"", 0)"),"#REF!")</f>
        <v>#REF!</v>
      </c>
      <c r="G73" s="1" t="str">
        <f>IFERROR(__xludf.DUMMYFUNCTION("QUERY(IMPORTRANGE(""https://docs.google.com/spreadsheets/d/1cPJkZTbu617m80O_L5dMmofSU_pxmkDRV8wMXv-kDfI/edit?gid=0#gid=0"", ""May_2025!A7:F""),
""SELECT Col6 WHERE Col2 &gt;= 12000 AND Col2 &lt;= 12300 LABEL Col6'May_2025'"", 0)"),"#REF!")</f>
        <v>#REF!</v>
      </c>
      <c r="H73" s="1" t="str">
        <f>IFERROR(__xludf.DUMMYFUNCTION("QUERY(IMPORTRANGE(""https://docs.google.com/spreadsheets/d/1cPJkZTbu617m80O_L5dMmofSU_pxmkDRV8wMXv-kDfI/edit?gid=0#gid=0"", ""June_2025!A7:F""),
""SELECT Col6 WHERE Col2 &gt;= 12000 AND Col2 &lt;= 12300 LABEL Col6'June_2025'"", 0)"),"#REF!")</f>
        <v>#REF!</v>
      </c>
      <c r="I73" s="1" t="str">
        <f>IFERROR(__xludf.DUMMYFUNCTION("QUERY(IMPORTRANGE(""https://docs.google.com/spreadsheets/d/1cPJkZTbu617m80O_L5dMmofSU_pxmkDRV8wMXv-kDfI/edit?gid=0#gid=0"", ""July_2025!A7:F""),
""SELECT Col6 WHERE Col2 &gt;= 12000 AND Col2 &lt;= 12300 LABEL Col6'July_2025'"", 0)"),"#REF!")</f>
        <v>#REF!</v>
      </c>
      <c r="J73" s="1" t="str">
        <f>IFERROR(__xludf.DUMMYFUNCTION("QUERY(IMPORTRANGE(""https://docs.google.com/spreadsheets/d/1cPJkZTbu617m80O_L5dMmofSU_pxmkDRV8wMXv-kDfI/edit?gid=0#gid=0"", ""Aug_2025!A7:F""),
""SELECT Col6 WHERE Col2 &gt;= 12000 AND Col2 &lt;= 12300 LABEL Col6'Aug_2025'"", 0)"),"#REF!")</f>
        <v>#REF!</v>
      </c>
      <c r="K73" s="1" t="str">
        <f>IFERROR(__xludf.DUMMYFUNCTION("QUERY(IMPORTRANGE(""https://docs.google.com/spreadsheets/d/1cPJkZTbu617m80O_L5dMmofSU_pxmkDRV8wMXv-kDfI/edit?gid=0#gid=0"", ""Sep_2025!A7:F""),
""SELECT Col6 WHERE Col2 &gt;= 12000 AND Col2 &lt;= 12300 LABEL Col6'Sep_2025'"", 0)"),"#REF!")</f>
        <v>#REF!</v>
      </c>
      <c r="L73" s="1" t="str">
        <f>IFERROR(__xludf.DUMMYFUNCTION("QUERY(IMPORTRANGE(""https://docs.google.com/spreadsheets/d/1cPJkZTbu617m80O_L5dMmofSU_pxmkDRV8wMXv-kDfI/edit?gid=0#gid=0"", ""Oct_2025!A7:F""),
""SELECT Col6 WHERE Col2 &gt;= 12000 AND Col2 &lt;= 12300 LABEL Col6'Oct_2025'"", 0)"),"#REF!")</f>
        <v>#REF!</v>
      </c>
    </row>
    <row r="74" ht="15.75" customHeight="1">
      <c r="C74" s="1"/>
      <c r="D74" s="20"/>
      <c r="E74" s="20"/>
      <c r="F74" s="20"/>
      <c r="G74" s="20"/>
      <c r="H74" s="20"/>
      <c r="I74" s="20"/>
      <c r="J74" s="20"/>
      <c r="K74" s="20"/>
      <c r="L74" s="20"/>
    </row>
    <row r="75" ht="15.75" customHeight="1">
      <c r="C75" s="1"/>
      <c r="D75" s="20"/>
      <c r="E75" s="20"/>
      <c r="F75" s="20"/>
      <c r="G75" s="20"/>
      <c r="H75" s="20"/>
      <c r="I75" s="20"/>
      <c r="J75" s="20"/>
      <c r="K75" s="20"/>
      <c r="L75" s="20"/>
    </row>
    <row r="76" ht="15.75" customHeight="1">
      <c r="C76" s="1"/>
      <c r="D76" s="20"/>
      <c r="E76" s="20"/>
      <c r="F76" s="20"/>
      <c r="G76" s="20"/>
      <c r="H76" s="20"/>
      <c r="I76" s="20"/>
      <c r="J76" s="20"/>
      <c r="K76" s="20"/>
      <c r="L76" s="20"/>
    </row>
    <row r="77" ht="15.75" customHeight="1">
      <c r="C77" s="1"/>
      <c r="D77" s="20"/>
      <c r="E77" s="20"/>
      <c r="F77" s="20"/>
      <c r="G77" s="20"/>
      <c r="H77" s="20"/>
      <c r="I77" s="20"/>
      <c r="J77" s="20"/>
      <c r="K77" s="20"/>
      <c r="L77" s="20"/>
    </row>
    <row r="78" ht="15.75" customHeight="1">
      <c r="C78" s="34"/>
      <c r="D78" s="35">
        <f t="shared" ref="D78:L78" si="9">SUM(D74:D77)</f>
        <v>0</v>
      </c>
      <c r="E78" s="35">
        <f t="shared" si="9"/>
        <v>0</v>
      </c>
      <c r="F78" s="35">
        <f t="shared" si="9"/>
        <v>0</v>
      </c>
      <c r="G78" s="35">
        <f t="shared" si="9"/>
        <v>0</v>
      </c>
      <c r="H78" s="35">
        <f t="shared" si="9"/>
        <v>0</v>
      </c>
      <c r="I78" s="35">
        <f t="shared" si="9"/>
        <v>0</v>
      </c>
      <c r="J78" s="35">
        <f t="shared" si="9"/>
        <v>0</v>
      </c>
      <c r="K78" s="35">
        <f t="shared" si="9"/>
        <v>0</v>
      </c>
      <c r="L78" s="35">
        <f t="shared" si="9"/>
        <v>0</v>
      </c>
    </row>
    <row r="79" ht="15.75" customHeight="1">
      <c r="D79" s="20"/>
    </row>
    <row r="80" ht="15.75" customHeight="1">
      <c r="D80" s="20"/>
    </row>
    <row r="81" ht="15.75" customHeight="1">
      <c r="B81" s="1">
        <v>14.0</v>
      </c>
      <c r="C81" s="31" t="s">
        <v>92</v>
      </c>
      <c r="D81" s="20"/>
    </row>
    <row r="82" ht="15.75" customHeight="1">
      <c r="C82" s="1" t="str">
        <f>IFERROR(__xludf.DUMMYFUNCTION("QUERY(IMPORTRANGE(""https://docs.google.com/spreadsheets/d/1cPJkZTbu617m80O_L5dMmofSU_pxmkDRV8wMXv-kDfI/edit?gid=0#gid=0"", ""Feb_2025!A7:F""),
""SELECT Col1, Col6 WHERE Col2 &gt;= 13000 AND Col2 &lt;= 13000 LABEL Col6'Feb_2025'"", 0)"),"#REF!")</f>
        <v>#REF!</v>
      </c>
      <c r="D82" s="20"/>
      <c r="E82" s="1" t="str">
        <f>IFERROR(__xludf.DUMMYFUNCTION("QUERY(IMPORTRANGE(""https://docs.google.com/spreadsheets/d/1cPJkZTbu617m80O_L5dMmofSU_pxmkDRV8wMXv-kDfI/edit?gid=0#gid=0"", ""Mar_2025!A7:F""),
""SELECT Col6 WHERE Col2 &gt;= 13000 AND Col2 &lt;= 13000 LABEL Col6'Mar_2025'"", 0)"),"#REF!")</f>
        <v>#REF!</v>
      </c>
      <c r="F82" s="1" t="str">
        <f>IFERROR(__xludf.DUMMYFUNCTION("QUERY(IMPORTRANGE(""https://docs.google.com/spreadsheets/d/1cPJkZTbu617m80O_L5dMmofSU_pxmkDRV8wMXv-kDfI/edit?gid=0#gid=0"", ""April_2025!A7:F""),
""SELECT Col6 WHERE Col2 &gt;= 13000 AND Col2 &lt;= 13000 LABEL Col6'April_2025'"", 0)"),"#REF!")</f>
        <v>#REF!</v>
      </c>
      <c r="G82" s="1" t="str">
        <f>IFERROR(__xludf.DUMMYFUNCTION("QUERY(IMPORTRANGE(""https://docs.google.com/spreadsheets/d/1cPJkZTbu617m80O_L5dMmofSU_pxmkDRV8wMXv-kDfI/edit?gid=0#gid=0"", ""May_2025!A7:F""),
""SELECT Col6 WHERE Col2 &gt;= 13000 AND Col2 &lt;= 13000 LABEL Col6'May_2025'"", 0)"),"#REF!")</f>
        <v>#REF!</v>
      </c>
      <c r="H82" s="1" t="str">
        <f>IFERROR(__xludf.DUMMYFUNCTION("QUERY(IMPORTRANGE(""https://docs.google.com/spreadsheets/d/1cPJkZTbu617m80O_L5dMmofSU_pxmkDRV8wMXv-kDfI/edit?gid=0#gid=0"", ""June_2025!A7:F""),
""SELECT Col6 WHERE Col2 &gt;= 13000 AND Col2 &lt;= 13000 LABEL Col6'June_2025'"", 0)"),"#REF!")</f>
        <v>#REF!</v>
      </c>
      <c r="I82" s="1" t="str">
        <f>IFERROR(__xludf.DUMMYFUNCTION("QUERY(IMPORTRANGE(""https://docs.google.com/spreadsheets/d/1cPJkZTbu617m80O_L5dMmofSU_pxmkDRV8wMXv-kDfI/edit?gid=0#gid=0"", ""July_2025!A7:F""),
""SELECT Col6 WHERE Col2 &gt;= 13000 AND Col2 &lt;= 13000 LABEL Col6'July_2025'"", 0)"),"#REF!")</f>
        <v>#REF!</v>
      </c>
      <c r="J82" s="1" t="str">
        <f>IFERROR(__xludf.DUMMYFUNCTION("QUERY(IMPORTRANGE(""https://docs.google.com/spreadsheets/d/1cPJkZTbu617m80O_L5dMmofSU_pxmkDRV8wMXv-kDfI/edit?gid=0#gid=0"", ""Aug_2025!A7:F""),
""SELECT Col6 WHERE Col2 &gt;= 13000 AND Col2 &lt;= 13000 LABEL Col6'Aug_2025'"", 0)"),"#REF!")</f>
        <v>#REF!</v>
      </c>
      <c r="K82" s="1" t="str">
        <f>IFERROR(__xludf.DUMMYFUNCTION("QUERY(IMPORTRANGE(""https://docs.google.com/spreadsheets/d/1cPJkZTbu617m80O_L5dMmofSU_pxmkDRV8wMXv-kDfI/edit?gid=0#gid=0"", ""Sep_2025!A7:F""),
""SELECT Col6 WHERE Col2 &gt;= 13000 AND Col2 &lt;= 13000 LABEL Col6'Sep_2025'"", 0)"),"#REF!")</f>
        <v>#REF!</v>
      </c>
      <c r="L82" s="1" t="str">
        <f>IFERROR(__xludf.DUMMYFUNCTION("QUERY(IMPORTRANGE(""https://docs.google.com/spreadsheets/d/1cPJkZTbu617m80O_L5dMmofSU_pxmkDRV8wMXv-kDfI/edit?gid=0#gid=0"", ""Oct_2025!A7:F""),
""SELECT Col6 WHERE Col2 &gt;= 13000 AND Col2 &lt;= 13000 LABEL Col6'Oct_2025'"", 0)"),"#REF!")</f>
        <v>#REF!</v>
      </c>
    </row>
    <row r="83" ht="15.75" customHeight="1">
      <c r="C83" s="1"/>
      <c r="D83" s="20"/>
      <c r="E83" s="20"/>
      <c r="F83" s="20"/>
      <c r="G83" s="20"/>
      <c r="H83" s="20"/>
      <c r="I83" s="20"/>
      <c r="J83" s="20"/>
      <c r="K83" s="20"/>
      <c r="L83" s="20"/>
    </row>
    <row r="84" ht="15.75" customHeight="1">
      <c r="C84" s="34"/>
      <c r="D84" s="35" t="str">
        <f t="shared" ref="D84:L84" si="10">D83</f>
        <v/>
      </c>
      <c r="E84" s="35" t="str">
        <f t="shared" si="10"/>
        <v/>
      </c>
      <c r="F84" s="35" t="str">
        <f t="shared" si="10"/>
        <v/>
      </c>
      <c r="G84" s="35" t="str">
        <f t="shared" si="10"/>
        <v/>
      </c>
      <c r="H84" s="35" t="str">
        <f t="shared" si="10"/>
        <v/>
      </c>
      <c r="I84" s="35" t="str">
        <f t="shared" si="10"/>
        <v/>
      </c>
      <c r="J84" s="35" t="str">
        <f t="shared" si="10"/>
        <v/>
      </c>
      <c r="K84" s="35" t="str">
        <f t="shared" si="10"/>
        <v/>
      </c>
      <c r="L84" s="35" t="str">
        <f t="shared" si="10"/>
        <v/>
      </c>
    </row>
    <row r="85" ht="15.75" customHeight="1">
      <c r="D85" s="20"/>
    </row>
    <row r="86" ht="15.75" customHeight="1">
      <c r="B86" s="1">
        <f>B81+1</f>
        <v>15</v>
      </c>
      <c r="C86" s="31" t="s">
        <v>93</v>
      </c>
      <c r="D86" s="20" t="s">
        <v>78</v>
      </c>
      <c r="E86" s="1" t="s">
        <v>79</v>
      </c>
      <c r="F86" s="1" t="s">
        <v>80</v>
      </c>
      <c r="G86" s="1" t="s">
        <v>81</v>
      </c>
      <c r="H86" s="1" t="s">
        <v>82</v>
      </c>
      <c r="I86" s="1" t="s">
        <v>83</v>
      </c>
      <c r="J86" s="1" t="s">
        <v>84</v>
      </c>
      <c r="K86" s="1" t="s">
        <v>85</v>
      </c>
      <c r="L86" s="1" t="str">
        <f>IFERROR(__xludf.DUMMYFUNCTION("QUERY(IMPORTRANGE(""https://docs.google.com/spreadsheets/d/1cPJkZTbu617m80O_L5dMmofSU_pxmkDRV8wMXv-kDfI/edit?gid=0#gid=0"", ""Oct_2025!A7:F""),
""SELECT Col6 WHERE Col2 &gt;= 14000 AND Col2 &lt;= 14000 LABEL Col6'Oct_2025'"", 0)"),"#REF!")</f>
        <v>#REF!</v>
      </c>
    </row>
    <row r="87" ht="15.75" customHeight="1">
      <c r="C87" s="1" t="s">
        <v>93</v>
      </c>
      <c r="D87" s="20">
        <v>0.0</v>
      </c>
      <c r="E87" s="20">
        <v>0.0</v>
      </c>
      <c r="F87" s="20">
        <v>0.0</v>
      </c>
      <c r="G87" s="20">
        <v>0.0</v>
      </c>
      <c r="H87" s="20">
        <v>0.0</v>
      </c>
      <c r="I87" s="20">
        <v>0.0</v>
      </c>
      <c r="J87" s="20">
        <v>0.0</v>
      </c>
      <c r="K87" s="20">
        <v>0.0</v>
      </c>
      <c r="L87" s="20"/>
    </row>
    <row r="88" ht="15.75" customHeight="1">
      <c r="D88" s="20"/>
    </row>
    <row r="89" ht="15.75" customHeight="1">
      <c r="D89" s="20"/>
    </row>
    <row r="90" ht="15.75" customHeight="1">
      <c r="B90" s="1">
        <f>B86+1</f>
        <v>16</v>
      </c>
      <c r="C90" s="31" t="s">
        <v>94</v>
      </c>
      <c r="D90" s="20"/>
    </row>
    <row r="91" ht="15.75" customHeight="1">
      <c r="C91" s="1" t="str">
        <f>IFERROR(__xludf.DUMMYFUNCTION("QUERY(IMPORTRANGE(""https://docs.google.com/spreadsheets/d/1cPJkZTbu617m80O_L5dMmofSU_pxmkDRV8wMXv-kDfI/edit?gid=0#gid=0"", ""Feb_2025!A7:F""),
""SELECT Col1, Col6 WHERE Col2 &gt;= 15000 AND Col2 &lt;= 15999 LABEL Col6'Feb_2025'"", 0)"),"#REF!")</f>
        <v>#REF!</v>
      </c>
      <c r="D91" s="20"/>
      <c r="E91" s="1" t="str">
        <f>IFERROR(__xludf.DUMMYFUNCTION("QUERY(IMPORTRANGE(""https://docs.google.com/spreadsheets/d/1cPJkZTbu617m80O_L5dMmofSU_pxmkDRV8wMXv-kDfI/edit?gid=0#gid=0"", ""Mar_2025!A7:F""),
""SELECT Col6 WHERE Col2 &gt;= 15000 AND Col2 &lt;= 15999 LABEL Col6'Mar_2025'"", 0)"),"#REF!")</f>
        <v>#REF!</v>
      </c>
      <c r="F91" s="1" t="str">
        <f>IFERROR(__xludf.DUMMYFUNCTION("QUERY(IMPORTRANGE(""https://docs.google.com/spreadsheets/d/1cPJkZTbu617m80O_L5dMmofSU_pxmkDRV8wMXv-kDfI/edit?gid=0#gid=0"", ""April_2025!A7:F""),
""SELECT Col6 WHERE Col2 &gt;= 15000 AND Col2 &lt;= 15999 LABEL Col6'April_2025'"", 0)"),"#REF!")</f>
        <v>#REF!</v>
      </c>
      <c r="G91" s="1" t="str">
        <f>IFERROR(__xludf.DUMMYFUNCTION("QUERY(IMPORTRANGE(""https://docs.google.com/spreadsheets/d/1cPJkZTbu617m80O_L5dMmofSU_pxmkDRV8wMXv-kDfI/edit?gid=0#gid=0"", ""May_2025!A7:F""),
""SELECT Col6 WHERE Col2 &gt;= 15000 AND Col2 &lt;= 15999 LABEL Col6'May_2025'"", 0)"),"#REF!")</f>
        <v>#REF!</v>
      </c>
      <c r="H91" s="1" t="str">
        <f>IFERROR(__xludf.DUMMYFUNCTION("QUERY(IMPORTRANGE(""https://docs.google.com/spreadsheets/d/1cPJkZTbu617m80O_L5dMmofSU_pxmkDRV8wMXv-kDfI/edit?gid=0#gid=0"", ""June_2025!A7:F""),
""SELECT Col6 WHERE Col2 &gt;= 15000 AND Col2 &lt;= 15999 LABEL Col6'June_2025'"", 0)"),"#REF!")</f>
        <v>#REF!</v>
      </c>
      <c r="I91" s="1" t="str">
        <f>IFERROR(__xludf.DUMMYFUNCTION("QUERY(IMPORTRANGE(""https://docs.google.com/spreadsheets/d/1cPJkZTbu617m80O_L5dMmofSU_pxmkDRV8wMXv-kDfI/edit?gid=0#gid=0"", ""July_2025!A7:F""),
""SELECT Col6 WHERE Col2 &gt;= 15000 AND Col2 &lt;= 15999 LABEL Col6'July_2025'"", 0)"),"#REF!")</f>
        <v>#REF!</v>
      </c>
      <c r="J91" s="1" t="str">
        <f>IFERROR(__xludf.DUMMYFUNCTION("QUERY(IMPORTRANGE(""https://docs.google.com/spreadsheets/d/1cPJkZTbu617m80O_L5dMmofSU_pxmkDRV8wMXv-kDfI/edit?gid=0#gid=0"", ""Aug_2025!A7:F""),
""SELECT Col6 WHERE Col2 &gt;= 15000 AND Col2 &lt;= 15999 LABEL Col6'Aug_2025'"", 0)"),"#REF!")</f>
        <v>#REF!</v>
      </c>
      <c r="K91" s="1" t="str">
        <f>IFERROR(__xludf.DUMMYFUNCTION("QUERY(IMPORTRANGE(""https://docs.google.com/spreadsheets/d/1cPJkZTbu617m80O_L5dMmofSU_pxmkDRV8wMXv-kDfI/edit?gid=0#gid=0"", ""Sep_2025!A7:F""),
""SELECT Col6 WHERE Col2 &gt;= 15000 AND Col2 &lt;= 15999 LABEL Col6'Sep_2025'"", 0)"),"#REF!")</f>
        <v>#REF!</v>
      </c>
      <c r="L91" s="1" t="str">
        <f>IFERROR(__xludf.DUMMYFUNCTION("QUERY(IMPORTRANGE(""https://docs.google.com/spreadsheets/d/1cPJkZTbu617m80O_L5dMmofSU_pxmkDRV8wMXv-kDfI/edit?gid=0#gid=0"", ""Oct_2025!A7:F""),
""SELECT Col6 WHERE Col2 &gt;= 15000 AND Col2 &lt;= 15999 LABEL Col6'Oct_2025'"", 0)"),"#REF!")</f>
        <v>#REF!</v>
      </c>
    </row>
    <row r="92" ht="15.75" customHeight="1">
      <c r="C92" s="1"/>
      <c r="D92" s="20"/>
      <c r="E92" s="20"/>
      <c r="F92" s="20"/>
      <c r="G92" s="20"/>
      <c r="H92" s="20"/>
      <c r="I92" s="20"/>
      <c r="J92" s="20"/>
      <c r="K92" s="20"/>
      <c r="L92" s="20"/>
    </row>
    <row r="93" ht="15.75" customHeight="1">
      <c r="C93" s="1"/>
      <c r="D93" s="20"/>
      <c r="E93" s="20"/>
      <c r="F93" s="20"/>
      <c r="G93" s="20"/>
      <c r="H93" s="20"/>
      <c r="I93" s="20"/>
      <c r="J93" s="20"/>
      <c r="K93" s="20"/>
      <c r="L93" s="20"/>
    </row>
    <row r="94" ht="15.75" customHeight="1">
      <c r="C94" s="1"/>
      <c r="D94" s="20"/>
      <c r="E94" s="20"/>
      <c r="F94" s="20"/>
      <c r="G94" s="20"/>
      <c r="H94" s="20"/>
      <c r="I94" s="20"/>
      <c r="J94" s="20"/>
      <c r="K94" s="20"/>
      <c r="L94" s="20"/>
    </row>
    <row r="95" ht="15.75" customHeight="1">
      <c r="C95" s="1"/>
      <c r="D95" s="20"/>
      <c r="E95" s="20"/>
      <c r="F95" s="20"/>
      <c r="G95" s="20"/>
      <c r="H95" s="20"/>
      <c r="I95" s="20"/>
      <c r="J95" s="20"/>
      <c r="K95" s="20"/>
      <c r="L95" s="20"/>
    </row>
    <row r="96" ht="15.75" customHeight="1">
      <c r="C96" s="1"/>
      <c r="D96" s="20"/>
      <c r="E96" s="20"/>
      <c r="F96" s="20"/>
      <c r="G96" s="20"/>
      <c r="H96" s="20"/>
      <c r="I96" s="20"/>
      <c r="J96" s="20"/>
      <c r="K96" s="20"/>
      <c r="L96" s="20"/>
    </row>
    <row r="97" ht="15.75" customHeight="1">
      <c r="C97" s="1"/>
      <c r="D97" s="20"/>
      <c r="E97" s="20"/>
      <c r="F97" s="20"/>
      <c r="G97" s="20"/>
      <c r="H97" s="20"/>
      <c r="I97" s="20"/>
      <c r="J97" s="20"/>
      <c r="K97" s="20"/>
      <c r="L97" s="20"/>
    </row>
    <row r="98" ht="15.75" customHeight="1">
      <c r="C98" s="1"/>
      <c r="D98" s="20"/>
      <c r="E98" s="20"/>
      <c r="F98" s="20"/>
      <c r="G98" s="20"/>
      <c r="H98" s="20"/>
      <c r="I98" s="20"/>
      <c r="J98" s="20"/>
      <c r="K98" s="20"/>
      <c r="L98" s="20"/>
    </row>
    <row r="99" ht="15.75" customHeight="1">
      <c r="C99" s="1"/>
      <c r="D99" s="20"/>
      <c r="E99" s="20"/>
      <c r="F99" s="20"/>
      <c r="G99" s="20"/>
      <c r="H99" s="20"/>
      <c r="I99" s="20"/>
      <c r="J99" s="20"/>
      <c r="K99" s="20"/>
      <c r="L99" s="20"/>
    </row>
    <row r="100" ht="15.75" customHeight="1">
      <c r="C100" s="1"/>
      <c r="D100" s="20"/>
      <c r="E100" s="20"/>
      <c r="F100" s="20"/>
      <c r="G100" s="20"/>
      <c r="H100" s="20"/>
      <c r="I100" s="20"/>
      <c r="J100" s="20"/>
      <c r="K100" s="20"/>
      <c r="L100" s="20"/>
    </row>
    <row r="101" ht="15.75" customHeight="1">
      <c r="C101" s="1"/>
      <c r="D101" s="20"/>
      <c r="E101" s="20"/>
      <c r="F101" s="20"/>
      <c r="G101" s="20"/>
      <c r="H101" s="20"/>
      <c r="I101" s="20"/>
      <c r="J101" s="20"/>
      <c r="K101" s="20"/>
      <c r="L101" s="20"/>
    </row>
    <row r="102" ht="15.75" customHeight="1">
      <c r="C102" s="1"/>
      <c r="D102" s="20"/>
      <c r="E102" s="20"/>
      <c r="F102" s="20"/>
      <c r="G102" s="20"/>
      <c r="H102" s="20"/>
      <c r="I102" s="20"/>
      <c r="J102" s="20"/>
      <c r="K102" s="20"/>
      <c r="L102" s="20"/>
    </row>
    <row r="103" ht="15.75" customHeight="1">
      <c r="C103" s="1"/>
      <c r="D103" s="20"/>
      <c r="E103" s="20"/>
      <c r="F103" s="20"/>
      <c r="G103" s="20"/>
      <c r="H103" s="20"/>
      <c r="I103" s="20"/>
      <c r="J103" s="20"/>
      <c r="K103" s="20"/>
      <c r="L103" s="20"/>
    </row>
    <row r="104" ht="15.75" customHeight="1">
      <c r="C104" s="34"/>
      <c r="D104" s="35">
        <f t="shared" ref="D104:L104" si="11">sum(D92:D98)-sum(D99:D103)</f>
        <v>0</v>
      </c>
      <c r="E104" s="35">
        <f t="shared" si="11"/>
        <v>0</v>
      </c>
      <c r="F104" s="35">
        <f t="shared" si="11"/>
        <v>0</v>
      </c>
      <c r="G104" s="35">
        <f t="shared" si="11"/>
        <v>0</v>
      </c>
      <c r="H104" s="35">
        <f t="shared" si="11"/>
        <v>0</v>
      </c>
      <c r="I104" s="35">
        <f t="shared" si="11"/>
        <v>0</v>
      </c>
      <c r="J104" s="35">
        <f t="shared" si="11"/>
        <v>0</v>
      </c>
      <c r="K104" s="35">
        <f t="shared" si="11"/>
        <v>0</v>
      </c>
      <c r="L104" s="35">
        <f t="shared" si="11"/>
        <v>0</v>
      </c>
    </row>
    <row r="105" ht="15.75" customHeight="1">
      <c r="D105" s="20"/>
    </row>
    <row r="106" ht="15.75" customHeight="1">
      <c r="B106" s="1">
        <f>B90+1</f>
        <v>17</v>
      </c>
      <c r="C106" s="31" t="s">
        <v>95</v>
      </c>
      <c r="D106" s="20"/>
    </row>
    <row r="107" ht="15.75" customHeight="1">
      <c r="C107" s="1" t="str">
        <f>IFERROR(__xludf.DUMMYFUNCTION("QUERY(IMPORTRANGE(""https://docs.google.com/spreadsheets/d/1cPJkZTbu617m80O_L5dMmofSU_pxmkDRV8wMXv-kDfI/edit?gid=0#gid=0"", ""Feb_2025!A7:F""),
""SELECT Col1, Col6 WHERE Col2 &gt;= 31000 AND Col2 &lt;= 31000 LABEL Col6'Feb_2025'"", 0)"),"#REF!")</f>
        <v>#REF!</v>
      </c>
      <c r="D107" s="20"/>
      <c r="E107" s="1" t="str">
        <f>IFERROR(__xludf.DUMMYFUNCTION("QUERY(IMPORTRANGE(""https://docs.google.com/spreadsheets/d/1cPJkZTbu617m80O_L5dMmofSU_pxmkDRV8wMXv-kDfI/edit?gid=0#gid=0"", ""Mar_2025!A7:F""),
""SELECT Col6 WHERE Col2 &gt;= 31000 AND Col2 &lt;= 31000 LABEL Col6'Mar_2025'"", 0)"),"#REF!")</f>
        <v>#REF!</v>
      </c>
      <c r="F107" s="1" t="str">
        <f>IFERROR(__xludf.DUMMYFUNCTION("QUERY(IMPORTRANGE(""https://docs.google.com/spreadsheets/d/1cPJkZTbu617m80O_L5dMmofSU_pxmkDRV8wMXv-kDfI/edit?gid=0#gid=0"", ""April_2025!A7:F""),
""SELECT Col6 WHERE Col2 &gt;= 31000 AND Col2 &lt;= 31000 LABEL Col6'April_2025'"", 0)"),"#REF!")</f>
        <v>#REF!</v>
      </c>
      <c r="G107" s="1" t="str">
        <f>IFERROR(__xludf.DUMMYFUNCTION("QUERY(IMPORTRANGE(""https://docs.google.com/spreadsheets/d/1cPJkZTbu617m80O_L5dMmofSU_pxmkDRV8wMXv-kDfI/edit?gid=0#gid=0"", ""May_2025!A7:F""),
""SELECT Col6 WHERE Col2 &gt;= 31000 AND Col2 &lt;= 31000 LABEL Col6'May_2025'"", 0)"),"#REF!")</f>
        <v>#REF!</v>
      </c>
      <c r="H107" s="1" t="str">
        <f>IFERROR(__xludf.DUMMYFUNCTION("QUERY(IMPORTRANGE(""https://docs.google.com/spreadsheets/d/1cPJkZTbu617m80O_L5dMmofSU_pxmkDRV8wMXv-kDfI/edit?gid=0#gid=0"", ""June_2025!A7:F""),
""SELECT Col6 WHERE Col2 &gt;= 31000 AND Col2 &lt;= 31000 LABEL Col6'June_2025'"", 0)"),"#REF!")</f>
        <v>#REF!</v>
      </c>
      <c r="I107" s="1" t="str">
        <f>IFERROR(__xludf.DUMMYFUNCTION("QUERY(IMPORTRANGE(""https://docs.google.com/spreadsheets/d/1cPJkZTbu617m80O_L5dMmofSU_pxmkDRV8wMXv-kDfI/edit?gid=0#gid=0"", ""July_2025!A7:F""),
""SELECT Col6 WHERE Col2 &gt;= 31000 AND Col2 &lt;= 31000 LABEL Col6'July_2025'"", 0)"),"#REF!")</f>
        <v>#REF!</v>
      </c>
      <c r="J107" s="1" t="str">
        <f>IFERROR(__xludf.DUMMYFUNCTION("QUERY(IMPORTRANGE(""https://docs.google.com/spreadsheets/d/1cPJkZTbu617m80O_L5dMmofSU_pxmkDRV8wMXv-kDfI/edit?gid=0#gid=0"", ""Aug_2025!A7:F""),
""SELECT Col6 WHERE Col2 &gt;= 31000 AND Col2 &lt;= 31000 LABEL Col6'Aug_2025'"", 0)"),"#REF!")</f>
        <v>#REF!</v>
      </c>
      <c r="K107" s="1" t="str">
        <f>IFERROR(__xludf.DUMMYFUNCTION("QUERY(IMPORTRANGE(""https://docs.google.com/spreadsheets/d/1cPJkZTbu617m80O_L5dMmofSU_pxmkDRV8wMXv-kDfI/edit?gid=0#gid=0"", ""Sep_2025!A7:F""),
""SELECT Col6 WHERE Col2 &gt;= 31000 AND Col2 &lt;= 31000 LABEL Col6'Sep_2025'"", 0)"),"#REF!")</f>
        <v>#REF!</v>
      </c>
      <c r="L107" s="1" t="str">
        <f>IFERROR(__xludf.DUMMYFUNCTION("QUERY(IMPORTRANGE(""https://docs.google.com/spreadsheets/d/1cPJkZTbu617m80O_L5dMmofSU_pxmkDRV8wMXv-kDfI/edit?gid=0#gid=0"", ""Oct_2025!A7:F""),
""SELECT Col6 WHERE Col2 &gt;= 31000 AND Col2 &lt;= 31000 LABEL Col6'Oct_2025'"", 0)"),"#REF!")</f>
        <v>#REF!</v>
      </c>
    </row>
    <row r="108" ht="15.75" customHeight="1">
      <c r="C108" s="1"/>
      <c r="D108" s="20"/>
      <c r="E108" s="20"/>
      <c r="F108" s="20"/>
      <c r="G108" s="20"/>
      <c r="H108" s="20"/>
      <c r="I108" s="20"/>
      <c r="J108" s="20"/>
      <c r="K108" s="20"/>
      <c r="L108" s="20"/>
    </row>
    <row r="109" ht="15.75" customHeight="1">
      <c r="C109" s="34"/>
      <c r="D109" s="35" t="str">
        <f t="shared" ref="D109:L109" si="12">D108</f>
        <v/>
      </c>
      <c r="E109" s="35" t="str">
        <f t="shared" si="12"/>
        <v/>
      </c>
      <c r="F109" s="35" t="str">
        <f t="shared" si="12"/>
        <v/>
      </c>
      <c r="G109" s="35" t="str">
        <f t="shared" si="12"/>
        <v/>
      </c>
      <c r="H109" s="35" t="str">
        <f t="shared" si="12"/>
        <v/>
      </c>
      <c r="I109" s="35" t="str">
        <f t="shared" si="12"/>
        <v/>
      </c>
      <c r="J109" s="35" t="str">
        <f t="shared" si="12"/>
        <v/>
      </c>
      <c r="K109" s="35" t="str">
        <f t="shared" si="12"/>
        <v/>
      </c>
      <c r="L109" s="35" t="str">
        <f t="shared" si="12"/>
        <v/>
      </c>
    </row>
    <row r="110" ht="15.75" customHeight="1">
      <c r="D110" s="20"/>
    </row>
    <row r="111" ht="15.75" customHeight="1">
      <c r="D111" s="20"/>
    </row>
    <row r="112" ht="15.75" customHeight="1">
      <c r="B112" s="1">
        <f>B106+1</f>
        <v>18</v>
      </c>
      <c r="C112" s="31" t="s">
        <v>96</v>
      </c>
      <c r="D112" s="20"/>
    </row>
    <row r="113" ht="15.75" customHeight="1">
      <c r="C113" s="1" t="str">
        <f>IFERROR(__xludf.DUMMYFUNCTION("QUERY(IMPORTRANGE(""https://docs.google.com/spreadsheets/d/1cPJkZTbu617m80O_L5dMmofSU_pxmkDRV8wMXv-kDfI/edit?gid=0#gid=0"", ""Feb_2025!A7:F""),
""SELECT Col1, Col6 WHERE Col2 &gt;= 32000 AND Col2 &lt;= 32000 LABEL Col6'Feb_2025'"", 0)"),"#REF!")</f>
        <v>#REF!</v>
      </c>
      <c r="D113" s="20"/>
      <c r="E113" s="1" t="s">
        <v>79</v>
      </c>
      <c r="F113" s="1" t="s">
        <v>80</v>
      </c>
      <c r="G113" s="1" t="s">
        <v>81</v>
      </c>
      <c r="H113" s="1" t="s">
        <v>82</v>
      </c>
      <c r="I113" s="1" t="s">
        <v>82</v>
      </c>
      <c r="J113" s="1" t="s">
        <v>84</v>
      </c>
      <c r="K113" s="1" t="s">
        <v>85</v>
      </c>
      <c r="L113" s="1" t="s">
        <v>97</v>
      </c>
    </row>
    <row r="114" ht="15.75" customHeight="1">
      <c r="C114" s="1"/>
      <c r="D114" s="20"/>
      <c r="E114" s="20">
        <f>'Statement_of_Financial Position'!E24+'Statement_of_Financial Position'!E25</f>
        <v>0</v>
      </c>
      <c r="F114" s="20">
        <f>'Statement_of_Financial Position'!F24+'Statement_of_Financial Position'!F25</f>
        <v>0</v>
      </c>
      <c r="G114" s="20">
        <f>'Statement_of_Financial Position'!G24+'Statement_of_Financial Position'!G25</f>
        <v>0</v>
      </c>
      <c r="H114" s="20">
        <f>'Statement_of_Financial Position'!H24+'Statement_of_Financial Position'!H25</f>
        <v>0</v>
      </c>
      <c r="I114" s="20">
        <f>'Statement_of_Financial Position'!I24+'Statement_of_Financial Position'!I25</f>
        <v>0</v>
      </c>
      <c r="J114" s="20">
        <f>'Statement_of_Financial Position'!J24+'Statement_of_Financial Position'!J25</f>
        <v>0</v>
      </c>
      <c r="K114" s="20">
        <f>'Statement_of_Financial Position'!K24+'Statement_of_Financial Position'!K25</f>
        <v>0</v>
      </c>
      <c r="L114" s="20">
        <f>'Statement_of_Financial Position'!L24+'Statement_of_Financial Position'!L25</f>
        <v>0</v>
      </c>
    </row>
    <row r="115" ht="15.75" customHeight="1">
      <c r="D115" s="20"/>
    </row>
    <row r="116" ht="15.75" customHeight="1">
      <c r="C116" s="31"/>
      <c r="D116" s="20"/>
    </row>
    <row r="117" ht="15.75" customHeight="1">
      <c r="D117" s="20"/>
    </row>
    <row r="118" ht="15.75" customHeight="1">
      <c r="D118" s="20"/>
    </row>
    <row r="119" ht="15.75" customHeight="1">
      <c r="D119" s="20"/>
    </row>
    <row r="120" ht="15.75" customHeight="1">
      <c r="D120" s="20"/>
    </row>
    <row r="121" ht="15.75" customHeight="1">
      <c r="D121" s="20"/>
    </row>
    <row r="122" ht="15.75" customHeight="1">
      <c r="D122" s="20"/>
    </row>
    <row r="123" ht="15.75" customHeight="1">
      <c r="D123" s="20"/>
    </row>
    <row r="124" ht="15.75" customHeight="1">
      <c r="D124" s="20"/>
    </row>
    <row r="125" ht="15.75" customHeight="1">
      <c r="D125" s="20"/>
    </row>
    <row r="126" ht="15.75" customHeight="1">
      <c r="D126" s="20"/>
    </row>
    <row r="127" ht="15.75" customHeight="1">
      <c r="D127" s="20"/>
    </row>
    <row r="128" ht="15.75" customHeight="1">
      <c r="D128" s="20"/>
    </row>
    <row r="129" ht="15.75" customHeight="1">
      <c r="D129" s="20"/>
    </row>
    <row r="130" ht="15.75" customHeight="1">
      <c r="D130" s="20"/>
    </row>
    <row r="131" ht="15.75" customHeight="1">
      <c r="D131" s="20"/>
    </row>
    <row r="132" ht="15.75" customHeight="1">
      <c r="D132" s="20"/>
    </row>
    <row r="133" ht="15.75" customHeight="1">
      <c r="D133" s="20"/>
    </row>
    <row r="134" ht="15.75" customHeight="1">
      <c r="D134" s="20"/>
    </row>
    <row r="135" ht="15.75" customHeight="1">
      <c r="D135" s="20"/>
    </row>
    <row r="136" ht="15.75" customHeight="1">
      <c r="D136" s="20"/>
    </row>
    <row r="137" ht="15.75" customHeight="1">
      <c r="D137" s="20"/>
    </row>
    <row r="138" ht="15.75" customHeight="1">
      <c r="D138" s="20"/>
    </row>
    <row r="139" ht="15.75" customHeight="1">
      <c r="D139" s="20"/>
    </row>
    <row r="140" ht="15.75" customHeight="1">
      <c r="D140" s="20"/>
    </row>
    <row r="141" ht="15.75" customHeight="1">
      <c r="D141" s="20"/>
    </row>
    <row r="142" ht="15.75" customHeight="1">
      <c r="D142" s="20"/>
    </row>
    <row r="143" ht="15.75" customHeight="1">
      <c r="D143" s="20"/>
    </row>
    <row r="144" ht="15.75" customHeight="1">
      <c r="D144" s="20"/>
    </row>
    <row r="145" ht="15.75" customHeight="1">
      <c r="D145" s="20"/>
    </row>
    <row r="146" ht="15.75" customHeight="1">
      <c r="D146" s="20"/>
    </row>
    <row r="147" ht="15.75" customHeight="1">
      <c r="D147" s="20"/>
    </row>
    <row r="148" ht="15.75" customHeight="1">
      <c r="D148" s="20"/>
    </row>
    <row r="149" ht="15.75" customHeight="1">
      <c r="D149" s="20"/>
    </row>
    <row r="150" ht="15.75" customHeight="1">
      <c r="D150" s="20"/>
    </row>
    <row r="151" ht="15.75" customHeight="1">
      <c r="D151" s="20"/>
    </row>
    <row r="152" ht="15.75" customHeight="1">
      <c r="D152" s="20"/>
    </row>
    <row r="153" ht="15.75" customHeight="1">
      <c r="D153" s="20"/>
    </row>
    <row r="154" ht="15.75" customHeight="1">
      <c r="D154" s="20"/>
    </row>
    <row r="155" ht="15.75" customHeight="1">
      <c r="D155" s="20"/>
    </row>
    <row r="156" ht="15.75" customHeight="1">
      <c r="D156" s="20"/>
    </row>
    <row r="157" ht="15.75" customHeight="1">
      <c r="D157" s="20"/>
    </row>
    <row r="158" ht="15.75" customHeight="1">
      <c r="D158" s="20"/>
    </row>
    <row r="159" ht="15.75" customHeight="1">
      <c r="D159" s="20"/>
    </row>
    <row r="160" ht="15.75" customHeight="1">
      <c r="D160" s="20"/>
    </row>
    <row r="161" ht="15.75" customHeight="1">
      <c r="D161" s="20"/>
    </row>
    <row r="162" ht="15.75" customHeight="1">
      <c r="D162" s="20"/>
    </row>
    <row r="163" ht="15.75" customHeight="1">
      <c r="D163" s="20"/>
    </row>
    <row r="164" ht="15.75" customHeight="1">
      <c r="D164" s="20"/>
    </row>
    <row r="165" ht="15.75" customHeight="1">
      <c r="D165" s="20"/>
    </row>
    <row r="166" ht="15.75" customHeight="1">
      <c r="D166" s="20"/>
    </row>
    <row r="167" ht="15.75" customHeight="1">
      <c r="D167" s="20"/>
    </row>
    <row r="168" ht="15.75" customHeight="1">
      <c r="D168" s="20"/>
    </row>
    <row r="169" ht="15.75" customHeight="1">
      <c r="D169" s="20"/>
    </row>
    <row r="170" ht="15.75" customHeight="1">
      <c r="D170" s="20"/>
    </row>
    <row r="171" ht="15.75" customHeight="1">
      <c r="D171" s="20"/>
    </row>
    <row r="172" ht="15.75" customHeight="1">
      <c r="D172" s="20"/>
    </row>
    <row r="173" ht="15.75" customHeight="1">
      <c r="D173" s="20"/>
    </row>
    <row r="174" ht="15.75" customHeight="1">
      <c r="D174" s="20"/>
    </row>
    <row r="175" ht="15.75" customHeight="1">
      <c r="D175" s="20"/>
    </row>
    <row r="176" ht="15.75" customHeight="1">
      <c r="D176" s="20"/>
    </row>
    <row r="177" ht="15.75" customHeight="1">
      <c r="D177" s="20"/>
    </row>
    <row r="178" ht="15.75" customHeight="1">
      <c r="D178" s="20"/>
    </row>
    <row r="179" ht="15.75" customHeight="1">
      <c r="D179" s="20"/>
    </row>
    <row r="180" ht="15.75" customHeight="1">
      <c r="D180" s="20"/>
    </row>
    <row r="181" ht="15.75" customHeight="1">
      <c r="D181" s="20"/>
    </row>
    <row r="182" ht="15.75" customHeight="1">
      <c r="D182" s="20"/>
    </row>
    <row r="183" ht="15.75" customHeight="1">
      <c r="D183" s="20"/>
    </row>
    <row r="184" ht="15.75" customHeight="1">
      <c r="D184" s="20"/>
    </row>
    <row r="185" ht="15.75" customHeight="1">
      <c r="D185" s="20"/>
    </row>
    <row r="186" ht="15.75" customHeight="1">
      <c r="D186" s="20"/>
    </row>
    <row r="187" ht="15.75" customHeight="1">
      <c r="D187" s="20"/>
    </row>
    <row r="188" ht="15.75" customHeight="1">
      <c r="D188" s="20"/>
    </row>
    <row r="189" ht="15.75" customHeight="1">
      <c r="D189" s="20"/>
    </row>
    <row r="190" ht="15.75" customHeight="1">
      <c r="D190" s="20"/>
    </row>
    <row r="191" ht="15.75" customHeight="1">
      <c r="D191" s="20"/>
    </row>
    <row r="192" ht="15.75" customHeight="1">
      <c r="D192" s="20"/>
    </row>
    <row r="193" ht="15.75" customHeight="1">
      <c r="D193" s="20"/>
    </row>
    <row r="194" ht="15.75" customHeight="1">
      <c r="D194" s="20"/>
    </row>
    <row r="195" ht="15.75" customHeight="1">
      <c r="D195" s="20"/>
    </row>
    <row r="196" ht="15.75" customHeight="1">
      <c r="D196" s="20"/>
    </row>
    <row r="197" ht="15.75" customHeight="1">
      <c r="D197" s="20"/>
    </row>
    <row r="198" ht="15.75" customHeight="1">
      <c r="D198" s="20"/>
    </row>
    <row r="199" ht="15.75" customHeight="1">
      <c r="D199" s="20"/>
    </row>
    <row r="200" ht="15.75" customHeight="1">
      <c r="D200" s="20"/>
    </row>
    <row r="201" ht="15.75" customHeight="1">
      <c r="D201" s="20"/>
    </row>
    <row r="202" ht="15.75" customHeight="1">
      <c r="D202" s="20"/>
    </row>
    <row r="203" ht="15.75" customHeight="1">
      <c r="D203" s="20"/>
    </row>
    <row r="204" ht="15.75" customHeight="1">
      <c r="D204" s="20"/>
    </row>
    <row r="205" ht="15.75" customHeight="1">
      <c r="D205" s="20"/>
    </row>
    <row r="206" ht="15.75" customHeight="1">
      <c r="D206" s="20"/>
    </row>
    <row r="207" ht="15.75" customHeight="1">
      <c r="D207" s="20"/>
    </row>
    <row r="208" ht="15.75" customHeight="1">
      <c r="D208" s="20"/>
    </row>
    <row r="209" ht="15.75" customHeight="1">
      <c r="D209" s="20"/>
    </row>
    <row r="210" ht="15.75" customHeight="1">
      <c r="D210" s="20"/>
    </row>
    <row r="211" ht="15.75" customHeight="1">
      <c r="D211" s="20"/>
    </row>
    <row r="212" ht="15.75" customHeight="1">
      <c r="D212" s="20"/>
    </row>
    <row r="213" ht="15.75" customHeight="1">
      <c r="D213" s="20"/>
    </row>
    <row r="214" ht="15.75" customHeight="1">
      <c r="D214" s="20"/>
    </row>
    <row r="215" ht="15.75" customHeight="1">
      <c r="D215" s="20"/>
    </row>
    <row r="216" ht="15.75" customHeight="1">
      <c r="D216" s="20"/>
    </row>
    <row r="217" ht="15.75" customHeight="1">
      <c r="D217" s="20"/>
    </row>
    <row r="218" ht="15.75" customHeight="1">
      <c r="D218" s="20"/>
    </row>
    <row r="219" ht="15.75" customHeight="1">
      <c r="D219" s="20"/>
    </row>
    <row r="220" ht="15.75" customHeight="1">
      <c r="D220" s="20"/>
    </row>
    <row r="221" ht="15.75" customHeight="1">
      <c r="D221" s="20"/>
    </row>
    <row r="222" ht="15.75" customHeight="1">
      <c r="D222" s="20"/>
    </row>
    <row r="223" ht="15.75" customHeight="1">
      <c r="D223" s="20"/>
    </row>
    <row r="224" ht="15.75" customHeight="1">
      <c r="D224" s="20"/>
    </row>
    <row r="225" ht="15.75" customHeight="1">
      <c r="D225" s="20"/>
    </row>
    <row r="226" ht="15.75" customHeight="1">
      <c r="D226" s="20"/>
    </row>
    <row r="227" ht="15.75" customHeight="1">
      <c r="D227" s="20"/>
    </row>
    <row r="228" ht="15.75" customHeight="1">
      <c r="D228" s="20"/>
    </row>
    <row r="229" ht="15.75" customHeight="1">
      <c r="D229" s="20"/>
    </row>
    <row r="230" ht="15.75" customHeight="1">
      <c r="D230" s="20"/>
    </row>
    <row r="231" ht="15.75" customHeight="1">
      <c r="D231" s="20"/>
    </row>
    <row r="232" ht="15.75" customHeight="1">
      <c r="D232" s="20"/>
    </row>
    <row r="233" ht="15.75" customHeight="1">
      <c r="D233" s="20"/>
    </row>
    <row r="234" ht="15.75" customHeight="1">
      <c r="D234" s="20"/>
    </row>
    <row r="235" ht="15.75" customHeight="1">
      <c r="D235" s="20"/>
    </row>
    <row r="236" ht="15.75" customHeight="1">
      <c r="D236" s="20"/>
    </row>
    <row r="237" ht="15.75" customHeight="1">
      <c r="D237" s="20"/>
    </row>
    <row r="238" ht="15.75" customHeight="1">
      <c r="D238" s="20"/>
    </row>
    <row r="239" ht="15.75" customHeight="1">
      <c r="D239" s="20"/>
    </row>
    <row r="240" ht="15.75" customHeight="1">
      <c r="D240" s="20"/>
    </row>
    <row r="241" ht="15.75" customHeight="1">
      <c r="D241" s="20"/>
    </row>
    <row r="242" ht="15.75" customHeight="1">
      <c r="D242" s="20"/>
    </row>
    <row r="243" ht="15.75" customHeight="1">
      <c r="D243" s="20"/>
    </row>
    <row r="244" ht="15.75" customHeight="1">
      <c r="D244" s="20"/>
    </row>
    <row r="245" ht="15.75" customHeight="1">
      <c r="D245" s="20"/>
    </row>
    <row r="246" ht="15.75" customHeight="1">
      <c r="D246" s="20"/>
    </row>
    <row r="247" ht="15.75" customHeight="1">
      <c r="D247" s="20"/>
    </row>
    <row r="248" ht="15.75" customHeight="1">
      <c r="D248" s="20"/>
    </row>
    <row r="249" ht="15.75" customHeight="1">
      <c r="D249" s="20"/>
    </row>
    <row r="250" ht="15.75" customHeight="1">
      <c r="D250" s="20"/>
    </row>
    <row r="251" ht="15.75" customHeight="1">
      <c r="D251" s="20"/>
    </row>
    <row r="252" ht="15.75" customHeight="1">
      <c r="D252" s="20"/>
    </row>
    <row r="253" ht="15.75" customHeight="1">
      <c r="D253" s="20"/>
    </row>
    <row r="254" ht="15.75" customHeight="1">
      <c r="D254" s="20"/>
    </row>
    <row r="255" ht="15.75" customHeight="1">
      <c r="D255" s="20"/>
    </row>
    <row r="256" ht="15.75" customHeight="1">
      <c r="D256" s="20"/>
    </row>
    <row r="257" ht="15.75" customHeight="1">
      <c r="D257" s="20"/>
    </row>
    <row r="258" ht="15.75" customHeight="1">
      <c r="D258" s="20"/>
    </row>
    <row r="259" ht="15.75" customHeight="1">
      <c r="D259" s="20"/>
    </row>
    <row r="260" ht="15.75" customHeight="1">
      <c r="D260" s="20"/>
    </row>
    <row r="261" ht="15.75" customHeight="1">
      <c r="D261" s="20"/>
    </row>
    <row r="262" ht="15.75" customHeight="1">
      <c r="D262" s="20"/>
    </row>
    <row r="263" ht="15.75" customHeight="1">
      <c r="D263" s="20"/>
    </row>
    <row r="264" ht="15.75" customHeight="1">
      <c r="D264" s="20"/>
    </row>
    <row r="265" ht="15.75" customHeight="1">
      <c r="D265" s="20"/>
    </row>
    <row r="266" ht="15.75" customHeight="1">
      <c r="D266" s="20"/>
    </row>
    <row r="267" ht="15.75" customHeight="1">
      <c r="D267" s="20"/>
    </row>
    <row r="268" ht="15.75" customHeight="1">
      <c r="D268" s="20"/>
    </row>
    <row r="269" ht="15.75" customHeight="1">
      <c r="D269" s="20"/>
    </row>
    <row r="270" ht="15.75" customHeight="1">
      <c r="D270" s="20"/>
    </row>
    <row r="271" ht="15.75" customHeight="1">
      <c r="D271" s="20"/>
    </row>
    <row r="272" ht="15.75" customHeight="1">
      <c r="D272" s="20"/>
    </row>
    <row r="273" ht="15.75" customHeight="1">
      <c r="D273" s="20"/>
    </row>
    <row r="274" ht="15.75" customHeight="1">
      <c r="D274" s="20"/>
    </row>
    <row r="275" ht="15.75" customHeight="1">
      <c r="D275" s="20"/>
    </row>
    <row r="276" ht="15.75" customHeight="1">
      <c r="D276" s="20"/>
    </row>
    <row r="277" ht="15.75" customHeight="1">
      <c r="D277" s="20"/>
    </row>
    <row r="278" ht="15.75" customHeight="1">
      <c r="D278" s="20"/>
    </row>
    <row r="279" ht="15.75" customHeight="1">
      <c r="D279" s="20"/>
    </row>
    <row r="280" ht="15.75" customHeight="1">
      <c r="D280" s="20"/>
    </row>
    <row r="281" ht="15.75" customHeight="1">
      <c r="D281" s="20"/>
    </row>
    <row r="282" ht="15.75" customHeight="1">
      <c r="D282" s="20"/>
    </row>
    <row r="283" ht="15.75" customHeight="1">
      <c r="D283" s="20"/>
    </row>
    <row r="284" ht="15.75" customHeight="1">
      <c r="D284" s="20"/>
    </row>
    <row r="285" ht="15.75" customHeight="1">
      <c r="D285" s="20"/>
    </row>
    <row r="286" ht="15.75" customHeight="1">
      <c r="D286" s="20"/>
    </row>
    <row r="287" ht="15.75" customHeight="1">
      <c r="D287" s="20"/>
    </row>
    <row r="288" ht="15.75" customHeight="1">
      <c r="D288" s="20"/>
    </row>
    <row r="289" ht="15.75" customHeight="1">
      <c r="D289" s="20"/>
    </row>
    <row r="290" ht="15.75" customHeight="1">
      <c r="D290" s="20"/>
    </row>
    <row r="291" ht="15.75" customHeight="1">
      <c r="D291" s="20"/>
    </row>
    <row r="292" ht="15.75" customHeight="1">
      <c r="D292" s="20"/>
    </row>
    <row r="293" ht="15.75" customHeight="1">
      <c r="D293" s="20"/>
    </row>
    <row r="294" ht="15.75" customHeight="1">
      <c r="D294" s="20"/>
    </row>
    <row r="295" ht="15.75" customHeight="1">
      <c r="D295" s="20"/>
    </row>
    <row r="296" ht="15.75" customHeight="1">
      <c r="D296" s="20"/>
    </row>
    <row r="297" ht="15.75" customHeight="1">
      <c r="D297" s="20"/>
    </row>
    <row r="298" ht="15.75" customHeight="1">
      <c r="D298" s="20"/>
    </row>
    <row r="299" ht="15.75" customHeight="1">
      <c r="D299" s="20"/>
    </row>
    <row r="300" ht="15.75" customHeight="1">
      <c r="D300" s="20"/>
    </row>
    <row r="301" ht="15.75" customHeight="1">
      <c r="D301" s="20"/>
    </row>
    <row r="302" ht="15.75" customHeight="1">
      <c r="D302" s="20"/>
    </row>
    <row r="303" ht="15.75" customHeight="1">
      <c r="D303" s="20"/>
    </row>
    <row r="304" ht="15.75" customHeight="1">
      <c r="D304" s="20"/>
    </row>
    <row r="305" ht="15.75" customHeight="1">
      <c r="D305" s="20"/>
    </row>
    <row r="306" ht="15.75" customHeight="1">
      <c r="D306" s="20"/>
    </row>
    <row r="307" ht="15.75" customHeight="1">
      <c r="D307" s="20"/>
    </row>
    <row r="308" ht="15.75" customHeight="1">
      <c r="D308" s="20"/>
    </row>
    <row r="309" ht="15.75" customHeight="1">
      <c r="D309" s="20"/>
    </row>
    <row r="310" ht="15.75" customHeight="1">
      <c r="D310" s="20"/>
    </row>
    <row r="311" ht="15.75" customHeight="1">
      <c r="D311" s="20"/>
    </row>
    <row r="312" ht="15.75" customHeight="1">
      <c r="D312" s="20"/>
    </row>
    <row r="313" ht="15.75" customHeight="1">
      <c r="D313" s="20"/>
    </row>
    <row r="314" ht="15.75" customHeight="1">
      <c r="D314" s="20"/>
    </row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/>
    <row r="2" ht="15.75" customHeight="1"/>
    <row r="3" ht="15.75" customHeight="1"/>
    <row r="4" ht="15.75" customHeight="1">
      <c r="B4" s="1" t="s">
        <v>98</v>
      </c>
      <c r="C4" s="1" t="s">
        <v>99</v>
      </c>
      <c r="D4" s="1" t="s">
        <v>100</v>
      </c>
      <c r="E4" s="1" t="s">
        <v>101</v>
      </c>
      <c r="F4" s="1" t="s">
        <v>102</v>
      </c>
      <c r="G4" s="1" t="s">
        <v>103</v>
      </c>
      <c r="H4" s="1" t="s">
        <v>104</v>
      </c>
      <c r="I4" s="1" t="s">
        <v>105</v>
      </c>
      <c r="J4" s="1" t="s">
        <v>106</v>
      </c>
      <c r="K4" s="1" t="s">
        <v>107</v>
      </c>
    </row>
    <row r="5" ht="15.75" customHeight="1">
      <c r="B5" s="1" t="s">
        <v>4</v>
      </c>
      <c r="C5" s="20">
        <v>1.2876E7</v>
      </c>
      <c r="D5" s="20">
        <v>3.8186E7</v>
      </c>
      <c r="E5" s="20">
        <v>5.216E7</v>
      </c>
      <c r="F5" s="20">
        <v>5.7481E7</v>
      </c>
      <c r="G5" s="20">
        <v>3.34785E7</v>
      </c>
      <c r="H5" s="20">
        <v>1.97745E7</v>
      </c>
      <c r="I5" s="20">
        <v>1.97595E7</v>
      </c>
      <c r="J5" s="20">
        <v>2.56691E7</v>
      </c>
      <c r="K5" s="20">
        <v>2.1894E7</v>
      </c>
    </row>
    <row r="6" ht="15.75" customHeight="1">
      <c r="B6" s="1" t="s">
        <v>26</v>
      </c>
      <c r="C6" s="20">
        <v>559498.1100000067</v>
      </c>
      <c r="D6" s="20">
        <v>405545.199999989</v>
      </c>
      <c r="E6" s="20">
        <v>4963083.220000001</v>
      </c>
      <c r="F6" s="20">
        <v>7081254.569999987</v>
      </c>
      <c r="G6" s="20">
        <v>3340912.1300000027</v>
      </c>
      <c r="H6" s="20">
        <v>928752.3700000048</v>
      </c>
      <c r="I6" s="20">
        <v>-3045076.84</v>
      </c>
      <c r="J6" s="20">
        <v>-3390375.0500000045</v>
      </c>
      <c r="K6" s="20">
        <v>-549270.9099999998</v>
      </c>
    </row>
    <row r="7" ht="15.75" customHeight="1">
      <c r="B7" s="1" t="s">
        <v>27</v>
      </c>
      <c r="C7" s="36">
        <v>0.04345278890959978</v>
      </c>
      <c r="D7" s="36">
        <v>0.010620258733566989</v>
      </c>
      <c r="E7" s="36">
        <v>0.09515113535276075</v>
      </c>
      <c r="F7" s="36">
        <v>0.12319296063046897</v>
      </c>
      <c r="G7" s="36">
        <v>0.09979276640231799</v>
      </c>
      <c r="H7" s="36">
        <v>0.04696717337985814</v>
      </c>
      <c r="I7" s="36">
        <v>-0.15410697841544574</v>
      </c>
      <c r="J7" s="36">
        <v>-0.13208001254426546</v>
      </c>
      <c r="K7" s="36">
        <v>-0.025087736822873838</v>
      </c>
    </row>
    <row r="8" ht="15.75" customHeight="1"/>
    <row r="9" ht="15.75" customHeight="1"/>
    <row r="10" ht="15.75" customHeight="1"/>
    <row r="11" ht="15.75" customHeight="1"/>
    <row r="12" ht="15.75" customHeight="1">
      <c r="I12" s="37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D32"/>
    <pageSetUpPr fitToPage="1"/>
  </sheetPr>
  <sheetViews>
    <sheetView showGridLines="0" workbookViewId="0"/>
  </sheetViews>
  <sheetFormatPr customHeight="1" defaultColWidth="12.63" defaultRowHeight="15.0"/>
  <cols>
    <col customWidth="1" min="1" max="1" width="2.88"/>
    <col customWidth="1" min="2" max="2" width="3.38"/>
    <col customWidth="1" min="3" max="3" width="28.13"/>
    <col customWidth="1" min="4" max="4" width="13.88"/>
    <col customWidth="1" min="5" max="16" width="10.38"/>
    <col customWidth="1" min="17" max="17" width="12.13"/>
    <col customWidth="1" min="18" max="18" width="2.88"/>
  </cols>
  <sheetData>
    <row r="1" ht="15.75" customHeight="1">
      <c r="A1" s="38"/>
      <c r="B1" s="38"/>
      <c r="C1" s="39"/>
      <c r="D1" s="40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0"/>
    </row>
    <row r="2" ht="15.75" customHeight="1">
      <c r="A2" s="42"/>
      <c r="B2" s="43" t="s">
        <v>108</v>
      </c>
      <c r="C2" s="43"/>
      <c r="D2" s="44"/>
      <c r="E2" s="44"/>
      <c r="F2" s="43"/>
      <c r="G2" s="44"/>
      <c r="H2" s="44"/>
      <c r="I2" s="44"/>
      <c r="J2" s="44"/>
      <c r="K2" s="44"/>
      <c r="L2" s="44"/>
      <c r="M2" s="44"/>
      <c r="N2" s="44"/>
      <c r="O2" s="44"/>
      <c r="P2" s="45"/>
      <c r="Q2" s="46" t="s">
        <v>109</v>
      </c>
      <c r="R2" s="47"/>
    </row>
    <row r="3" ht="15.75" customHeight="1">
      <c r="A3" s="42"/>
      <c r="B3" s="48"/>
      <c r="C3" s="48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5"/>
      <c r="Q3" s="50" t="s">
        <v>110</v>
      </c>
      <c r="R3" s="47"/>
    </row>
    <row r="4" ht="15.75" customHeight="1">
      <c r="A4" s="42"/>
      <c r="B4" s="51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47"/>
    </row>
    <row r="5" ht="15.75" customHeight="1">
      <c r="A5" s="38"/>
      <c r="B5" s="38"/>
      <c r="C5" s="39"/>
      <c r="D5" s="40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0"/>
    </row>
    <row r="6" ht="15.75" customHeight="1">
      <c r="A6" s="53"/>
      <c r="B6" s="53"/>
      <c r="C6" s="54"/>
      <c r="D6" s="55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5"/>
    </row>
    <row r="7" ht="15.75" customHeight="1">
      <c r="A7" s="53"/>
      <c r="B7" s="57" t="s">
        <v>111</v>
      </c>
      <c r="D7" s="58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5"/>
    </row>
    <row r="8" ht="15.75" customHeight="1">
      <c r="A8" s="53"/>
      <c r="B8" s="59" t="b">
        <v>1</v>
      </c>
      <c r="C8" s="58" t="str">
        <f>PROPER(B24)</f>
        <v>Revenue</v>
      </c>
      <c r="D8" s="58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5"/>
    </row>
    <row r="9" ht="15.75" customHeight="1">
      <c r="A9" s="53"/>
      <c r="D9" s="55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5"/>
    </row>
    <row r="10" ht="15.75" customHeight="1">
      <c r="A10" s="53"/>
      <c r="B10" s="59" t="b">
        <v>1</v>
      </c>
      <c r="C10" s="58" t="str">
        <f>PROPER(B25)</f>
        <v>Cost Of Goods Sold</v>
      </c>
      <c r="D10" s="55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5"/>
    </row>
    <row r="11" ht="15.75" customHeight="1">
      <c r="A11" s="53"/>
      <c r="D11" s="60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5"/>
    </row>
    <row r="12" ht="15.75" customHeight="1">
      <c r="A12" s="53"/>
      <c r="B12" s="59" t="b">
        <v>1</v>
      </c>
      <c r="C12" s="58" t="str">
        <f>PROPER(B26)</f>
        <v>Total Expenses</v>
      </c>
      <c r="D12" s="60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5"/>
    </row>
    <row r="13" ht="15.75" customHeight="1">
      <c r="A13" s="61"/>
      <c r="D13" s="60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3"/>
    </row>
    <row r="14" ht="15.75" customHeight="1">
      <c r="A14" s="64"/>
      <c r="B14" s="59" t="b">
        <v>1</v>
      </c>
      <c r="C14" s="58" t="str">
        <f>PROPER(B27)</f>
        <v>Net Profit / Loss</v>
      </c>
      <c r="D14" s="60"/>
      <c r="E14" s="65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7"/>
    </row>
    <row r="15" ht="15.75" customHeight="1">
      <c r="A15" s="63"/>
      <c r="D15" s="60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9"/>
    </row>
    <row r="16" ht="21.75" customHeight="1">
      <c r="A16" s="61"/>
      <c r="B16" s="70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58"/>
      <c r="Q16" s="58"/>
      <c r="R16" s="70"/>
    </row>
    <row r="17" ht="21.75" hidden="1" customHeight="1">
      <c r="A17" s="71"/>
      <c r="B17" s="72" t="s">
        <v>112</v>
      </c>
      <c r="D17" s="73" t="str">
        <f t="shared" ref="D17:O17" si="1">E23</f>
        <v>FEB</v>
      </c>
      <c r="E17" s="73" t="str">
        <f t="shared" si="1"/>
        <v>MAR</v>
      </c>
      <c r="F17" s="73" t="str">
        <f t="shared" si="1"/>
        <v>APR</v>
      </c>
      <c r="G17" s="73" t="str">
        <f t="shared" si="1"/>
        <v>MAY</v>
      </c>
      <c r="H17" s="73" t="str">
        <f t="shared" si="1"/>
        <v>JUN</v>
      </c>
      <c r="I17" s="73" t="str">
        <f t="shared" si="1"/>
        <v>JUL</v>
      </c>
      <c r="J17" s="73" t="str">
        <f t="shared" si="1"/>
        <v>AUG</v>
      </c>
      <c r="K17" s="73" t="str">
        <f t="shared" si="1"/>
        <v>SEP</v>
      </c>
      <c r="L17" s="73" t="str">
        <f t="shared" si="1"/>
        <v>OCT</v>
      </c>
      <c r="M17" s="73" t="str">
        <f t="shared" si="1"/>
        <v>NOV</v>
      </c>
      <c r="N17" s="73" t="str">
        <f t="shared" si="1"/>
        <v>DEC</v>
      </c>
      <c r="O17" s="73" t="str">
        <f t="shared" si="1"/>
        <v>JAN</v>
      </c>
      <c r="P17" s="74"/>
      <c r="Q17" s="74"/>
      <c r="R17" s="71"/>
    </row>
    <row r="18" ht="21.75" hidden="1" customHeight="1">
      <c r="A18" s="71"/>
      <c r="B18" s="74" t="str">
        <f t="array" ref="B18:O18">IF(B8,{PROPER(B24),"",E24:P24},{"","",-99999,-99999,-99999,-99999,-99999,-99999,-99999,-99999,-99999,-99999,-99999,-99999})</f>
        <v>Revenue</v>
      </c>
      <c r="D18" s="75">
        <v>87137.0</v>
      </c>
      <c r="E18" s="75">
        <v>50964.0</v>
      </c>
      <c r="F18" s="75">
        <v>86259.0</v>
      </c>
      <c r="G18" s="75">
        <v>79607.0</v>
      </c>
      <c r="H18" s="75">
        <v>71341.0</v>
      </c>
      <c r="I18" s="75">
        <v>88114.0</v>
      </c>
      <c r="J18" s="75">
        <v>59503.0</v>
      </c>
      <c r="K18" s="75">
        <v>64060.0</v>
      </c>
      <c r="L18" s="75">
        <v>71160.0</v>
      </c>
      <c r="M18" s="75">
        <v>60826.0</v>
      </c>
      <c r="N18" s="75">
        <v>52063.0</v>
      </c>
      <c r="O18" s="75">
        <v>69167.0</v>
      </c>
      <c r="P18" s="74"/>
      <c r="Q18" s="74"/>
      <c r="R18" s="71"/>
    </row>
    <row r="19" ht="21.75" hidden="1" customHeight="1">
      <c r="A19" s="71"/>
      <c r="B19" s="74" t="str">
        <f t="array" ref="B19:O19">IF(B10,{PROPER(B25),"",E25:P25},{"","",-99999,-99999,-99999,-99999,-99999,-99999,-99999,-99999,-99999,-99999,-99999,-99999})</f>
        <v>Cost Of Goods Sold</v>
      </c>
      <c r="D19" s="75">
        <v>33324.0</v>
      </c>
      <c r="E19" s="75">
        <v>26542.0</v>
      </c>
      <c r="F19" s="75">
        <v>41047.0</v>
      </c>
      <c r="G19" s="75">
        <v>29883.0</v>
      </c>
      <c r="H19" s="75">
        <v>45828.0</v>
      </c>
      <c r="I19" s="75">
        <v>40046.0</v>
      </c>
      <c r="J19" s="75">
        <v>38135.0</v>
      </c>
      <c r="K19" s="75">
        <v>36655.0</v>
      </c>
      <c r="L19" s="75">
        <v>40328.0</v>
      </c>
      <c r="M19" s="75">
        <v>32649.0</v>
      </c>
      <c r="N19" s="75">
        <v>48086.0</v>
      </c>
      <c r="O19" s="75">
        <v>48494.0</v>
      </c>
      <c r="P19" s="74"/>
      <c r="Q19" s="74"/>
      <c r="R19" s="71"/>
    </row>
    <row r="20" ht="21.75" hidden="1" customHeight="1">
      <c r="A20" s="71"/>
      <c r="B20" s="74" t="str">
        <f t="array" ref="B20:O20">IF(B12,{PROPER(B26),"",E26:P26},{"","",-99999,-99999,-99999,-99999,-99999,-99999,-99999,-99999,-99999,-99999,-99999,-99999})</f>
        <v>Total Expenses</v>
      </c>
      <c r="D20" s="75">
        <v>18170.0</v>
      </c>
      <c r="E20" s="75">
        <v>17385.0</v>
      </c>
      <c r="F20" s="75">
        <v>16587.0</v>
      </c>
      <c r="G20" s="75">
        <v>18128.0</v>
      </c>
      <c r="H20" s="75">
        <v>18608.0</v>
      </c>
      <c r="I20" s="75">
        <v>16934.0</v>
      </c>
      <c r="J20" s="75">
        <v>16446.0</v>
      </c>
      <c r="K20" s="75">
        <v>17697.0</v>
      </c>
      <c r="L20" s="75">
        <v>18155.0</v>
      </c>
      <c r="M20" s="75">
        <v>17847.0</v>
      </c>
      <c r="N20" s="75">
        <v>17832.0</v>
      </c>
      <c r="O20" s="75">
        <v>19582.0</v>
      </c>
      <c r="P20" s="74"/>
      <c r="Q20" s="74"/>
      <c r="R20" s="71"/>
    </row>
    <row r="21" ht="21.75" hidden="1" customHeight="1">
      <c r="A21" s="71"/>
      <c r="B21" s="74" t="str">
        <f t="array" ref="B21:O21">IF(B14,{PROPER(B27),"",E27:P27},{"","",-99999,-99999,-99999,-99999,-99999,-99999,-99999,-99999,-99999,-99999,-99999,-99999})</f>
        <v>Net Profit / Loss</v>
      </c>
      <c r="D21" s="75">
        <v>35643.0</v>
      </c>
      <c r="E21" s="75">
        <v>7037.0</v>
      </c>
      <c r="F21" s="75">
        <v>28625.0</v>
      </c>
      <c r="G21" s="75">
        <v>31596.0</v>
      </c>
      <c r="H21" s="75">
        <v>6905.0</v>
      </c>
      <c r="I21" s="75">
        <v>31134.0</v>
      </c>
      <c r="J21" s="75">
        <v>4922.0</v>
      </c>
      <c r="K21" s="75">
        <v>9708.0</v>
      </c>
      <c r="L21" s="75">
        <v>12677.0</v>
      </c>
      <c r="M21" s="75">
        <v>10330.0</v>
      </c>
      <c r="N21" s="75">
        <v>-13855.0</v>
      </c>
      <c r="O21" s="75">
        <v>1091.0</v>
      </c>
      <c r="P21" s="74"/>
      <c r="Q21" s="74"/>
      <c r="R21" s="71"/>
    </row>
    <row r="22" ht="21.75" customHeight="1">
      <c r="A22" s="71"/>
      <c r="B22" s="71"/>
      <c r="D22" s="76"/>
      <c r="E22" s="77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1"/>
    </row>
    <row r="23" ht="19.5" customHeight="1">
      <c r="A23" s="78"/>
      <c r="B23" s="79" t="s">
        <v>112</v>
      </c>
      <c r="D23" s="80" t="s">
        <v>113</v>
      </c>
      <c r="E23" s="81" t="s">
        <v>114</v>
      </c>
      <c r="F23" s="81" t="s">
        <v>115</v>
      </c>
      <c r="G23" s="81" t="s">
        <v>116</v>
      </c>
      <c r="H23" s="81" t="s">
        <v>117</v>
      </c>
      <c r="I23" s="81" t="s">
        <v>118</v>
      </c>
      <c r="J23" s="81" t="s">
        <v>119</v>
      </c>
      <c r="K23" s="81" t="s">
        <v>120</v>
      </c>
      <c r="L23" s="81" t="s">
        <v>121</v>
      </c>
      <c r="M23" s="81" t="s">
        <v>122</v>
      </c>
      <c r="N23" s="81" t="s">
        <v>123</v>
      </c>
      <c r="O23" s="81" t="s">
        <v>124</v>
      </c>
      <c r="P23" s="81" t="s">
        <v>125</v>
      </c>
      <c r="Q23" s="81" t="s">
        <v>126</v>
      </c>
      <c r="R23" s="82"/>
    </row>
    <row r="24" ht="19.5" customHeight="1">
      <c r="A24" s="71"/>
      <c r="B24" s="57" t="s">
        <v>127</v>
      </c>
      <c r="D24" s="83" t="str">
        <f>IFERROR(__xludf.DUMMYFUNCTION("IFERROR(SPARKLINE(E24:P24, {""charttype"",""line"";""color"",""#0000FF"";""empty"",""ignore"";""nan"",""convert""}))"),"")</f>
        <v/>
      </c>
      <c r="E24" s="84">
        <f t="shared" ref="E24:P24" si="2">E34</f>
        <v>87137</v>
      </c>
      <c r="F24" s="84">
        <f t="shared" si="2"/>
        <v>50964</v>
      </c>
      <c r="G24" s="84">
        <f t="shared" si="2"/>
        <v>86259</v>
      </c>
      <c r="H24" s="84">
        <f t="shared" si="2"/>
        <v>79607</v>
      </c>
      <c r="I24" s="84">
        <f t="shared" si="2"/>
        <v>71341</v>
      </c>
      <c r="J24" s="84">
        <f t="shared" si="2"/>
        <v>88114</v>
      </c>
      <c r="K24" s="84">
        <f t="shared" si="2"/>
        <v>59503</v>
      </c>
      <c r="L24" s="84">
        <f t="shared" si="2"/>
        <v>64060</v>
      </c>
      <c r="M24" s="84">
        <f t="shared" si="2"/>
        <v>71160</v>
      </c>
      <c r="N24" s="84">
        <f t="shared" si="2"/>
        <v>60826</v>
      </c>
      <c r="O24" s="84">
        <f t="shared" si="2"/>
        <v>52063</v>
      </c>
      <c r="P24" s="84">
        <f t="shared" si="2"/>
        <v>69167</v>
      </c>
      <c r="Q24" s="84">
        <f t="shared" ref="Q24:Q25" si="4">SUM(E24:P24)</f>
        <v>840201</v>
      </c>
      <c r="R24" s="82"/>
    </row>
    <row r="25" ht="19.5" customHeight="1">
      <c r="A25" s="71"/>
      <c r="B25" s="85" t="s">
        <v>128</v>
      </c>
      <c r="D25" s="86" t="str">
        <f>IFERROR(__xludf.DUMMYFUNCTION("IFERROR(SPARKLINE(E25:P25, {""charttype"",""line"";""color"",""#FF0000"";""empty"",""ignore"";""nan"",""convert""}))"),"")</f>
        <v/>
      </c>
      <c r="E25" s="87">
        <f t="shared" ref="E25:P25" si="3">E44</f>
        <v>33324</v>
      </c>
      <c r="F25" s="87">
        <f t="shared" si="3"/>
        <v>26542</v>
      </c>
      <c r="G25" s="87">
        <f t="shared" si="3"/>
        <v>41047</v>
      </c>
      <c r="H25" s="87">
        <f t="shared" si="3"/>
        <v>29883</v>
      </c>
      <c r="I25" s="87">
        <f t="shared" si="3"/>
        <v>45828</v>
      </c>
      <c r="J25" s="87">
        <f t="shared" si="3"/>
        <v>40046</v>
      </c>
      <c r="K25" s="87">
        <f t="shared" si="3"/>
        <v>38135</v>
      </c>
      <c r="L25" s="87">
        <f t="shared" si="3"/>
        <v>36655</v>
      </c>
      <c r="M25" s="87">
        <f t="shared" si="3"/>
        <v>40328</v>
      </c>
      <c r="N25" s="87">
        <f t="shared" si="3"/>
        <v>32649</v>
      </c>
      <c r="O25" s="87">
        <f t="shared" si="3"/>
        <v>48086</v>
      </c>
      <c r="P25" s="87">
        <f t="shared" si="3"/>
        <v>48494</v>
      </c>
      <c r="Q25" s="87">
        <f t="shared" si="4"/>
        <v>461017</v>
      </c>
      <c r="R25" s="71"/>
    </row>
    <row r="26" ht="19.5" customHeight="1">
      <c r="A26" s="71"/>
      <c r="B26" s="57" t="s">
        <v>129</v>
      </c>
      <c r="D26" s="83" t="str">
        <f>IFERROR(__xludf.DUMMYFUNCTION("IFERROR(SPARKLINE(E26:P26, {""charttype"",""line"";""color"",""#FF0000"";""empty"",""ignore"";""nan"",""convert""}))"),"")</f>
        <v/>
      </c>
      <c r="E26" s="84">
        <f t="shared" ref="E26:Q26" si="5">E61</f>
        <v>18170</v>
      </c>
      <c r="F26" s="84">
        <f t="shared" si="5"/>
        <v>17385</v>
      </c>
      <c r="G26" s="84">
        <f t="shared" si="5"/>
        <v>16587</v>
      </c>
      <c r="H26" s="84">
        <f t="shared" si="5"/>
        <v>18128</v>
      </c>
      <c r="I26" s="84">
        <f t="shared" si="5"/>
        <v>18608</v>
      </c>
      <c r="J26" s="84">
        <f t="shared" si="5"/>
        <v>16934</v>
      </c>
      <c r="K26" s="84">
        <f t="shared" si="5"/>
        <v>16446</v>
      </c>
      <c r="L26" s="84">
        <f t="shared" si="5"/>
        <v>17697</v>
      </c>
      <c r="M26" s="84">
        <f t="shared" si="5"/>
        <v>18155</v>
      </c>
      <c r="N26" s="84">
        <f t="shared" si="5"/>
        <v>17847</v>
      </c>
      <c r="O26" s="84">
        <f t="shared" si="5"/>
        <v>17832</v>
      </c>
      <c r="P26" s="84">
        <f t="shared" si="5"/>
        <v>19582</v>
      </c>
      <c r="Q26" s="84">
        <f t="shared" si="5"/>
        <v>213371</v>
      </c>
      <c r="R26" s="71"/>
    </row>
    <row r="27" ht="29.25" customHeight="1">
      <c r="A27" s="71"/>
      <c r="B27" s="85" t="s">
        <v>130</v>
      </c>
      <c r="D27" s="88" t="str">
        <f>IFERROR(__xludf.DUMMYFUNCTION("IFERROR(SPARKLINE(E27:P27, {""charttype"",""line"";""color"",""#0000FF"";""empty"",""ignore"";""nan"",""convert""}))"),"")</f>
        <v/>
      </c>
      <c r="E27" s="89">
        <f t="shared" ref="E27:Q27" si="6">E63</f>
        <v>35643</v>
      </c>
      <c r="F27" s="89">
        <f t="shared" si="6"/>
        <v>7037</v>
      </c>
      <c r="G27" s="89">
        <f t="shared" si="6"/>
        <v>28625</v>
      </c>
      <c r="H27" s="89">
        <f t="shared" si="6"/>
        <v>31596</v>
      </c>
      <c r="I27" s="89">
        <f t="shared" si="6"/>
        <v>6905</v>
      </c>
      <c r="J27" s="89">
        <f t="shared" si="6"/>
        <v>31134</v>
      </c>
      <c r="K27" s="89">
        <f t="shared" si="6"/>
        <v>4922</v>
      </c>
      <c r="L27" s="89">
        <f t="shared" si="6"/>
        <v>9708</v>
      </c>
      <c r="M27" s="89">
        <f t="shared" si="6"/>
        <v>12677</v>
      </c>
      <c r="N27" s="89">
        <f t="shared" si="6"/>
        <v>10330</v>
      </c>
      <c r="O27" s="89">
        <f t="shared" si="6"/>
        <v>-13855</v>
      </c>
      <c r="P27" s="89">
        <f t="shared" si="6"/>
        <v>1091</v>
      </c>
      <c r="Q27" s="89">
        <f t="shared" si="6"/>
        <v>165813</v>
      </c>
      <c r="R27" s="82"/>
    </row>
    <row r="28" ht="19.5" customHeight="1">
      <c r="A28" s="71"/>
      <c r="B28" s="71"/>
      <c r="D28" s="90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82"/>
    </row>
    <row r="29" ht="19.5" customHeight="1">
      <c r="A29" s="78"/>
      <c r="B29" s="79" t="s">
        <v>127</v>
      </c>
      <c r="D29" s="80" t="s">
        <v>113</v>
      </c>
      <c r="E29" s="81" t="s">
        <v>114</v>
      </c>
      <c r="F29" s="81" t="s">
        <v>115</v>
      </c>
      <c r="G29" s="81" t="s">
        <v>116</v>
      </c>
      <c r="H29" s="81" t="s">
        <v>117</v>
      </c>
      <c r="I29" s="81" t="s">
        <v>118</v>
      </c>
      <c r="J29" s="81" t="s">
        <v>119</v>
      </c>
      <c r="K29" s="81" t="s">
        <v>120</v>
      </c>
      <c r="L29" s="81" t="s">
        <v>121</v>
      </c>
      <c r="M29" s="81" t="s">
        <v>122</v>
      </c>
      <c r="N29" s="81" t="s">
        <v>123</v>
      </c>
      <c r="O29" s="81" t="s">
        <v>124</v>
      </c>
      <c r="P29" s="81" t="s">
        <v>125</v>
      </c>
      <c r="Q29" s="81" t="s">
        <v>126</v>
      </c>
      <c r="R29" s="82"/>
    </row>
    <row r="30" ht="19.5" customHeight="1">
      <c r="A30" s="71"/>
      <c r="B30" s="58" t="s">
        <v>131</v>
      </c>
      <c r="D30" s="83" t="str">
        <f>IFERROR(__xludf.DUMMYFUNCTION("IFERROR(SPARKLINE(E30:P30, {""charttype"",""line"";""color"",""#0000FF"";""empty"",""ignore"";""nan"",""convert""}))"),"")</f>
        <v/>
      </c>
      <c r="E30" s="84">
        <v>89297.0</v>
      </c>
      <c r="F30" s="84">
        <v>51817.0</v>
      </c>
      <c r="G30" s="84">
        <v>85600.0</v>
      </c>
      <c r="H30" s="84">
        <v>80295.0</v>
      </c>
      <c r="I30" s="84">
        <v>72998.0</v>
      </c>
      <c r="J30" s="84">
        <v>87088.0</v>
      </c>
      <c r="K30" s="84">
        <v>61207.0</v>
      </c>
      <c r="L30" s="84">
        <v>65849.0</v>
      </c>
      <c r="M30" s="84">
        <v>71072.0</v>
      </c>
      <c r="N30" s="84">
        <v>61317.0</v>
      </c>
      <c r="O30" s="84">
        <v>51889.0</v>
      </c>
      <c r="P30" s="84">
        <v>66560.0</v>
      </c>
      <c r="Q30" s="84">
        <f t="shared" ref="Q30:Q33" si="7">SUM(E30:P30)</f>
        <v>844989</v>
      </c>
      <c r="R30" s="82"/>
    </row>
    <row r="31" ht="19.5" customHeight="1">
      <c r="A31" s="71"/>
      <c r="B31" s="92" t="s">
        <v>132</v>
      </c>
      <c r="D31" s="86" t="str">
        <f>IFERROR(__xludf.DUMMYFUNCTION("IFERROR(SPARKLINE(E31:P31, {""charttype"",""line"";""color"",""#0000FF"";""empty"",""ignore"";""nan"",""convert""}))"),"")</f>
        <v/>
      </c>
      <c r="E31" s="87">
        <v>6857.0</v>
      </c>
      <c r="F31" s="87">
        <v>7684.0</v>
      </c>
      <c r="G31" s="87">
        <v>8962.0</v>
      </c>
      <c r="H31" s="87">
        <v>7541.0</v>
      </c>
      <c r="I31" s="87">
        <v>6804.0</v>
      </c>
      <c r="J31" s="87">
        <v>7376.0</v>
      </c>
      <c r="K31" s="87">
        <v>6711.0</v>
      </c>
      <c r="L31" s="87">
        <v>5743.0</v>
      </c>
      <c r="M31" s="87">
        <v>6303.0</v>
      </c>
      <c r="N31" s="87">
        <v>7988.0</v>
      </c>
      <c r="O31" s="87">
        <v>7786.0</v>
      </c>
      <c r="P31" s="87">
        <v>9786.0</v>
      </c>
      <c r="Q31" s="87">
        <f t="shared" si="7"/>
        <v>89541</v>
      </c>
      <c r="R31" s="82"/>
    </row>
    <row r="32" ht="19.5" customHeight="1">
      <c r="A32" s="71"/>
      <c r="B32" s="58" t="s">
        <v>133</v>
      </c>
      <c r="D32" s="83" t="str">
        <f>IFERROR(__xludf.DUMMYFUNCTION("IFERROR(SPARKLINE(E32:P32, {""charttype"",""line"";""color"",""#FF0000"";""empty"",""ignore"";""nan"",""convert""}))"),"")</f>
        <v/>
      </c>
      <c r="E32" s="93">
        <v>-4609.0</v>
      </c>
      <c r="F32" s="93">
        <v>-4091.0</v>
      </c>
      <c r="G32" s="93">
        <v>-3785.0</v>
      </c>
      <c r="H32" s="93">
        <v>-3876.0</v>
      </c>
      <c r="I32" s="93">
        <v>-4669.0</v>
      </c>
      <c r="J32" s="93">
        <v>-3339.0</v>
      </c>
      <c r="K32" s="93">
        <v>-4909.0</v>
      </c>
      <c r="L32" s="93">
        <v>-3667.0</v>
      </c>
      <c r="M32" s="93">
        <v>-3013.0</v>
      </c>
      <c r="N32" s="93">
        <v>-3668.0</v>
      </c>
      <c r="O32" s="93">
        <v>-4578.0</v>
      </c>
      <c r="P32" s="93">
        <v>-3476.0</v>
      </c>
      <c r="Q32" s="93">
        <f t="shared" si="7"/>
        <v>-47680</v>
      </c>
      <c r="R32" s="82"/>
    </row>
    <row r="33" ht="19.5" customHeight="1">
      <c r="A33" s="71"/>
      <c r="B33" s="92" t="s">
        <v>134</v>
      </c>
      <c r="D33" s="86" t="str">
        <f>IFERROR(__xludf.DUMMYFUNCTION("IFERROR(SPARKLINE(E33:P33, {""charttype"",""line"";""color"",""#FF0000"";""empty"",""ignore"";""nan"",""convert""}))"),"")</f>
        <v/>
      </c>
      <c r="E33" s="94">
        <v>-4408.0</v>
      </c>
      <c r="F33" s="94">
        <v>-4446.0</v>
      </c>
      <c r="G33" s="94">
        <v>-4518.0</v>
      </c>
      <c r="H33" s="94">
        <v>-4353.0</v>
      </c>
      <c r="I33" s="94">
        <v>-3792.0</v>
      </c>
      <c r="J33" s="94">
        <v>-3011.0</v>
      </c>
      <c r="K33" s="94">
        <v>-3506.0</v>
      </c>
      <c r="L33" s="94">
        <v>-3865.0</v>
      </c>
      <c r="M33" s="94">
        <v>-3202.0</v>
      </c>
      <c r="N33" s="94">
        <v>-4811.0</v>
      </c>
      <c r="O33" s="94">
        <v>-3034.0</v>
      </c>
      <c r="P33" s="94">
        <v>-3703.0</v>
      </c>
      <c r="Q33" s="94">
        <f t="shared" si="7"/>
        <v>-46649</v>
      </c>
      <c r="R33" s="82"/>
    </row>
    <row r="34" ht="27.0" customHeight="1">
      <c r="A34" s="71"/>
      <c r="B34" s="57" t="str">
        <f>"TOTAL "&amp;C29</f>
        <v>TOTAL </v>
      </c>
      <c r="D34" s="83" t="str">
        <f>IFERROR(__xludf.DUMMYFUNCTION("IFERROR(SPARKLINE(E34:P34, {""charttype"",""line"";""color"",""#0000FF"";""empty"",""ignore"";""nan"",""convert""}))"),"")</f>
        <v/>
      </c>
      <c r="E34" s="95">
        <f t="shared" ref="E34:Q34" si="8">SUM(E30:E33)</f>
        <v>87137</v>
      </c>
      <c r="F34" s="95">
        <f t="shared" si="8"/>
        <v>50964</v>
      </c>
      <c r="G34" s="95">
        <f t="shared" si="8"/>
        <v>86259</v>
      </c>
      <c r="H34" s="95">
        <f t="shared" si="8"/>
        <v>79607</v>
      </c>
      <c r="I34" s="95">
        <f t="shared" si="8"/>
        <v>71341</v>
      </c>
      <c r="J34" s="95">
        <f t="shared" si="8"/>
        <v>88114</v>
      </c>
      <c r="K34" s="95">
        <f t="shared" si="8"/>
        <v>59503</v>
      </c>
      <c r="L34" s="95">
        <f t="shared" si="8"/>
        <v>64060</v>
      </c>
      <c r="M34" s="95">
        <f t="shared" si="8"/>
        <v>71160</v>
      </c>
      <c r="N34" s="95">
        <f t="shared" si="8"/>
        <v>60826</v>
      </c>
      <c r="O34" s="95">
        <f t="shared" si="8"/>
        <v>52063</v>
      </c>
      <c r="P34" s="95">
        <f t="shared" si="8"/>
        <v>69167</v>
      </c>
      <c r="Q34" s="95">
        <f t="shared" si="8"/>
        <v>840201</v>
      </c>
      <c r="R34" s="82"/>
    </row>
    <row r="35" ht="19.5" customHeight="1">
      <c r="A35" s="71"/>
      <c r="B35" s="71"/>
      <c r="D35" s="90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82"/>
    </row>
    <row r="36" ht="19.5" customHeight="1">
      <c r="A36" s="71"/>
      <c r="B36" s="79" t="s">
        <v>128</v>
      </c>
      <c r="D36" s="80" t="s">
        <v>113</v>
      </c>
      <c r="E36" s="81" t="s">
        <v>114</v>
      </c>
      <c r="F36" s="81" t="s">
        <v>115</v>
      </c>
      <c r="G36" s="81" t="s">
        <v>116</v>
      </c>
      <c r="H36" s="81" t="s">
        <v>117</v>
      </c>
      <c r="I36" s="81" t="s">
        <v>118</v>
      </c>
      <c r="J36" s="81" t="s">
        <v>119</v>
      </c>
      <c r="K36" s="81" t="s">
        <v>120</v>
      </c>
      <c r="L36" s="81" t="s">
        <v>121</v>
      </c>
      <c r="M36" s="81" t="s">
        <v>122</v>
      </c>
      <c r="N36" s="81" t="s">
        <v>123</v>
      </c>
      <c r="O36" s="81" t="s">
        <v>124</v>
      </c>
      <c r="P36" s="81" t="s">
        <v>125</v>
      </c>
      <c r="Q36" s="81" t="s">
        <v>126</v>
      </c>
      <c r="R36" s="82"/>
    </row>
    <row r="37" ht="19.5" customHeight="1">
      <c r="A37" s="96"/>
      <c r="B37" s="58" t="s">
        <v>135</v>
      </c>
      <c r="D37" s="83" t="str">
        <f>IFERROR(__xludf.DUMMYFUNCTION("IFERROR(SPARKLINE(E37:P37, {""charttype"",""line"";""color"",""#FF0000"";""empty"",""ignore"";""nan"",""convert""}))"),"")</f>
        <v/>
      </c>
      <c r="E37" s="84">
        <v>6719.0</v>
      </c>
      <c r="F37" s="84">
        <v>1884.0</v>
      </c>
      <c r="G37" s="84">
        <v>7489.0</v>
      </c>
      <c r="H37" s="84">
        <v>7037.0</v>
      </c>
      <c r="I37" s="84">
        <v>8340.0</v>
      </c>
      <c r="J37" s="84">
        <v>8883.0</v>
      </c>
      <c r="K37" s="84">
        <v>3176.0</v>
      </c>
      <c r="L37" s="84">
        <v>2715.0</v>
      </c>
      <c r="M37" s="84">
        <v>7862.0</v>
      </c>
      <c r="N37" s="84">
        <v>4710.0</v>
      </c>
      <c r="O37" s="84">
        <v>4158.0</v>
      </c>
      <c r="P37" s="84">
        <v>9662.0</v>
      </c>
      <c r="Q37" s="84">
        <f t="shared" ref="Q37:Q43" si="9">SUM(E37:P37)</f>
        <v>72635</v>
      </c>
      <c r="R37" s="82"/>
    </row>
    <row r="38" ht="19.5" customHeight="1">
      <c r="A38" s="96"/>
      <c r="B38" s="92" t="s">
        <v>136</v>
      </c>
      <c r="D38" s="86" t="str">
        <f>IFERROR(__xludf.DUMMYFUNCTION("IFERROR(SPARKLINE(E38:P38, {""charttype"",""line"";""color"",""#FF0000"";""empty"",""ignore"";""nan"",""convert""}))"),"")</f>
        <v/>
      </c>
      <c r="E38" s="87">
        <v>6851.0</v>
      </c>
      <c r="F38" s="87">
        <v>6443.0</v>
      </c>
      <c r="G38" s="87">
        <v>5265.0</v>
      </c>
      <c r="H38" s="87">
        <v>3580.0</v>
      </c>
      <c r="I38" s="87">
        <v>7785.0</v>
      </c>
      <c r="J38" s="87">
        <v>6300.0</v>
      </c>
      <c r="K38" s="87">
        <v>1382.0</v>
      </c>
      <c r="L38" s="87">
        <v>9373.0</v>
      </c>
      <c r="M38" s="87">
        <v>9652.0</v>
      </c>
      <c r="N38" s="87">
        <v>3355.0</v>
      </c>
      <c r="O38" s="87">
        <v>2023.0</v>
      </c>
      <c r="P38" s="87">
        <v>5143.0</v>
      </c>
      <c r="Q38" s="87">
        <f t="shared" si="9"/>
        <v>67152</v>
      </c>
      <c r="R38" s="82"/>
    </row>
    <row r="39" ht="19.5" customHeight="1">
      <c r="A39" s="96"/>
      <c r="B39" s="58" t="s">
        <v>137</v>
      </c>
      <c r="D39" s="83" t="str">
        <f>IFERROR(__xludf.DUMMYFUNCTION("IFERROR(SPARKLINE(E39:P39, {""charttype"",""line"";""color"",""#FF0000"";""empty"",""ignore"";""nan"",""convert""}))"),"")</f>
        <v/>
      </c>
      <c r="E39" s="84">
        <v>3189.0</v>
      </c>
      <c r="F39" s="84">
        <v>3753.0</v>
      </c>
      <c r="G39" s="84">
        <v>3192.0</v>
      </c>
      <c r="H39" s="84">
        <v>1533.0</v>
      </c>
      <c r="I39" s="84">
        <v>7499.0</v>
      </c>
      <c r="J39" s="84">
        <v>3980.0</v>
      </c>
      <c r="K39" s="84">
        <v>7884.0</v>
      </c>
      <c r="L39" s="84">
        <v>9727.0</v>
      </c>
      <c r="M39" s="84">
        <v>5852.0</v>
      </c>
      <c r="N39" s="84">
        <v>6705.0</v>
      </c>
      <c r="O39" s="84">
        <v>9774.0</v>
      </c>
      <c r="P39" s="84">
        <v>6065.0</v>
      </c>
      <c r="Q39" s="84">
        <f t="shared" si="9"/>
        <v>69153</v>
      </c>
      <c r="R39" s="82"/>
    </row>
    <row r="40" ht="19.5" customHeight="1">
      <c r="A40" s="96"/>
      <c r="B40" s="92" t="s">
        <v>138</v>
      </c>
      <c r="D40" s="86" t="str">
        <f>IFERROR(__xludf.DUMMYFUNCTION("IFERROR(SPARKLINE(E40:P40, {""charttype"",""line"";""color"",""#FF0000"";""empty"",""ignore"";""nan"",""convert""}))"),"")</f>
        <v/>
      </c>
      <c r="E40" s="87">
        <v>3499.0</v>
      </c>
      <c r="F40" s="87">
        <v>5245.0</v>
      </c>
      <c r="G40" s="87">
        <v>6343.0</v>
      </c>
      <c r="H40" s="87">
        <v>5148.0</v>
      </c>
      <c r="I40" s="87">
        <v>2413.0</v>
      </c>
      <c r="J40" s="87">
        <v>6877.0</v>
      </c>
      <c r="K40" s="87">
        <v>7859.0</v>
      </c>
      <c r="L40" s="87">
        <v>2460.0</v>
      </c>
      <c r="M40" s="87">
        <v>3712.0</v>
      </c>
      <c r="N40" s="87">
        <v>7415.0</v>
      </c>
      <c r="O40" s="87">
        <v>9736.0</v>
      </c>
      <c r="P40" s="87">
        <v>7735.0</v>
      </c>
      <c r="Q40" s="87">
        <f t="shared" si="9"/>
        <v>68442</v>
      </c>
      <c r="R40" s="82"/>
    </row>
    <row r="41" ht="19.5" customHeight="1">
      <c r="A41" s="96"/>
      <c r="B41" s="58" t="s">
        <v>139</v>
      </c>
      <c r="D41" s="83" t="str">
        <f>IFERROR(__xludf.DUMMYFUNCTION("IFERROR(SPARKLINE(E41:P41, {""charttype"",""line"";""color"",""#FF0000"";""empty"",""ignore"";""nan"",""convert""}))"),"")</f>
        <v/>
      </c>
      <c r="E41" s="84">
        <v>2487.0</v>
      </c>
      <c r="F41" s="84">
        <v>4367.0</v>
      </c>
      <c r="G41" s="84">
        <v>8972.0</v>
      </c>
      <c r="H41" s="84">
        <v>3694.0</v>
      </c>
      <c r="I41" s="84">
        <v>8480.0</v>
      </c>
      <c r="J41" s="84">
        <v>4447.0</v>
      </c>
      <c r="K41" s="84">
        <v>8393.0</v>
      </c>
      <c r="L41" s="84">
        <v>2514.0</v>
      </c>
      <c r="M41" s="84">
        <v>2780.0</v>
      </c>
      <c r="N41" s="84">
        <v>4581.0</v>
      </c>
      <c r="O41" s="84">
        <v>5776.0</v>
      </c>
      <c r="P41" s="84">
        <v>4491.0</v>
      </c>
      <c r="Q41" s="84">
        <f t="shared" si="9"/>
        <v>60982</v>
      </c>
      <c r="R41" s="82"/>
    </row>
    <row r="42" ht="19.5" customHeight="1">
      <c r="A42" s="71"/>
      <c r="B42" s="92" t="s">
        <v>140</v>
      </c>
      <c r="D42" s="86" t="str">
        <f>IFERROR(__xludf.DUMMYFUNCTION("IFERROR(SPARKLINE(E42:P42, {""charttype"",""line"";""color"",""#FF0000"";""empty"",""ignore"";""nan"",""convert""}))"),"")</f>
        <v/>
      </c>
      <c r="E42" s="87">
        <v>6386.0</v>
      </c>
      <c r="F42" s="87">
        <v>1698.0</v>
      </c>
      <c r="G42" s="87">
        <v>3679.0</v>
      </c>
      <c r="H42" s="87">
        <v>3804.0</v>
      </c>
      <c r="I42" s="87">
        <v>8444.0</v>
      </c>
      <c r="J42" s="87">
        <v>5668.0</v>
      </c>
      <c r="K42" s="87">
        <v>4213.0</v>
      </c>
      <c r="L42" s="87">
        <v>5510.0</v>
      </c>
      <c r="M42" s="87">
        <v>9444.0</v>
      </c>
      <c r="N42" s="87">
        <v>2250.0</v>
      </c>
      <c r="O42" s="87">
        <v>6882.0</v>
      </c>
      <c r="P42" s="87">
        <v>9579.0</v>
      </c>
      <c r="Q42" s="87">
        <f t="shared" si="9"/>
        <v>67557</v>
      </c>
      <c r="R42" s="82"/>
    </row>
    <row r="43" ht="19.5" customHeight="1">
      <c r="A43" s="71"/>
      <c r="B43" s="58" t="s">
        <v>141</v>
      </c>
      <c r="D43" s="83" t="str">
        <f>IFERROR(__xludf.DUMMYFUNCTION("IFERROR(SPARKLINE(E43:P43, {""charttype"",""line"";""color"",""#FF0000"";""empty"",""ignore"";""nan"",""convert""}))"),"")</f>
        <v/>
      </c>
      <c r="E43" s="84">
        <v>4193.0</v>
      </c>
      <c r="F43" s="84">
        <v>3152.0</v>
      </c>
      <c r="G43" s="84">
        <v>6107.0</v>
      </c>
      <c r="H43" s="84">
        <v>5087.0</v>
      </c>
      <c r="I43" s="84">
        <v>2867.0</v>
      </c>
      <c r="J43" s="84">
        <v>3891.0</v>
      </c>
      <c r="K43" s="84">
        <v>5228.0</v>
      </c>
      <c r="L43" s="84">
        <v>4356.0</v>
      </c>
      <c r="M43" s="84">
        <v>1026.0</v>
      </c>
      <c r="N43" s="84">
        <v>3633.0</v>
      </c>
      <c r="O43" s="84">
        <v>9737.0</v>
      </c>
      <c r="P43" s="84">
        <v>5819.0</v>
      </c>
      <c r="Q43" s="84">
        <f t="shared" si="9"/>
        <v>55096</v>
      </c>
      <c r="R43" s="82"/>
    </row>
    <row r="44" ht="19.5" customHeight="1">
      <c r="A44" s="71"/>
      <c r="B44" s="85" t="str">
        <f>"TOTAL "&amp;C36</f>
        <v>TOTAL </v>
      </c>
      <c r="D44" s="86" t="str">
        <f>IFERROR(__xludf.DUMMYFUNCTION("IFERROR(SPARKLINE(E44:P44, {""charttype"",""line"";""color"",""#FF0000"";""empty"",""ignore"";""nan"",""convert""}))"),"")</f>
        <v/>
      </c>
      <c r="E44" s="89">
        <f t="shared" ref="E44:Q44" si="10">SUM(E37:E43)</f>
        <v>33324</v>
      </c>
      <c r="F44" s="89">
        <f t="shared" si="10"/>
        <v>26542</v>
      </c>
      <c r="G44" s="89">
        <f t="shared" si="10"/>
        <v>41047</v>
      </c>
      <c r="H44" s="89">
        <f t="shared" si="10"/>
        <v>29883</v>
      </c>
      <c r="I44" s="89">
        <f t="shared" si="10"/>
        <v>45828</v>
      </c>
      <c r="J44" s="89">
        <f t="shared" si="10"/>
        <v>40046</v>
      </c>
      <c r="K44" s="89">
        <f t="shared" si="10"/>
        <v>38135</v>
      </c>
      <c r="L44" s="89">
        <f t="shared" si="10"/>
        <v>36655</v>
      </c>
      <c r="M44" s="89">
        <f t="shared" si="10"/>
        <v>40328</v>
      </c>
      <c r="N44" s="89">
        <f t="shared" si="10"/>
        <v>32649</v>
      </c>
      <c r="O44" s="89">
        <f t="shared" si="10"/>
        <v>48086</v>
      </c>
      <c r="P44" s="89">
        <f t="shared" si="10"/>
        <v>48494</v>
      </c>
      <c r="Q44" s="89">
        <f t="shared" si="10"/>
        <v>461017</v>
      </c>
      <c r="R44" s="82"/>
    </row>
    <row r="45" ht="19.5" customHeight="1">
      <c r="A45" s="71"/>
      <c r="B45" s="71"/>
      <c r="D45" s="90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82"/>
    </row>
    <row r="46" ht="19.5" customHeight="1">
      <c r="A46" s="71"/>
      <c r="B46" s="97" t="s">
        <v>142</v>
      </c>
      <c r="D46" s="98" t="str">
        <f>IFERROR(__xludf.DUMMYFUNCTION("IFERROR(SPARKLINE(E46:P46, {""charttype"",""line"";""color"",""#0000FF"";""empty"",""ignore"";""nan"",""convert""}))"),"")</f>
        <v/>
      </c>
      <c r="E46" s="99">
        <f t="shared" ref="E46:Q46" si="11">E34-E44</f>
        <v>53813</v>
      </c>
      <c r="F46" s="99">
        <f t="shared" si="11"/>
        <v>24422</v>
      </c>
      <c r="G46" s="99">
        <f t="shared" si="11"/>
        <v>45212</v>
      </c>
      <c r="H46" s="99">
        <f t="shared" si="11"/>
        <v>49724</v>
      </c>
      <c r="I46" s="99">
        <f t="shared" si="11"/>
        <v>25513</v>
      </c>
      <c r="J46" s="99">
        <f t="shared" si="11"/>
        <v>48068</v>
      </c>
      <c r="K46" s="99">
        <f t="shared" si="11"/>
        <v>21368</v>
      </c>
      <c r="L46" s="99">
        <f t="shared" si="11"/>
        <v>27405</v>
      </c>
      <c r="M46" s="99">
        <f t="shared" si="11"/>
        <v>30832</v>
      </c>
      <c r="N46" s="99">
        <f t="shared" si="11"/>
        <v>28177</v>
      </c>
      <c r="O46" s="99">
        <f t="shared" si="11"/>
        <v>3977</v>
      </c>
      <c r="P46" s="99">
        <f t="shared" si="11"/>
        <v>20673</v>
      </c>
      <c r="Q46" s="99">
        <f t="shared" si="11"/>
        <v>379184</v>
      </c>
      <c r="R46" s="82"/>
    </row>
    <row r="47" ht="19.5" customHeight="1">
      <c r="A47" s="71"/>
      <c r="B47" s="71"/>
      <c r="D47" s="90"/>
      <c r="E47" s="100"/>
      <c r="F47" s="100"/>
      <c r="G47" s="100"/>
      <c r="H47" s="100"/>
      <c r="I47" s="100"/>
      <c r="J47" s="100"/>
      <c r="K47" s="100"/>
      <c r="L47" s="100"/>
      <c r="M47" s="100"/>
      <c r="N47" s="100"/>
      <c r="O47" s="100"/>
      <c r="P47" s="100"/>
      <c r="Q47" s="100"/>
      <c r="R47" s="82"/>
    </row>
    <row r="48" ht="19.5" customHeight="1">
      <c r="A48" s="71"/>
      <c r="B48" s="101" t="s">
        <v>143</v>
      </c>
      <c r="D48" s="80" t="s">
        <v>113</v>
      </c>
      <c r="E48" s="81" t="s">
        <v>125</v>
      </c>
      <c r="F48" s="81" t="s">
        <v>114</v>
      </c>
      <c r="G48" s="81" t="s">
        <v>115</v>
      </c>
      <c r="H48" s="81" t="s">
        <v>116</v>
      </c>
      <c r="I48" s="81" t="s">
        <v>117</v>
      </c>
      <c r="J48" s="81" t="s">
        <v>118</v>
      </c>
      <c r="K48" s="81" t="s">
        <v>119</v>
      </c>
      <c r="L48" s="81" t="s">
        <v>120</v>
      </c>
      <c r="M48" s="81" t="s">
        <v>121</v>
      </c>
      <c r="N48" s="81" t="s">
        <v>122</v>
      </c>
      <c r="O48" s="81" t="s">
        <v>123</v>
      </c>
      <c r="P48" s="81" t="s">
        <v>124</v>
      </c>
      <c r="Q48" s="81" t="s">
        <v>126</v>
      </c>
      <c r="R48" s="82"/>
    </row>
    <row r="49" ht="19.5" customHeight="1">
      <c r="A49" s="96"/>
      <c r="B49" s="58" t="s">
        <v>144</v>
      </c>
      <c r="D49" s="83" t="str">
        <f>IFERROR(__xludf.DUMMYFUNCTION("IFERROR(SPARKLINE(E49:P49, {""charttype"",""line"";""color"",""#FF0000"";""empty"",""ignore"";""nan"",""convert""}))"),"")</f>
        <v/>
      </c>
      <c r="E49" s="84">
        <v>1951.0</v>
      </c>
      <c r="F49" s="84">
        <v>1114.0</v>
      </c>
      <c r="G49" s="84">
        <v>1619.0</v>
      </c>
      <c r="H49" s="84">
        <v>1862.0</v>
      </c>
      <c r="I49" s="84">
        <v>1027.0</v>
      </c>
      <c r="J49" s="84">
        <v>1105.0</v>
      </c>
      <c r="K49" s="84">
        <v>1872.0</v>
      </c>
      <c r="L49" s="84">
        <v>1167.0</v>
      </c>
      <c r="M49" s="84">
        <v>1053.0</v>
      </c>
      <c r="N49" s="84">
        <v>1111.0</v>
      </c>
      <c r="O49" s="84">
        <v>1335.0</v>
      </c>
      <c r="P49" s="84">
        <v>1682.0</v>
      </c>
      <c r="Q49" s="84">
        <f t="shared" ref="Q49:Q60" si="12">SUM(E49:P49)</f>
        <v>16898</v>
      </c>
      <c r="R49" s="82"/>
    </row>
    <row r="50" ht="19.5" customHeight="1">
      <c r="A50" s="96"/>
      <c r="B50" s="92" t="s">
        <v>145</v>
      </c>
      <c r="D50" s="86" t="str">
        <f>IFERROR(__xludf.DUMMYFUNCTION("IFERROR(SPARKLINE(E50:P50, {""charttype"",""line"";""color"",""#FF0000"";""empty"",""ignore"";""nan"",""convert""}))"),"")</f>
        <v/>
      </c>
      <c r="E50" s="87">
        <v>1227.0</v>
      </c>
      <c r="F50" s="87">
        <v>1794.0</v>
      </c>
      <c r="G50" s="87">
        <v>1548.0</v>
      </c>
      <c r="H50" s="87">
        <v>1796.0</v>
      </c>
      <c r="I50" s="87">
        <v>1209.0</v>
      </c>
      <c r="J50" s="87">
        <v>1828.0</v>
      </c>
      <c r="K50" s="87">
        <v>1390.0</v>
      </c>
      <c r="L50" s="87">
        <v>1846.0</v>
      </c>
      <c r="M50" s="87">
        <v>1704.0</v>
      </c>
      <c r="N50" s="87">
        <v>1900.0</v>
      </c>
      <c r="O50" s="87">
        <v>1087.0</v>
      </c>
      <c r="P50" s="87">
        <v>1749.0</v>
      </c>
      <c r="Q50" s="87">
        <f t="shared" si="12"/>
        <v>19078</v>
      </c>
      <c r="R50" s="82"/>
    </row>
    <row r="51" ht="19.5" customHeight="1">
      <c r="A51" s="96"/>
      <c r="B51" s="58" t="s">
        <v>146</v>
      </c>
      <c r="D51" s="83" t="str">
        <f>IFERROR(__xludf.DUMMYFUNCTION("IFERROR(SPARKLINE(E51:P51, {""charttype"",""line"";""color"",""#FF0000"";""empty"",""ignore"";""nan"",""convert""}))"),"")</f>
        <v/>
      </c>
      <c r="E51" s="84">
        <v>1442.0</v>
      </c>
      <c r="F51" s="84">
        <v>1537.0</v>
      </c>
      <c r="G51" s="84">
        <v>1238.0</v>
      </c>
      <c r="H51" s="84">
        <v>1836.0</v>
      </c>
      <c r="I51" s="84">
        <v>1981.0</v>
      </c>
      <c r="J51" s="84">
        <v>1219.0</v>
      </c>
      <c r="K51" s="84">
        <v>1244.0</v>
      </c>
      <c r="L51" s="84">
        <v>1596.0</v>
      </c>
      <c r="M51" s="84">
        <v>1270.0</v>
      </c>
      <c r="N51" s="84">
        <v>1288.0</v>
      </c>
      <c r="O51" s="84">
        <v>1935.0</v>
      </c>
      <c r="P51" s="84">
        <v>1975.0</v>
      </c>
      <c r="Q51" s="84">
        <f t="shared" si="12"/>
        <v>18561</v>
      </c>
      <c r="R51" s="82"/>
    </row>
    <row r="52" ht="19.5" customHeight="1">
      <c r="A52" s="96"/>
      <c r="B52" s="92" t="s">
        <v>147</v>
      </c>
      <c r="D52" s="86" t="str">
        <f>IFERROR(__xludf.DUMMYFUNCTION("IFERROR(SPARKLINE(E52:P52, {""charttype"",""line"";""color"",""#FF0000"";""empty"",""ignore"";""nan"",""convert""}))"),"")</f>
        <v/>
      </c>
      <c r="E52" s="87">
        <v>1157.0</v>
      </c>
      <c r="F52" s="87">
        <v>1389.0</v>
      </c>
      <c r="G52" s="87">
        <v>1033.0</v>
      </c>
      <c r="H52" s="87">
        <v>1177.0</v>
      </c>
      <c r="I52" s="87">
        <v>1825.0</v>
      </c>
      <c r="J52" s="87">
        <v>1950.0</v>
      </c>
      <c r="K52" s="87">
        <v>1252.0</v>
      </c>
      <c r="L52" s="87">
        <v>1417.0</v>
      </c>
      <c r="M52" s="87">
        <v>1050.0</v>
      </c>
      <c r="N52" s="87">
        <v>1585.0</v>
      </c>
      <c r="O52" s="87">
        <v>1227.0</v>
      </c>
      <c r="P52" s="87">
        <v>1613.0</v>
      </c>
      <c r="Q52" s="87">
        <f t="shared" si="12"/>
        <v>16675</v>
      </c>
      <c r="R52" s="82"/>
    </row>
    <row r="53" ht="19.5" customHeight="1">
      <c r="A53" s="96"/>
      <c r="B53" s="58" t="s">
        <v>148</v>
      </c>
      <c r="D53" s="83" t="str">
        <f>IFERROR(__xludf.DUMMYFUNCTION("IFERROR(SPARKLINE(E53:P53, {""charttype"",""line"";""color"",""#FF0000"";""empty"",""ignore"";""nan"",""convert""}))"),"")</f>
        <v/>
      </c>
      <c r="E53" s="84">
        <v>1639.0</v>
      </c>
      <c r="F53" s="84">
        <v>1035.0</v>
      </c>
      <c r="G53" s="84">
        <v>1408.0</v>
      </c>
      <c r="H53" s="84">
        <v>1039.0</v>
      </c>
      <c r="I53" s="84">
        <v>1218.0</v>
      </c>
      <c r="J53" s="84">
        <v>1472.0</v>
      </c>
      <c r="K53" s="84">
        <v>1024.0</v>
      </c>
      <c r="L53" s="84">
        <v>1185.0</v>
      </c>
      <c r="M53" s="84">
        <v>1743.0</v>
      </c>
      <c r="N53" s="84">
        <v>1316.0</v>
      </c>
      <c r="O53" s="84">
        <v>1934.0</v>
      </c>
      <c r="P53" s="84">
        <v>1893.0</v>
      </c>
      <c r="Q53" s="84">
        <f t="shared" si="12"/>
        <v>16906</v>
      </c>
      <c r="R53" s="82"/>
    </row>
    <row r="54" ht="19.5" customHeight="1">
      <c r="A54" s="96"/>
      <c r="B54" s="92" t="s">
        <v>149</v>
      </c>
      <c r="D54" s="86" t="str">
        <f>IFERROR(__xludf.DUMMYFUNCTION("IFERROR(SPARKLINE(E54:P54, {""charttype"",""line"";""color"",""#FF0000"";""empty"",""ignore"";""nan"",""convert""}))"),"")</f>
        <v/>
      </c>
      <c r="E54" s="87">
        <v>1799.0</v>
      </c>
      <c r="F54" s="87">
        <v>1936.0</v>
      </c>
      <c r="G54" s="87">
        <v>1118.0</v>
      </c>
      <c r="H54" s="87">
        <v>1305.0</v>
      </c>
      <c r="I54" s="87">
        <v>1194.0</v>
      </c>
      <c r="J54" s="87">
        <v>1519.0</v>
      </c>
      <c r="K54" s="87">
        <v>1008.0</v>
      </c>
      <c r="L54" s="87">
        <v>1001.0</v>
      </c>
      <c r="M54" s="87">
        <v>1919.0</v>
      </c>
      <c r="N54" s="87">
        <v>1213.0</v>
      </c>
      <c r="O54" s="87">
        <v>1055.0</v>
      </c>
      <c r="P54" s="87">
        <v>1896.0</v>
      </c>
      <c r="Q54" s="87">
        <f t="shared" si="12"/>
        <v>16963</v>
      </c>
      <c r="R54" s="82"/>
    </row>
    <row r="55" ht="19.5" customHeight="1">
      <c r="A55" s="96"/>
      <c r="B55" s="58" t="s">
        <v>150</v>
      </c>
      <c r="D55" s="83" t="str">
        <f>IFERROR(__xludf.DUMMYFUNCTION("IFERROR(SPARKLINE(E55:P55, {""charttype"",""line"";""color"",""#FF0000"";""empty"",""ignore"";""nan"",""convert""}))"),"")</f>
        <v/>
      </c>
      <c r="E55" s="84">
        <v>1707.0</v>
      </c>
      <c r="F55" s="84">
        <v>1030.0</v>
      </c>
      <c r="G55" s="84">
        <v>1654.0</v>
      </c>
      <c r="H55" s="84">
        <v>1250.0</v>
      </c>
      <c r="I55" s="84">
        <v>1679.0</v>
      </c>
      <c r="J55" s="84">
        <v>1181.0</v>
      </c>
      <c r="K55" s="84">
        <v>1692.0</v>
      </c>
      <c r="L55" s="84">
        <v>1363.0</v>
      </c>
      <c r="M55" s="84">
        <v>1722.0</v>
      </c>
      <c r="N55" s="84">
        <v>1204.0</v>
      </c>
      <c r="O55" s="84">
        <v>1065.0</v>
      </c>
      <c r="P55" s="84">
        <v>1953.0</v>
      </c>
      <c r="Q55" s="84">
        <f t="shared" si="12"/>
        <v>17500</v>
      </c>
      <c r="R55" s="82"/>
    </row>
    <row r="56" ht="19.5" customHeight="1">
      <c r="A56" s="96"/>
      <c r="B56" s="92" t="s">
        <v>151</v>
      </c>
      <c r="D56" s="86" t="str">
        <f>IFERROR(__xludf.DUMMYFUNCTION("IFERROR(SPARKLINE(E56:P56, {""charttype"",""line"";""color"",""#FF0000"";""empty"",""ignore"";""nan"",""convert""}))"),"")</f>
        <v/>
      </c>
      <c r="E56" s="87">
        <v>1434.0</v>
      </c>
      <c r="F56" s="87">
        <v>1415.0</v>
      </c>
      <c r="G56" s="87">
        <v>1240.0</v>
      </c>
      <c r="H56" s="87">
        <v>1713.0</v>
      </c>
      <c r="I56" s="87">
        <v>1868.0</v>
      </c>
      <c r="J56" s="87">
        <v>1309.0</v>
      </c>
      <c r="K56" s="87">
        <v>1454.0</v>
      </c>
      <c r="L56" s="87">
        <v>1968.0</v>
      </c>
      <c r="M56" s="87">
        <v>1989.0</v>
      </c>
      <c r="N56" s="87">
        <v>1706.0</v>
      </c>
      <c r="O56" s="87">
        <v>1606.0</v>
      </c>
      <c r="P56" s="87">
        <v>1129.0</v>
      </c>
      <c r="Q56" s="87">
        <f t="shared" si="12"/>
        <v>18831</v>
      </c>
      <c r="R56" s="82"/>
    </row>
    <row r="57" ht="19.5" customHeight="1">
      <c r="A57" s="96"/>
      <c r="B57" s="58" t="s">
        <v>152</v>
      </c>
      <c r="D57" s="83" t="str">
        <f>IFERROR(__xludf.DUMMYFUNCTION("IFERROR(SPARKLINE(E57:P57, {""charttype"",""line"";""color"",""#FF0000"";""empty"",""ignore"";""nan"",""convert""}))"),"")</f>
        <v/>
      </c>
      <c r="E57" s="84">
        <v>1304.0</v>
      </c>
      <c r="F57" s="84">
        <v>1915.0</v>
      </c>
      <c r="G57" s="84">
        <v>1401.0</v>
      </c>
      <c r="H57" s="84">
        <v>1482.0</v>
      </c>
      <c r="I57" s="84">
        <v>1465.0</v>
      </c>
      <c r="J57" s="84">
        <v>1145.0</v>
      </c>
      <c r="K57" s="84">
        <v>1059.0</v>
      </c>
      <c r="L57" s="84">
        <v>1900.0</v>
      </c>
      <c r="M57" s="84">
        <v>1382.0</v>
      </c>
      <c r="N57" s="84">
        <v>1931.0</v>
      </c>
      <c r="O57" s="84">
        <v>1961.0</v>
      </c>
      <c r="P57" s="84">
        <v>1556.0</v>
      </c>
      <c r="Q57" s="84">
        <f t="shared" si="12"/>
        <v>18501</v>
      </c>
      <c r="R57" s="82"/>
    </row>
    <row r="58" ht="19.5" customHeight="1">
      <c r="A58" s="96"/>
      <c r="B58" s="92" t="s">
        <v>153</v>
      </c>
      <c r="D58" s="86" t="str">
        <f>IFERROR(__xludf.DUMMYFUNCTION("IFERROR(SPARKLINE(E58:P58, {""charttype"",""line"";""color"",""#FF0000"";""empty"",""ignore"";""nan"",""convert""}))"),"")</f>
        <v/>
      </c>
      <c r="E58" s="87">
        <v>1393.0</v>
      </c>
      <c r="F58" s="87">
        <v>1014.0</v>
      </c>
      <c r="G58" s="87">
        <v>1563.0</v>
      </c>
      <c r="H58" s="87">
        <v>1551.0</v>
      </c>
      <c r="I58" s="87">
        <v>1882.0</v>
      </c>
      <c r="J58" s="87">
        <v>1385.0</v>
      </c>
      <c r="K58" s="87">
        <v>1264.0</v>
      </c>
      <c r="L58" s="87">
        <v>1028.0</v>
      </c>
      <c r="M58" s="87">
        <v>1120.0</v>
      </c>
      <c r="N58" s="87">
        <v>1271.0</v>
      </c>
      <c r="O58" s="87">
        <v>1677.0</v>
      </c>
      <c r="P58" s="87">
        <v>1339.0</v>
      </c>
      <c r="Q58" s="87">
        <f t="shared" si="12"/>
        <v>16487</v>
      </c>
      <c r="R58" s="82"/>
    </row>
    <row r="59" ht="19.5" customHeight="1">
      <c r="A59" s="96"/>
      <c r="B59" s="58" t="s">
        <v>154</v>
      </c>
      <c r="D59" s="83" t="str">
        <f>IFERROR(__xludf.DUMMYFUNCTION("IFERROR(SPARKLINE(E59:P59, {""charttype"",""line"";""color"",""#FF0000"";""empty"",""ignore"";""nan"",""convert""}))"),"")</f>
        <v/>
      </c>
      <c r="E59" s="84">
        <v>1655.0</v>
      </c>
      <c r="F59" s="84">
        <v>1583.0</v>
      </c>
      <c r="G59" s="84">
        <v>1635.0</v>
      </c>
      <c r="H59" s="84">
        <v>1721.0</v>
      </c>
      <c r="I59" s="84">
        <v>1439.0</v>
      </c>
      <c r="J59" s="84">
        <v>1808.0</v>
      </c>
      <c r="K59" s="84">
        <v>1228.0</v>
      </c>
      <c r="L59" s="84">
        <v>1337.0</v>
      </c>
      <c r="M59" s="84">
        <v>1379.0</v>
      </c>
      <c r="N59" s="84">
        <v>1725.0</v>
      </c>
      <c r="O59" s="84">
        <v>1057.0</v>
      </c>
      <c r="P59" s="84">
        <v>1707.0</v>
      </c>
      <c r="Q59" s="84">
        <f t="shared" si="12"/>
        <v>18274</v>
      </c>
      <c r="R59" s="82"/>
    </row>
    <row r="60" ht="19.5" customHeight="1">
      <c r="A60" s="96"/>
      <c r="B60" s="92" t="s">
        <v>155</v>
      </c>
      <c r="D60" s="86" t="str">
        <f>IFERROR(__xludf.DUMMYFUNCTION("IFERROR(SPARKLINE(E60:P60, {""charttype"",""line"";""color"",""#FF0000"";""empty"",""ignore"";""nan"",""convert""}))"),"")</f>
        <v/>
      </c>
      <c r="E60" s="87">
        <v>1462.0</v>
      </c>
      <c r="F60" s="87">
        <v>1623.0</v>
      </c>
      <c r="G60" s="87">
        <v>1130.0</v>
      </c>
      <c r="H60" s="87">
        <v>1396.0</v>
      </c>
      <c r="I60" s="87">
        <v>1821.0</v>
      </c>
      <c r="J60" s="87">
        <v>1013.0</v>
      </c>
      <c r="K60" s="87">
        <v>1959.0</v>
      </c>
      <c r="L60" s="87">
        <v>1889.0</v>
      </c>
      <c r="M60" s="87">
        <v>1824.0</v>
      </c>
      <c r="N60" s="87">
        <v>1597.0</v>
      </c>
      <c r="O60" s="87">
        <v>1893.0</v>
      </c>
      <c r="P60" s="87">
        <v>1090.0</v>
      </c>
      <c r="Q60" s="87">
        <f t="shared" si="12"/>
        <v>18697</v>
      </c>
      <c r="R60" s="82"/>
    </row>
    <row r="61" ht="19.5" customHeight="1">
      <c r="A61" s="71"/>
      <c r="B61" s="57" t="str">
        <f>"TOTAL "&amp;C48</f>
        <v>TOTAL </v>
      </c>
      <c r="D61" s="83" t="str">
        <f>IFERROR(__xludf.DUMMYFUNCTION("IFERROR(SPARKLINE(E61:P61, {""charttype"",""line"";""color"",""#FF0000"";""empty"",""ignore"";""nan"",""convert""}))"),"")</f>
        <v/>
      </c>
      <c r="E61" s="95">
        <f t="shared" ref="E61:Q61" si="13">SUM(E49:E60)</f>
        <v>18170</v>
      </c>
      <c r="F61" s="95">
        <f t="shared" si="13"/>
        <v>17385</v>
      </c>
      <c r="G61" s="95">
        <f t="shared" si="13"/>
        <v>16587</v>
      </c>
      <c r="H61" s="95">
        <f t="shared" si="13"/>
        <v>18128</v>
      </c>
      <c r="I61" s="95">
        <f t="shared" si="13"/>
        <v>18608</v>
      </c>
      <c r="J61" s="95">
        <f t="shared" si="13"/>
        <v>16934</v>
      </c>
      <c r="K61" s="95">
        <f t="shared" si="13"/>
        <v>16446</v>
      </c>
      <c r="L61" s="95">
        <f t="shared" si="13"/>
        <v>17697</v>
      </c>
      <c r="M61" s="95">
        <f t="shared" si="13"/>
        <v>18155</v>
      </c>
      <c r="N61" s="95">
        <f t="shared" si="13"/>
        <v>17847</v>
      </c>
      <c r="O61" s="95">
        <f t="shared" si="13"/>
        <v>17832</v>
      </c>
      <c r="P61" s="95">
        <f t="shared" si="13"/>
        <v>19582</v>
      </c>
      <c r="Q61" s="95">
        <f t="shared" si="13"/>
        <v>213371</v>
      </c>
      <c r="R61" s="82"/>
    </row>
    <row r="62" ht="19.5" customHeight="1">
      <c r="A62" s="71"/>
      <c r="B62" s="71"/>
      <c r="D62" s="90"/>
      <c r="E62" s="102"/>
      <c r="F62" s="102"/>
      <c r="G62" s="102"/>
      <c r="H62" s="102"/>
      <c r="I62" s="102"/>
      <c r="J62" s="102"/>
      <c r="K62" s="102"/>
      <c r="L62" s="102"/>
      <c r="M62" s="102"/>
      <c r="N62" s="102"/>
      <c r="O62" s="102"/>
      <c r="P62" s="102"/>
      <c r="Q62" s="102"/>
      <c r="R62" s="71"/>
    </row>
    <row r="63" ht="27.0" customHeight="1">
      <c r="A63" s="103"/>
      <c r="B63" s="104" t="s">
        <v>156</v>
      </c>
      <c r="D63" s="105" t="str">
        <f>IFERROR(__xludf.DUMMYFUNCTION("IFERROR(SPARKLINE(E63:P63, {""charttype"",""line"";""color"",""#0000FF"";""empty"",""ignore"";""nan"",""convert""}))"),"")</f>
        <v/>
      </c>
      <c r="E63" s="106">
        <f t="shared" ref="E63:Q63" si="14">E46-E61</f>
        <v>35643</v>
      </c>
      <c r="F63" s="106">
        <f t="shared" si="14"/>
        <v>7037</v>
      </c>
      <c r="G63" s="106">
        <f t="shared" si="14"/>
        <v>28625</v>
      </c>
      <c r="H63" s="106">
        <f t="shared" si="14"/>
        <v>31596</v>
      </c>
      <c r="I63" s="106">
        <f t="shared" si="14"/>
        <v>6905</v>
      </c>
      <c r="J63" s="106">
        <f t="shared" si="14"/>
        <v>31134</v>
      </c>
      <c r="K63" s="106">
        <f t="shared" si="14"/>
        <v>4922</v>
      </c>
      <c r="L63" s="106">
        <f t="shared" si="14"/>
        <v>9708</v>
      </c>
      <c r="M63" s="106">
        <f t="shared" si="14"/>
        <v>12677</v>
      </c>
      <c r="N63" s="106">
        <f t="shared" si="14"/>
        <v>10330</v>
      </c>
      <c r="O63" s="106">
        <f t="shared" si="14"/>
        <v>-13855</v>
      </c>
      <c r="P63" s="106">
        <f t="shared" si="14"/>
        <v>1091</v>
      </c>
      <c r="Q63" s="106">
        <f t="shared" si="14"/>
        <v>165813</v>
      </c>
      <c r="R63" s="103"/>
    </row>
    <row r="64" ht="19.5" customHeight="1">
      <c r="A64" s="71"/>
      <c r="B64" s="71"/>
      <c r="C64" s="107"/>
      <c r="D64" s="90"/>
      <c r="E64" s="108"/>
      <c r="F64" s="108"/>
      <c r="G64" s="108"/>
      <c r="H64" s="108"/>
      <c r="I64" s="108"/>
      <c r="J64" s="108"/>
      <c r="K64" s="108"/>
      <c r="L64" s="108"/>
      <c r="M64" s="108"/>
      <c r="N64" s="108"/>
      <c r="O64" s="108"/>
      <c r="P64" s="108"/>
      <c r="Q64" s="108"/>
      <c r="R64" s="71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6">
    <mergeCell ref="B7:C7"/>
    <mergeCell ref="B8:B9"/>
    <mergeCell ref="C8:C9"/>
    <mergeCell ref="B10:B11"/>
    <mergeCell ref="C10:C11"/>
    <mergeCell ref="B12:B13"/>
    <mergeCell ref="C12:C13"/>
    <mergeCell ref="B14:B15"/>
    <mergeCell ref="C14:C15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7:C57"/>
    <mergeCell ref="B58:C58"/>
    <mergeCell ref="B59:C59"/>
    <mergeCell ref="B60:C60"/>
    <mergeCell ref="B61:C61"/>
    <mergeCell ref="B62:C62"/>
    <mergeCell ref="B63:C63"/>
    <mergeCell ref="B50:C50"/>
    <mergeCell ref="B51:C51"/>
    <mergeCell ref="B52:C52"/>
    <mergeCell ref="B53:C53"/>
    <mergeCell ref="B54:C54"/>
    <mergeCell ref="B55:C55"/>
    <mergeCell ref="B56:C56"/>
  </mergeCells>
  <conditionalFormatting sqref="D48 E24:P27 E30:P31 E34:P34 E37:P44 E46:P64 Q26:Q27">
    <cfRule type="cellIs" dxfId="4" priority="1" operator="lessThan">
      <formula>0</formula>
    </cfRule>
  </conditionalFormatting>
  <conditionalFormatting sqref="E32:P33 E37:P43 E49:P60">
    <cfRule type="cellIs" dxfId="4" priority="2" operator="lessThan">
      <formula>0</formula>
    </cfRule>
  </conditionalFormatting>
  <conditionalFormatting sqref="E57:P59">
    <cfRule type="cellIs" dxfId="4" priority="3" operator="lessThan">
      <formula>0</formula>
    </cfRule>
  </conditionalFormatting>
  <conditionalFormatting sqref="E60:P60">
    <cfRule type="cellIs" dxfId="4" priority="4" operator="lessThan">
      <formula>0</formula>
    </cfRule>
  </conditionalFormatting>
  <conditionalFormatting sqref="E24:P27 Q26:Q27">
    <cfRule type="cellIs" dxfId="4" priority="5" operator="lessThan">
      <formula>0</formula>
    </cfRule>
  </conditionalFormatting>
  <conditionalFormatting sqref="Q24:Q25">
    <cfRule type="cellIs" dxfId="4" priority="6" operator="lessThan">
      <formula>0</formula>
    </cfRule>
  </conditionalFormatting>
  <conditionalFormatting sqref="E25:P26 Q26">
    <cfRule type="cellIs" dxfId="4" priority="7" operator="lessThan">
      <formula>0</formula>
    </cfRule>
  </conditionalFormatting>
  <conditionalFormatting sqref="Q25:Q26">
    <cfRule type="cellIs" dxfId="4" priority="8" operator="lessThan">
      <formula>0</formula>
    </cfRule>
  </conditionalFormatting>
  <conditionalFormatting sqref="E27:Q27">
    <cfRule type="cellIs" dxfId="4" priority="9" operator="lessThan">
      <formula>0</formula>
    </cfRule>
  </conditionalFormatting>
  <conditionalFormatting sqref="Q27">
    <cfRule type="cellIs" dxfId="4" priority="10" operator="lessThan">
      <formula>0</formula>
    </cfRule>
  </conditionalFormatting>
  <conditionalFormatting sqref="Q30:Q34 Q37:Q44 Q46:Q61 Q64">
    <cfRule type="cellIs" dxfId="4" priority="11" operator="lessThan">
      <formula>0</formula>
    </cfRule>
  </conditionalFormatting>
  <conditionalFormatting sqref="Q57:Q63">
    <cfRule type="cellIs" dxfId="4" priority="12" operator="lessThan">
      <formula>0</formula>
    </cfRule>
  </conditionalFormatting>
  <printOptions/>
  <pageMargins bottom="0.3" footer="0.0" header="0.0" left="0.3" right="0.3" top="0.3"/>
  <pageSetup fitToHeight="0" orientation="landscape" paperHeight="8.5in" paperWidth="11in"/>
  <drawing r:id="rId1"/>
</worksheet>
</file>