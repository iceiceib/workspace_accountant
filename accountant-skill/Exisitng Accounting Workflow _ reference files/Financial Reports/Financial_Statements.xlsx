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kaung\workspace_accountant\accountant-skill\Exisitng Accounting Workflow _ reference files\Financial Reports\"/>
    </mc:Choice>
  </mc:AlternateContent>
  <xr:revisionPtr revIDLastSave="0" documentId="13_ncr:1_{9D532246-AA65-42B8-B360-36223D53E908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Statement_of_Profit&amp;Loss" sheetId="1" r:id="rId1"/>
    <sheet name="Statement_of_Financial Position" sheetId="2" r:id="rId2"/>
    <sheet name="Statement_of Cashflow" sheetId="3" r:id="rId3"/>
    <sheet name="Financial_Notes" sheetId="4" r:id="rId4"/>
    <sheet name="Sheet4" sheetId="5" r:id="rId5"/>
    <sheet name="Copy of Monthly P&amp;L" sheetId="6" state="hidden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zcD6ZCHb555bEZzXWUNhpyN3XCmsxl8Onnqunj/sWys="/>
    </ext>
  </extLst>
</workbook>
</file>

<file path=xl/calcChain.xml><?xml version="1.0" encoding="utf-8"?>
<calcChain xmlns="http://schemas.openxmlformats.org/spreadsheetml/2006/main">
  <c r="D63" i="6" l="1"/>
  <c r="P61" i="6"/>
  <c r="O61" i="6"/>
  <c r="N61" i="6"/>
  <c r="M61" i="6"/>
  <c r="L61" i="6"/>
  <c r="K61" i="6"/>
  <c r="K26" i="6" s="1"/>
  <c r="J61" i="6"/>
  <c r="J26" i="6" s="1"/>
  <c r="I61" i="6"/>
  <c r="H61" i="6"/>
  <c r="H26" i="6" s="1"/>
  <c r="G61" i="6"/>
  <c r="F61" i="6"/>
  <c r="E61" i="6"/>
  <c r="E26" i="6" s="1"/>
  <c r="D61" i="6"/>
  <c r="B61" i="6"/>
  <c r="Q60" i="6"/>
  <c r="D60" i="6"/>
  <c r="Q59" i="6"/>
  <c r="D59" i="6"/>
  <c r="Q58" i="6"/>
  <c r="D58" i="6"/>
  <c r="Q57" i="6"/>
  <c r="D57" i="6"/>
  <c r="Q56" i="6"/>
  <c r="D56" i="6"/>
  <c r="Q55" i="6"/>
  <c r="D55" i="6"/>
  <c r="Q54" i="6"/>
  <c r="D54" i="6"/>
  <c r="Q53" i="6"/>
  <c r="D53" i="6"/>
  <c r="Q52" i="6"/>
  <c r="D52" i="6"/>
  <c r="Q51" i="6"/>
  <c r="D51" i="6"/>
  <c r="Q50" i="6"/>
  <c r="D50" i="6"/>
  <c r="Q49" i="6"/>
  <c r="Q61" i="6" s="1"/>
  <c r="Q26" i="6" s="1"/>
  <c r="D49" i="6"/>
  <c r="K46" i="6"/>
  <c r="K63" i="6" s="1"/>
  <c r="K27" i="6" s="1"/>
  <c r="G46" i="6"/>
  <c r="G63" i="6" s="1"/>
  <c r="G27" i="6" s="1"/>
  <c r="E46" i="6"/>
  <c r="E63" i="6" s="1"/>
  <c r="E27" i="6" s="1"/>
  <c r="D46" i="6"/>
  <c r="P44" i="6"/>
  <c r="P25" i="6" s="1"/>
  <c r="O44" i="6"/>
  <c r="O25" i="6" s="1"/>
  <c r="N44" i="6"/>
  <c r="N25" i="6" s="1"/>
  <c r="M44" i="6"/>
  <c r="M46" i="6" s="1"/>
  <c r="M63" i="6" s="1"/>
  <c r="M27" i="6" s="1"/>
  <c r="L44" i="6"/>
  <c r="K44" i="6"/>
  <c r="J44" i="6"/>
  <c r="J25" i="6" s="1"/>
  <c r="I44" i="6"/>
  <c r="H44" i="6"/>
  <c r="H25" i="6" s="1"/>
  <c r="G44" i="6"/>
  <c r="G25" i="6" s="1"/>
  <c r="F44" i="6"/>
  <c r="E44" i="6"/>
  <c r="D44" i="6"/>
  <c r="B44" i="6"/>
  <c r="Q43" i="6"/>
  <c r="D43" i="6"/>
  <c r="Q42" i="6"/>
  <c r="D42" i="6"/>
  <c r="Q41" i="6"/>
  <c r="D41" i="6"/>
  <c r="Q40" i="6"/>
  <c r="D40" i="6"/>
  <c r="Q39" i="6"/>
  <c r="D39" i="6"/>
  <c r="Q38" i="6"/>
  <c r="D38" i="6"/>
  <c r="Q37" i="6"/>
  <c r="Q44" i="6" s="1"/>
  <c r="D37" i="6"/>
  <c r="P34" i="6"/>
  <c r="P46" i="6" s="1"/>
  <c r="P63" i="6" s="1"/>
  <c r="P27" i="6" s="1"/>
  <c r="O34" i="6"/>
  <c r="O46" i="6" s="1"/>
  <c r="O63" i="6" s="1"/>
  <c r="O27" i="6" s="1"/>
  <c r="N34" i="6"/>
  <c r="N46" i="6" s="1"/>
  <c r="N63" i="6" s="1"/>
  <c r="N27" i="6" s="1"/>
  <c r="M34" i="6"/>
  <c r="L34" i="6"/>
  <c r="L46" i="6" s="1"/>
  <c r="L63" i="6" s="1"/>
  <c r="L27" i="6" s="1"/>
  <c r="K34" i="6"/>
  <c r="J34" i="6"/>
  <c r="J46" i="6" s="1"/>
  <c r="J63" i="6" s="1"/>
  <c r="J27" i="6" s="1"/>
  <c r="I34" i="6"/>
  <c r="I46" i="6" s="1"/>
  <c r="I63" i="6" s="1"/>
  <c r="I27" i="6" s="1"/>
  <c r="H34" i="6"/>
  <c r="H46" i="6" s="1"/>
  <c r="H63" i="6" s="1"/>
  <c r="H27" i="6" s="1"/>
  <c r="G34" i="6"/>
  <c r="F34" i="6"/>
  <c r="F46" i="6" s="1"/>
  <c r="F63" i="6" s="1"/>
  <c r="F27" i="6" s="1"/>
  <c r="E34" i="6"/>
  <c r="D34" i="6"/>
  <c r="B34" i="6"/>
  <c r="Q33" i="6"/>
  <c r="D33" i="6"/>
  <c r="Q32" i="6"/>
  <c r="D32" i="6"/>
  <c r="Q31" i="6"/>
  <c r="D31" i="6"/>
  <c r="Q30" i="6"/>
  <c r="Q34" i="6" s="1"/>
  <c r="Q46" i="6" s="1"/>
  <c r="Q63" i="6" s="1"/>
  <c r="Q27" i="6" s="1"/>
  <c r="D30" i="6"/>
  <c r="D27" i="6"/>
  <c r="P26" i="6"/>
  <c r="O26" i="6"/>
  <c r="N26" i="6"/>
  <c r="M26" i="6"/>
  <c r="L26" i="6"/>
  <c r="I26" i="6"/>
  <c r="G26" i="6"/>
  <c r="F26" i="6"/>
  <c r="D26" i="6"/>
  <c r="L25" i="6"/>
  <c r="K25" i="6"/>
  <c r="I25" i="6"/>
  <c r="F25" i="6"/>
  <c r="E25" i="6"/>
  <c r="D25" i="6"/>
  <c r="P24" i="6"/>
  <c r="N24" i="6"/>
  <c r="M24" i="6"/>
  <c r="L24" i="6"/>
  <c r="K24" i="6"/>
  <c r="G24" i="6"/>
  <c r="E24" i="6"/>
  <c r="D24" i="6"/>
  <c r="O17" i="6"/>
  <c r="N17" i="6"/>
  <c r="M17" i="6"/>
  <c r="L17" i="6"/>
  <c r="K17" i="6"/>
  <c r="J17" i="6"/>
  <c r="I17" i="6"/>
  <c r="H17" i="6"/>
  <c r="G17" i="6"/>
  <c r="F17" i="6"/>
  <c r="E17" i="6"/>
  <c r="D17" i="6"/>
  <c r="C14" i="6"/>
  <c r="C12" i="6"/>
  <c r="C10" i="6"/>
  <c r="C8" i="6"/>
  <c r="L111" i="4"/>
  <c r="K111" i="4"/>
  <c r="J111" i="4"/>
  <c r="I111" i="4"/>
  <c r="H111" i="4"/>
  <c r="G111" i="4"/>
  <c r="F111" i="4"/>
  <c r="E111" i="4"/>
  <c r="D111" i="4"/>
  <c r="L106" i="4"/>
  <c r="K106" i="4"/>
  <c r="J106" i="4"/>
  <c r="I106" i="4"/>
  <c r="H106" i="4"/>
  <c r="G106" i="4"/>
  <c r="F106" i="4"/>
  <c r="E106" i="4"/>
  <c r="D106" i="4"/>
  <c r="B88" i="4"/>
  <c r="B92" i="4" s="1"/>
  <c r="B108" i="4" s="1"/>
  <c r="B114" i="4" s="1"/>
  <c r="L86" i="4"/>
  <c r="M9" i="2" s="1"/>
  <c r="K86" i="4"/>
  <c r="J86" i="4"/>
  <c r="K9" i="2" s="1"/>
  <c r="I86" i="4"/>
  <c r="J9" i="2" s="1"/>
  <c r="H86" i="4"/>
  <c r="I9" i="2" s="1"/>
  <c r="G86" i="4"/>
  <c r="H9" i="2" s="1"/>
  <c r="F86" i="4"/>
  <c r="G9" i="2" s="1"/>
  <c r="E86" i="4"/>
  <c r="F9" i="2" s="1"/>
  <c r="D86" i="4"/>
  <c r="E9" i="2" s="1"/>
  <c r="L80" i="4"/>
  <c r="M8" i="2" s="1"/>
  <c r="K80" i="4"/>
  <c r="L8" i="2" s="1"/>
  <c r="J80" i="4"/>
  <c r="K8" i="2" s="1"/>
  <c r="I80" i="4"/>
  <c r="J8" i="2" s="1"/>
  <c r="H80" i="4"/>
  <c r="I8" i="2" s="1"/>
  <c r="G80" i="4"/>
  <c r="H8" i="2" s="1"/>
  <c r="F80" i="4"/>
  <c r="G8" i="2" s="1"/>
  <c r="E80" i="4"/>
  <c r="F8" i="2" s="1"/>
  <c r="D80" i="4"/>
  <c r="E8" i="2" s="1"/>
  <c r="L71" i="4"/>
  <c r="M10" i="3" s="1"/>
  <c r="K71" i="4"/>
  <c r="L10" i="3" s="1"/>
  <c r="J71" i="4"/>
  <c r="K7" i="2" s="1"/>
  <c r="I71" i="4"/>
  <c r="J10" i="3" s="1"/>
  <c r="H71" i="4"/>
  <c r="I7" i="2" s="1"/>
  <c r="G71" i="4"/>
  <c r="H10" i="3" s="1"/>
  <c r="F71" i="4"/>
  <c r="G10" i="3" s="1"/>
  <c r="E71" i="4"/>
  <c r="F7" i="2" s="1"/>
  <c r="D71" i="4"/>
  <c r="E10" i="3" s="1"/>
  <c r="L67" i="4"/>
  <c r="L66" i="4"/>
  <c r="M6" i="2" s="1"/>
  <c r="K66" i="4"/>
  <c r="L6" i="2" s="1"/>
  <c r="J66" i="4"/>
  <c r="I66" i="4"/>
  <c r="J6" i="2" s="1"/>
  <c r="H66" i="4"/>
  <c r="G66" i="4"/>
  <c r="H6" i="2" s="1"/>
  <c r="F66" i="4"/>
  <c r="G6" i="2" s="1"/>
  <c r="E66" i="4"/>
  <c r="F6" i="2" s="1"/>
  <c r="D66" i="4"/>
  <c r="E6" i="2" s="1"/>
  <c r="L59" i="4"/>
  <c r="M26" i="1" s="1"/>
  <c r="K59" i="4"/>
  <c r="L26" i="1" s="1"/>
  <c r="J59" i="4"/>
  <c r="K26" i="1" s="1"/>
  <c r="I59" i="4"/>
  <c r="J26" i="1" s="1"/>
  <c r="H59" i="4"/>
  <c r="I26" i="1" s="1"/>
  <c r="G59" i="4"/>
  <c r="H26" i="1" s="1"/>
  <c r="F59" i="4"/>
  <c r="G26" i="1" s="1"/>
  <c r="E59" i="4"/>
  <c r="F26" i="1" s="1"/>
  <c r="D59" i="4"/>
  <c r="L52" i="4"/>
  <c r="M25" i="1" s="1"/>
  <c r="K52" i="4"/>
  <c r="L25" i="1" s="1"/>
  <c r="J52" i="4"/>
  <c r="K25" i="1" s="1"/>
  <c r="I52" i="4"/>
  <c r="J25" i="1" s="1"/>
  <c r="H52" i="4"/>
  <c r="I25" i="1" s="1"/>
  <c r="G52" i="4"/>
  <c r="H25" i="1" s="1"/>
  <c r="F52" i="4"/>
  <c r="G25" i="1" s="1"/>
  <c r="E52" i="4"/>
  <c r="D52" i="4"/>
  <c r="E25" i="1" s="1"/>
  <c r="D46" i="4"/>
  <c r="E22" i="1" s="1"/>
  <c r="E8" i="3" s="1"/>
  <c r="L46" i="4"/>
  <c r="M22" i="1" s="1"/>
  <c r="M8" i="3" s="1"/>
  <c r="K46" i="4"/>
  <c r="L22" i="1" s="1"/>
  <c r="L8" i="3" s="1"/>
  <c r="J46" i="4"/>
  <c r="K22" i="1" s="1"/>
  <c r="K8" i="3" s="1"/>
  <c r="I46" i="4"/>
  <c r="J22" i="1" s="1"/>
  <c r="J8" i="3" s="1"/>
  <c r="H46" i="4"/>
  <c r="I22" i="1" s="1"/>
  <c r="I8" i="3" s="1"/>
  <c r="G46" i="4"/>
  <c r="H22" i="1" s="1"/>
  <c r="H8" i="3" s="1"/>
  <c r="F46" i="4"/>
  <c r="G22" i="1" s="1"/>
  <c r="G8" i="3" s="1"/>
  <c r="E46" i="4"/>
  <c r="F22" i="1" s="1"/>
  <c r="F8" i="3" s="1"/>
  <c r="L40" i="4"/>
  <c r="K40" i="4"/>
  <c r="J40" i="4"/>
  <c r="I40" i="4"/>
  <c r="H40" i="4"/>
  <c r="G40" i="4"/>
  <c r="F40" i="4"/>
  <c r="E40" i="4"/>
  <c r="D40" i="4"/>
  <c r="L25" i="4"/>
  <c r="M6" i="1" s="1"/>
  <c r="K25" i="4"/>
  <c r="L6" i="1" s="1"/>
  <c r="J25" i="4"/>
  <c r="K6" i="1" s="1"/>
  <c r="I25" i="4"/>
  <c r="J6" i="1" s="1"/>
  <c r="H25" i="4"/>
  <c r="I6" i="1" s="1"/>
  <c r="G25" i="4"/>
  <c r="H6" i="1" s="1"/>
  <c r="F25" i="4"/>
  <c r="E25" i="4"/>
  <c r="F6" i="1" s="1"/>
  <c r="D25" i="4"/>
  <c r="E6" i="1" s="1"/>
  <c r="L6" i="4"/>
  <c r="M5" i="1" s="1"/>
  <c r="K6" i="4"/>
  <c r="L5" i="1" s="1"/>
  <c r="J6" i="4"/>
  <c r="K5" i="1" s="1"/>
  <c r="I6" i="4"/>
  <c r="J5" i="1" s="1"/>
  <c r="H6" i="4"/>
  <c r="I5" i="1" s="1"/>
  <c r="G6" i="4"/>
  <c r="H5" i="1" s="1"/>
  <c r="F6" i="4"/>
  <c r="G5" i="1" s="1"/>
  <c r="E6" i="4"/>
  <c r="F5" i="1" s="1"/>
  <c r="D6" i="4"/>
  <c r="E5" i="1" s="1"/>
  <c r="M24" i="3"/>
  <c r="L24" i="3"/>
  <c r="K24" i="3"/>
  <c r="J24" i="3"/>
  <c r="I24" i="3"/>
  <c r="H24" i="3"/>
  <c r="G24" i="3"/>
  <c r="F24" i="3"/>
  <c r="E24" i="3"/>
  <c r="M20" i="3"/>
  <c r="L20" i="3"/>
  <c r="K20" i="3"/>
  <c r="J20" i="3"/>
  <c r="I20" i="3"/>
  <c r="H20" i="3"/>
  <c r="G20" i="3"/>
  <c r="F20" i="3"/>
  <c r="E18" i="3"/>
  <c r="E17" i="3"/>
  <c r="K10" i="3"/>
  <c r="E3" i="3"/>
  <c r="E4" i="3" s="1"/>
  <c r="F2" i="3"/>
  <c r="F3" i="3" s="1"/>
  <c r="E24" i="2"/>
  <c r="M23" i="2"/>
  <c r="L23" i="2"/>
  <c r="K23" i="2"/>
  <c r="J23" i="2"/>
  <c r="I23" i="2"/>
  <c r="H23" i="2"/>
  <c r="G23" i="2"/>
  <c r="F23" i="2"/>
  <c r="E23" i="2"/>
  <c r="M18" i="2"/>
  <c r="L18" i="2"/>
  <c r="K18" i="2"/>
  <c r="J18" i="2"/>
  <c r="I18" i="2"/>
  <c r="H18" i="2"/>
  <c r="G18" i="2"/>
  <c r="F18" i="2"/>
  <c r="E18" i="2"/>
  <c r="M17" i="2"/>
  <c r="L17" i="2"/>
  <c r="K17" i="2"/>
  <c r="J17" i="2"/>
  <c r="I17" i="2"/>
  <c r="H17" i="2"/>
  <c r="G17" i="2"/>
  <c r="F17" i="2"/>
  <c r="E17" i="2"/>
  <c r="M16" i="2"/>
  <c r="L16" i="2"/>
  <c r="K16" i="2"/>
  <c r="J16" i="2"/>
  <c r="I16" i="2"/>
  <c r="H16" i="2"/>
  <c r="G16" i="2"/>
  <c r="F16" i="2"/>
  <c r="E16" i="2"/>
  <c r="M15" i="2"/>
  <c r="L15" i="2"/>
  <c r="K15" i="2"/>
  <c r="J15" i="2"/>
  <c r="I15" i="2"/>
  <c r="H15" i="2"/>
  <c r="G15" i="2"/>
  <c r="F15" i="2"/>
  <c r="E15" i="2"/>
  <c r="M14" i="2"/>
  <c r="L14" i="2"/>
  <c r="K14" i="2"/>
  <c r="J14" i="2"/>
  <c r="I14" i="2"/>
  <c r="H14" i="2"/>
  <c r="G14" i="2"/>
  <c r="F14" i="2"/>
  <c r="E14" i="2"/>
  <c r="M10" i="2"/>
  <c r="L10" i="2"/>
  <c r="K10" i="2"/>
  <c r="J10" i="2"/>
  <c r="I10" i="2"/>
  <c r="H10" i="2"/>
  <c r="G10" i="2"/>
  <c r="F10" i="2"/>
  <c r="E10" i="2"/>
  <c r="L9" i="2"/>
  <c r="L7" i="2"/>
  <c r="K6" i="2"/>
  <c r="I6" i="2"/>
  <c r="E3" i="2"/>
  <c r="E4" i="2" s="1"/>
  <c r="E26" i="1"/>
  <c r="F25" i="1"/>
  <c r="M10" i="1" a="1"/>
  <c r="M14" i="1" s="1"/>
  <c r="L10" i="1" a="1"/>
  <c r="L13" i="1" s="1"/>
  <c r="K10" i="1" a="1"/>
  <c r="K12" i="1" s="1"/>
  <c r="J10" i="1" a="1"/>
  <c r="J11" i="1" s="1"/>
  <c r="I10" i="1" a="1"/>
  <c r="I10" i="1" s="1"/>
  <c r="H10" i="1" a="1"/>
  <c r="H10" i="1" s="1"/>
  <c r="G10" i="1" a="1"/>
  <c r="G15" i="1" s="1"/>
  <c r="F10" i="1" a="1"/>
  <c r="F19" i="1" s="1"/>
  <c r="E10" i="1" a="1"/>
  <c r="E18" i="1" s="1"/>
  <c r="G6" i="1"/>
  <c r="E3" i="1"/>
  <c r="F2" i="1" s="1"/>
  <c r="F3" i="1" s="1"/>
  <c r="K11" i="3" l="1"/>
  <c r="I11" i="3"/>
  <c r="E11" i="3"/>
  <c r="I10" i="3"/>
  <c r="J13" i="3"/>
  <c r="L13" i="3"/>
  <c r="G18" i="1"/>
  <c r="G19" i="1"/>
  <c r="G13" i="3"/>
  <c r="M18" i="1"/>
  <c r="G12" i="1"/>
  <c r="I19" i="2"/>
  <c r="E10" i="1"/>
  <c r="J19" i="2"/>
  <c r="F13" i="3"/>
  <c r="K11" i="2"/>
  <c r="H11" i="3"/>
  <c r="M12" i="3"/>
  <c r="G12" i="3"/>
  <c r="F10" i="3"/>
  <c r="K15" i="1"/>
  <c r="H7" i="2"/>
  <c r="H11" i="2" s="1"/>
  <c r="L12" i="3"/>
  <c r="H13" i="3"/>
  <c r="G7" i="2"/>
  <c r="G11" i="2" s="1"/>
  <c r="L14" i="1"/>
  <c r="J7" i="2"/>
  <c r="J11" i="2" s="1"/>
  <c r="I12" i="3"/>
  <c r="I13" i="1"/>
  <c r="G7" i="1"/>
  <c r="G8" i="1" s="1"/>
  <c r="G16" i="1"/>
  <c r="J12" i="1"/>
  <c r="M11" i="1"/>
  <c r="M7" i="2"/>
  <c r="M11" i="2" s="1"/>
  <c r="J12" i="3"/>
  <c r="M13" i="3"/>
  <c r="L7" i="1"/>
  <c r="L8" i="1" s="1"/>
  <c r="G17" i="1"/>
  <c r="J14" i="1"/>
  <c r="M15" i="1"/>
  <c r="F11" i="3"/>
  <c r="K12" i="3"/>
  <c r="E19" i="2"/>
  <c r="H19" i="2"/>
  <c r="M17" i="1"/>
  <c r="G19" i="2"/>
  <c r="K10" i="1"/>
  <c r="K19" i="2"/>
  <c r="F11" i="2"/>
  <c r="L19" i="2"/>
  <c r="E7" i="1"/>
  <c r="E8" i="1" s="1"/>
  <c r="J11" i="3"/>
  <c r="M7" i="1"/>
  <c r="M8" i="1" s="1"/>
  <c r="E15" i="1"/>
  <c r="E19" i="1"/>
  <c r="I11" i="1"/>
  <c r="K13" i="1"/>
  <c r="M11" i="3"/>
  <c r="F7" i="1"/>
  <c r="F8" i="1" s="1"/>
  <c r="L11" i="2"/>
  <c r="L11" i="3"/>
  <c r="F12" i="3"/>
  <c r="J19" i="1"/>
  <c r="G10" i="1"/>
  <c r="I18" i="1"/>
  <c r="I13" i="3"/>
  <c r="I11" i="2"/>
  <c r="I19" i="1"/>
  <c r="M19" i="2"/>
  <c r="I7" i="1"/>
  <c r="I8" i="1" s="1"/>
  <c r="J15" i="1"/>
  <c r="G11" i="3"/>
  <c r="F19" i="2"/>
  <c r="G11" i="1"/>
  <c r="J10" i="1"/>
  <c r="L16" i="1"/>
  <c r="H12" i="3"/>
  <c r="K13" i="3"/>
  <c r="E20" i="3"/>
  <c r="J7" i="1"/>
  <c r="J8" i="1" s="1"/>
  <c r="Q5" i="1"/>
  <c r="K7" i="1"/>
  <c r="K8" i="1" s="1"/>
  <c r="H7" i="1"/>
  <c r="H8" i="1" s="1"/>
  <c r="F4" i="3"/>
  <c r="G2" i="3"/>
  <c r="G3" i="3" s="1"/>
  <c r="G2" i="1"/>
  <c r="G3" i="1" s="1"/>
  <c r="F4" i="1"/>
  <c r="F10" i="1"/>
  <c r="H11" i="1"/>
  <c r="I12" i="1"/>
  <c r="J13" i="1"/>
  <c r="K14" i="1"/>
  <c r="L15" i="1"/>
  <c r="M16" i="1"/>
  <c r="F11" i="1"/>
  <c r="I14" i="1"/>
  <c r="L17" i="1"/>
  <c r="E7" i="2"/>
  <c r="E11" i="2" s="1"/>
  <c r="K16" i="1"/>
  <c r="E4" i="1"/>
  <c r="E11" i="1"/>
  <c r="F12" i="1"/>
  <c r="G13" i="1"/>
  <c r="H14" i="1"/>
  <c r="I15" i="1"/>
  <c r="J16" i="1"/>
  <c r="K17" i="1"/>
  <c r="L18" i="1"/>
  <c r="M19" i="1"/>
  <c r="F2" i="2"/>
  <c r="F3" i="2" s="1"/>
  <c r="O24" i="6"/>
  <c r="M25" i="6"/>
  <c r="Q25" i="6" s="1"/>
  <c r="H13" i="1"/>
  <c r="E12" i="1"/>
  <c r="F13" i="1"/>
  <c r="G14" i="1"/>
  <c r="H15" i="1"/>
  <c r="I16" i="1"/>
  <c r="J17" i="1"/>
  <c r="K18" i="1"/>
  <c r="L19" i="1"/>
  <c r="E13" i="1"/>
  <c r="F14" i="1"/>
  <c r="H16" i="1"/>
  <c r="I17" i="1"/>
  <c r="J18" i="1"/>
  <c r="K19" i="1"/>
  <c r="M10" i="1"/>
  <c r="E14" i="1"/>
  <c r="F15" i="1"/>
  <c r="H17" i="1"/>
  <c r="L10" i="1"/>
  <c r="F24" i="6"/>
  <c r="Q24" i="6" s="1"/>
  <c r="H12" i="1"/>
  <c r="H18" i="1"/>
  <c r="E16" i="1"/>
  <c r="F17" i="1"/>
  <c r="H19" i="1"/>
  <c r="L11" i="1"/>
  <c r="M12" i="1"/>
  <c r="H24" i="6"/>
  <c r="F16" i="1"/>
  <c r="E17" i="1"/>
  <c r="F18" i="1"/>
  <c r="K11" i="1"/>
  <c r="L12" i="1"/>
  <c r="M13" i="1"/>
  <c r="I24" i="6"/>
  <c r="J24" i="6"/>
  <c r="J20" i="2" l="1"/>
  <c r="L20" i="2"/>
  <c r="M20" i="2"/>
  <c r="H20" i="2"/>
  <c r="E20" i="2"/>
  <c r="I20" i="2"/>
  <c r="K20" i="2"/>
  <c r="G20" i="2"/>
  <c r="E20" i="1"/>
  <c r="E23" i="1" s="1"/>
  <c r="E24" i="1" s="1"/>
  <c r="J20" i="1"/>
  <c r="J23" i="1" s="1"/>
  <c r="J24" i="1" s="1"/>
  <c r="L20" i="1"/>
  <c r="L27" i="1" s="1"/>
  <c r="F20" i="1"/>
  <c r="F27" i="1" s="1"/>
  <c r="F20" i="2"/>
  <c r="M20" i="1"/>
  <c r="M21" i="1" s="1"/>
  <c r="G20" i="1"/>
  <c r="G23" i="1" s="1"/>
  <c r="G24" i="1" s="1"/>
  <c r="I20" i="1"/>
  <c r="I21" i="1" s="1"/>
  <c r="K20" i="1"/>
  <c r="K21" i="1" s="1"/>
  <c r="H20" i="1"/>
  <c r="H23" i="1" s="1"/>
  <c r="H24" i="1" s="1"/>
  <c r="G4" i="1"/>
  <c r="H2" i="1"/>
  <c r="H3" i="1" s="1"/>
  <c r="F4" i="2"/>
  <c r="G2" i="2"/>
  <c r="G3" i="2" s="1"/>
  <c r="G4" i="3"/>
  <c r="H2" i="3"/>
  <c r="H3" i="3" s="1"/>
  <c r="E27" i="1" l="1"/>
  <c r="E28" i="1" s="1"/>
  <c r="J27" i="1"/>
  <c r="J28" i="1" s="1"/>
  <c r="J21" i="1"/>
  <c r="E21" i="1"/>
  <c r="I27" i="1"/>
  <c r="I6" i="3" s="1"/>
  <c r="I14" i="3" s="1"/>
  <c r="I26" i="3" s="1"/>
  <c r="G21" i="1"/>
  <c r="G27" i="1"/>
  <c r="G28" i="1" s="1"/>
  <c r="M23" i="1"/>
  <c r="M24" i="1" s="1"/>
  <c r="M27" i="1"/>
  <c r="M6" i="3" s="1"/>
  <c r="M14" i="3" s="1"/>
  <c r="M26" i="3" s="1"/>
  <c r="I23" i="1"/>
  <c r="I24" i="1" s="1"/>
  <c r="F23" i="1"/>
  <c r="F24" i="1" s="1"/>
  <c r="L21" i="1"/>
  <c r="F21" i="1"/>
  <c r="L23" i="1"/>
  <c r="L24" i="1" s="1"/>
  <c r="H21" i="1"/>
  <c r="K27" i="1"/>
  <c r="K6" i="3" s="1"/>
  <c r="K14" i="3" s="1"/>
  <c r="K26" i="3" s="1"/>
  <c r="H27" i="1"/>
  <c r="H6" i="3" s="1"/>
  <c r="H14" i="3" s="1"/>
  <c r="H26" i="3" s="1"/>
  <c r="K23" i="1"/>
  <c r="K24" i="1" s="1"/>
  <c r="H4" i="3"/>
  <c r="I2" i="3"/>
  <c r="I3" i="3" s="1"/>
  <c r="L6" i="3"/>
  <c r="L14" i="3" s="1"/>
  <c r="L26" i="3" s="1"/>
  <c r="L25" i="2"/>
  <c r="L28" i="1"/>
  <c r="G4" i="2"/>
  <c r="H2" i="2"/>
  <c r="H3" i="2" s="1"/>
  <c r="F25" i="2"/>
  <c r="F28" i="1"/>
  <c r="F6" i="3"/>
  <c r="F14" i="3" s="1"/>
  <c r="F26" i="3" s="1"/>
  <c r="I2" i="1"/>
  <c r="I3" i="1" s="1"/>
  <c r="H4" i="1"/>
  <c r="J25" i="2" l="1"/>
  <c r="J6" i="3"/>
  <c r="J14" i="3" s="1"/>
  <c r="J26" i="3" s="1"/>
  <c r="G25" i="2"/>
  <c r="E6" i="3"/>
  <c r="E14" i="3" s="1"/>
  <c r="E26" i="3" s="1"/>
  <c r="E28" i="3" s="1"/>
  <c r="F27" i="3" s="1"/>
  <c r="F28" i="3" s="1"/>
  <c r="E25" i="2"/>
  <c r="F24" i="2" s="1"/>
  <c r="G6" i="3"/>
  <c r="G14" i="3" s="1"/>
  <c r="G26" i="3" s="1"/>
  <c r="M25" i="2"/>
  <c r="K25" i="2"/>
  <c r="I25" i="2"/>
  <c r="I28" i="1"/>
  <c r="M28" i="1"/>
  <c r="H28" i="1"/>
  <c r="K28" i="1"/>
  <c r="Q27" i="1"/>
  <c r="Q28" i="1" s="1"/>
  <c r="H25" i="2"/>
  <c r="I4" i="3"/>
  <c r="J2" i="3"/>
  <c r="J3" i="3" s="1"/>
  <c r="I4" i="1"/>
  <c r="J2" i="1"/>
  <c r="J3" i="1" s="1"/>
  <c r="I2" i="2"/>
  <c r="I3" i="2" s="1"/>
  <c r="H4" i="2"/>
  <c r="E26" i="2" l="1"/>
  <c r="E27" i="2" s="1"/>
  <c r="E29" i="3"/>
  <c r="F29" i="3"/>
  <c r="G27" i="3"/>
  <c r="G28" i="3" s="1"/>
  <c r="J4" i="1"/>
  <c r="K2" i="1"/>
  <c r="K3" i="1" s="1"/>
  <c r="J4" i="3"/>
  <c r="K2" i="3"/>
  <c r="K3" i="3" s="1"/>
  <c r="J2" i="2"/>
  <c r="J3" i="2" s="1"/>
  <c r="I4" i="2"/>
  <c r="G24" i="2"/>
  <c r="F26" i="2"/>
  <c r="F27" i="2" s="1"/>
  <c r="G26" i="2" l="1"/>
  <c r="G27" i="2" s="1"/>
  <c r="H24" i="2"/>
  <c r="K4" i="3"/>
  <c r="L2" i="3"/>
  <c r="L3" i="3" s="1"/>
  <c r="J4" i="2"/>
  <c r="K2" i="2"/>
  <c r="K3" i="2" s="1"/>
  <c r="K4" i="1"/>
  <c r="L2" i="1"/>
  <c r="L3" i="1" s="1"/>
  <c r="H27" i="3"/>
  <c r="H28" i="3" s="1"/>
  <c r="G29" i="3"/>
  <c r="L4" i="1" l="1"/>
  <c r="M2" i="1"/>
  <c r="M3" i="1" s="1"/>
  <c r="M4" i="1" s="1"/>
  <c r="I27" i="3"/>
  <c r="I28" i="3" s="1"/>
  <c r="H29" i="3"/>
  <c r="L2" i="2"/>
  <c r="L3" i="2" s="1"/>
  <c r="K4" i="2"/>
  <c r="M2" i="3"/>
  <c r="M3" i="3" s="1"/>
  <c r="M4" i="3" s="1"/>
  <c r="L4" i="3"/>
  <c r="H26" i="2"/>
  <c r="H27" i="2" s="1"/>
  <c r="I24" i="2"/>
  <c r="I26" i="2" l="1"/>
  <c r="I27" i="2" s="1"/>
  <c r="J24" i="2"/>
  <c r="M2" i="2"/>
  <c r="M3" i="2" s="1"/>
  <c r="M4" i="2" s="1"/>
  <c r="L4" i="2"/>
  <c r="I29" i="3"/>
  <c r="J27" i="3"/>
  <c r="J28" i="3" s="1"/>
  <c r="J29" i="3" l="1"/>
  <c r="K27" i="3"/>
  <c r="K28" i="3" s="1"/>
  <c r="K24" i="2"/>
  <c r="J26" i="2"/>
  <c r="J27" i="2" s="1"/>
  <c r="L24" i="2" l="1"/>
  <c r="K26" i="2"/>
  <c r="K27" i="2" s="1"/>
  <c r="L27" i="3"/>
  <c r="L28" i="3" s="1"/>
  <c r="K29" i="3"/>
  <c r="L29" i="3" l="1"/>
  <c r="M27" i="3"/>
  <c r="M28" i="3" s="1"/>
  <c r="M29" i="3" s="1"/>
  <c r="L26" i="2"/>
  <c r="L27" i="2" s="1"/>
  <c r="M24" i="2"/>
  <c r="M26" i="2" s="1"/>
  <c r="M27" i="2" s="1"/>
</calcChain>
</file>

<file path=xl/sharedStrings.xml><?xml version="1.0" encoding="utf-8"?>
<sst xmlns="http://schemas.openxmlformats.org/spreadsheetml/2006/main" count="386" uniqueCount="206">
  <si>
    <t>Period Start</t>
  </si>
  <si>
    <t>Period End</t>
  </si>
  <si>
    <t>ဝင်ငွေအလုံးစုံပါဝင်သောရှင်းတမ်းပေါင်းချုပ် ( Profit &amp; Loss Accounts )</t>
  </si>
  <si>
    <t>Notes</t>
  </si>
  <si>
    <t>ဝင်ငွေ ( Revenue )</t>
  </si>
  <si>
    <t>ကုန်ရောင်းတန်ဖိုး ( Cost of Sale )</t>
  </si>
  <si>
    <t>အကြမ်းအမြတ် ( Gross Profit)</t>
  </si>
  <si>
    <t>အကြမ်းအမြတ်အစွန်း % ( Gross Profit Margin % )</t>
  </si>
  <si>
    <t>လုပ်ငန်းလည်ပတ်မှုကုန်ကျစရိတ်များ ( SG&amp;A Expenses ) -</t>
  </si>
  <si>
    <t>- ဈေးကွက်ရှာဖွေရေးနှင့် ကြောငြာကုန်ကျစရိတ်များ ( Marketing &amp; Advertising Expenses )</t>
  </si>
  <si>
    <t>- ရုံးပိုင်းဆိုင်ရာဝန်ထမ်းစရိတ်များ ( Staff Salaries )</t>
  </si>
  <si>
    <t>- ဝန်ထမ်းစားသောက်စရိတ်များ ( Meal Allowance )</t>
  </si>
  <si>
    <t>- ရေ၊ မီးသုံးစွဲမှု ထိန်းသိမ်းခြင်းစရိတ်များ ( Utilities Expenses )</t>
  </si>
  <si>
    <t>- သယ်ယူပို့ဆောင်ရေးနှင့် ဖြန့်ဖြူးရေးကုန်ကျစရိတ်များ ( Transportation &amp; Distribution Expense )</t>
  </si>
  <si>
    <t>- စက်ရုံအဆောက်အဦများနှင့် ရုံးသုံးပစ္စည်းများနှင့် ပြုပြင်ထိန်းသိမ်းရေးစရိတ်များ ( Factory Buildings &amp; Office Supplies and Maintenance )</t>
  </si>
  <si>
    <t>- ကုန်ထုတ်လုပ်ငန်းနှင့်တိုက်ရိုက်မပတ်သတ်သော ပုံသေပိုင်ပစ္စည်း တန်ဖိုးလျှော့စရိတ်များ ( Depreciation Expenses - SG&amp;A )</t>
  </si>
  <si>
    <t>- ဂိုဒေါင်ရှိပစ္စည်းစာရင်းပယ်ဖျက်မှုဆိုင်ရာ ကုန်ကျစရိတ်များ ( Inventory Write-off )</t>
  </si>
  <si>
    <t>- တခြားကုန်ကျစရိတ်များ ( Other Expenses )</t>
  </si>
  <si>
    <t>- စီမံအုပ်ချုပ်သူများနှင့် ဒါရိုက်တာများ ခံစားခွင့် ( Key Managment Personnel and Director Compensation)</t>
  </si>
  <si>
    <t>ဘဏ္ဍာရေးစရိတ်နှင့် အခွန်မဆောင်မီ အမြတ်ငွေ ( EBIT )</t>
  </si>
  <si>
    <t>ဘဏ္ဍာရေးစရိတ်နှင့် အခွန်မဆောင်မီ အမြတ်အစွန်း % ( EBIT Margin % )</t>
  </si>
  <si>
    <t>တန်ဖိုးလျှော့စရိတ်စုစုပေါင်း ( Depreciation &amp; Amortisation )</t>
  </si>
  <si>
    <t>တန်ဖိုးလျှော့စရိတ်များ၊ ဘဏ္ဍာရေးစရိတ်နှင့် အခွန်မဆောင်မီ အမြတ်ငွေ ( EBITDA )</t>
  </si>
  <si>
    <t>တန်ဖိုးလျှော့စရိတ်များ၊ ဘဏ္ဍာရေးစရိတ်နှင့် အခွန်မဆောင်မီ အမြတ်အစွန်း % ( EBITDA Margin % )</t>
  </si>
  <si>
    <t>တခြားဝင်ငွေများ ( Other Income )</t>
  </si>
  <si>
    <t>မမျှော်လင့်သောသဘာဝဘေးအန္တရာယ်များကြောင့် ထိခိုက်ဆုံးရှုံးမှုများအတွက် 
စာရင်းပယ်ဖျက်မှုစရိတ်များ ( Inventory Loss due to unexpected events )</t>
  </si>
  <si>
    <t>အခွန်မလျာထားမီ အမြတ် ( Profit Before Tax )</t>
  </si>
  <si>
    <t>အခွန်မလျာထားမီ အမြတ်အစွန်း % ( Profit Before Tax Margin % )</t>
  </si>
  <si>
    <t>ဘဏ္ဍာရေးအခြေအနေပြရှင်းတမ်းပေါင်းချုပ် ( Balance Sheet Accounts )</t>
  </si>
  <si>
    <t>ရပိုင်ခွင့်များ ( Assets )</t>
  </si>
  <si>
    <t>ငွေသားလက်ကျန်များ ( Cash )</t>
  </si>
  <si>
    <t>ကုန်ပစ္စည်းရောင်းခြင်းမှ ရရန်ရှိများ ( Account Receivable )</t>
  </si>
  <si>
    <t>ကုန်ပစ္စည်းလက်ကျန်များ ( Inventory )</t>
  </si>
  <si>
    <t>ကြိုတင်ပေးချေထားမှုများ ( Advance Payments )</t>
  </si>
  <si>
    <t>ရွှေ့ဆိုင်းထားသော ပမာဏကုန်ကျစရိတ်များ (Deferred Preliminary Expenses)</t>
  </si>
  <si>
    <t>လက်ငင်းရပိုင်ခွင့်များ၏ စုစုပေါင်းတန်ဖိုး ( Total Current Assets )</t>
  </si>
  <si>
    <t>ပုံသေပိုင်ပစ္စည်းများ ( Property Plant and Equipment ) -</t>
  </si>
  <si>
    <t>- မြေပိုင်ဆိုင်မှုများ ( Land )</t>
  </si>
  <si>
    <t>- အဆောင်အဦးနှင့် တခြားဆက်စပ်ပိုင်ဆိုင်မှုများ ( Buildings &amp; Structures )</t>
  </si>
  <si>
    <t>- စက်ယန္တရားနှင့် စက်ပစ္စည်းပိုင်ဆိုင်မှုများ ( Machinery &amp; Equipment )</t>
  </si>
  <si>
    <t>- လျှပ်စစ်နှင့် အသုံးအဆောင်ပစ္စည်းပိုင်ဆိုင်မှုများ ( Electrical &amp; Utility Systems )</t>
  </si>
  <si>
    <t>- ဆောက်လုပ်ဆဲအဆောက်အဦးပိုင်ဆိုင်မှုများ ( Construction in Progress )</t>
  </si>
  <si>
    <t>လက်ငင်းမဟုတ်သော ရပိုင်ခွင့်များ၏ စုစုပေါင်းတန်ဖိုး ( Total Non-current Assets )</t>
  </si>
  <si>
    <t>ရပိုင်ခွင့်များ၏ စုစုပေါင်းတန်ဖိုး ( Total Assets )</t>
  </si>
  <si>
    <t>ရင်းနှီးငွေ ( Equity )</t>
  </si>
  <si>
    <t>ထုတ်ဝေပေးသွင်းပြီးရှယ်ယာရင်းနှီးငွေ ( Paid-up Capital )</t>
  </si>
  <si>
    <t>ကာလအစရှိ အမြတ်လက်ကျန်များ ( Retained Earnings )</t>
  </si>
  <si>
    <t>ကာလအဆုံးရှိ လုပ်ငန်း၏အသားတင်အမြတ် သို့ ဆုံးရှုံးမှု ( Profit or Loss for the period )</t>
  </si>
  <si>
    <t>ရင်းနှီးငွေ စုစုပေါင်းတန်ဖိုး ( Total Equity )</t>
  </si>
  <si>
    <t>Balance Check</t>
  </si>
  <si>
    <t>ငွေသားစီးဆင်းမှုရှင်းတမ်းများပေါင်းချုပ် ( Cash Flow Accounts )</t>
  </si>
  <si>
    <t xml:space="preserve">လုပ်ငန်းဆောင်ရွက်ချက်များအရ ငွေသားစီးဆင်းမှုများ ( Operating Activites ) - </t>
  </si>
  <si>
    <t>အခွန်မဆောင်မီ အသားတင်အမြတ် ( Profit Before Tax )</t>
  </si>
  <si>
    <t xml:space="preserve">ငွေသားမဟုတ်သော ကိုက်ညှိရေးဆွဲချက်များ (Non-cash items adjustment ) - </t>
  </si>
  <si>
    <t>- တန်ဖိုးလျှော့စရိတ်များ ( Depreication and Amortisation )</t>
  </si>
  <si>
    <t xml:space="preserve">လုပ်ငန်းလည်ပတ်ငွေပြောင်းလဲမှုများ ( Changes in Working Capital ) - </t>
  </si>
  <si>
    <t>- ဝယ်သူများထံမှ ရရန်ရှိများ ( Changes in Account receivable )</t>
  </si>
  <si>
    <t>- ကုန်ပစ္စည်းလက်ကျန်များ ( Changes in Inventory )</t>
  </si>
  <si>
    <t>- ကြိုတင်ပေးချေထားမှုများ ( Changes in Advanced Payments )</t>
  </si>
  <si>
    <t>- ရွှေ့ဆိုင်းထားသော ပဏာမကုန်ကျစရိတ်များ (Changes in Deferred Preliminary Expenses)</t>
  </si>
  <si>
    <t>လုပ်ငန်းဆောင်ရွက်ချက်များအရ အသားတင်ငွေသား (အသုံးပြုမှု)/စီးဝင်မှု ( Net Cash Flow from Operating Activities )</t>
  </si>
  <si>
    <t>ရင်းနှီးမြှပ်နှံမှုလုပ်ဆောင်ချက်များအရ ငွေသားစီးဆင်းမှုများ ( Investing Activites ) -</t>
  </si>
  <si>
    <t>- စက်ရုံတည်ဆောက်ခြင်းလုပ်ငန်းစဉ်များအတွက် ငွေသားအသုံးပြုမှုများ ( Investments in PPE - Construction in progress )</t>
  </si>
  <si>
    <t>- မြေယာဝယ်ယူမှု ( Land Purchase )</t>
  </si>
  <si>
    <t>- ပုံသေပိုင်ပစ္စည်းဝယ်ယူမှု ( Fixed Asset Purchase )</t>
  </si>
  <si>
    <t>ရင်းနှီးမြှပ်နှံမှုလုပ်ဆောင်ချက်များအရ အသားတင် (အသုံးပြုမှု)/စီးဝင်မှု ( Net Cash Flow from Investing Activities )</t>
  </si>
  <si>
    <t>ဘဏ္ဍာရေးဆောင်ရွက်များအရ အသားတင်ငွေသား အသုံးပြုမှု ( Financing Activites ) -</t>
  </si>
  <si>
    <t>အစုရှယ်ယာထုတ်ဝေရောင်းချခြင်းမှ ရငွေ ( Proceeds from issuance of ordinary shares )</t>
  </si>
  <si>
    <t>ဘဏ္ဍာရေးဆောင်ရွက်များအရ အသားတင်ငွေသား (အသုံးပြုမှု)/စီးဝင်မှု ( Net Cash Flow from Investing Activities )</t>
  </si>
  <si>
    <t>ငွေသားလက်ကျန်များ အသားတင် (အလျော့)/အတိုး ( Net Changes in Cash During the Period )</t>
  </si>
  <si>
    <t>ကာလအစရှိ ငွေသားလက်ကျန်များ ( Cash at the beginning )</t>
  </si>
  <si>
    <t>ကာလအဆုံးရှိ ငွေသားလက်ကျန်များ ( Cash at the end of the period )</t>
  </si>
  <si>
    <t>Check</t>
  </si>
  <si>
    <t>Note</t>
  </si>
  <si>
    <t>Revenue</t>
  </si>
  <si>
    <t>COGS</t>
  </si>
  <si>
    <t>SG&amp;A</t>
  </si>
  <si>
    <t>Depreication &amp; Amortisation</t>
  </si>
  <si>
    <t>Feb_2025</t>
  </si>
  <si>
    <t>Mar_2025</t>
  </si>
  <si>
    <t>April_2025</t>
  </si>
  <si>
    <t>May_2025</t>
  </si>
  <si>
    <t>June_2025</t>
  </si>
  <si>
    <t>July_2025</t>
  </si>
  <si>
    <t>Aug_2025</t>
  </si>
  <si>
    <t>Sep_2025</t>
  </si>
  <si>
    <t>Other Income</t>
  </si>
  <si>
    <t>Other Expenses</t>
  </si>
  <si>
    <t xml:space="preserve">Bank Balance </t>
  </si>
  <si>
    <t xml:space="preserve">Cash </t>
  </si>
  <si>
    <t>Account Receivables</t>
  </si>
  <si>
    <t>Inventory</t>
  </si>
  <si>
    <t>Advance Payments</t>
  </si>
  <si>
    <t>Deferred Preliminary Expenses</t>
  </si>
  <si>
    <t>Property, Plant and Equipment</t>
  </si>
  <si>
    <t>Paid-up Capital</t>
  </si>
  <si>
    <t>Retained Earnings</t>
  </si>
  <si>
    <t>Oct_2025</t>
  </si>
  <si>
    <t>Account</t>
  </si>
  <si>
    <t>February-2025</t>
  </si>
  <si>
    <t>March-2025</t>
  </si>
  <si>
    <t>April-2025</t>
  </si>
  <si>
    <t>May-2025</t>
  </si>
  <si>
    <t>June-2025</t>
  </si>
  <si>
    <t>July-2025</t>
  </si>
  <si>
    <t>August-2025</t>
  </si>
  <si>
    <t>September-2025</t>
  </si>
  <si>
    <t>October-2025</t>
  </si>
  <si>
    <t>YOUR COMPANY NAME</t>
  </si>
  <si>
    <t>Monthly Profit and Loss Statement</t>
  </si>
  <si>
    <t>For the Year Ended MM/DD/YYYY</t>
  </si>
  <si>
    <t>Show Categories</t>
  </si>
  <si>
    <t>CATEGORY</t>
  </si>
  <si>
    <t>TREND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</si>
  <si>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</si>
  <si>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</si>
  <si>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</si>
  <si>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</si>
  <si>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</si>
  <si>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</si>
  <si>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</si>
  <si>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</si>
  <si>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</si>
  <si>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</si>
  <si>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</si>
  <si>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</si>
  <si>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YTD</t>
  </si>
  <si>
    <t>REVENUE</t>
  </si>
  <si>
    <t>COST OF GOODS SOLD</t>
  </si>
  <si>
    <t>TOTAL EXPENSES</t>
  </si>
  <si>
    <t>NET PROFIT / LOSS</t>
  </si>
  <si>
    <t>Sales Revenue</t>
  </si>
  <si>
    <t>Other Revenue</t>
  </si>
  <si>
    <t>Sales Discounts</t>
  </si>
  <si>
    <t>Sales Returns, allowances and others</t>
  </si>
  <si>
    <t>Cost of raw materials</t>
  </si>
  <si>
    <t>Cost of parts used</t>
  </si>
  <si>
    <t>Direct labor costs</t>
  </si>
  <si>
    <t>Overhead costs</t>
  </si>
  <si>
    <t>Inventory Adjustments</t>
  </si>
  <si>
    <t>Freight and Shipping</t>
  </si>
  <si>
    <t>Depreciation</t>
  </si>
  <si>
    <t>GROSS PROFIT/LOSS</t>
  </si>
  <si>
    <t>EXPENSES</t>
  </si>
  <si>
    <t>Automobile</t>
  </si>
  <si>
    <t>Rented Equipment</t>
  </si>
  <si>
    <t>Insurance</t>
  </si>
  <si>
    <t>Job expenses</t>
  </si>
  <si>
    <t>Legal and Professional Fees</t>
  </si>
  <si>
    <t>Maintenance and Repair</t>
  </si>
  <si>
    <t>Meals</t>
  </si>
  <si>
    <t>Office Expenses</t>
  </si>
  <si>
    <t>Rent or Lease</t>
  </si>
  <si>
    <t>Utilities</t>
  </si>
  <si>
    <t>Vehicle Expenses</t>
  </si>
  <si>
    <t>Miscellaneous Expenses</t>
  </si>
  <si>
    <t>NET PROFIT/LOSS</t>
  </si>
  <si>
    <t>Cost Of Goods Sold</t>
  </si>
  <si>
    <t>Total Expenses</t>
  </si>
  <si>
    <t>Net Profit / Loss</t>
  </si>
  <si>
    <t>Opening Inventory - Raw Materials</t>
  </si>
  <si>
    <t>Opening Inventory - Packaging</t>
  </si>
  <si>
    <t>Opening Inventory - Finished Goods</t>
  </si>
  <si>
    <t>Purchases Raw Materials</t>
  </si>
  <si>
    <t>Purchases Packaging</t>
  </si>
  <si>
    <t>Closing Inventory - Raw Materials</t>
  </si>
  <si>
    <t>Closing Inventory - Packaging</t>
  </si>
  <si>
    <t>Closing Inventory - Finished Goods</t>
  </si>
  <si>
    <t>Direct Labor Wages</t>
  </si>
  <si>
    <t>Machine Maintenance &amp; Repair Expense</t>
  </si>
  <si>
    <t>Production Utilities (Electricity &amp; Water)</t>
  </si>
  <si>
    <t>Depreciation Expenses - COGS</t>
  </si>
  <si>
    <t>Opening Inventory - Work-in-Progress</t>
  </si>
  <si>
    <t>Closing Inventory - Work-in-Progress</t>
  </si>
  <si>
    <t>Marketing &amp; Advertising Expense</t>
  </si>
  <si>
    <t>Office Salaries</t>
  </si>
  <si>
    <t>Meal Allowance Expense</t>
  </si>
  <si>
    <t>Utilities (Electricity &amp; Water)</t>
  </si>
  <si>
    <t>Transportation &amp; Distribution Expense</t>
  </si>
  <si>
    <t>Factory Buildings &amp; Office Supplies and Maintenance</t>
  </si>
  <si>
    <t>Depreciation Expenses - SG&amp;A</t>
  </si>
  <si>
    <t>Inventory Write-off</t>
  </si>
  <si>
    <t>Key Managment Personnel and Director Compensation</t>
  </si>
  <si>
    <t>Interest Income</t>
  </si>
  <si>
    <t>Tax Expenses</t>
  </si>
  <si>
    <t>Inventory Loss due to unexpected events</t>
  </si>
  <si>
    <t>Cash in hand</t>
  </si>
  <si>
    <t>Cash at Bank</t>
  </si>
  <si>
    <t>Accounts Receivable</t>
  </si>
  <si>
    <t>Inventory - Raw Material</t>
  </si>
  <si>
    <t>Inventory - Packaging</t>
  </si>
  <si>
    <t>Inventory - Finished Goods</t>
  </si>
  <si>
    <t>Inventory - Work-in-progress</t>
  </si>
  <si>
    <t>Advanced Payments</t>
  </si>
  <si>
    <t>Land</t>
  </si>
  <si>
    <t>Buildings &amp; Structures</t>
  </si>
  <si>
    <t>Machinery &amp; Equipment</t>
  </si>
  <si>
    <t>Office &amp; Facility Equipment</t>
  </si>
  <si>
    <t>Electrical &amp; Utility Systems</t>
  </si>
  <si>
    <t>Construction in Progress</t>
  </si>
  <si>
    <t>Motor Vehicles</t>
  </si>
  <si>
    <t>Accumulated Depreciation - Buildings &amp; Structures</t>
  </si>
  <si>
    <t>Accumulated Depreciation - Machinery &amp; Equipment</t>
  </si>
  <si>
    <t>Accumulated Depreciation - Office &amp; Facility Equipment</t>
  </si>
  <si>
    <t>Accumulated Depreciation - Electrical &amp; Utility Systems</t>
  </si>
  <si>
    <t>Accumulated Depreciation - Motor Vehicles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</si>
</sst>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d/m/yyyy"/>
    <numFmt numFmtId="165" formatCode="#,##0_);\(#,##0\);&quot;OK&quot;"/>
    <numFmt numFmtId="166" formatCode="#,##0.00;\(#,##0.00\)"/>
    <numFmt numFmtId="167" formatCode="[$$]#,##0;\-[$$]#,##0;\-"/>
    <numFmt numFmtId="168" formatCode="[$$]#,##0;\-[$$]#,##0;"/>
    <numFmt numFmtId="169" formatCode="0.0%"/>
  </numFmts>
  <fonts count="24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u/>
      <sz val="10"/>
      <color theme="1"/>
      <name val="Arial"/>
      <family val="2"/>
    </font>
    <font>
      <sz val="10"/>
      <color theme="1"/>
      <name val="Arial"/>
      <family val="2"/>
      <scheme val="minor"/>
    </font>
    <font>
      <b/>
      <u/>
      <sz val="10"/>
      <color theme="1"/>
      <name val="Arial"/>
      <family val="2"/>
    </font>
    <font>
      <sz val="10"/>
      <color rgb="FF000000"/>
      <name val="Arial"/>
      <family val="2"/>
    </font>
    <font>
      <sz val="11"/>
      <color theme="1"/>
      <name val="Barlow"/>
    </font>
    <font>
      <b/>
      <sz val="22"/>
      <color theme="1"/>
      <name val="Barlow"/>
    </font>
    <font>
      <b/>
      <sz val="20"/>
      <color theme="1"/>
      <name val="Barlow"/>
    </font>
    <font>
      <b/>
      <sz val="26"/>
      <color rgb="FF000000"/>
      <name val="Barlow"/>
    </font>
    <font>
      <sz val="10"/>
      <color theme="1"/>
      <name val="Barlow"/>
    </font>
    <font>
      <sz val="20"/>
      <color rgb="FF000000"/>
      <name val="Barlow"/>
    </font>
    <font>
      <sz val="13"/>
      <color rgb="FF000000"/>
      <name val="Barlow"/>
    </font>
    <font>
      <sz val="12"/>
      <color rgb="FF000000"/>
      <name val="Barlow"/>
    </font>
    <font>
      <sz val="10"/>
      <color rgb="FF000000"/>
      <name val="Barlow"/>
    </font>
    <font>
      <b/>
      <sz val="10"/>
      <color theme="1"/>
      <name val="Barlow"/>
    </font>
    <font>
      <sz val="10"/>
      <color theme="1"/>
      <name val="Barlow"/>
    </font>
    <font>
      <sz val="12"/>
      <color theme="1"/>
      <name val="Barlow"/>
    </font>
    <font>
      <i/>
      <sz val="10"/>
      <color theme="1"/>
      <name val="Barlow"/>
    </font>
    <font>
      <b/>
      <sz val="12"/>
      <color theme="1"/>
      <name val="Barlow"/>
    </font>
    <font>
      <sz val="10"/>
      <color theme="5"/>
      <name val="Barlow"/>
    </font>
    <font>
      <b/>
      <sz val="11"/>
      <color theme="1"/>
      <name val="Barlow"/>
    </font>
  </fonts>
  <fills count="6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</fills>
  <borders count="6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8">
    <xf numFmtId="0" fontId="0" fillId="0" borderId="0" xfId="0"/>
    <xf numFmtId="0" fontId="1" fillId="0" borderId="0" xfId="0" applyFont="1"/>
    <xf numFmtId="164" fontId="1" fillId="0" borderId="0" xfId="0" applyNumberFormat="1" applyFont="1"/>
    <xf numFmtId="14" fontId="1" fillId="0" borderId="0" xfId="0" applyNumberFormat="1" applyFont="1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4" fontId="1" fillId="0" borderId="0" xfId="0" applyNumberFormat="1" applyFont="1" applyAlignment="1">
      <alignment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4" fontId="1" fillId="0" borderId="1" xfId="0" applyNumberFormat="1" applyFont="1" applyBorder="1" applyAlignment="1">
      <alignment vertical="center"/>
    </xf>
    <xf numFmtId="0" fontId="3" fillId="0" borderId="0" xfId="0" applyFont="1" applyAlignment="1">
      <alignment vertical="center"/>
    </xf>
    <xf numFmtId="10" fontId="3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2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4" fontId="2" fillId="0" borderId="2" xfId="0" applyNumberFormat="1" applyFont="1" applyBorder="1" applyAlignment="1">
      <alignment vertical="center"/>
    </xf>
    <xf numFmtId="10" fontId="1" fillId="0" borderId="0" xfId="0" applyNumberFormat="1" applyFont="1" applyAlignment="1">
      <alignment vertical="center"/>
    </xf>
    <xf numFmtId="4" fontId="1" fillId="0" borderId="0" xfId="0" applyNumberFormat="1" applyFont="1"/>
    <xf numFmtId="4" fontId="2" fillId="0" borderId="1" xfId="0" applyNumberFormat="1" applyFont="1" applyBorder="1" applyAlignment="1">
      <alignment vertical="center"/>
    </xf>
    <xf numFmtId="0" fontId="5" fillId="0" borderId="0" xfId="0" applyFont="1"/>
    <xf numFmtId="165" fontId="1" fillId="0" borderId="0" xfId="0" applyNumberFormat="1" applyFont="1"/>
    <xf numFmtId="166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vertical="center" wrapText="1"/>
    </xf>
    <xf numFmtId="166" fontId="1" fillId="0" borderId="1" xfId="0" applyNumberFormat="1" applyFont="1" applyBorder="1" applyAlignment="1">
      <alignment vertical="center"/>
    </xf>
    <xf numFmtId="166" fontId="2" fillId="0" borderId="1" xfId="0" applyNumberFormat="1" applyFont="1" applyBorder="1" applyAlignment="1">
      <alignment vertical="center"/>
    </xf>
    <xf numFmtId="0" fontId="6" fillId="0" borderId="0" xfId="0" applyFont="1"/>
    <xf numFmtId="0" fontId="1" fillId="0" borderId="2" xfId="0" applyFont="1" applyBorder="1"/>
    <xf numFmtId="4" fontId="1" fillId="0" borderId="2" xfId="0" applyNumberFormat="1" applyFont="1" applyBorder="1"/>
    <xf numFmtId="0" fontId="1" fillId="0" borderId="1" xfId="0" applyFont="1" applyBorder="1"/>
    <xf numFmtId="4" fontId="1" fillId="0" borderId="1" xfId="0" applyNumberFormat="1" applyFont="1" applyBorder="1"/>
    <xf numFmtId="10" fontId="1" fillId="0" borderId="0" xfId="0" applyNumberFormat="1" applyFont="1"/>
    <xf numFmtId="0" fontId="7" fillId="0" borderId="0" xfId="0" applyFont="1"/>
    <xf numFmtId="0" fontId="8" fillId="2" borderId="0" xfId="0" applyFont="1" applyFill="1"/>
    <xf numFmtId="0" fontId="9" fillId="2" borderId="0" xfId="0" applyFont="1" applyFill="1" applyAlignment="1">
      <alignment horizontal="left" vertical="center"/>
    </xf>
    <xf numFmtId="0" fontId="10" fillId="2" borderId="0" xfId="0" applyFont="1" applyFill="1" applyAlignment="1">
      <alignment vertical="center"/>
    </xf>
    <xf numFmtId="167" fontId="10" fillId="2" borderId="0" xfId="0" applyNumberFormat="1" applyFont="1" applyFill="1" applyAlignment="1">
      <alignment horizontal="center" vertical="center"/>
    </xf>
    <xf numFmtId="0" fontId="8" fillId="2" borderId="0" xfId="0" applyFont="1" applyFill="1" applyAlignment="1">
      <alignment horizontal="center"/>
    </xf>
    <xf numFmtId="0" fontId="11" fillId="2" borderId="0" xfId="0" applyFont="1" applyFill="1" applyAlignment="1">
      <alignment horizontal="left" vertical="center"/>
    </xf>
    <xf numFmtId="0" fontId="11" fillId="2" borderId="0" xfId="0" applyFont="1" applyFill="1" applyAlignment="1">
      <alignment horizontal="center" vertical="center"/>
    </xf>
    <xf numFmtId="0" fontId="12" fillId="2" borderId="0" xfId="0" applyFont="1" applyFill="1"/>
    <xf numFmtId="0" fontId="13" fillId="2" borderId="0" xfId="0" applyFont="1" applyFill="1" applyAlignment="1">
      <alignment horizontal="right" vertical="center"/>
    </xf>
    <xf numFmtId="0" fontId="10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right" vertical="center"/>
    </xf>
    <xf numFmtId="0" fontId="16" fillId="2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center" vertical="center"/>
    </xf>
    <xf numFmtId="0" fontId="8" fillId="3" borderId="0" xfId="0" applyFont="1" applyFill="1"/>
    <xf numFmtId="0" fontId="9" fillId="3" borderId="0" xfId="0" applyFont="1" applyFill="1" applyAlignment="1">
      <alignment horizontal="left" vertical="center"/>
    </xf>
    <xf numFmtId="0" fontId="10" fillId="3" borderId="0" xfId="0" applyFont="1" applyFill="1" applyAlignment="1">
      <alignment vertical="center"/>
    </xf>
    <xf numFmtId="167" fontId="10" fillId="3" borderId="0" xfId="0" applyNumberFormat="1" applyFont="1" applyFill="1" applyAlignment="1">
      <alignment horizontal="center" vertical="center"/>
    </xf>
    <xf numFmtId="0" fontId="18" fillId="3" borderId="0" xfId="0" applyFont="1" applyFill="1" applyAlignment="1">
      <alignment horizontal="left" vertical="center"/>
    </xf>
    <xf numFmtId="0" fontId="9" fillId="3" borderId="0" xfId="0" applyFont="1" applyFill="1" applyAlignment="1">
      <alignment vertical="center"/>
    </xf>
    <xf numFmtId="0" fontId="19" fillId="3" borderId="3" xfId="0" applyFont="1" applyFill="1" applyBorder="1"/>
    <xf numFmtId="167" fontId="20" fillId="3" borderId="0" xfId="0" applyNumberFormat="1" applyFont="1" applyFill="1" applyAlignment="1">
      <alignment horizontal="center" vertical="center"/>
    </xf>
    <xf numFmtId="0" fontId="19" fillId="3" borderId="4" xfId="0" applyFont="1" applyFill="1" applyBorder="1"/>
    <xf numFmtId="0" fontId="21" fillId="3" borderId="3" xfId="0" applyFont="1" applyFill="1" applyBorder="1" applyAlignment="1">
      <alignment horizontal="center" vertical="center" wrapText="1"/>
    </xf>
    <xf numFmtId="167" fontId="17" fillId="3" borderId="5" xfId="0" applyNumberFormat="1" applyFont="1" applyFill="1" applyBorder="1" applyAlignment="1">
      <alignment horizontal="center" vertical="center" wrapText="1"/>
    </xf>
    <xf numFmtId="167" fontId="17" fillId="3" borderId="4" xfId="0" applyNumberFormat="1" applyFont="1" applyFill="1" applyBorder="1" applyAlignment="1">
      <alignment horizontal="center" vertical="center" wrapText="1"/>
    </xf>
    <xf numFmtId="0" fontId="21" fillId="3" borderId="4" xfId="0" applyFont="1" applyFill="1" applyBorder="1" applyAlignment="1">
      <alignment horizontal="center" vertical="center" wrapText="1"/>
    </xf>
    <xf numFmtId="167" fontId="19" fillId="3" borderId="4" xfId="0" applyNumberFormat="1" applyFont="1" applyFill="1" applyBorder="1" applyAlignment="1">
      <alignment horizontal="center" wrapText="1"/>
    </xf>
    <xf numFmtId="0" fontId="12" fillId="3" borderId="0" xfId="0" applyFont="1" applyFill="1"/>
    <xf numFmtId="0" fontId="19" fillId="3" borderId="0" xfId="0" applyFont="1" applyFill="1"/>
    <xf numFmtId="0" fontId="19" fillId="0" borderId="0" xfId="0" applyFont="1"/>
    <xf numFmtId="167" fontId="18" fillId="0" borderId="0" xfId="0" applyNumberFormat="1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168" fontId="18" fillId="0" borderId="0" xfId="0" applyNumberFormat="1" applyFont="1" applyAlignment="1">
      <alignment horizontal="left" vertical="center"/>
    </xf>
    <xf numFmtId="0" fontId="9" fillId="0" borderId="0" xfId="0" applyFont="1" applyAlignment="1">
      <alignment vertical="center"/>
    </xf>
    <xf numFmtId="167" fontId="20" fillId="0" borderId="0" xfId="0" applyNumberFormat="1" applyFont="1" applyAlignment="1">
      <alignment horizontal="center" vertical="center"/>
    </xf>
    <xf numFmtId="0" fontId="21" fillId="0" borderId="0" xfId="0" applyFont="1" applyAlignment="1">
      <alignment horizontal="center" vertical="center" wrapText="1"/>
    </xf>
    <xf numFmtId="0" fontId="17" fillId="4" borderId="0" xfId="0" applyFont="1" applyFill="1" applyAlignment="1">
      <alignment horizontal="center" vertical="center"/>
    </xf>
    <xf numFmtId="167" fontId="17" fillId="4" borderId="0" xfId="0" applyNumberFormat="1" applyFont="1" applyFill="1" applyAlignment="1">
      <alignment horizontal="center" vertical="center"/>
    </xf>
    <xf numFmtId="0" fontId="12" fillId="0" borderId="0" xfId="0" applyFont="1"/>
    <xf numFmtId="169" fontId="18" fillId="3" borderId="0" xfId="0" applyNumberFormat="1" applyFont="1" applyFill="1" applyAlignment="1">
      <alignment horizontal="left" vertical="center"/>
    </xf>
    <xf numFmtId="167" fontId="18" fillId="3" borderId="0" xfId="0" applyNumberFormat="1" applyFont="1" applyFill="1" applyAlignment="1">
      <alignment horizontal="center" vertical="center"/>
    </xf>
    <xf numFmtId="169" fontId="18" fillId="5" borderId="0" xfId="0" applyNumberFormat="1" applyFont="1" applyFill="1" applyAlignment="1">
      <alignment horizontal="left" vertical="center"/>
    </xf>
    <xf numFmtId="167" fontId="18" fillId="5" borderId="0" xfId="0" applyNumberFormat="1" applyFont="1" applyFill="1" applyAlignment="1">
      <alignment horizontal="center" vertical="center"/>
    </xf>
    <xf numFmtId="169" fontId="17" fillId="5" borderId="0" xfId="0" applyNumberFormat="1" applyFont="1" applyFill="1" applyAlignment="1">
      <alignment horizontal="left" vertical="center"/>
    </xf>
    <xf numFmtId="167" fontId="17" fillId="5" borderId="0" xfId="0" applyNumberFormat="1" applyFont="1" applyFill="1" applyAlignment="1">
      <alignment horizontal="center" vertical="center"/>
    </xf>
    <xf numFmtId="169" fontId="18" fillId="0" borderId="0" xfId="0" applyNumberFormat="1" applyFont="1" applyAlignment="1">
      <alignment horizontal="left" vertical="center"/>
    </xf>
    <xf numFmtId="167" fontId="19" fillId="0" borderId="0" xfId="0" applyNumberFormat="1" applyFont="1" applyAlignment="1">
      <alignment horizontal="center"/>
    </xf>
    <xf numFmtId="167" fontId="22" fillId="3" borderId="0" xfId="0" applyNumberFormat="1" applyFont="1" applyFill="1" applyAlignment="1">
      <alignment horizontal="center" vertical="center"/>
    </xf>
    <xf numFmtId="167" fontId="22" fillId="5" borderId="0" xfId="0" applyNumberFormat="1" applyFont="1" applyFill="1" applyAlignment="1">
      <alignment horizontal="center" vertical="center"/>
    </xf>
    <xf numFmtId="167" fontId="17" fillId="3" borderId="0" xfId="0" applyNumberFormat="1" applyFont="1" applyFill="1" applyAlignment="1">
      <alignment horizontal="center" vertical="center"/>
    </xf>
    <xf numFmtId="0" fontId="21" fillId="0" borderId="0" xfId="0" applyFont="1"/>
    <xf numFmtId="169" fontId="8" fillId="3" borderId="0" xfId="0" applyNumberFormat="1" applyFont="1" applyFill="1" applyAlignment="1">
      <alignment horizontal="left" vertical="center"/>
    </xf>
    <xf numFmtId="167" fontId="23" fillId="3" borderId="0" xfId="0" applyNumberFormat="1" applyFont="1" applyFill="1" applyAlignment="1">
      <alignment horizontal="center" vertical="center"/>
    </xf>
    <xf numFmtId="167" fontId="19" fillId="0" borderId="0" xfId="0" applyNumberFormat="1" applyFont="1" applyAlignment="1">
      <alignment horizontal="center" wrapText="1"/>
    </xf>
    <xf numFmtId="167" fontId="18" fillId="0" borderId="0" xfId="0" applyNumberFormat="1" applyFont="1" applyAlignment="1">
      <alignment horizontal="center" vertical="center"/>
    </xf>
    <xf numFmtId="169" fontId="8" fillId="2" borderId="0" xfId="0" applyNumberFormat="1" applyFont="1" applyFill="1" applyAlignment="1">
      <alignment vertical="center"/>
    </xf>
    <xf numFmtId="167" fontId="23" fillId="2" borderId="0" xfId="0" applyNumberFormat="1" applyFont="1" applyFill="1" applyAlignment="1">
      <alignment horizontal="center" vertical="center"/>
    </xf>
    <xf numFmtId="0" fontId="17" fillId="0" borderId="0" xfId="0" applyFont="1" applyAlignment="1">
      <alignment horizontal="left" vertical="center"/>
    </xf>
    <xf numFmtId="167" fontId="17" fillId="0" borderId="0" xfId="0" applyNumberFormat="1" applyFont="1" applyAlignment="1">
      <alignment horizontal="center" vertical="center"/>
    </xf>
    <xf numFmtId="0" fontId="18" fillId="5" borderId="0" xfId="0" applyFont="1" applyFill="1" applyAlignment="1">
      <alignment horizontal="left" vertical="center"/>
    </xf>
    <xf numFmtId="0" fontId="0" fillId="0" borderId="0" xfId="0"/>
    <xf numFmtId="0" fontId="17" fillId="3" borderId="0" xfId="0" applyFont="1" applyFill="1" applyAlignment="1">
      <alignment horizontal="left" vertical="center"/>
    </xf>
    <xf numFmtId="0" fontId="19" fillId="0" borderId="0" xfId="0" applyFont="1"/>
    <xf numFmtId="0" fontId="23" fillId="2" borderId="0" xfId="0" applyFont="1" applyFill="1" applyAlignment="1">
      <alignment vertical="center"/>
    </xf>
    <xf numFmtId="0" fontId="18" fillId="3" borderId="0" xfId="0" applyFont="1" applyFill="1" applyAlignment="1">
      <alignment horizontal="left" vertical="center"/>
    </xf>
    <xf numFmtId="0" fontId="23" fillId="4" borderId="0" xfId="0" applyFont="1" applyFill="1" applyAlignment="1">
      <alignment horizontal="left" vertical="center"/>
    </xf>
    <xf numFmtId="0" fontId="17" fillId="5" borderId="0" xfId="0" applyFont="1" applyFill="1" applyAlignment="1">
      <alignment horizontal="left" vertical="center"/>
    </xf>
    <xf numFmtId="0" fontId="23" fillId="3" borderId="0" xfId="0" applyFont="1" applyFill="1" applyAlignment="1">
      <alignment horizontal="left" vertical="center"/>
    </xf>
    <xf numFmtId="0" fontId="17" fillId="4" borderId="0" xfId="0" applyFont="1" applyFill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8" fillId="3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</cellXfs>
  <cellStyles count="1">
    <cellStyle name="Normal" xfId="0" builtinId="0"/>
  </cellStyles>
  <dxfs count="10">
    <dxf>
      <font>
        <color rgb="FFC00000"/>
      </font>
      <fill>
        <patternFill patternType="none"/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CB4D"/>
          <bgColor rgb="FFF7CB4D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CB4D"/>
          <bgColor rgb="FFF7CB4D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CB4D"/>
          <bgColor rgb="FFF7CB4D"/>
        </patternFill>
      </fill>
    </dxf>
  </dxfs>
  <tableStyles count="3">
    <tableStyle name="Statement_of_Profit&amp;Loss-style" pivot="0" count="3" xr9:uid="{00000000-0011-0000-FFFF-FFFF00000000}">
      <tableStyleElement type="headerRow" dxfId="9"/>
      <tableStyleElement type="firstRowStripe" dxfId="8"/>
      <tableStyleElement type="secondRowStripe" dxfId="7"/>
    </tableStyle>
    <tableStyle name="Statement_of_Financial Position-style" pivot="0" count="3" xr9:uid="{00000000-0011-0000-FFFF-FFFF01000000}">
      <tableStyleElement type="headerRow" dxfId="6"/>
      <tableStyleElement type="firstRowStripe" dxfId="5"/>
      <tableStyleElement type="secondRowStripe" dxfId="4"/>
    </tableStyle>
    <tableStyle name="Statement_of Cashflow-style" pivot="0" count="3" xr9:uid="{00000000-0011-0000-FFFF-FFFF02000000}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rPr lang="en-US" b="0" i="0">
                <a:solidFill>
                  <a:srgbClr val="000000"/>
                </a:solidFill>
                <a:latin typeface="+mn-lt"/>
              </a:rPr>
              <a:t>Financial Performance (Unit in MMK)</a:t>
            </a:r>
          </a:p>
        </c:rich>
      </c:tx>
      <c:layout>
        <c:manualLayout>
          <c:xMode val="edge"/>
          <c:yMode val="edge"/>
          <c:x val="2.1290545203588682E-2"/>
          <c:y val="2.2258916776750331E-2"/>
        </c:manualLayout>
      </c:layout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Sheet4!$B$5</c:f>
              <c:strCache>
                <c:ptCount val="1"/>
                <c:pt idx="0">
                  <c:v>ဝင်ငွေ ( Revenue )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Sheet4!$C$4:$K$4</c:f>
              <c:strCache>
                <c:ptCount val="9"/>
                <c:pt idx="0">
                  <c:v>February-2025</c:v>
                </c:pt>
                <c:pt idx="1">
                  <c:v>March-2025</c:v>
                </c:pt>
                <c:pt idx="2">
                  <c:v>April-2025</c:v>
                </c:pt>
                <c:pt idx="3">
                  <c:v>May-2025</c:v>
                </c:pt>
                <c:pt idx="4">
                  <c:v>June-2025</c:v>
                </c:pt>
                <c:pt idx="5">
                  <c:v>July-2025</c:v>
                </c:pt>
                <c:pt idx="6">
                  <c:v>August-2025</c:v>
                </c:pt>
                <c:pt idx="7">
                  <c:v>September-2025</c:v>
                </c:pt>
                <c:pt idx="8">
                  <c:v>October-2025</c:v>
                </c:pt>
              </c:strCache>
            </c:strRef>
          </c:cat>
          <c:val>
            <c:numRef>
              <c:f>Sheet4!$C$5:$K$5</c:f>
              <c:numCache>
                <c:formatCode>#,##0.00</c:formatCode>
                <c:ptCount val="9"/>
                <c:pt idx="0">
                  <c:v>12876000</c:v>
                </c:pt>
                <c:pt idx="1">
                  <c:v>38186000</c:v>
                </c:pt>
                <c:pt idx="2">
                  <c:v>52160000</c:v>
                </c:pt>
                <c:pt idx="3">
                  <c:v>57481000</c:v>
                </c:pt>
                <c:pt idx="4">
                  <c:v>33478500</c:v>
                </c:pt>
                <c:pt idx="5">
                  <c:v>19774500</c:v>
                </c:pt>
                <c:pt idx="6">
                  <c:v>19759500</c:v>
                </c:pt>
                <c:pt idx="7">
                  <c:v>25669100</c:v>
                </c:pt>
                <c:pt idx="8">
                  <c:v>21894000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36D-45E7-BE97-0C04122F5BC6}"/>
            </c:ext>
          </c:extLst>
        </c:ser>
        <c:ser>
          <c:idx val="1"/>
          <c:order val="1"/>
          <c:tx>
            <c:strRef>
              <c:f>Sheet4!$B$6</c:f>
              <c:strCache>
                <c:ptCount val="1"/>
                <c:pt idx="0">
                  <c:v>အခွန်မလျာထားမီ အမြတ် ( Profit Before Tax )</c:v>
                </c:pt>
              </c:strCache>
            </c:strRef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Sheet4!$C$4:$K$4</c:f>
              <c:strCache>
                <c:ptCount val="9"/>
                <c:pt idx="0">
                  <c:v>February-2025</c:v>
                </c:pt>
                <c:pt idx="1">
                  <c:v>March-2025</c:v>
                </c:pt>
                <c:pt idx="2">
                  <c:v>April-2025</c:v>
                </c:pt>
                <c:pt idx="3">
                  <c:v>May-2025</c:v>
                </c:pt>
                <c:pt idx="4">
                  <c:v>June-2025</c:v>
                </c:pt>
                <c:pt idx="5">
                  <c:v>July-2025</c:v>
                </c:pt>
                <c:pt idx="6">
                  <c:v>August-2025</c:v>
                </c:pt>
                <c:pt idx="7">
                  <c:v>September-2025</c:v>
                </c:pt>
                <c:pt idx="8">
                  <c:v>October-2025</c:v>
                </c:pt>
              </c:strCache>
            </c:strRef>
          </c:cat>
          <c:val>
            <c:numRef>
              <c:f>Sheet4!$C$6:$K$6</c:f>
              <c:numCache>
                <c:formatCode>#,##0.00</c:formatCode>
                <c:ptCount val="9"/>
                <c:pt idx="0">
                  <c:v>559498.11000000674</c:v>
                </c:pt>
                <c:pt idx="1">
                  <c:v>405545.19999998901</c:v>
                </c:pt>
                <c:pt idx="2">
                  <c:v>4963083.2200000007</c:v>
                </c:pt>
                <c:pt idx="3">
                  <c:v>7081254.5699999873</c:v>
                </c:pt>
                <c:pt idx="4">
                  <c:v>3340912.1300000027</c:v>
                </c:pt>
                <c:pt idx="5">
                  <c:v>928752.37000000477</c:v>
                </c:pt>
                <c:pt idx="6">
                  <c:v>-3045076.84</c:v>
                </c:pt>
                <c:pt idx="7">
                  <c:v>-3390375.0500000045</c:v>
                </c:pt>
                <c:pt idx="8">
                  <c:v>-549270.9099999998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C36D-45E7-BE97-0C04122F5B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17795919"/>
        <c:axId val="1572087217"/>
      </c:barChart>
      <c:lineChart>
        <c:grouping val="standard"/>
        <c:varyColors val="0"/>
        <c:ser>
          <c:idx val="2"/>
          <c:order val="2"/>
          <c:tx>
            <c:strRef>
              <c:f>Sheet4!$B$7</c:f>
              <c:strCache>
                <c:ptCount val="1"/>
                <c:pt idx="0">
                  <c:v>အခွန်မလျာထားမီ အမြတ်အစွန်း % ( Profit Before Tax Margin % )</c:v>
                </c:pt>
              </c:strCache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Sheet4!$C$4:$K$4</c:f>
              <c:strCache>
                <c:ptCount val="9"/>
                <c:pt idx="0">
                  <c:v>February-2025</c:v>
                </c:pt>
                <c:pt idx="1">
                  <c:v>March-2025</c:v>
                </c:pt>
                <c:pt idx="2">
                  <c:v>April-2025</c:v>
                </c:pt>
                <c:pt idx="3">
                  <c:v>May-2025</c:v>
                </c:pt>
                <c:pt idx="4">
                  <c:v>June-2025</c:v>
                </c:pt>
                <c:pt idx="5">
                  <c:v>July-2025</c:v>
                </c:pt>
                <c:pt idx="6">
                  <c:v>August-2025</c:v>
                </c:pt>
                <c:pt idx="7">
                  <c:v>September-2025</c:v>
                </c:pt>
                <c:pt idx="8">
                  <c:v>October-2025</c:v>
                </c:pt>
              </c:strCache>
            </c:strRef>
          </c:cat>
          <c:val>
            <c:numRef>
              <c:f>Sheet4!$C$7:$K$7</c:f>
              <c:numCache>
                <c:formatCode>0.00%</c:formatCode>
                <c:ptCount val="9"/>
                <c:pt idx="0">
                  <c:v>4.3452788909599777E-2</c:v>
                </c:pt>
                <c:pt idx="1">
                  <c:v>1.0620258733566989E-2</c:v>
                </c:pt>
                <c:pt idx="2">
                  <c:v>9.5151135352760749E-2</c:v>
                </c:pt>
                <c:pt idx="3">
                  <c:v>0.12319296063046897</c:v>
                </c:pt>
                <c:pt idx="4">
                  <c:v>9.9792766402317989E-2</c:v>
                </c:pt>
                <c:pt idx="5">
                  <c:v>4.6967173379858139E-2</c:v>
                </c:pt>
                <c:pt idx="6">
                  <c:v>-0.15410697841544574</c:v>
                </c:pt>
                <c:pt idx="7">
                  <c:v>-0.13208001254426546</c:v>
                </c:pt>
                <c:pt idx="8">
                  <c:v>-2.5087736822873838E-2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36D-45E7-BE97-0C04122F5B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7795919"/>
        <c:axId val="1572087217"/>
      </c:lineChart>
      <c:catAx>
        <c:axId val="16177959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72087217"/>
        <c:crosses val="autoZero"/>
        <c:auto val="1"/>
        <c:lblAlgn val="ctr"/>
        <c:lblOffset val="100"/>
        <c:noMultiLvlLbl val="1"/>
      </c:catAx>
      <c:valAx>
        <c:axId val="15720872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17795919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20641592801069711"/>
          <c:y val="9.3901365037428464E-2"/>
        </c:manualLayout>
      </c:layout>
      <c:overlay val="0"/>
      <c:txPr>
        <a:bodyPr/>
        <a:lstStyle/>
        <a:p>
          <a:pPr lvl="0">
            <a:defRPr sz="14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areaChart>
        <c:grouping val="stacked"/>
        <c:varyColors val="1"/>
        <c:ser>
          <c:idx val="0"/>
          <c:order val="0"/>
          <c:tx>
            <c:strRef>
              <c:f>'Copy of Monthly P&amp;L'!$B$18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1155CC">
                <a:alpha val="30000"/>
              </a:srgbClr>
            </a:solidFill>
            <a:ln w="19050" cmpd="sng">
              <a:solidFill>
                <a:srgbClr val="1155CC">
                  <a:alpha val="100000"/>
                </a:srgbClr>
              </a:solidFill>
              <a:prstDash val="solid"/>
            </a:ln>
          </c:spPr>
          <c:cat>
            <c:strRef>
              <c:f>'Copy of Monthly P&amp;L'!$C$17:$O$17</c:f>
              <c:strCache>
                <c:ptCount val="13"/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</c:strCache>
            </c:strRef>
          </c:cat>
          <c:val>
            <c:numRef>
              <c:f>'Copy of Monthly P&amp;L'!$C$18:$O$18</c:f>
              <c:numCache>
                <c:formatCode>[$$]#,##0;\-[$$]#,##0;</c:formatCode>
                <c:ptCount val="13"/>
                <c:pt idx="1">
                  <c:v>87137</c:v>
                </c:pt>
                <c:pt idx="2">
                  <c:v>50964</c:v>
                </c:pt>
                <c:pt idx="3">
                  <c:v>86259</c:v>
                </c:pt>
                <c:pt idx="4">
                  <c:v>79607</c:v>
                </c:pt>
                <c:pt idx="5">
                  <c:v>71341</c:v>
                </c:pt>
                <c:pt idx="6">
                  <c:v>88114</c:v>
                </c:pt>
                <c:pt idx="7">
                  <c:v>59503</c:v>
                </c:pt>
                <c:pt idx="8">
                  <c:v>64060</c:v>
                </c:pt>
                <c:pt idx="9">
                  <c:v>71160</c:v>
                </c:pt>
                <c:pt idx="10">
                  <c:v>60826</c:v>
                </c:pt>
                <c:pt idx="11">
                  <c:v>52063</c:v>
                </c:pt>
                <c:pt idx="12">
                  <c:v>69167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C3-4482-BEDF-A2634C2BC6D9}"/>
            </c:ext>
          </c:extLst>
        </c:ser>
        <c:ser>
          <c:idx val="1"/>
          <c:order val="1"/>
          <c:tx>
            <c:strRef>
              <c:f>'Copy of Monthly P&amp;L'!$B$19</c:f>
              <c:strCache>
                <c:ptCount val="1"/>
                <c:pt idx="0">
                  <c:v>Cost Of Goods Sold</c:v>
                </c:pt>
              </c:strCache>
            </c:strRef>
          </c:tx>
          <c:spPr>
            <a:solidFill>
              <a:srgbClr val="E69138">
                <a:alpha val="30000"/>
              </a:srgbClr>
            </a:solidFill>
            <a:ln w="28575" cmpd="sng">
              <a:solidFill>
                <a:srgbClr val="E69138">
                  <a:alpha val="100000"/>
                </a:srgbClr>
              </a:solidFill>
              <a:prstDash val="solid"/>
            </a:ln>
          </c:spPr>
          <c:cat>
            <c:strRef>
              <c:f>'Copy of Monthly P&amp;L'!$C$17:$O$17</c:f>
              <c:strCache>
                <c:ptCount val="13"/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</c:strCache>
            </c:strRef>
          </c:cat>
          <c:val>
            <c:numRef>
              <c:f>'Copy of Monthly P&amp;L'!$C$19:$O$19</c:f>
              <c:numCache>
                <c:formatCode>[$$]#,##0;\-[$$]#,##0;</c:formatCode>
                <c:ptCount val="13"/>
                <c:pt idx="1">
                  <c:v>33324</c:v>
                </c:pt>
                <c:pt idx="2">
                  <c:v>26542</c:v>
                </c:pt>
                <c:pt idx="3">
                  <c:v>41047</c:v>
                </c:pt>
                <c:pt idx="4">
                  <c:v>29883</c:v>
                </c:pt>
                <c:pt idx="5">
                  <c:v>45828</c:v>
                </c:pt>
                <c:pt idx="6">
                  <c:v>40046</c:v>
                </c:pt>
                <c:pt idx="7">
                  <c:v>38135</c:v>
                </c:pt>
                <c:pt idx="8">
                  <c:v>36655</c:v>
                </c:pt>
                <c:pt idx="9">
                  <c:v>40328</c:v>
                </c:pt>
                <c:pt idx="10">
                  <c:v>32649</c:v>
                </c:pt>
                <c:pt idx="11">
                  <c:v>48086</c:v>
                </c:pt>
                <c:pt idx="12">
                  <c:v>48494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C3-4482-BEDF-A2634C2BC6D9}"/>
            </c:ext>
          </c:extLst>
        </c:ser>
        <c:ser>
          <c:idx val="2"/>
          <c:order val="2"/>
          <c:tx>
            <c:strRef>
              <c:f>'Copy of Monthly P&amp;L'!$B$20</c:f>
              <c:strCache>
                <c:ptCount val="1"/>
                <c:pt idx="0">
                  <c:v>Total Expenses</c:v>
                </c:pt>
              </c:strCache>
            </c:strRef>
          </c:tx>
          <c:spPr>
            <a:solidFill>
              <a:srgbClr val="CC0000">
                <a:alpha val="30000"/>
              </a:srgbClr>
            </a:solidFill>
            <a:ln w="28575" cmpd="sng">
              <a:solidFill>
                <a:srgbClr val="CC0000">
                  <a:alpha val="100000"/>
                </a:srgbClr>
              </a:solidFill>
              <a:prstDash val="solid"/>
            </a:ln>
          </c:spPr>
          <c:cat>
            <c:strRef>
              <c:f>'Copy of Monthly P&amp;L'!$C$17:$O$17</c:f>
              <c:strCache>
                <c:ptCount val="13"/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</c:strCache>
            </c:strRef>
          </c:cat>
          <c:val>
            <c:numRef>
              <c:f>'Copy of Monthly P&amp;L'!$C$20:$O$20</c:f>
              <c:numCache>
                <c:formatCode>[$$]#,##0;\-[$$]#,##0;</c:formatCode>
                <c:ptCount val="13"/>
                <c:pt idx="1">
                  <c:v>18170</c:v>
                </c:pt>
                <c:pt idx="2">
                  <c:v>17385</c:v>
                </c:pt>
                <c:pt idx="3">
                  <c:v>16587</c:v>
                </c:pt>
                <c:pt idx="4">
                  <c:v>18128</c:v>
                </c:pt>
                <c:pt idx="5">
                  <c:v>18608</c:v>
                </c:pt>
                <c:pt idx="6">
                  <c:v>16934</c:v>
                </c:pt>
                <c:pt idx="7">
                  <c:v>16446</c:v>
                </c:pt>
                <c:pt idx="8">
                  <c:v>17697</c:v>
                </c:pt>
                <c:pt idx="9">
                  <c:v>18155</c:v>
                </c:pt>
                <c:pt idx="10">
                  <c:v>17847</c:v>
                </c:pt>
                <c:pt idx="11">
                  <c:v>17832</c:v>
                </c:pt>
                <c:pt idx="12">
                  <c:v>19582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7C3-4482-BEDF-A2634C2BC6D9}"/>
            </c:ext>
          </c:extLst>
        </c:ser>
        <c:ser>
          <c:idx val="3"/>
          <c:order val="3"/>
          <c:tx>
            <c:strRef>
              <c:f>'Copy of Monthly P&amp;L'!$B$21</c:f>
              <c:strCache>
                <c:ptCount val="1"/>
                <c:pt idx="0">
                  <c:v>Net Profit / Loss</c:v>
                </c:pt>
              </c:strCache>
            </c:strRef>
          </c:tx>
          <c:spPr>
            <a:solidFill>
              <a:srgbClr val="6AA84F">
                <a:alpha val="30000"/>
              </a:srgbClr>
            </a:solidFill>
            <a:ln cmpd="sng">
              <a:solidFill>
                <a:srgbClr val="6AA84F"/>
              </a:solidFill>
            </a:ln>
          </c:spPr>
          <c:cat>
            <c:strRef>
              <c:f>'Copy of Monthly P&amp;L'!$C$17:$O$17</c:f>
              <c:strCache>
                <c:ptCount val="13"/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</c:strCache>
            </c:strRef>
          </c:cat>
          <c:val>
            <c:numRef>
              <c:f>'Copy of Monthly P&amp;L'!$C$21:$O$21</c:f>
              <c:numCache>
                <c:formatCode>[$$]#,##0;\-[$$]#,##0;</c:formatCode>
                <c:ptCount val="13"/>
                <c:pt idx="1">
                  <c:v>35643</c:v>
                </c:pt>
                <c:pt idx="2">
                  <c:v>7037</c:v>
                </c:pt>
                <c:pt idx="3">
                  <c:v>28625</c:v>
                </c:pt>
                <c:pt idx="4">
                  <c:v>31596</c:v>
                </c:pt>
                <c:pt idx="5">
                  <c:v>6905</c:v>
                </c:pt>
                <c:pt idx="6">
                  <c:v>31134</c:v>
                </c:pt>
                <c:pt idx="7">
                  <c:v>4922</c:v>
                </c:pt>
                <c:pt idx="8">
                  <c:v>9708</c:v>
                </c:pt>
                <c:pt idx="9">
                  <c:v>12677</c:v>
                </c:pt>
                <c:pt idx="10">
                  <c:v>10330</c:v>
                </c:pt>
                <c:pt idx="11">
                  <c:v>-13855</c:v>
                </c:pt>
                <c:pt idx="12">
                  <c:v>1091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7C3-4482-BEDF-A2634C2BC6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9844352"/>
        <c:axId val="786424661"/>
      </c:areaChart>
      <c:catAx>
        <c:axId val="16398443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000" b="0" i="0">
                <a:solidFill>
                  <a:srgbClr val="999999"/>
                </a:solidFill>
                <a:latin typeface="sans-serif"/>
              </a:defRPr>
            </a:pPr>
            <a:endParaRPr lang="en-US"/>
          </a:p>
        </c:txPr>
        <c:crossAx val="786424661"/>
        <c:crosses val="autoZero"/>
        <c:auto val="1"/>
        <c:lblAlgn val="ctr"/>
        <c:lblOffset val="100"/>
        <c:noMultiLvlLbl val="1"/>
      </c:catAx>
      <c:valAx>
        <c:axId val="786424661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999999"/>
                </a:solidFill>
                <a:latin typeface="Roboto"/>
              </a:defRPr>
            </a:pPr>
            <a:endParaRPr lang="en-US"/>
          </a:p>
        </c:txPr>
        <c:crossAx val="1639844352"/>
        <c:crosses val="autoZero"/>
        <c:crossBetween val="midCat"/>
      </c:valAx>
    </c:plotArea>
    <c:legend>
      <c:legendPos val="t"/>
      <c:overlay val="0"/>
      <c:txPr>
        <a:bodyPr/>
        <a:lstStyle/>
        <a:p>
          <a:pPr lvl="0">
            <a:defRPr sz="1400" b="0" i="0">
              <a:solidFill>
                <a:srgbClr val="1A1A1A"/>
              </a:solidFill>
              <a:latin typeface="Roboto"/>
            </a:defRPr>
          </a:pPr>
          <a:endParaRPr lang="en-US"/>
        </a:p>
      </c:txPr>
    </c:legend>
    <c:plotVisOnly val="0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9</xdr:row>
      <xdr:rowOff>180975</xdr:rowOff>
    </xdr:from>
    <xdr:ext cx="13801725" cy="7210425"/>
    <xdr:graphicFrame macro="">
      <xdr:nvGraphicFramePr>
        <xdr:cNvPr id="1435069983" name="Chart 1" title="Chart">
          <a:extLst>
            <a:ext uri="{FF2B5EF4-FFF2-40B4-BE49-F238E27FC236}">
              <a16:creationId xmlns:a16="http://schemas.microsoft.com/office/drawing/2014/main" id="{00000000-0008-0000-0400-00001F6E89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1304925</xdr:colOff>
      <xdr:row>5</xdr:row>
      <xdr:rowOff>180975</xdr:rowOff>
    </xdr:from>
    <xdr:ext cx="12277725" cy="1905000"/>
    <xdr:graphicFrame macro="">
      <xdr:nvGraphicFramePr>
        <xdr:cNvPr id="958997624" name="Chart 2" title="Chart">
          <a:extLst>
            <a:ext uri="{FF2B5EF4-FFF2-40B4-BE49-F238E27FC236}">
              <a16:creationId xmlns:a16="http://schemas.microsoft.com/office/drawing/2014/main" id="{00000000-0008-0000-0500-0000782429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4:M27" headerRowCount="0">
  <tableColumns count="12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/>
    <tableColumn id="6" xr3:uid="{00000000-0010-0000-0100-000006000000}" name="Column6"/>
    <tableColumn id="7" xr3:uid="{00000000-0010-0000-0100-000007000000}" name="Column7"/>
    <tableColumn id="8" xr3:uid="{00000000-0010-0000-0100-000008000000}" name="Column8"/>
    <tableColumn id="9" xr3:uid="{00000000-0010-0000-0100-000009000000}" name="Column9"/>
    <tableColumn id="10" xr3:uid="{00000000-0010-0000-0100-00000A000000}" name="Column10"/>
    <tableColumn id="11" xr3:uid="{00000000-0010-0000-0100-00000B000000}" name="Column11"/>
    <tableColumn id="12" xr3:uid="{00000000-0010-0000-0100-00000C000000}" name="Column12"/>
  </tableColumns>
  <tableStyleInfo name="Statement_of_Financial Position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B4:M29" headerRowCount="0">
  <tableColumns count="12">
    <tableColumn id="1" xr3:uid="{00000000-0010-0000-0200-000001000000}" name="Column1"/>
    <tableColumn id="2" xr3:uid="{00000000-0010-0000-0200-000002000000}" name="Column2"/>
    <tableColumn id="3" xr3:uid="{00000000-0010-0000-0200-000003000000}" name="Column3"/>
    <tableColumn id="4" xr3:uid="{00000000-0010-0000-0200-000004000000}" name="Column4"/>
    <tableColumn id="5" xr3:uid="{00000000-0010-0000-0200-000005000000}" name="Column5"/>
    <tableColumn id="6" xr3:uid="{00000000-0010-0000-0200-000006000000}" name="Column6"/>
    <tableColumn id="7" xr3:uid="{00000000-0010-0000-0200-000007000000}" name="Column7"/>
    <tableColumn id="8" xr3:uid="{00000000-0010-0000-0200-000008000000}" name="Column8"/>
    <tableColumn id="9" xr3:uid="{00000000-0010-0000-0200-000009000000}" name="Column9"/>
    <tableColumn id="10" xr3:uid="{00000000-0010-0000-0200-00000A000000}" name="Column10"/>
    <tableColumn id="11" xr3:uid="{00000000-0010-0000-0200-00000B000000}" name="Column11"/>
    <tableColumn id="12" xr3:uid="{00000000-0010-0000-0200-00000C000000}" name="Column12"/>
  </tableColumns>
  <tableStyleInfo name="Statement_of Cashflow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Z1000"/>
  <sheetViews>
    <sheetView showGridLines="0" workbookViewId="0">
      <selection activeCell="E6" sqref="E6"/>
    </sheetView>
  </sheetViews>
  <sheetFormatPr defaultColWidth="12.5703125" defaultRowHeight="15" customHeight="1" x14ac:dyDescent="0.2"/>
  <cols>
    <col min="1" max="1" width="13.85546875" customWidth="1"/>
    <col min="2" max="2" width="75.42578125" customWidth="1"/>
    <col min="3" max="3" width="12.5703125" customWidth="1"/>
    <col min="4" max="4" width="10.140625" customWidth="1"/>
    <col min="5" max="5" width="15.42578125" customWidth="1"/>
    <col min="6" max="6" width="15.140625" customWidth="1"/>
    <col min="7" max="7" width="14.7109375" customWidth="1"/>
    <col min="11" max="11" width="13.28515625" customWidth="1"/>
    <col min="12" max="12" width="15.140625" customWidth="1"/>
  </cols>
  <sheetData>
    <row r="1" spans="1:26" ht="15.75" customHeight="1" x14ac:dyDescent="0.2"/>
    <row r="2" spans="1:26" ht="15.75" customHeight="1" x14ac:dyDescent="0.2">
      <c r="B2" s="1" t="s">
        <v>0</v>
      </c>
      <c r="E2" s="2">
        <v>45694</v>
      </c>
      <c r="F2" s="2">
        <f t="shared" ref="F2:M2" si="0">E3+1</f>
        <v>45717</v>
      </c>
      <c r="G2" s="2">
        <f t="shared" si="0"/>
        <v>45748</v>
      </c>
      <c r="H2" s="2">
        <f t="shared" si="0"/>
        <v>45778</v>
      </c>
      <c r="I2" s="2">
        <f t="shared" si="0"/>
        <v>45809</v>
      </c>
      <c r="J2" s="2">
        <f t="shared" si="0"/>
        <v>45839</v>
      </c>
      <c r="K2" s="2">
        <f t="shared" si="0"/>
        <v>45870</v>
      </c>
      <c r="L2" s="2">
        <f t="shared" si="0"/>
        <v>45901</v>
      </c>
      <c r="M2" s="2">
        <f t="shared" si="0"/>
        <v>45931</v>
      </c>
    </row>
    <row r="3" spans="1:26" ht="15.75" customHeight="1" x14ac:dyDescent="0.2">
      <c r="B3" s="1" t="s">
        <v>1</v>
      </c>
      <c r="C3" s="1"/>
      <c r="E3" s="3">
        <f t="shared" ref="E3:M3" si="1">EOMONTH(E2,0)</f>
        <v>45716</v>
      </c>
      <c r="F3" s="3">
        <f t="shared" si="1"/>
        <v>45747</v>
      </c>
      <c r="G3" s="3">
        <f t="shared" si="1"/>
        <v>45777</v>
      </c>
      <c r="H3" s="3">
        <f t="shared" si="1"/>
        <v>45808</v>
      </c>
      <c r="I3" s="3">
        <f t="shared" si="1"/>
        <v>45838</v>
      </c>
      <c r="J3" s="3">
        <f t="shared" si="1"/>
        <v>45869</v>
      </c>
      <c r="K3" s="3">
        <f t="shared" si="1"/>
        <v>45900</v>
      </c>
      <c r="L3" s="3">
        <f t="shared" si="1"/>
        <v>45930</v>
      </c>
      <c r="M3" s="3">
        <f t="shared" si="1"/>
        <v>45961</v>
      </c>
    </row>
    <row r="4" spans="1:26" ht="22.5" customHeight="1" x14ac:dyDescent="0.2">
      <c r="A4" s="4"/>
      <c r="B4" s="5" t="s">
        <v>2</v>
      </c>
      <c r="C4" s="4" t="s">
        <v>3</v>
      </c>
      <c r="D4" s="4"/>
      <c r="E4" s="6" t="str">
        <f t="shared" ref="E4:M4" si="2">TEXT(E3,"MMMM-YYY")</f>
        <v>February-2025</v>
      </c>
      <c r="F4" s="6" t="str">
        <f t="shared" si="2"/>
        <v>March-2025</v>
      </c>
      <c r="G4" s="6" t="str">
        <f t="shared" si="2"/>
        <v>April-2025</v>
      </c>
      <c r="H4" s="6" t="str">
        <f t="shared" si="2"/>
        <v>May-2025</v>
      </c>
      <c r="I4" s="6" t="str">
        <f t="shared" si="2"/>
        <v>June-2025</v>
      </c>
      <c r="J4" s="6" t="str">
        <f t="shared" si="2"/>
        <v>July-2025</v>
      </c>
      <c r="K4" s="6" t="str">
        <f t="shared" si="2"/>
        <v>August-2025</v>
      </c>
      <c r="L4" s="6" t="str">
        <f t="shared" si="2"/>
        <v>September-2025</v>
      </c>
      <c r="M4" s="6" t="str">
        <f t="shared" si="2"/>
        <v>October-2025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22.5" customHeight="1" x14ac:dyDescent="0.2">
      <c r="A5" s="4"/>
      <c r="B5" s="4" t="s">
        <v>4</v>
      </c>
      <c r="C5" s="4">
        <v>1</v>
      </c>
      <c r="D5" s="4"/>
      <c r="E5" s="7">
        <f>Financial_Notes!D6</f>
        <v>12876000</v>
      </c>
      <c r="F5" s="7">
        <f>Financial_Notes!E6</f>
        <v>38186000</v>
      </c>
      <c r="G5" s="7">
        <f>Financial_Notes!F6</f>
        <v>52160000</v>
      </c>
      <c r="H5" s="7">
        <f>Financial_Notes!G6</f>
        <v>57481000</v>
      </c>
      <c r="I5" s="7">
        <f>Financial_Notes!H6</f>
        <v>33478500</v>
      </c>
      <c r="J5" s="7">
        <f>Financial_Notes!I6</f>
        <v>19774500</v>
      </c>
      <c r="K5" s="7">
        <f>Financial_Notes!J6</f>
        <v>19759500</v>
      </c>
      <c r="L5" s="7">
        <f>Financial_Notes!K6</f>
        <v>25669100</v>
      </c>
      <c r="M5" s="7">
        <f>Financial_Notes!L6</f>
        <v>21894000</v>
      </c>
      <c r="N5" s="4"/>
      <c r="O5" s="4"/>
      <c r="P5" s="4"/>
      <c r="Q5" s="7">
        <f>SUM(K5:M5)</f>
        <v>67322600</v>
      </c>
      <c r="R5" s="4"/>
      <c r="S5" s="4"/>
      <c r="T5" s="4"/>
      <c r="U5" s="4"/>
      <c r="V5" s="4"/>
      <c r="W5" s="4"/>
      <c r="X5" s="4"/>
      <c r="Y5" s="4"/>
      <c r="Z5" s="4"/>
    </row>
    <row r="6" spans="1:26" ht="22.5" customHeight="1" x14ac:dyDescent="0.2">
      <c r="A6" s="4"/>
      <c r="B6" s="4" t="s">
        <v>5</v>
      </c>
      <c r="C6" s="4">
        <v>2</v>
      </c>
      <c r="D6" s="4"/>
      <c r="E6" s="7">
        <f>Financial_Notes!D25</f>
        <v>11630835.219999993</v>
      </c>
      <c r="F6" s="7">
        <f>Financial_Notes!E25</f>
        <v>35800728.840000011</v>
      </c>
      <c r="G6" s="7">
        <f>Financial_Notes!F25</f>
        <v>45238168.109999999</v>
      </c>
      <c r="H6" s="7">
        <f>Financial_Notes!G25</f>
        <v>48869665.760000013</v>
      </c>
      <c r="I6" s="7">
        <f>Financial_Notes!H25</f>
        <v>29203604.869999997</v>
      </c>
      <c r="J6" s="7">
        <f>Financial_Notes!I25</f>
        <v>17914424.629999995</v>
      </c>
      <c r="K6" s="7">
        <f>Financial_Notes!J25</f>
        <v>20165754.34</v>
      </c>
      <c r="L6" s="7">
        <f>Financial_Notes!K25</f>
        <v>26546845.050000004</v>
      </c>
      <c r="M6" s="7">
        <f>Financial_Notes!L25</f>
        <v>21981284.84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22.5" customHeight="1" x14ac:dyDescent="0.2">
      <c r="A7" s="4"/>
      <c r="B7" s="8" t="s">
        <v>6</v>
      </c>
      <c r="C7" s="9"/>
      <c r="D7" s="9"/>
      <c r="E7" s="10">
        <f t="shared" ref="E7:M7" si="3">E5-E6</f>
        <v>1245164.7800000068</v>
      </c>
      <c r="F7" s="10">
        <f t="shared" si="3"/>
        <v>2385271.159999989</v>
      </c>
      <c r="G7" s="10">
        <f t="shared" si="3"/>
        <v>6921831.8900000006</v>
      </c>
      <c r="H7" s="10">
        <f t="shared" si="3"/>
        <v>8611334.2399999872</v>
      </c>
      <c r="I7" s="10">
        <f t="shared" si="3"/>
        <v>4274895.1300000027</v>
      </c>
      <c r="J7" s="10">
        <f t="shared" si="3"/>
        <v>1860075.3700000048</v>
      </c>
      <c r="K7" s="10">
        <f t="shared" si="3"/>
        <v>-406254.33999999985</v>
      </c>
      <c r="L7" s="10">
        <f t="shared" si="3"/>
        <v>-877745.05000000447</v>
      </c>
      <c r="M7" s="10">
        <f t="shared" si="3"/>
        <v>-87284.839999999851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22.5" customHeight="1" x14ac:dyDescent="0.2">
      <c r="A8" s="4"/>
      <c r="B8" s="11" t="s">
        <v>7</v>
      </c>
      <c r="C8" s="4"/>
      <c r="D8" s="4"/>
      <c r="E8" s="12">
        <f t="shared" ref="E8:M8" si="4">E7/E5</f>
        <v>9.6704316557937778E-2</v>
      </c>
      <c r="F8" s="12">
        <f t="shared" si="4"/>
        <v>6.246454616875266E-2</v>
      </c>
      <c r="G8" s="12">
        <f t="shared" si="4"/>
        <v>0.13270383224693252</v>
      </c>
      <c r="H8" s="12">
        <f t="shared" si="4"/>
        <v>0.14981183765070175</v>
      </c>
      <c r="I8" s="12">
        <f t="shared" si="4"/>
        <v>0.1276907606374241</v>
      </c>
      <c r="J8" s="12">
        <f t="shared" si="4"/>
        <v>9.406434397835621E-2</v>
      </c>
      <c r="K8" s="12">
        <f t="shared" si="4"/>
        <v>-2.0559950403603321E-2</v>
      </c>
      <c r="L8" s="12">
        <f t="shared" si="4"/>
        <v>-3.4194617263558304E-2</v>
      </c>
      <c r="M8" s="12">
        <f t="shared" si="4"/>
        <v>-3.9867013793733379E-3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22.5" customHeight="1" x14ac:dyDescent="0.2">
      <c r="A9" s="4"/>
      <c r="B9" s="13" t="s">
        <v>8</v>
      </c>
      <c r="C9" s="4">
        <v>3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22.5" customHeight="1" x14ac:dyDescent="0.2">
      <c r="A10" s="4"/>
      <c r="B10" s="4" t="s">
        <v>9</v>
      </c>
      <c r="C10" s="4"/>
      <c r="D10" s="4"/>
      <c r="E10" s="7">
        <f t="array" ref="E10:E19">Financial_Notes!D30:D39</f>
        <v>84000</v>
      </c>
      <c r="F10" s="7">
        <f t="array" ref="F10:F19">Financial_Notes!E30:E39</f>
        <v>0</v>
      </c>
      <c r="G10" s="7">
        <f t="array" ref="G10:G19">Financial_Notes!F30:F39</f>
        <v>0</v>
      </c>
      <c r="H10" s="7">
        <f t="array" ref="H10:H19">Financial_Notes!G30:G39</f>
        <v>0</v>
      </c>
      <c r="I10" s="7">
        <f t="array" ref="I10:I19">Financial_Notes!H30:H39</f>
        <v>0</v>
      </c>
      <c r="J10" s="7">
        <f t="array" ref="J10:J19">Financial_Notes!I30:I39</f>
        <v>0</v>
      </c>
      <c r="K10" s="7">
        <f t="array" ref="K10:K19">Financial_Notes!J30:J39</f>
        <v>0</v>
      </c>
      <c r="L10" s="7">
        <f t="array" ref="L10:L19">Financial_Notes!K30:K39</f>
        <v>0</v>
      </c>
      <c r="M10" s="7">
        <f t="array" ref="M10:M19">Financial_Notes!L30:L39</f>
        <v>0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22.5" customHeight="1" x14ac:dyDescent="0.2">
      <c r="A11" s="4"/>
      <c r="B11" s="4" t="s">
        <v>10</v>
      </c>
      <c r="C11" s="4"/>
      <c r="D11" s="4"/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22.5" customHeight="1" x14ac:dyDescent="0.2">
      <c r="A12" s="4"/>
      <c r="B12" s="4" t="s">
        <v>11</v>
      </c>
      <c r="C12" s="4"/>
      <c r="D12" s="4"/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22.5" customHeight="1" x14ac:dyDescent="0.2">
      <c r="A13" s="4"/>
      <c r="B13" s="4" t="s">
        <v>12</v>
      </c>
      <c r="C13" s="4"/>
      <c r="D13" s="4"/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22.5" customHeight="1" x14ac:dyDescent="0.2">
      <c r="A14" s="4"/>
      <c r="B14" s="4" t="s">
        <v>13</v>
      </c>
      <c r="C14" s="4"/>
      <c r="D14" s="4"/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22.5" customHeight="1" x14ac:dyDescent="0.2">
      <c r="A15" s="4"/>
      <c r="B15" s="4" t="s">
        <v>14</v>
      </c>
      <c r="C15" s="4"/>
      <c r="D15" s="4"/>
      <c r="E15" s="7">
        <v>0</v>
      </c>
      <c r="F15" s="7">
        <v>0</v>
      </c>
      <c r="G15" s="7">
        <v>1146150</v>
      </c>
      <c r="H15" s="7">
        <v>583000</v>
      </c>
      <c r="I15" s="7">
        <v>0</v>
      </c>
      <c r="J15" s="7">
        <v>10000</v>
      </c>
      <c r="K15" s="7">
        <v>0</v>
      </c>
      <c r="L15" s="7">
        <v>274898</v>
      </c>
      <c r="M15" s="7">
        <v>394898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22.5" customHeight="1" x14ac:dyDescent="0.2">
      <c r="A16" s="4"/>
      <c r="B16" s="4" t="s">
        <v>15</v>
      </c>
      <c r="C16" s="4"/>
      <c r="D16" s="4"/>
      <c r="E16" s="7">
        <v>601666.67000000004</v>
      </c>
      <c r="F16" s="7">
        <v>658800</v>
      </c>
      <c r="G16" s="7">
        <v>960628.67</v>
      </c>
      <c r="H16" s="7">
        <v>947079.67</v>
      </c>
      <c r="I16" s="7">
        <v>933983</v>
      </c>
      <c r="J16" s="7">
        <v>921323</v>
      </c>
      <c r="K16" s="7">
        <v>909084</v>
      </c>
      <c r="L16" s="7">
        <v>897254</v>
      </c>
      <c r="M16" s="7">
        <v>885817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22.5" customHeight="1" x14ac:dyDescent="0.2">
      <c r="A17" s="4"/>
      <c r="B17" s="4" t="s">
        <v>16</v>
      </c>
      <c r="C17" s="4"/>
      <c r="D17" s="4"/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1729738.5</v>
      </c>
      <c r="L17" s="7">
        <v>1340478</v>
      </c>
      <c r="M17" s="7">
        <v>0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22.5" customHeight="1" x14ac:dyDescent="0.2">
      <c r="A18" s="4"/>
      <c r="B18" s="4" t="s">
        <v>17</v>
      </c>
      <c r="C18" s="4"/>
      <c r="D18" s="4"/>
      <c r="E18" s="7">
        <v>0</v>
      </c>
      <c r="F18" s="7">
        <v>0</v>
      </c>
      <c r="G18" s="7">
        <v>200000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22.5" customHeight="1" x14ac:dyDescent="0.2">
      <c r="A19" s="4"/>
      <c r="B19" s="4" t="s">
        <v>18</v>
      </c>
      <c r="C19" s="5"/>
      <c r="D19" s="5"/>
      <c r="E19" s="7">
        <v>0</v>
      </c>
      <c r="F19" s="7">
        <v>107227.03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22.5" customHeight="1" x14ac:dyDescent="0.2">
      <c r="A20" s="4"/>
      <c r="B20" s="8" t="s">
        <v>19</v>
      </c>
      <c r="C20" s="9"/>
      <c r="D20" s="9"/>
      <c r="E20" s="10">
        <f t="shared" ref="E20:M20" si="5">E7-SUM(E10:E19)</f>
        <v>559498.11000000674</v>
      </c>
      <c r="F20" s="10">
        <f t="shared" si="5"/>
        <v>1619244.1299999889</v>
      </c>
      <c r="G20" s="10">
        <f t="shared" si="5"/>
        <v>4615053.2200000007</v>
      </c>
      <c r="H20" s="10">
        <f t="shared" si="5"/>
        <v>7081254.5699999873</v>
      </c>
      <c r="I20" s="10">
        <f t="shared" si="5"/>
        <v>3340912.1300000027</v>
      </c>
      <c r="J20" s="10">
        <f t="shared" si="5"/>
        <v>928752.37000000477</v>
      </c>
      <c r="K20" s="10">
        <f t="shared" si="5"/>
        <v>-3045076.84</v>
      </c>
      <c r="L20" s="10">
        <f t="shared" si="5"/>
        <v>-3390375.0500000045</v>
      </c>
      <c r="M20" s="10">
        <f t="shared" si="5"/>
        <v>-1367999.8399999999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22.5" customHeight="1" x14ac:dyDescent="0.2">
      <c r="A21" s="4"/>
      <c r="B21" s="11" t="s">
        <v>20</v>
      </c>
      <c r="C21" s="4"/>
      <c r="D21" s="4"/>
      <c r="E21" s="12">
        <f t="shared" ref="E21:M21" si="6">E20/E5</f>
        <v>4.3452788909599777E-2</v>
      </c>
      <c r="F21" s="12">
        <f t="shared" si="6"/>
        <v>4.2404130571413318E-2</v>
      </c>
      <c r="G21" s="12">
        <f t="shared" si="6"/>
        <v>8.8478781058282219E-2</v>
      </c>
      <c r="H21" s="12">
        <f t="shared" si="6"/>
        <v>0.12319296063046897</v>
      </c>
      <c r="I21" s="12">
        <f t="shared" si="6"/>
        <v>9.9792766402317989E-2</v>
      </c>
      <c r="J21" s="12">
        <f t="shared" si="6"/>
        <v>4.6967173379858139E-2</v>
      </c>
      <c r="K21" s="12">
        <f t="shared" si="6"/>
        <v>-0.15410697841544574</v>
      </c>
      <c r="L21" s="12">
        <f t="shared" si="6"/>
        <v>-0.13208001254426546</v>
      </c>
      <c r="M21" s="12">
        <f t="shared" si="6"/>
        <v>-6.2482864711793179E-2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22.5" customHeight="1" x14ac:dyDescent="0.2">
      <c r="A22" s="4"/>
      <c r="B22" s="4" t="s">
        <v>21</v>
      </c>
      <c r="C22" s="4">
        <v>4</v>
      </c>
      <c r="D22" s="4"/>
      <c r="E22" s="7">
        <f>Financial_Notes!D46</f>
        <v>945425</v>
      </c>
      <c r="F22" s="7">
        <f>Financial_Notes!E46</f>
        <v>1015225</v>
      </c>
      <c r="G22" s="7">
        <f>Financial_Notes!F46</f>
        <v>2788779.67</v>
      </c>
      <c r="H22" s="7">
        <f>Financial_Notes!G46</f>
        <v>2714291.67</v>
      </c>
      <c r="I22" s="7">
        <f>Financial_Notes!H46</f>
        <v>2642288</v>
      </c>
      <c r="J22" s="7">
        <f>Financial_Notes!I46</f>
        <v>2572685</v>
      </c>
      <c r="K22" s="7">
        <f>Financial_Notes!J46</f>
        <v>2505400</v>
      </c>
      <c r="L22" s="7">
        <f>Financial_Notes!K46</f>
        <v>2440360</v>
      </c>
      <c r="M22" s="7">
        <f>Financial_Notes!L46</f>
        <v>2377486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22.5" customHeight="1" x14ac:dyDescent="0.2">
      <c r="A23" s="4"/>
      <c r="B23" s="8" t="s">
        <v>22</v>
      </c>
      <c r="C23" s="9"/>
      <c r="D23" s="9"/>
      <c r="E23" s="10">
        <f t="shared" ref="E23:M23" si="7">E20+E22</f>
        <v>1504923.1100000069</v>
      </c>
      <c r="F23" s="10">
        <f t="shared" si="7"/>
        <v>2634469.1299999887</v>
      </c>
      <c r="G23" s="10">
        <f t="shared" si="7"/>
        <v>7403832.8900000006</v>
      </c>
      <c r="H23" s="10">
        <f t="shared" si="7"/>
        <v>9795546.2399999872</v>
      </c>
      <c r="I23" s="10">
        <f t="shared" si="7"/>
        <v>5983200.1300000027</v>
      </c>
      <c r="J23" s="10">
        <f t="shared" si="7"/>
        <v>3501437.3700000048</v>
      </c>
      <c r="K23" s="10">
        <f t="shared" si="7"/>
        <v>-539676.83999999985</v>
      </c>
      <c r="L23" s="10">
        <f t="shared" si="7"/>
        <v>-950015.05000000447</v>
      </c>
      <c r="M23" s="10">
        <f t="shared" si="7"/>
        <v>1009486.1600000001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22.5" customHeight="1" x14ac:dyDescent="0.2">
      <c r="A24" s="4"/>
      <c r="B24" s="11" t="s">
        <v>23</v>
      </c>
      <c r="C24" s="4"/>
      <c r="D24" s="4"/>
      <c r="E24" s="12">
        <f t="shared" ref="E24:M24" si="8">E23/E5</f>
        <v>0.11687815392979239</v>
      </c>
      <c r="F24" s="12">
        <f t="shared" si="8"/>
        <v>6.8990444927460023E-2</v>
      </c>
      <c r="G24" s="12">
        <f t="shared" si="8"/>
        <v>0.14194464896472395</v>
      </c>
      <c r="H24" s="12">
        <f t="shared" si="8"/>
        <v>0.17041363650597566</v>
      </c>
      <c r="I24" s="12">
        <f t="shared" si="8"/>
        <v>0.17871768836716109</v>
      </c>
      <c r="J24" s="12">
        <f t="shared" si="8"/>
        <v>0.17706831373738929</v>
      </c>
      <c r="K24" s="12">
        <f t="shared" si="8"/>
        <v>-2.7312272071661724E-2</v>
      </c>
      <c r="L24" s="12">
        <f t="shared" si="8"/>
        <v>-3.7010064630236525E-2</v>
      </c>
      <c r="M24" s="12">
        <f t="shared" si="8"/>
        <v>4.6107890746323203E-2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22.5" customHeight="1" x14ac:dyDescent="0.2">
      <c r="A25" s="4"/>
      <c r="B25" s="4" t="s">
        <v>24</v>
      </c>
      <c r="C25" s="4">
        <v>5</v>
      </c>
      <c r="D25" s="4"/>
      <c r="E25" s="7">
        <f>Financial_Notes!D52</f>
        <v>0</v>
      </c>
      <c r="F25" s="7">
        <f>Financial_Notes!E52</f>
        <v>0</v>
      </c>
      <c r="G25" s="7">
        <f>Financial_Notes!F52</f>
        <v>348030</v>
      </c>
      <c r="H25" s="7">
        <f>Financial_Notes!G52</f>
        <v>0</v>
      </c>
      <c r="I25" s="7">
        <f>Financial_Notes!H52</f>
        <v>0</v>
      </c>
      <c r="J25" s="7">
        <f>Financial_Notes!I52</f>
        <v>0</v>
      </c>
      <c r="K25" s="7">
        <f>Financial_Notes!J52</f>
        <v>0</v>
      </c>
      <c r="L25" s="7">
        <f>Financial_Notes!K52</f>
        <v>0</v>
      </c>
      <c r="M25" s="7">
        <f>Financial_Notes!L52</f>
        <v>818728.93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30.75" customHeight="1" x14ac:dyDescent="0.2">
      <c r="A26" s="4"/>
      <c r="B26" s="4" t="s">
        <v>25</v>
      </c>
      <c r="C26" s="4">
        <v>6</v>
      </c>
      <c r="D26" s="4"/>
      <c r="E26" s="7">
        <f>Financial_Notes!D59</f>
        <v>0</v>
      </c>
      <c r="F26" s="7">
        <f>Financial_Notes!E59</f>
        <v>1213698.93</v>
      </c>
      <c r="G26" s="7">
        <f>Financial_Notes!F59</f>
        <v>0</v>
      </c>
      <c r="H26" s="7">
        <f>Financial_Notes!G59</f>
        <v>0</v>
      </c>
      <c r="I26" s="7">
        <f>Financial_Notes!H59</f>
        <v>0</v>
      </c>
      <c r="J26" s="7">
        <f>Financial_Notes!I59</f>
        <v>0</v>
      </c>
      <c r="K26" s="7">
        <f>Financial_Notes!J59</f>
        <v>0</v>
      </c>
      <c r="L26" s="7">
        <f>Financial_Notes!K59</f>
        <v>0</v>
      </c>
      <c r="M26" s="7">
        <f>Financial_Notes!L59</f>
        <v>0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22.5" customHeight="1" x14ac:dyDescent="0.2">
      <c r="A27" s="4"/>
      <c r="B27" s="14" t="s">
        <v>26</v>
      </c>
      <c r="C27" s="15"/>
      <c r="D27" s="15"/>
      <c r="E27" s="16">
        <f t="shared" ref="E27:M27" si="9">E20+E25-E26</f>
        <v>559498.11000000674</v>
      </c>
      <c r="F27" s="16">
        <f t="shared" si="9"/>
        <v>405545.19999998901</v>
      </c>
      <c r="G27" s="16">
        <f t="shared" si="9"/>
        <v>4963083.2200000007</v>
      </c>
      <c r="H27" s="16">
        <f t="shared" si="9"/>
        <v>7081254.5699999873</v>
      </c>
      <c r="I27" s="16">
        <f t="shared" si="9"/>
        <v>3340912.1300000027</v>
      </c>
      <c r="J27" s="16">
        <f t="shared" si="9"/>
        <v>928752.37000000477</v>
      </c>
      <c r="K27" s="16">
        <f t="shared" si="9"/>
        <v>-3045076.84</v>
      </c>
      <c r="L27" s="16">
        <f t="shared" si="9"/>
        <v>-3390375.0500000045</v>
      </c>
      <c r="M27" s="16">
        <f t="shared" si="9"/>
        <v>-549270.9099999998</v>
      </c>
      <c r="N27" s="4"/>
      <c r="O27" s="4"/>
      <c r="P27" s="4"/>
      <c r="Q27" s="7">
        <f>SUM(K27:M27)</f>
        <v>-6984722.8000000045</v>
      </c>
      <c r="R27" s="4"/>
      <c r="S27" s="4"/>
      <c r="T27" s="4"/>
      <c r="U27" s="4"/>
      <c r="V27" s="4"/>
      <c r="W27" s="4"/>
      <c r="X27" s="4"/>
      <c r="Y27" s="4"/>
      <c r="Z27" s="4"/>
    </row>
    <row r="28" spans="1:26" ht="22.5" customHeight="1" x14ac:dyDescent="0.2">
      <c r="A28" s="4"/>
      <c r="B28" s="11" t="s">
        <v>27</v>
      </c>
      <c r="C28" s="4"/>
      <c r="D28" s="4"/>
      <c r="E28" s="12">
        <f t="shared" ref="E28:M28" si="10">E27/E5</f>
        <v>4.3452788909599777E-2</v>
      </c>
      <c r="F28" s="12">
        <f t="shared" si="10"/>
        <v>1.0620258733566989E-2</v>
      </c>
      <c r="G28" s="12">
        <f t="shared" si="10"/>
        <v>9.5151135352760749E-2</v>
      </c>
      <c r="H28" s="12">
        <f t="shared" si="10"/>
        <v>0.12319296063046897</v>
      </c>
      <c r="I28" s="12">
        <f t="shared" si="10"/>
        <v>9.9792766402317989E-2</v>
      </c>
      <c r="J28" s="12">
        <f t="shared" si="10"/>
        <v>4.6967173379858139E-2</v>
      </c>
      <c r="K28" s="12">
        <f t="shared" si="10"/>
        <v>-0.15410697841544574</v>
      </c>
      <c r="L28" s="12">
        <f t="shared" si="10"/>
        <v>-0.13208001254426546</v>
      </c>
      <c r="M28" s="12">
        <f t="shared" si="10"/>
        <v>-2.5087736822873838E-2</v>
      </c>
      <c r="N28" s="4"/>
      <c r="O28" s="4"/>
      <c r="P28" s="4"/>
      <c r="Q28" s="17">
        <f>Q27/Q5</f>
        <v>-0.10375004530425154</v>
      </c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 x14ac:dyDescent="0.2"/>
    <row r="30" spans="1:26" ht="15.75" customHeight="1" x14ac:dyDescent="0.2"/>
    <row r="31" spans="1:26" ht="15.75" customHeight="1" x14ac:dyDescent="0.2"/>
    <row r="32" spans="1:26" ht="15.75" customHeight="1" x14ac:dyDescent="0.2"/>
    <row r="33" spans="5:5" ht="15.75" customHeight="1" x14ac:dyDescent="0.2"/>
    <row r="34" spans="5:5" ht="15.75" customHeight="1" x14ac:dyDescent="0.2"/>
    <row r="35" spans="5:5" ht="15.75" customHeight="1" x14ac:dyDescent="0.2"/>
    <row r="36" spans="5:5" ht="15.75" customHeight="1" x14ac:dyDescent="0.2">
      <c r="E36" s="18"/>
    </row>
    <row r="37" spans="5:5" ht="15.75" customHeight="1" x14ac:dyDescent="0.2"/>
    <row r="38" spans="5:5" ht="15.75" customHeight="1" x14ac:dyDescent="0.2"/>
    <row r="39" spans="5:5" ht="15.75" customHeight="1" x14ac:dyDescent="0.2"/>
    <row r="40" spans="5:5" ht="15.75" customHeight="1" x14ac:dyDescent="0.2"/>
    <row r="41" spans="5:5" ht="15.75" customHeight="1" x14ac:dyDescent="0.2"/>
    <row r="42" spans="5:5" ht="15.75" customHeight="1" x14ac:dyDescent="0.2"/>
    <row r="43" spans="5:5" ht="15.75" customHeight="1" x14ac:dyDescent="0.2"/>
    <row r="44" spans="5:5" ht="15.75" customHeight="1" x14ac:dyDescent="0.2"/>
    <row r="45" spans="5:5" ht="15.75" customHeight="1" x14ac:dyDescent="0.2"/>
    <row r="46" spans="5:5" ht="15.75" customHeight="1" x14ac:dyDescent="0.2"/>
    <row r="47" spans="5:5" ht="15.75" customHeight="1" x14ac:dyDescent="0.2"/>
    <row r="48" spans="5:5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rintOptions horizontalCentered="1" gridLines="1"/>
  <pageMargins left="0.25" right="0.25" top="0.75" bottom="0.75" header="0" footer="0"/>
  <pageSetup paperSize="6"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Z1000"/>
  <sheetViews>
    <sheetView showGridLines="0" tabSelected="1" workbookViewId="0">
      <selection activeCell="M10" sqref="M10"/>
    </sheetView>
  </sheetViews>
  <sheetFormatPr defaultColWidth="12.5703125" defaultRowHeight="15" customHeight="1" x14ac:dyDescent="0.2"/>
  <cols>
    <col min="1" max="1" width="12.5703125" customWidth="1"/>
    <col min="2" max="2" width="56.28515625" customWidth="1"/>
    <col min="3" max="3" width="12.5703125" customWidth="1"/>
    <col min="4" max="4" width="10.140625" customWidth="1"/>
    <col min="5" max="5" width="13.5703125" customWidth="1"/>
    <col min="6" max="6" width="14.85546875" customWidth="1"/>
    <col min="7" max="7" width="13.42578125" customWidth="1"/>
    <col min="8" max="8" width="13.85546875" bestFit="1" customWidth="1"/>
    <col min="9" max="13" width="15.42578125" bestFit="1" customWidth="1"/>
  </cols>
  <sheetData>
    <row r="1" spans="1:26" ht="15.75" customHeight="1" x14ac:dyDescent="0.2"/>
    <row r="2" spans="1:26" ht="15.75" customHeight="1" x14ac:dyDescent="0.2">
      <c r="B2" s="1" t="s">
        <v>0</v>
      </c>
      <c r="E2" s="2">
        <v>45694</v>
      </c>
      <c r="F2" s="2">
        <f t="shared" ref="F2:M2" si="0">E3+1</f>
        <v>45717</v>
      </c>
      <c r="G2" s="2">
        <f t="shared" si="0"/>
        <v>45748</v>
      </c>
      <c r="H2" s="2">
        <f t="shared" si="0"/>
        <v>45778</v>
      </c>
      <c r="I2" s="2">
        <f t="shared" si="0"/>
        <v>45809</v>
      </c>
      <c r="J2" s="2">
        <f t="shared" si="0"/>
        <v>45839</v>
      </c>
      <c r="K2" s="2">
        <f t="shared" si="0"/>
        <v>45870</v>
      </c>
      <c r="L2" s="2">
        <f t="shared" si="0"/>
        <v>45901</v>
      </c>
      <c r="M2" s="2">
        <f t="shared" si="0"/>
        <v>45931</v>
      </c>
    </row>
    <row r="3" spans="1:26" ht="15.75" customHeight="1" x14ac:dyDescent="0.2">
      <c r="B3" s="1" t="s">
        <v>1</v>
      </c>
      <c r="C3" s="1"/>
      <c r="E3" s="3">
        <f t="shared" ref="E3:M3" si="1">EOMONTH(E2,0)</f>
        <v>45716</v>
      </c>
      <c r="F3" s="3">
        <f t="shared" si="1"/>
        <v>45747</v>
      </c>
      <c r="G3" s="3">
        <f t="shared" si="1"/>
        <v>45777</v>
      </c>
      <c r="H3" s="3">
        <f t="shared" si="1"/>
        <v>45808</v>
      </c>
      <c r="I3" s="3">
        <f t="shared" si="1"/>
        <v>45838</v>
      </c>
      <c r="J3" s="3">
        <f t="shared" si="1"/>
        <v>45869</v>
      </c>
      <c r="K3" s="3">
        <f t="shared" si="1"/>
        <v>45900</v>
      </c>
      <c r="L3" s="3">
        <f t="shared" si="1"/>
        <v>45930</v>
      </c>
      <c r="M3" s="3">
        <f t="shared" si="1"/>
        <v>45961</v>
      </c>
    </row>
    <row r="4" spans="1:26" ht="22.5" customHeight="1" x14ac:dyDescent="0.2">
      <c r="A4" s="4"/>
      <c r="B4" s="5" t="s">
        <v>28</v>
      </c>
      <c r="C4" s="5" t="s">
        <v>3</v>
      </c>
      <c r="D4" s="5"/>
      <c r="E4" s="6" t="str">
        <f t="shared" ref="E4:M4" si="2">TEXT(E3,"MMMM-YYY")</f>
        <v>February-2025</v>
      </c>
      <c r="F4" s="6" t="str">
        <f t="shared" si="2"/>
        <v>March-2025</v>
      </c>
      <c r="G4" s="6" t="str">
        <f t="shared" si="2"/>
        <v>April-2025</v>
      </c>
      <c r="H4" s="6" t="str">
        <f t="shared" si="2"/>
        <v>May-2025</v>
      </c>
      <c r="I4" s="6" t="str">
        <f t="shared" si="2"/>
        <v>June-2025</v>
      </c>
      <c r="J4" s="6" t="str">
        <f t="shared" si="2"/>
        <v>July-2025</v>
      </c>
      <c r="K4" s="6" t="str">
        <f t="shared" si="2"/>
        <v>August-2025</v>
      </c>
      <c r="L4" s="6" t="str">
        <f t="shared" si="2"/>
        <v>September-2025</v>
      </c>
      <c r="M4" s="6" t="str">
        <f t="shared" si="2"/>
        <v>October-2025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22.5" customHeight="1" x14ac:dyDescent="0.2">
      <c r="A5" s="4"/>
      <c r="B5" s="5" t="s">
        <v>29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22.5" customHeight="1" x14ac:dyDescent="0.2">
      <c r="A6" s="4"/>
      <c r="B6" s="4" t="s">
        <v>30</v>
      </c>
      <c r="C6" s="4">
        <v>11</v>
      </c>
      <c r="D6" s="4"/>
      <c r="E6" s="7">
        <f>Financial_Notes!D66</f>
        <v>58249420</v>
      </c>
      <c r="F6" s="7">
        <f>Financial_Notes!E66</f>
        <v>26125591.969999999</v>
      </c>
      <c r="G6" s="7">
        <f>Financial_Notes!F66</f>
        <v>57533471.969999999</v>
      </c>
      <c r="H6" s="7">
        <f>Financial_Notes!G66</f>
        <v>27135001.969999999</v>
      </c>
      <c r="I6" s="7">
        <f>Financial_Notes!H66</f>
        <v>146282641.97</v>
      </c>
      <c r="J6" s="7">
        <f>Financial_Notes!I66</f>
        <v>308870521.97000003</v>
      </c>
      <c r="K6" s="7">
        <f>Financial_Notes!J66</f>
        <v>44008441.969999999</v>
      </c>
      <c r="L6" s="7">
        <f>Financial_Notes!K66</f>
        <v>47056991.969999999</v>
      </c>
      <c r="M6" s="7">
        <f>Financial_Notes!L66</f>
        <v>257918170.90000001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22.5" customHeight="1" x14ac:dyDescent="0.2">
      <c r="A7" s="4"/>
      <c r="B7" s="4" t="s">
        <v>31</v>
      </c>
      <c r="C7" s="4">
        <v>12</v>
      </c>
      <c r="D7" s="4"/>
      <c r="E7" s="7">
        <f>Financial_Notes!D71</f>
        <v>0</v>
      </c>
      <c r="F7" s="7">
        <f>Financial_Notes!E71</f>
        <v>0</v>
      </c>
      <c r="G7" s="7">
        <f>Financial_Notes!F71</f>
        <v>0</v>
      </c>
      <c r="H7" s="7">
        <f>Financial_Notes!G71</f>
        <v>0</v>
      </c>
      <c r="I7" s="7">
        <f>Financial_Notes!H71</f>
        <v>0</v>
      </c>
      <c r="J7" s="7">
        <f>Financial_Notes!I71</f>
        <v>0</v>
      </c>
      <c r="K7" s="7">
        <f>Financial_Notes!J71</f>
        <v>0</v>
      </c>
      <c r="L7" s="7">
        <f>Financial_Notes!K71</f>
        <v>0</v>
      </c>
      <c r="M7" s="7">
        <f>Financial_Notes!L71</f>
        <v>0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22.5" customHeight="1" x14ac:dyDescent="0.2">
      <c r="A8" s="4"/>
      <c r="B8" s="4" t="s">
        <v>32</v>
      </c>
      <c r="C8" s="4">
        <v>13</v>
      </c>
      <c r="D8" s="4"/>
      <c r="E8" s="7">
        <f>Financial_Notes!D80</f>
        <v>83741326.550000012</v>
      </c>
      <c r="F8" s="7">
        <f>Financial_Notes!E80</f>
        <v>85493924.780000001</v>
      </c>
      <c r="G8" s="7">
        <f>Financial_Notes!F80</f>
        <v>61824407.670000002</v>
      </c>
      <c r="H8" s="7">
        <f>Financial_Notes!G80</f>
        <v>62018423.910000004</v>
      </c>
      <c r="I8" s="7">
        <f>Financial_Notes!H80</f>
        <v>48853984.040000007</v>
      </c>
      <c r="J8" s="7">
        <f>Financial_Notes!I80</f>
        <v>49709541.409999996</v>
      </c>
      <c r="K8" s="7">
        <f>Financial_Notes!J80</f>
        <v>52328164.57</v>
      </c>
      <c r="L8" s="7">
        <f>Financial_Notes!K80</f>
        <v>39580197.519999996</v>
      </c>
      <c r="M8" s="7">
        <f>Financial_Notes!L80</f>
        <v>40815031.68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22.5" customHeight="1" x14ac:dyDescent="0.2">
      <c r="A9" s="4"/>
      <c r="B9" s="4" t="s">
        <v>33</v>
      </c>
      <c r="C9" s="4">
        <v>14</v>
      </c>
      <c r="D9" s="4"/>
      <c r="E9" s="7">
        <f>Financial_Notes!D86</f>
        <v>0</v>
      </c>
      <c r="F9" s="7">
        <f>Financial_Notes!E86</f>
        <v>0</v>
      </c>
      <c r="G9" s="7">
        <f>Financial_Notes!F86</f>
        <v>0</v>
      </c>
      <c r="H9" s="7">
        <f>Financial_Notes!G86</f>
        <v>0</v>
      </c>
      <c r="I9" s="7">
        <f>Financial_Notes!H86</f>
        <v>0</v>
      </c>
      <c r="J9" s="7">
        <f>Financial_Notes!I86</f>
        <v>0</v>
      </c>
      <c r="K9" s="7">
        <f>Financial_Notes!J86</f>
        <v>261063780</v>
      </c>
      <c r="L9" s="7">
        <f>Financial_Notes!K86</f>
        <v>267758882</v>
      </c>
      <c r="M9" s="7">
        <f>Financial_Notes!L86</f>
        <v>454383984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22.5" customHeight="1" x14ac:dyDescent="0.2">
      <c r="A10" s="4"/>
      <c r="B10" s="4" t="s">
        <v>34</v>
      </c>
      <c r="C10" s="4">
        <v>15</v>
      </c>
      <c r="D10" s="5"/>
      <c r="E10" s="7">
        <f>Financial_Notes!D89</f>
        <v>0</v>
      </c>
      <c r="F10" s="7">
        <f>Financial_Notes!E89</f>
        <v>0</v>
      </c>
      <c r="G10" s="7">
        <f>Financial_Notes!F89</f>
        <v>0</v>
      </c>
      <c r="H10" s="7">
        <f>Financial_Notes!G89</f>
        <v>0</v>
      </c>
      <c r="I10" s="7">
        <f>Financial_Notes!H89</f>
        <v>0</v>
      </c>
      <c r="J10" s="7">
        <f>Financial_Notes!I89</f>
        <v>0</v>
      </c>
      <c r="K10" s="7">
        <f>Financial_Notes!J89</f>
        <v>0</v>
      </c>
      <c r="L10" s="7">
        <f>Financial_Notes!K89</f>
        <v>0</v>
      </c>
      <c r="M10" s="7">
        <f>Financial_Notes!L89</f>
        <v>2034100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22.5" customHeight="1" x14ac:dyDescent="0.2">
      <c r="A11" s="4"/>
      <c r="B11" s="8" t="s">
        <v>35</v>
      </c>
      <c r="C11" s="9"/>
      <c r="D11" s="9"/>
      <c r="E11" s="10">
        <f t="shared" ref="E11:M11" si="3">SUM(E6:E10)</f>
        <v>141990746.55000001</v>
      </c>
      <c r="F11" s="10">
        <f t="shared" si="3"/>
        <v>111619516.75</v>
      </c>
      <c r="G11" s="10">
        <f t="shared" si="3"/>
        <v>119357879.64</v>
      </c>
      <c r="H11" s="10">
        <f t="shared" si="3"/>
        <v>89153425.879999995</v>
      </c>
      <c r="I11" s="10">
        <f t="shared" si="3"/>
        <v>195136626.00999999</v>
      </c>
      <c r="J11" s="10">
        <f t="shared" si="3"/>
        <v>358580063.38</v>
      </c>
      <c r="K11" s="10">
        <f t="shared" si="3"/>
        <v>357400386.53999996</v>
      </c>
      <c r="L11" s="10">
        <f t="shared" si="3"/>
        <v>354396071.49000001</v>
      </c>
      <c r="M11" s="10">
        <f t="shared" si="3"/>
        <v>755151286.57999992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22.5" customHeight="1" x14ac:dyDescent="0.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22.5" customHeight="1" x14ac:dyDescent="0.2">
      <c r="A13" s="4"/>
      <c r="B13" s="4" t="s">
        <v>36</v>
      </c>
      <c r="C13" s="4">
        <v>16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22.5" customHeight="1" x14ac:dyDescent="0.2">
      <c r="A14" s="4"/>
      <c r="B14" s="4" t="s">
        <v>37</v>
      </c>
      <c r="C14" s="4"/>
      <c r="D14" s="4"/>
      <c r="E14" s="7">
        <f>Financial_Notes!D94</f>
        <v>429290000</v>
      </c>
      <c r="F14" s="7">
        <f>Financial_Notes!E94</f>
        <v>429290000</v>
      </c>
      <c r="G14" s="7">
        <f>Financial_Notes!F94</f>
        <v>429290000</v>
      </c>
      <c r="H14" s="7">
        <f>Financial_Notes!G94</f>
        <v>429290000</v>
      </c>
      <c r="I14" s="7">
        <f>Financial_Notes!H94</f>
        <v>429290000</v>
      </c>
      <c r="J14" s="7">
        <f>Financial_Notes!I94</f>
        <v>429290000</v>
      </c>
      <c r="K14" s="7">
        <f>Financial_Notes!J94</f>
        <v>429290000</v>
      </c>
      <c r="L14" s="7">
        <f>Financial_Notes!K94</f>
        <v>429290000</v>
      </c>
      <c r="M14" s="7">
        <f>Financial_Notes!L94</f>
        <v>429290000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22.5" customHeight="1" x14ac:dyDescent="0.2">
      <c r="A15" s="4"/>
      <c r="B15" s="4" t="s">
        <v>38</v>
      </c>
      <c r="C15" s="4"/>
      <c r="D15" s="4"/>
      <c r="E15" s="7">
        <f>Financial_Notes!D95-Financial_Notes!D101</f>
        <v>112495833.33</v>
      </c>
      <c r="F15" s="7">
        <f>Financial_Notes!E95-Financial_Notes!E101</f>
        <v>111941666.66</v>
      </c>
      <c r="G15" s="7">
        <f>Financial_Notes!F95-Financial_Notes!F101</f>
        <v>111387499.98999999</v>
      </c>
      <c r="H15" s="7">
        <f>Financial_Notes!G95-Financial_Notes!G101</f>
        <v>110833333.31999999</v>
      </c>
      <c r="I15" s="7">
        <f>Financial_Notes!H95-Financial_Notes!H101</f>
        <v>110279166.31999999</v>
      </c>
      <c r="J15" s="7">
        <f>Financial_Notes!I95-Financial_Notes!I101</f>
        <v>109724999.31999999</v>
      </c>
      <c r="K15" s="7">
        <f>Financial_Notes!J95-Financial_Notes!J101</f>
        <v>425615832.31999999</v>
      </c>
      <c r="L15" s="7">
        <f>Financial_Notes!K95-Financial_Notes!K101</f>
        <v>425061665.31999999</v>
      </c>
      <c r="M15" s="7">
        <f>Financial_Notes!L95-Financial_Notes!L101</f>
        <v>424507498.31999999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22.5" customHeight="1" x14ac:dyDescent="0.2">
      <c r="A16" s="4"/>
      <c r="B16" s="4" t="s">
        <v>39</v>
      </c>
      <c r="C16" s="4"/>
      <c r="D16" s="4"/>
      <c r="E16" s="7">
        <f>Financial_Notes!D96-Financial_Notes!D102</f>
        <v>53680941.670000002</v>
      </c>
      <c r="F16" s="7">
        <f>Financial_Notes!E96-Financial_Notes!E102</f>
        <v>54844516.670000002</v>
      </c>
      <c r="G16" s="7">
        <f>Financial_Notes!F96-Financial_Notes!F102</f>
        <v>53016365.670000002</v>
      </c>
      <c r="H16" s="7">
        <f>Financial_Notes!G96-Financial_Notes!G102</f>
        <v>51249153.670000002</v>
      </c>
      <c r="I16" s="7">
        <f>Financial_Notes!H96-Financial_Notes!H102</f>
        <v>49540848.670000002</v>
      </c>
      <c r="J16" s="7">
        <f>Financial_Notes!I96-Financial_Notes!I102</f>
        <v>115889486.67</v>
      </c>
      <c r="K16" s="7">
        <f>Financial_Notes!J96-Financial_Notes!J102</f>
        <v>114293170.67</v>
      </c>
      <c r="L16" s="7">
        <f>Financial_Notes!K96-Financial_Notes!K102</f>
        <v>114804364.67</v>
      </c>
      <c r="M16" s="7">
        <f>Financial_Notes!L96-Financial_Notes!L102</f>
        <v>113440695.67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22.5" customHeight="1" x14ac:dyDescent="0.2">
      <c r="A17" s="4"/>
      <c r="B17" s="4" t="s">
        <v>40</v>
      </c>
      <c r="C17" s="4"/>
      <c r="D17" s="4"/>
      <c r="E17" s="7">
        <f>Financial_Notes!D98-Financial_Notes!D104</f>
        <v>12298500</v>
      </c>
      <c r="F17" s="7">
        <f>Financial_Notes!E98-Financial_Notes!E104</f>
        <v>12193866.67</v>
      </c>
      <c r="G17" s="7">
        <f>Financial_Notes!F98-Financial_Notes!F104</f>
        <v>11787404.67</v>
      </c>
      <c r="H17" s="7">
        <f>Financial_Notes!G98-Financial_Notes!G104</f>
        <v>11394491.67</v>
      </c>
      <c r="I17" s="7">
        <f>Financial_Notes!H98-Financial_Notes!H104</f>
        <v>11014675.67</v>
      </c>
      <c r="J17" s="7">
        <f>Financial_Notes!I98-Financial_Notes!I104</f>
        <v>102672519.67</v>
      </c>
      <c r="K17" s="7">
        <f>Financial_Notes!J98-Financial_Notes!J104</f>
        <v>102317602.67</v>
      </c>
      <c r="L17" s="7">
        <f>Financial_Notes!K98-Financial_Notes!K104</f>
        <v>101974515.67</v>
      </c>
      <c r="M17" s="7">
        <f>Financial_Notes!L98-Financial_Notes!L104</f>
        <v>101642865.67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22.5" customHeight="1" x14ac:dyDescent="0.2">
      <c r="A18" s="4"/>
      <c r="B18" s="4" t="s">
        <v>41</v>
      </c>
      <c r="C18" s="4"/>
      <c r="D18" s="4"/>
      <c r="E18" s="7">
        <f>Financial_Notes!D99</f>
        <v>90334300</v>
      </c>
      <c r="F18" s="7">
        <f>Financial_Notes!E99</f>
        <v>120606300</v>
      </c>
      <c r="G18" s="7">
        <f>Financial_Notes!F99</f>
        <v>120619800</v>
      </c>
      <c r="H18" s="7">
        <f>Financial_Notes!G99</f>
        <v>160619800</v>
      </c>
      <c r="I18" s="7">
        <f>Financial_Notes!H99</f>
        <v>210619800</v>
      </c>
      <c r="J18" s="7">
        <f>Financial_Notes!I99</f>
        <v>340652800</v>
      </c>
      <c r="K18" s="7">
        <f>Financial_Notes!J99</f>
        <v>24847800</v>
      </c>
      <c r="L18" s="7">
        <f>Financial_Notes!K99</f>
        <v>24847800</v>
      </c>
      <c r="M18" s="7">
        <f>Financial_Notes!L99</f>
        <v>75792800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22.5" customHeight="1" x14ac:dyDescent="0.2">
      <c r="A19" s="4"/>
      <c r="B19" s="8" t="s">
        <v>42</v>
      </c>
      <c r="C19" s="8"/>
      <c r="D19" s="8"/>
      <c r="E19" s="10">
        <f t="shared" ref="E19:M19" si="4">SUM(E14:E18)</f>
        <v>698099575</v>
      </c>
      <c r="F19" s="10">
        <f t="shared" si="4"/>
        <v>728876349.99999988</v>
      </c>
      <c r="G19" s="10">
        <f t="shared" si="4"/>
        <v>726101070.32999992</v>
      </c>
      <c r="H19" s="10">
        <f t="shared" si="4"/>
        <v>763386778.65999985</v>
      </c>
      <c r="I19" s="10">
        <f t="shared" si="4"/>
        <v>810744490.65999985</v>
      </c>
      <c r="J19" s="10">
        <f t="shared" si="4"/>
        <v>1098229805.6599998</v>
      </c>
      <c r="K19" s="10">
        <f t="shared" si="4"/>
        <v>1096364405.6599998</v>
      </c>
      <c r="L19" s="10">
        <f t="shared" si="4"/>
        <v>1095978345.6599998</v>
      </c>
      <c r="M19" s="10">
        <f t="shared" si="4"/>
        <v>1144673859.6599998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22.5" customHeight="1" x14ac:dyDescent="0.2">
      <c r="A20" s="4"/>
      <c r="B20" s="14" t="s">
        <v>43</v>
      </c>
      <c r="C20" s="14"/>
      <c r="D20" s="14"/>
      <c r="E20" s="16">
        <f t="shared" ref="E20:M20" si="5">E11+E19</f>
        <v>840090321.54999995</v>
      </c>
      <c r="F20" s="16">
        <f t="shared" si="5"/>
        <v>840495866.74999988</v>
      </c>
      <c r="G20" s="16">
        <f t="shared" si="5"/>
        <v>845458949.96999991</v>
      </c>
      <c r="H20" s="16">
        <f t="shared" si="5"/>
        <v>852540204.53999984</v>
      </c>
      <c r="I20" s="16">
        <f t="shared" si="5"/>
        <v>1005881116.6699998</v>
      </c>
      <c r="J20" s="16">
        <f t="shared" si="5"/>
        <v>1456809869.04</v>
      </c>
      <c r="K20" s="16">
        <f t="shared" si="5"/>
        <v>1453764792.1999998</v>
      </c>
      <c r="L20" s="16">
        <f t="shared" si="5"/>
        <v>1450374417.1499999</v>
      </c>
      <c r="M20" s="16">
        <f t="shared" si="5"/>
        <v>1899825146.2399998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22.5" customHeight="1" x14ac:dyDescent="0.2">
      <c r="A21" s="4"/>
      <c r="B21" s="5"/>
      <c r="C21" s="4"/>
      <c r="D21" s="4"/>
      <c r="E21" s="7"/>
      <c r="F21" s="7"/>
      <c r="G21" s="7"/>
      <c r="H21" s="7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22.5" customHeight="1" x14ac:dyDescent="0.2">
      <c r="A22" s="4"/>
      <c r="B22" s="5" t="s">
        <v>44</v>
      </c>
      <c r="C22" s="4"/>
      <c r="D22" s="4"/>
      <c r="E22" s="7"/>
      <c r="F22" s="7"/>
      <c r="G22" s="7"/>
      <c r="H22" s="7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22.5" customHeight="1" x14ac:dyDescent="0.2">
      <c r="A23" s="4"/>
      <c r="B23" s="4" t="s">
        <v>45</v>
      </c>
      <c r="C23" s="4">
        <v>17</v>
      </c>
      <c r="D23" s="4"/>
      <c r="E23" s="7">
        <f>Financial_Notes!D110</f>
        <v>839530823.44000006</v>
      </c>
      <c r="F23" s="7">
        <f>Financial_Notes!E110</f>
        <v>839530823.44000006</v>
      </c>
      <c r="G23" s="7">
        <f>Financial_Notes!F110</f>
        <v>839530823.44000006</v>
      </c>
      <c r="H23" s="7">
        <f>Financial_Notes!G110</f>
        <v>839530823.44000006</v>
      </c>
      <c r="I23" s="7">
        <f>Financial_Notes!H110</f>
        <v>989530823.44000006</v>
      </c>
      <c r="J23" s="7">
        <f>Financial_Notes!I110</f>
        <v>1439530823.4400001</v>
      </c>
      <c r="K23" s="7">
        <f>Financial_Notes!J110</f>
        <v>1439530823.4400001</v>
      </c>
      <c r="L23" s="7">
        <f>Financial_Notes!K110</f>
        <v>1439530823.4400001</v>
      </c>
      <c r="M23" s="7">
        <f>Financial_Notes!L110</f>
        <v>1889530823.4400001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22.5" customHeight="1" x14ac:dyDescent="0.2">
      <c r="A24" s="4"/>
      <c r="B24" s="4" t="s">
        <v>46</v>
      </c>
      <c r="C24" s="4">
        <v>18</v>
      </c>
      <c r="D24" s="4"/>
      <c r="E24" s="7">
        <f>Financial_Notes!D116</f>
        <v>0</v>
      </c>
      <c r="F24" s="7">
        <f>Financial_Notes!E116</f>
        <v>559498.11</v>
      </c>
      <c r="G24" s="7">
        <f>Financial_Notes!F116</f>
        <v>965043.31</v>
      </c>
      <c r="H24" s="7">
        <f>Financial_Notes!G116</f>
        <v>5928126.5300000003</v>
      </c>
      <c r="I24" s="7">
        <f>Financial_Notes!H116</f>
        <v>13009381.1</v>
      </c>
      <c r="J24" s="7">
        <f>Financial_Notes!I116</f>
        <v>16350293.23</v>
      </c>
      <c r="K24" s="7">
        <f>Financial_Notes!J116</f>
        <v>17279045.600000001</v>
      </c>
      <c r="L24" s="7">
        <f>Financial_Notes!K116</f>
        <v>14233968.76</v>
      </c>
      <c r="M24" s="7">
        <f>Financial_Notes!L116</f>
        <v>10843593.710000001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22.5" customHeight="1" x14ac:dyDescent="0.2">
      <c r="A25" s="4"/>
      <c r="B25" s="4" t="s">
        <v>47</v>
      </c>
      <c r="C25" s="4"/>
      <c r="D25" s="4"/>
      <c r="E25" s="7">
        <f>'Statement_of_Profit&amp;Loss'!E27</f>
        <v>559498.11000000674</v>
      </c>
      <c r="F25" s="7">
        <f>'Statement_of_Profit&amp;Loss'!F27</f>
        <v>405545.19999998901</v>
      </c>
      <c r="G25" s="7">
        <f>'Statement_of_Profit&amp;Loss'!G27</f>
        <v>4963083.2200000007</v>
      </c>
      <c r="H25" s="7">
        <f>'Statement_of_Profit&amp;Loss'!H27</f>
        <v>7081254.5699999873</v>
      </c>
      <c r="I25" s="7">
        <f>'Statement_of_Profit&amp;Loss'!I27</f>
        <v>3340912.1300000027</v>
      </c>
      <c r="J25" s="7">
        <f>'Statement_of_Profit&amp;Loss'!J27</f>
        <v>928752.37000000477</v>
      </c>
      <c r="K25" s="7">
        <f>'Statement_of_Profit&amp;Loss'!K27</f>
        <v>-3045076.84</v>
      </c>
      <c r="L25" s="7">
        <f>'Statement_of_Profit&amp;Loss'!L27</f>
        <v>-3390375.0500000045</v>
      </c>
      <c r="M25" s="7">
        <f>'Statement_of_Profit&amp;Loss'!M27</f>
        <v>-549270.9099999998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22.5" customHeight="1" x14ac:dyDescent="0.2">
      <c r="A26" s="4"/>
      <c r="B26" s="9" t="s">
        <v>48</v>
      </c>
      <c r="C26" s="9"/>
      <c r="D26" s="9"/>
      <c r="E26" s="19">
        <f t="shared" ref="E26:M26" si="6">SUM(E23:E25)</f>
        <v>840090321.55000007</v>
      </c>
      <c r="F26" s="19">
        <f t="shared" si="6"/>
        <v>840495866.75000012</v>
      </c>
      <c r="G26" s="19">
        <f t="shared" si="6"/>
        <v>845458949.97000003</v>
      </c>
      <c r="H26" s="19">
        <f t="shared" si="6"/>
        <v>852540204.53999996</v>
      </c>
      <c r="I26" s="19">
        <f t="shared" si="6"/>
        <v>1005881116.6700001</v>
      </c>
      <c r="J26" s="19">
        <f t="shared" si="6"/>
        <v>1456809869.04</v>
      </c>
      <c r="K26" s="19">
        <f t="shared" si="6"/>
        <v>1453764792.2</v>
      </c>
      <c r="L26" s="19">
        <f t="shared" si="6"/>
        <v>1450374417.1500001</v>
      </c>
      <c r="M26" s="19">
        <f t="shared" si="6"/>
        <v>1899825146.24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 x14ac:dyDescent="0.2">
      <c r="B27" s="1" t="s">
        <v>49</v>
      </c>
      <c r="C27" s="20"/>
      <c r="D27" s="20"/>
      <c r="E27" s="21">
        <f t="shared" ref="E27:M27" si="7">E26-E20</f>
        <v>0</v>
      </c>
      <c r="F27" s="21">
        <f t="shared" si="7"/>
        <v>0</v>
      </c>
      <c r="G27" s="21">
        <f t="shared" si="7"/>
        <v>0</v>
      </c>
      <c r="H27" s="21">
        <f t="shared" si="7"/>
        <v>0</v>
      </c>
      <c r="I27" s="21">
        <f t="shared" si="7"/>
        <v>0</v>
      </c>
      <c r="J27" s="21">
        <f t="shared" si="7"/>
        <v>0</v>
      </c>
      <c r="K27" s="21">
        <f t="shared" si="7"/>
        <v>0</v>
      </c>
      <c r="L27" s="21">
        <f t="shared" si="7"/>
        <v>0</v>
      </c>
      <c r="M27" s="21">
        <f t="shared" si="7"/>
        <v>0</v>
      </c>
    </row>
    <row r="28" spans="1:26" ht="15.75" customHeight="1" x14ac:dyDescent="0.2"/>
    <row r="29" spans="1:26" ht="15.75" customHeight="1" x14ac:dyDescent="0.2"/>
    <row r="30" spans="1:26" ht="15.75" customHeight="1" x14ac:dyDescent="0.2"/>
    <row r="31" spans="1:26" ht="15.75" customHeight="1" x14ac:dyDescent="0.2"/>
    <row r="32" spans="1:26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rintOptions horizontalCentered="1" gridLines="1"/>
  <pageMargins left="0.25" right="0.25" top="0.75" bottom="0.75" header="0" footer="0"/>
  <pageSetup paperSize="9" fitToHeight="0" pageOrder="overThenDown" orientation="landscape" cellComments="atEnd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Z1000"/>
  <sheetViews>
    <sheetView showGridLines="0" workbookViewId="0"/>
  </sheetViews>
  <sheetFormatPr defaultColWidth="12.5703125" defaultRowHeight="15" customHeight="1" x14ac:dyDescent="0.2"/>
  <cols>
    <col min="1" max="1" width="12.5703125" customWidth="1"/>
    <col min="2" max="2" width="54.7109375" customWidth="1"/>
    <col min="3" max="3" width="10.42578125" customWidth="1"/>
    <col min="4" max="4" width="10.140625" customWidth="1"/>
    <col min="5" max="5" width="14.140625" customWidth="1"/>
    <col min="6" max="6" width="12.5703125" customWidth="1"/>
    <col min="11" max="11" width="15" customWidth="1"/>
    <col min="12" max="12" width="15.28515625" customWidth="1"/>
    <col min="13" max="13" width="15.42578125" customWidth="1"/>
  </cols>
  <sheetData>
    <row r="1" spans="1:26" ht="15.75" customHeight="1" x14ac:dyDescent="0.2"/>
    <row r="2" spans="1:26" ht="15.75" customHeight="1" x14ac:dyDescent="0.2">
      <c r="B2" s="1" t="s">
        <v>0</v>
      </c>
      <c r="E2" s="2">
        <v>45694</v>
      </c>
      <c r="F2" s="2">
        <f t="shared" ref="F2:M2" si="0">E3+1</f>
        <v>45717</v>
      </c>
      <c r="G2" s="2">
        <f t="shared" si="0"/>
        <v>45748</v>
      </c>
      <c r="H2" s="2">
        <f t="shared" si="0"/>
        <v>45778</v>
      </c>
      <c r="I2" s="2">
        <f t="shared" si="0"/>
        <v>45809</v>
      </c>
      <c r="J2" s="2">
        <f t="shared" si="0"/>
        <v>45839</v>
      </c>
      <c r="K2" s="2">
        <f t="shared" si="0"/>
        <v>45870</v>
      </c>
      <c r="L2" s="2">
        <f t="shared" si="0"/>
        <v>45901</v>
      </c>
      <c r="M2" s="2">
        <f t="shared" si="0"/>
        <v>45931</v>
      </c>
    </row>
    <row r="3" spans="1:26" ht="15.75" customHeight="1" x14ac:dyDescent="0.2">
      <c r="B3" s="1" t="s">
        <v>1</v>
      </c>
      <c r="C3" s="1"/>
      <c r="E3" s="3">
        <f t="shared" ref="E3:M3" si="1">EOMONTH(E2,0)</f>
        <v>45716</v>
      </c>
      <c r="F3" s="3">
        <f t="shared" si="1"/>
        <v>45747</v>
      </c>
      <c r="G3" s="3">
        <f t="shared" si="1"/>
        <v>45777</v>
      </c>
      <c r="H3" s="3">
        <f t="shared" si="1"/>
        <v>45808</v>
      </c>
      <c r="I3" s="3">
        <f t="shared" si="1"/>
        <v>45838</v>
      </c>
      <c r="J3" s="3">
        <f t="shared" si="1"/>
        <v>45869</v>
      </c>
      <c r="K3" s="3">
        <f t="shared" si="1"/>
        <v>45900</v>
      </c>
      <c r="L3" s="3">
        <f t="shared" si="1"/>
        <v>45930</v>
      </c>
      <c r="M3" s="3">
        <f t="shared" si="1"/>
        <v>45961</v>
      </c>
    </row>
    <row r="4" spans="1:26" ht="22.5" customHeight="1" x14ac:dyDescent="0.2">
      <c r="A4" s="4"/>
      <c r="B4" s="5" t="s">
        <v>50</v>
      </c>
      <c r="C4" s="5" t="s">
        <v>3</v>
      </c>
      <c r="D4" s="5"/>
      <c r="E4" s="6" t="str">
        <f t="shared" ref="E4:M4" si="2">TEXT(E3,"MMMM-YYY")</f>
        <v>February-2025</v>
      </c>
      <c r="F4" s="6" t="str">
        <f t="shared" si="2"/>
        <v>March-2025</v>
      </c>
      <c r="G4" s="6" t="str">
        <f t="shared" si="2"/>
        <v>April-2025</v>
      </c>
      <c r="H4" s="6" t="str">
        <f t="shared" si="2"/>
        <v>May-2025</v>
      </c>
      <c r="I4" s="6" t="str">
        <f t="shared" si="2"/>
        <v>June-2025</v>
      </c>
      <c r="J4" s="6" t="str">
        <f t="shared" si="2"/>
        <v>July-2025</v>
      </c>
      <c r="K4" s="6" t="str">
        <f t="shared" si="2"/>
        <v>August-2025</v>
      </c>
      <c r="L4" s="6" t="str">
        <f t="shared" si="2"/>
        <v>September-2025</v>
      </c>
      <c r="M4" s="6" t="str">
        <f t="shared" si="2"/>
        <v>October-2025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22.5" customHeight="1" x14ac:dyDescent="0.2">
      <c r="A5" s="4"/>
      <c r="B5" s="5" t="s">
        <v>51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22.5" customHeight="1" x14ac:dyDescent="0.2">
      <c r="A6" s="4"/>
      <c r="B6" s="4" t="s">
        <v>52</v>
      </c>
      <c r="C6" s="4"/>
      <c r="D6" s="4"/>
      <c r="E6" s="22">
        <f>'Statement_of_Profit&amp;Loss'!E27</f>
        <v>559498.11000000674</v>
      </c>
      <c r="F6" s="22">
        <f>'Statement_of_Profit&amp;Loss'!F27</f>
        <v>405545.19999998901</v>
      </c>
      <c r="G6" s="22">
        <f>'Statement_of_Profit&amp;Loss'!G27</f>
        <v>4963083.2200000007</v>
      </c>
      <c r="H6" s="22">
        <f>'Statement_of_Profit&amp;Loss'!H27</f>
        <v>7081254.5699999873</v>
      </c>
      <c r="I6" s="22">
        <f>'Statement_of_Profit&amp;Loss'!I27</f>
        <v>3340912.1300000027</v>
      </c>
      <c r="J6" s="22">
        <f>'Statement_of_Profit&amp;Loss'!J27</f>
        <v>928752.37000000477</v>
      </c>
      <c r="K6" s="22">
        <f>'Statement_of_Profit&amp;Loss'!K27</f>
        <v>-3045076.84</v>
      </c>
      <c r="L6" s="22">
        <f>'Statement_of_Profit&amp;Loss'!L27</f>
        <v>-3390375.0500000045</v>
      </c>
      <c r="M6" s="22">
        <f>'Statement_of_Profit&amp;Loss'!M27</f>
        <v>-549270.9099999998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22.5" customHeight="1" x14ac:dyDescent="0.2">
      <c r="A7" s="4"/>
      <c r="B7" s="4" t="s">
        <v>53</v>
      </c>
      <c r="C7" s="4"/>
      <c r="D7" s="4"/>
      <c r="E7" s="22"/>
      <c r="F7" s="22"/>
      <c r="G7" s="22"/>
      <c r="H7" s="22"/>
      <c r="I7" s="22"/>
      <c r="J7" s="22"/>
      <c r="K7" s="22"/>
      <c r="L7" s="22"/>
      <c r="M7" s="22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22.5" customHeight="1" x14ac:dyDescent="0.2">
      <c r="A8" s="4"/>
      <c r="B8" s="4" t="s">
        <v>54</v>
      </c>
      <c r="C8" s="4"/>
      <c r="D8" s="4"/>
      <c r="E8" s="22">
        <f>'Statement_of_Profit&amp;Loss'!E22</f>
        <v>945425</v>
      </c>
      <c r="F8" s="22">
        <f>'Statement_of_Profit&amp;Loss'!F22</f>
        <v>1015225</v>
      </c>
      <c r="G8" s="22">
        <f>'Statement_of_Profit&amp;Loss'!G22</f>
        <v>2788779.67</v>
      </c>
      <c r="H8" s="22">
        <f>'Statement_of_Profit&amp;Loss'!H22</f>
        <v>2714291.67</v>
      </c>
      <c r="I8" s="22">
        <f>'Statement_of_Profit&amp;Loss'!I22</f>
        <v>2642288</v>
      </c>
      <c r="J8" s="22">
        <f>'Statement_of_Profit&amp;Loss'!J22</f>
        <v>2572685</v>
      </c>
      <c r="K8" s="22">
        <f>'Statement_of_Profit&amp;Loss'!K22</f>
        <v>2505400</v>
      </c>
      <c r="L8" s="22">
        <f>'Statement_of_Profit&amp;Loss'!L22</f>
        <v>2440360</v>
      </c>
      <c r="M8" s="22">
        <f>'Statement_of_Profit&amp;Loss'!M22</f>
        <v>2377486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22.5" customHeight="1" x14ac:dyDescent="0.2">
      <c r="A9" s="4"/>
      <c r="B9" s="4" t="s">
        <v>55</v>
      </c>
      <c r="C9" s="4"/>
      <c r="D9" s="4"/>
      <c r="E9" s="22"/>
      <c r="F9" s="22"/>
      <c r="G9" s="22"/>
      <c r="H9" s="22"/>
      <c r="I9" s="22"/>
      <c r="J9" s="22"/>
      <c r="K9" s="22"/>
      <c r="L9" s="22"/>
      <c r="M9" s="22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22.5" customHeight="1" x14ac:dyDescent="0.2">
      <c r="A10" s="4"/>
      <c r="B10" s="4" t="s">
        <v>56</v>
      </c>
      <c r="C10" s="4"/>
      <c r="D10" s="4"/>
      <c r="E10" s="22">
        <f>Financial_Notes!D71</f>
        <v>0</v>
      </c>
      <c r="F10" s="22">
        <f>Financial_Notes!E71</f>
        <v>0</v>
      </c>
      <c r="G10" s="22">
        <f>Financial_Notes!F71</f>
        <v>0</v>
      </c>
      <c r="H10" s="22">
        <f>Financial_Notes!G71</f>
        <v>0</v>
      </c>
      <c r="I10" s="22">
        <f>Financial_Notes!H71</f>
        <v>0</v>
      </c>
      <c r="J10" s="22">
        <f>Financial_Notes!I71</f>
        <v>0</v>
      </c>
      <c r="K10" s="22">
        <f>Financial_Notes!J71</f>
        <v>0</v>
      </c>
      <c r="L10" s="22">
        <f>Financial_Notes!K71</f>
        <v>0</v>
      </c>
      <c r="M10" s="22">
        <f>Financial_Notes!L71</f>
        <v>0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22.5" customHeight="1" x14ac:dyDescent="0.2">
      <c r="A11" s="4"/>
      <c r="B11" s="4" t="s">
        <v>57</v>
      </c>
      <c r="C11" s="4"/>
      <c r="D11" s="4"/>
      <c r="E11" s="22">
        <f>47966123.44-Financial_Notes!D80</f>
        <v>-35775203.110000014</v>
      </c>
      <c r="F11" s="22">
        <f>'Statement_of_Financial Position'!E8-'Statement_of_Financial Position'!F8</f>
        <v>-1752598.2299999893</v>
      </c>
      <c r="G11" s="22">
        <f>'Statement_of_Financial Position'!F8-'Statement_of_Financial Position'!G8</f>
        <v>23669517.109999999</v>
      </c>
      <c r="H11" s="22">
        <f>'Statement_of_Financial Position'!G8-'Statement_of_Financial Position'!H8</f>
        <v>-194016.24000000209</v>
      </c>
      <c r="I11" s="22">
        <f>'Statement_of_Financial Position'!H8-'Statement_of_Financial Position'!I8</f>
        <v>13164439.869999997</v>
      </c>
      <c r="J11" s="22">
        <f>'Statement_of_Financial Position'!I8-'Statement_of_Financial Position'!J8</f>
        <v>-855557.36999998987</v>
      </c>
      <c r="K11" s="22">
        <f>'Statement_of_Financial Position'!J8-'Statement_of_Financial Position'!K8</f>
        <v>-2618623.1600000039</v>
      </c>
      <c r="L11" s="22">
        <f>'Statement_of_Financial Position'!K8-'Statement_of_Financial Position'!L8</f>
        <v>12747967.050000004</v>
      </c>
      <c r="M11" s="22">
        <f>'Statement_of_Financial Position'!L8-'Statement_of_Financial Position'!M8</f>
        <v>-1234834.1600000039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22.5" customHeight="1" x14ac:dyDescent="0.2">
      <c r="A12" s="4"/>
      <c r="B12" s="4" t="s">
        <v>58</v>
      </c>
      <c r="C12" s="4"/>
      <c r="D12" s="4"/>
      <c r="E12" s="22">
        <v>0</v>
      </c>
      <c r="F12" s="22">
        <f>'Statement_of_Financial Position'!F9-'Statement_of_Financial Position'!E9</f>
        <v>0</v>
      </c>
      <c r="G12" s="22">
        <f>'Statement_of_Financial Position'!G9-'Statement_of_Financial Position'!F9</f>
        <v>0</v>
      </c>
      <c r="H12" s="22">
        <f>'Statement_of_Financial Position'!H9-'Statement_of_Financial Position'!G9</f>
        <v>0</v>
      </c>
      <c r="I12" s="22">
        <f>'Statement_of_Financial Position'!I9-'Statement_of_Financial Position'!H9</f>
        <v>0</v>
      </c>
      <c r="J12" s="22">
        <f>'Statement_of_Financial Position'!J9-'Statement_of_Financial Position'!I9</f>
        <v>0</v>
      </c>
      <c r="K12" s="22">
        <f>-('Statement_of_Financial Position'!K9-'Statement_of_Financial Position'!J9)</f>
        <v>-261063780</v>
      </c>
      <c r="L12" s="22">
        <f>-('Statement_of_Financial Position'!L9-'Statement_of_Financial Position'!K9)</f>
        <v>-6695102</v>
      </c>
      <c r="M12" s="22">
        <f>-('Statement_of_Financial Position'!M9-'Statement_of_Financial Position'!L9)</f>
        <v>-186625102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36" customHeight="1" x14ac:dyDescent="0.2">
      <c r="A13" s="4"/>
      <c r="B13" s="23" t="s">
        <v>59</v>
      </c>
      <c r="C13" s="4"/>
      <c r="D13" s="4"/>
      <c r="E13" s="22">
        <v>0</v>
      </c>
      <c r="F13" s="22">
        <f>-('Statement_of_Financial Position'!F10-'Statement_of_Financial Position'!E10)</f>
        <v>0</v>
      </c>
      <c r="G13" s="22">
        <f>-('Statement_of_Financial Position'!G10-'Statement_of_Financial Position'!F10)</f>
        <v>0</v>
      </c>
      <c r="H13" s="22">
        <f>-('Statement_of_Financial Position'!H10-'Statement_of_Financial Position'!G10)</f>
        <v>0</v>
      </c>
      <c r="I13" s="22">
        <f>-('Statement_of_Financial Position'!I10-'Statement_of_Financial Position'!H10)</f>
        <v>0</v>
      </c>
      <c r="J13" s="22">
        <f>-('Statement_of_Financial Position'!J10-'Statement_of_Financial Position'!I10)</f>
        <v>0</v>
      </c>
      <c r="K13" s="22">
        <f>-('Statement_of_Financial Position'!K10-'Statement_of_Financial Position'!J10)</f>
        <v>0</v>
      </c>
      <c r="L13" s="22">
        <f>-('Statement_of_Financial Position'!L10-'Statement_of_Financial Position'!K10)</f>
        <v>0</v>
      </c>
      <c r="M13" s="22">
        <f>-('Statement_of_Financial Position'!M10-'Statement_of_Financial Position'!L10)</f>
        <v>-2034100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36" customHeight="1" x14ac:dyDescent="0.2">
      <c r="A14" s="4"/>
      <c r="B14" s="24" t="s">
        <v>60</v>
      </c>
      <c r="C14" s="8"/>
      <c r="D14" s="8"/>
      <c r="E14" s="25">
        <f t="shared" ref="E14:M14" si="3">SUM(E6:E13)</f>
        <v>-34270280.000000007</v>
      </c>
      <c r="F14" s="25">
        <f t="shared" si="3"/>
        <v>-331828.03000000026</v>
      </c>
      <c r="G14" s="25">
        <f t="shared" si="3"/>
        <v>31421380</v>
      </c>
      <c r="H14" s="25">
        <f t="shared" si="3"/>
        <v>9601529.9999999851</v>
      </c>
      <c r="I14" s="25">
        <f t="shared" si="3"/>
        <v>19147640</v>
      </c>
      <c r="J14" s="25">
        <f t="shared" si="3"/>
        <v>2645880.0000000149</v>
      </c>
      <c r="K14" s="25">
        <f t="shared" si="3"/>
        <v>-264222080</v>
      </c>
      <c r="L14" s="25">
        <f t="shared" si="3"/>
        <v>5102850</v>
      </c>
      <c r="M14" s="25">
        <f t="shared" si="3"/>
        <v>-188065821.06999999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22.5" customHeight="1" x14ac:dyDescent="0.2">
      <c r="A15" s="4"/>
      <c r="B15" s="4"/>
      <c r="C15" s="4"/>
      <c r="D15" s="4"/>
      <c r="E15" s="22"/>
      <c r="F15" s="22"/>
      <c r="G15" s="22"/>
      <c r="H15" s="22"/>
      <c r="I15" s="22"/>
      <c r="J15" s="22"/>
      <c r="K15" s="22"/>
      <c r="L15" s="22"/>
      <c r="M15" s="22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22.5" customHeight="1" x14ac:dyDescent="0.2">
      <c r="A16" s="4"/>
      <c r="B16" s="5" t="s">
        <v>61</v>
      </c>
      <c r="C16" s="4"/>
      <c r="D16" s="4"/>
      <c r="E16" s="22"/>
      <c r="F16" s="22"/>
      <c r="G16" s="22"/>
      <c r="H16" s="22"/>
      <c r="I16" s="22"/>
      <c r="J16" s="22"/>
      <c r="K16" s="22"/>
      <c r="L16" s="22"/>
      <c r="M16" s="22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36.75" customHeight="1" x14ac:dyDescent="0.2">
      <c r="A17" s="4"/>
      <c r="B17" s="23" t="s">
        <v>62</v>
      </c>
      <c r="C17" s="4"/>
      <c r="D17" s="4"/>
      <c r="E17" s="22">
        <f>-Financial_Notes!D99</f>
        <v>-90334300</v>
      </c>
      <c r="F17" s="22">
        <v>-30272000</v>
      </c>
      <c r="G17" s="22">
        <v>-13500</v>
      </c>
      <c r="H17" s="22">
        <v>-40000000</v>
      </c>
      <c r="I17" s="22">
        <v>-50000000</v>
      </c>
      <c r="J17" s="22">
        <v>-130033000</v>
      </c>
      <c r="K17" s="22">
        <v>-640000</v>
      </c>
      <c r="L17" s="22">
        <v>0</v>
      </c>
      <c r="M17" s="22">
        <v>-50945000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22.5" customHeight="1" x14ac:dyDescent="0.2">
      <c r="A18" s="4"/>
      <c r="B18" s="4" t="s">
        <v>63</v>
      </c>
      <c r="C18" s="4"/>
      <c r="D18" s="4"/>
      <c r="E18" s="22">
        <f>219000000-Financial_Notes!D94</f>
        <v>-210290000</v>
      </c>
      <c r="F18" s="22">
        <v>0</v>
      </c>
      <c r="G18" s="22">
        <v>0</v>
      </c>
      <c r="H18" s="22">
        <v>0</v>
      </c>
      <c r="I18" s="22">
        <v>0</v>
      </c>
      <c r="J18" s="22">
        <v>0</v>
      </c>
      <c r="K18" s="22">
        <v>0</v>
      </c>
      <c r="L18" s="22">
        <v>0</v>
      </c>
      <c r="M18" s="22">
        <v>0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22.5" customHeight="1" x14ac:dyDescent="0.2">
      <c r="A19" s="4"/>
      <c r="B19" s="4" t="s">
        <v>64</v>
      </c>
      <c r="C19" s="4"/>
      <c r="D19" s="4"/>
      <c r="E19" s="22">
        <v>-6856000</v>
      </c>
      <c r="F19" s="22">
        <v>-1520000</v>
      </c>
      <c r="G19" s="22">
        <v>0</v>
      </c>
      <c r="H19" s="22">
        <v>0</v>
      </c>
      <c r="I19" s="22">
        <v>0</v>
      </c>
      <c r="J19" s="22">
        <v>-160025000</v>
      </c>
      <c r="K19" s="22">
        <v>0</v>
      </c>
      <c r="L19" s="22">
        <v>-2054300</v>
      </c>
      <c r="M19" s="22">
        <v>-128000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35.25" customHeight="1" x14ac:dyDescent="0.2">
      <c r="A20" s="4"/>
      <c r="B20" s="24" t="s">
        <v>65</v>
      </c>
      <c r="C20" s="8"/>
      <c r="D20" s="8"/>
      <c r="E20" s="25">
        <f t="shared" ref="E20:M20" si="4">SUM(E17:E19)</f>
        <v>-307480300</v>
      </c>
      <c r="F20" s="25">
        <f t="shared" si="4"/>
        <v>-31792000</v>
      </c>
      <c r="G20" s="25">
        <f t="shared" si="4"/>
        <v>-13500</v>
      </c>
      <c r="H20" s="25">
        <f t="shared" si="4"/>
        <v>-40000000</v>
      </c>
      <c r="I20" s="25">
        <f t="shared" si="4"/>
        <v>-50000000</v>
      </c>
      <c r="J20" s="25">
        <f t="shared" si="4"/>
        <v>-290058000</v>
      </c>
      <c r="K20" s="25">
        <f t="shared" si="4"/>
        <v>-640000</v>
      </c>
      <c r="L20" s="25">
        <f t="shared" si="4"/>
        <v>-2054300</v>
      </c>
      <c r="M20" s="25">
        <f t="shared" si="4"/>
        <v>-51073000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22.5" customHeight="1" x14ac:dyDescent="0.2">
      <c r="A21" s="4"/>
      <c r="B21" s="4"/>
      <c r="C21" s="4"/>
      <c r="D21" s="4"/>
      <c r="E21" s="22"/>
      <c r="F21" s="22"/>
      <c r="G21" s="22"/>
      <c r="H21" s="22"/>
      <c r="I21" s="22"/>
      <c r="J21" s="22"/>
      <c r="K21" s="22"/>
      <c r="L21" s="22"/>
      <c r="M21" s="22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22.5" customHeight="1" x14ac:dyDescent="0.2">
      <c r="A22" s="4"/>
      <c r="B22" s="5" t="s">
        <v>66</v>
      </c>
      <c r="C22" s="4"/>
      <c r="D22" s="4"/>
      <c r="E22" s="22"/>
      <c r="F22" s="22"/>
      <c r="G22" s="22"/>
      <c r="H22" s="22"/>
      <c r="I22" s="22"/>
      <c r="J22" s="22"/>
      <c r="K22" s="22"/>
      <c r="L22" s="22"/>
      <c r="M22" s="22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22.5" customHeight="1" x14ac:dyDescent="0.2">
      <c r="A23" s="4"/>
      <c r="B23" s="4" t="s">
        <v>67</v>
      </c>
      <c r="C23" s="4"/>
      <c r="D23" s="4"/>
      <c r="E23" s="22">
        <v>400000000</v>
      </c>
      <c r="F23" s="22">
        <v>0</v>
      </c>
      <c r="G23" s="22">
        <v>0</v>
      </c>
      <c r="H23" s="22">
        <v>0</v>
      </c>
      <c r="I23" s="22">
        <v>150000000</v>
      </c>
      <c r="J23" s="22">
        <v>450000000</v>
      </c>
      <c r="K23" s="22">
        <v>0</v>
      </c>
      <c r="L23" s="22">
        <v>0</v>
      </c>
      <c r="M23" s="22">
        <v>450000000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36" customHeight="1" x14ac:dyDescent="0.2">
      <c r="A24" s="4"/>
      <c r="B24" s="24" t="s">
        <v>68</v>
      </c>
      <c r="C24" s="8"/>
      <c r="D24" s="8"/>
      <c r="E24" s="25">
        <f t="shared" ref="E24:M24" si="5">E23</f>
        <v>400000000</v>
      </c>
      <c r="F24" s="25">
        <f t="shared" si="5"/>
        <v>0</v>
      </c>
      <c r="G24" s="25">
        <f t="shared" si="5"/>
        <v>0</v>
      </c>
      <c r="H24" s="25">
        <f t="shared" si="5"/>
        <v>0</v>
      </c>
      <c r="I24" s="25">
        <f t="shared" si="5"/>
        <v>150000000</v>
      </c>
      <c r="J24" s="25">
        <f t="shared" si="5"/>
        <v>450000000</v>
      </c>
      <c r="K24" s="25">
        <f t="shared" si="5"/>
        <v>0</v>
      </c>
      <c r="L24" s="25">
        <f t="shared" si="5"/>
        <v>0</v>
      </c>
      <c r="M24" s="25">
        <f t="shared" si="5"/>
        <v>450000000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22.5" customHeight="1" x14ac:dyDescent="0.2">
      <c r="A25" s="4"/>
      <c r="B25" s="4"/>
      <c r="C25" s="4"/>
      <c r="D25" s="4"/>
      <c r="E25" s="22"/>
      <c r="F25" s="22"/>
      <c r="G25" s="22"/>
      <c r="H25" s="22"/>
      <c r="I25" s="22"/>
      <c r="J25" s="22"/>
      <c r="K25" s="22"/>
      <c r="L25" s="22"/>
      <c r="M25" s="22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22.5" customHeight="1" x14ac:dyDescent="0.2">
      <c r="A26" s="4"/>
      <c r="B26" s="4" t="s">
        <v>69</v>
      </c>
      <c r="C26" s="4"/>
      <c r="D26" s="4"/>
      <c r="E26" s="22">
        <f t="shared" ref="E26:M26" si="6">E14+E20+E24</f>
        <v>58249420</v>
      </c>
      <c r="F26" s="22">
        <f t="shared" si="6"/>
        <v>-32123828.030000001</v>
      </c>
      <c r="G26" s="22">
        <f t="shared" si="6"/>
        <v>31407880</v>
      </c>
      <c r="H26" s="22">
        <f t="shared" si="6"/>
        <v>-30398470.000000015</v>
      </c>
      <c r="I26" s="22">
        <f t="shared" si="6"/>
        <v>119147640</v>
      </c>
      <c r="J26" s="22">
        <f t="shared" si="6"/>
        <v>162587880</v>
      </c>
      <c r="K26" s="22">
        <f t="shared" si="6"/>
        <v>-264862080</v>
      </c>
      <c r="L26" s="22">
        <f t="shared" si="6"/>
        <v>3048550</v>
      </c>
      <c r="M26" s="22">
        <f t="shared" si="6"/>
        <v>210861178.93000001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22.5" customHeight="1" x14ac:dyDescent="0.2">
      <c r="A27" s="4"/>
      <c r="B27" s="4" t="s">
        <v>70</v>
      </c>
      <c r="C27" s="4"/>
      <c r="D27" s="4"/>
      <c r="E27" s="22">
        <v>0</v>
      </c>
      <c r="F27" s="22">
        <f t="shared" ref="F27:M27" si="7">E28</f>
        <v>58249420</v>
      </c>
      <c r="G27" s="22">
        <f t="shared" si="7"/>
        <v>26125591.969999999</v>
      </c>
      <c r="H27" s="22">
        <f t="shared" si="7"/>
        <v>57533471.969999999</v>
      </c>
      <c r="I27" s="22">
        <f t="shared" si="7"/>
        <v>27135001.969999984</v>
      </c>
      <c r="J27" s="22">
        <f t="shared" si="7"/>
        <v>146282641.96999997</v>
      </c>
      <c r="K27" s="22">
        <f t="shared" si="7"/>
        <v>308870521.96999997</v>
      </c>
      <c r="L27" s="22">
        <f t="shared" si="7"/>
        <v>44008441.969999969</v>
      </c>
      <c r="M27" s="22">
        <f t="shared" si="7"/>
        <v>47056991.969999969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22.5" customHeight="1" x14ac:dyDescent="0.2">
      <c r="A28" s="4"/>
      <c r="B28" s="9" t="s">
        <v>71</v>
      </c>
      <c r="C28" s="9"/>
      <c r="D28" s="9"/>
      <c r="E28" s="26">
        <f t="shared" ref="E28:M28" si="8">E26+E27</f>
        <v>58249420</v>
      </c>
      <c r="F28" s="26">
        <f t="shared" si="8"/>
        <v>26125591.969999999</v>
      </c>
      <c r="G28" s="26">
        <f t="shared" si="8"/>
        <v>57533471.969999999</v>
      </c>
      <c r="H28" s="26">
        <f t="shared" si="8"/>
        <v>27135001.969999984</v>
      </c>
      <c r="I28" s="26">
        <f t="shared" si="8"/>
        <v>146282641.96999997</v>
      </c>
      <c r="J28" s="26">
        <f t="shared" si="8"/>
        <v>308870521.96999997</v>
      </c>
      <c r="K28" s="26">
        <f t="shared" si="8"/>
        <v>44008441.969999969</v>
      </c>
      <c r="L28" s="26">
        <f t="shared" si="8"/>
        <v>47056991.969999969</v>
      </c>
      <c r="M28" s="26">
        <f t="shared" si="8"/>
        <v>257918170.89999998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 x14ac:dyDescent="0.2">
      <c r="B29" s="1" t="s">
        <v>72</v>
      </c>
      <c r="C29" s="20"/>
      <c r="D29" s="20"/>
      <c r="E29" s="18" t="b">
        <f>E28='Statement_of_Financial Position'!E6</f>
        <v>1</v>
      </c>
      <c r="F29" s="18" t="b">
        <f>F28='Statement_of_Financial Position'!F6</f>
        <v>1</v>
      </c>
      <c r="G29" s="18" t="b">
        <f>G28='Statement_of_Financial Position'!G6</f>
        <v>1</v>
      </c>
      <c r="H29" s="18" t="b">
        <f>H28='Statement_of_Financial Position'!H6</f>
        <v>1</v>
      </c>
      <c r="I29" s="18" t="b">
        <f>I28='Statement_of_Financial Position'!I6</f>
        <v>1</v>
      </c>
      <c r="J29" s="18" t="b">
        <f>J28='Statement_of_Financial Position'!J6</f>
        <v>1</v>
      </c>
      <c r="K29" s="18" t="b">
        <f>K28='Statement_of_Financial Position'!K6</f>
        <v>1</v>
      </c>
      <c r="L29" s="18" t="b">
        <f>L28='Statement_of_Financial Position'!L6</f>
        <v>1</v>
      </c>
      <c r="M29" s="18" t="b">
        <f>M28='Statement_of_Financial Position'!M6</f>
        <v>1</v>
      </c>
    </row>
    <row r="30" spans="1:26" ht="15.75" customHeight="1" x14ac:dyDescent="0.2"/>
    <row r="31" spans="1:26" ht="15.75" customHeight="1" x14ac:dyDescent="0.2"/>
    <row r="32" spans="1:26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rintOptions horizontalCentered="1" gridLines="1"/>
  <pageMargins left="0.7" right="0.7" top="0.75" bottom="0.75" header="0" footer="0"/>
  <pageSetup paperSize="9" fitToHeight="0" pageOrder="overThenDown" orientation="landscape" cellComments="atEnd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B1:Q1002"/>
  <sheetViews>
    <sheetView showGridLines="0" topLeftCell="A40" workbookViewId="0">
      <selection activeCell="H40" sqref="H40"/>
    </sheetView>
  </sheetViews>
  <sheetFormatPr defaultColWidth="12.5703125" defaultRowHeight="15" customHeight="1" x14ac:dyDescent="0.2"/>
  <cols>
    <col min="1" max="2" width="12.5703125" customWidth="1"/>
    <col min="3" max="3" width="46.42578125" customWidth="1"/>
    <col min="4" max="8" width="13.85546875" bestFit="1" customWidth="1"/>
    <col min="9" max="12" width="15.42578125" bestFit="1" customWidth="1"/>
  </cols>
  <sheetData>
    <row r="1" spans="2:15" ht="15.75" customHeight="1" x14ac:dyDescent="0.2"/>
    <row r="2" spans="2:15" ht="15.75" customHeight="1" x14ac:dyDescent="0.2">
      <c r="B2" s="1" t="s">
        <v>73</v>
      </c>
    </row>
    <row r="3" spans="2:15" ht="15.75" customHeight="1" x14ac:dyDescent="0.2">
      <c r="B3" s="1">
        <v>1</v>
      </c>
      <c r="C3" s="27" t="s">
        <v>74</v>
      </c>
      <c r="D3" s="1"/>
    </row>
    <row r="4" spans="2:15" ht="15.75" customHeight="1" x14ac:dyDescent="0.2">
      <c r="C4" s="1"/>
      <c r="D4" s="1" t="s">
        <v>78</v>
      </c>
      <c r="E4" s="1" t="s">
        <v>79</v>
      </c>
      <c r="F4" s="1" t="s">
        <v>80</v>
      </c>
      <c r="G4" s="1" t="s">
        <v>81</v>
      </c>
      <c r="H4" s="1" t="s">
        <v>82</v>
      </c>
      <c r="I4" s="1" t="s">
        <v>83</v>
      </c>
      <c r="J4" s="1" t="s">
        <v>84</v>
      </c>
      <c r="K4" s="1" t="s">
        <v>85</v>
      </c>
      <c r="L4" s="1" t="s">
        <v>97</v>
      </c>
    </row>
    <row r="5" spans="2:15" ht="15.75" customHeight="1" x14ac:dyDescent="0.2">
      <c r="C5" s="1" t="s">
        <v>131</v>
      </c>
      <c r="D5" s="18">
        <v>12876000</v>
      </c>
      <c r="E5" s="18">
        <v>38186000</v>
      </c>
      <c r="F5" s="18">
        <v>52160000</v>
      </c>
      <c r="G5" s="18">
        <v>57481000</v>
      </c>
      <c r="H5" s="18">
        <v>33478500</v>
      </c>
      <c r="I5" s="18">
        <v>19774500</v>
      </c>
      <c r="J5" s="18">
        <v>19759500</v>
      </c>
      <c r="K5" s="18">
        <v>25669100</v>
      </c>
      <c r="L5" s="18">
        <v>21894000</v>
      </c>
    </row>
    <row r="6" spans="2:15" ht="15.75" customHeight="1" x14ac:dyDescent="0.2">
      <c r="C6" s="28"/>
      <c r="D6" s="29">
        <f t="shared" ref="D6:L6" si="0">SUM(D5:D5)</f>
        <v>12876000</v>
      </c>
      <c r="E6" s="29">
        <f t="shared" si="0"/>
        <v>38186000</v>
      </c>
      <c r="F6" s="29">
        <f t="shared" si="0"/>
        <v>52160000</v>
      </c>
      <c r="G6" s="29">
        <f t="shared" si="0"/>
        <v>57481000</v>
      </c>
      <c r="H6" s="29">
        <f t="shared" si="0"/>
        <v>33478500</v>
      </c>
      <c r="I6" s="29">
        <f t="shared" si="0"/>
        <v>19774500</v>
      </c>
      <c r="J6" s="29">
        <f t="shared" si="0"/>
        <v>19759500</v>
      </c>
      <c r="K6" s="29">
        <f t="shared" si="0"/>
        <v>25669100</v>
      </c>
      <c r="L6" s="29">
        <f t="shared" si="0"/>
        <v>21894000</v>
      </c>
    </row>
    <row r="7" spans="2:15" ht="15.75" customHeight="1" x14ac:dyDescent="0.2">
      <c r="D7" s="18"/>
      <c r="K7" s="18"/>
    </row>
    <row r="8" spans="2:15" ht="15.75" customHeight="1" x14ac:dyDescent="0.2">
      <c r="D8" s="18"/>
    </row>
    <row r="9" spans="2:15" ht="15.75" customHeight="1" x14ac:dyDescent="0.2">
      <c r="B9" s="1">
        <v>2</v>
      </c>
      <c r="C9" s="27" t="s">
        <v>75</v>
      </c>
      <c r="D9" s="18"/>
    </row>
    <row r="10" spans="2:15" ht="15.75" customHeight="1" x14ac:dyDescent="0.2">
      <c r="C10" s="1"/>
      <c r="D10" s="18" t="s">
        <v>78</v>
      </c>
      <c r="E10" s="1" t="s">
        <v>79</v>
      </c>
      <c r="F10" s="1" t="s">
        <v>80</v>
      </c>
      <c r="G10" s="1" t="s">
        <v>81</v>
      </c>
      <c r="H10" s="1" t="s">
        <v>82</v>
      </c>
      <c r="I10" s="1" t="s">
        <v>83</v>
      </c>
      <c r="J10" s="1" t="s">
        <v>84</v>
      </c>
      <c r="K10" s="1" t="s">
        <v>85</v>
      </c>
      <c r="L10" s="1" t="s">
        <v>97</v>
      </c>
    </row>
    <row r="11" spans="2:15" ht="15.75" customHeight="1" x14ac:dyDescent="0.2">
      <c r="C11" s="1" t="s">
        <v>160</v>
      </c>
      <c r="D11" s="18">
        <v>5605177.4400000004</v>
      </c>
      <c r="E11" s="18">
        <v>9965463.7799999993</v>
      </c>
      <c r="F11" s="18">
        <v>8136940.8300000001</v>
      </c>
      <c r="G11" s="18">
        <v>8212072.3600000003</v>
      </c>
      <c r="H11" s="18">
        <v>5597336.0999999996</v>
      </c>
      <c r="I11" s="18">
        <v>5914124</v>
      </c>
      <c r="J11" s="18">
        <v>4790395.09</v>
      </c>
      <c r="K11" s="18">
        <v>7190701</v>
      </c>
      <c r="L11" s="18">
        <v>6515831.7999999998</v>
      </c>
    </row>
    <row r="12" spans="2:15" ht="15.75" customHeight="1" x14ac:dyDescent="0.2">
      <c r="C12" s="1" t="s">
        <v>161</v>
      </c>
      <c r="D12" s="18">
        <v>7899300</v>
      </c>
      <c r="E12" s="18">
        <v>22801950</v>
      </c>
      <c r="F12" s="18">
        <v>24876371</v>
      </c>
      <c r="G12" s="18">
        <v>23855351</v>
      </c>
      <c r="H12" s="18">
        <v>22235468.710000001</v>
      </c>
      <c r="I12" s="18">
        <v>9216388</v>
      </c>
      <c r="J12" s="18">
        <v>7452014.79</v>
      </c>
      <c r="K12" s="18">
        <v>12692758.27</v>
      </c>
      <c r="L12" s="18">
        <v>15343618</v>
      </c>
    </row>
    <row r="13" spans="2:15" ht="15.75" customHeight="1" x14ac:dyDescent="0.2">
      <c r="C13" s="1" t="s">
        <v>172</v>
      </c>
      <c r="D13" s="18"/>
      <c r="E13" s="18"/>
      <c r="F13" s="18"/>
      <c r="G13" s="18"/>
      <c r="H13" s="18"/>
      <c r="I13" s="18"/>
      <c r="J13" s="18"/>
      <c r="K13" s="18"/>
      <c r="L13" s="18"/>
    </row>
    <row r="14" spans="2:15" ht="15.75" customHeight="1" x14ac:dyDescent="0.2">
      <c r="C14" s="1" t="s">
        <v>162</v>
      </c>
      <c r="D14" s="18">
        <v>34461646</v>
      </c>
      <c r="E14" s="18">
        <v>50973912.770000003</v>
      </c>
      <c r="F14" s="18">
        <v>52480612.950000003</v>
      </c>
      <c r="G14" s="18">
        <v>29756984.309999999</v>
      </c>
      <c r="H14" s="18">
        <v>34185619.100000001</v>
      </c>
      <c r="I14" s="18">
        <v>33723472</v>
      </c>
      <c r="J14" s="18">
        <v>37467131.490000002</v>
      </c>
      <c r="K14" s="18">
        <v>32444705.190000001</v>
      </c>
      <c r="L14" s="18">
        <v>17720747</v>
      </c>
    </row>
    <row r="15" spans="2:15" ht="15.75" customHeight="1" x14ac:dyDescent="0.2">
      <c r="C15" s="1" t="s">
        <v>163</v>
      </c>
      <c r="D15" s="18">
        <v>9393050</v>
      </c>
      <c r="E15" s="18">
        <v>18487471</v>
      </c>
      <c r="F15" s="18">
        <v>3821200</v>
      </c>
      <c r="G15" s="18">
        <v>7719100</v>
      </c>
      <c r="H15" s="18">
        <v>5392060</v>
      </c>
      <c r="I15" s="18">
        <v>2408379</v>
      </c>
      <c r="J15" s="18">
        <v>5239371</v>
      </c>
      <c r="K15" s="18">
        <v>318000</v>
      </c>
      <c r="L15" s="18">
        <v>6671900</v>
      </c>
    </row>
    <row r="16" spans="2:15" ht="15.75" customHeight="1" x14ac:dyDescent="0.2">
      <c r="C16" s="1" t="s">
        <v>164</v>
      </c>
      <c r="D16" s="18">
        <v>35553030</v>
      </c>
      <c r="E16" s="18">
        <v>18273130</v>
      </c>
      <c r="F16" s="18">
        <v>14210300</v>
      </c>
      <c r="G16" s="18">
        <v>37619370</v>
      </c>
      <c r="H16" s="18">
        <v>7693800</v>
      </c>
      <c r="I16" s="18">
        <v>12550941</v>
      </c>
      <c r="J16" s="18">
        <v>16236429</v>
      </c>
      <c r="K16" s="18">
        <v>9574250</v>
      </c>
      <c r="L16" s="18">
        <v>11393950</v>
      </c>
      <c r="M16" s="18"/>
      <c r="N16" s="18"/>
      <c r="O16" s="18"/>
    </row>
    <row r="17" spans="2:17" ht="15.75" customHeight="1" x14ac:dyDescent="0.2">
      <c r="C17" s="1" t="s">
        <v>165</v>
      </c>
      <c r="D17" s="18">
        <v>-9965463.7799999993</v>
      </c>
      <c r="E17" s="18">
        <v>-8136940.8300000001</v>
      </c>
      <c r="F17" s="18">
        <v>-8212072.3600000003</v>
      </c>
      <c r="G17" s="18">
        <v>-5597336.0999999996</v>
      </c>
      <c r="H17" s="18">
        <v>-5914124.0700000003</v>
      </c>
      <c r="I17" s="18">
        <v>-4790395.09</v>
      </c>
      <c r="J17" s="18">
        <v>-7190701.0700000003</v>
      </c>
      <c r="K17" s="18">
        <v>-6515831.7999999998</v>
      </c>
      <c r="L17" s="18">
        <v>-8507511.7599999998</v>
      </c>
    </row>
    <row r="18" spans="2:17" ht="15.75" customHeight="1" x14ac:dyDescent="0.2">
      <c r="C18" s="1" t="s">
        <v>166</v>
      </c>
      <c r="D18" s="18">
        <v>-22801950</v>
      </c>
      <c r="E18" s="18">
        <v>-24876371</v>
      </c>
      <c r="F18" s="18">
        <v>-23855351</v>
      </c>
      <c r="G18" s="18">
        <v>-22235468.710000001</v>
      </c>
      <c r="H18" s="18">
        <v>-9216388.4499999993</v>
      </c>
      <c r="I18" s="18">
        <v>-7452014.79</v>
      </c>
      <c r="J18" s="18">
        <v>-14422496.77</v>
      </c>
      <c r="K18" s="18">
        <v>-16684096.15</v>
      </c>
      <c r="L18" s="18">
        <v>-8810565.5099999998</v>
      </c>
      <c r="Q18" s="18"/>
    </row>
    <row r="19" spans="2:17" ht="15.75" customHeight="1" x14ac:dyDescent="0.2">
      <c r="C19" s="1" t="s">
        <v>173</v>
      </c>
      <c r="D19" s="18"/>
      <c r="E19" s="18"/>
      <c r="F19" s="18"/>
      <c r="G19" s="18"/>
      <c r="H19" s="18"/>
      <c r="I19" s="18"/>
      <c r="J19" s="18"/>
      <c r="K19" s="18"/>
      <c r="L19" s="18"/>
      <c r="Q19" s="18"/>
    </row>
    <row r="20" spans="2:17" ht="15.75" customHeight="1" x14ac:dyDescent="0.2">
      <c r="C20" s="1" t="s">
        <v>167</v>
      </c>
      <c r="D20" s="18">
        <v>-50973912.770000003</v>
      </c>
      <c r="E20" s="18">
        <v>-53694311.880000003</v>
      </c>
      <c r="F20" s="18">
        <v>-29756984.309999999</v>
      </c>
      <c r="G20" s="18">
        <v>-34185619.100000001</v>
      </c>
      <c r="H20" s="18">
        <v>-33723471.520000003</v>
      </c>
      <c r="I20" s="18">
        <v>-37467131.490000002</v>
      </c>
      <c r="J20" s="18">
        <v>-32444705.190000001</v>
      </c>
      <c r="K20" s="18">
        <v>-17720747.460000001</v>
      </c>
      <c r="L20" s="18">
        <v>-23496953.690000001</v>
      </c>
    </row>
    <row r="21" spans="2:17" ht="15.75" customHeight="1" x14ac:dyDescent="0.2">
      <c r="C21" s="1" t="s">
        <v>168</v>
      </c>
      <c r="D21" s="18">
        <v>1810000</v>
      </c>
      <c r="E21" s="18">
        <v>1650000</v>
      </c>
      <c r="F21" s="18">
        <v>1650000</v>
      </c>
      <c r="G21" s="18">
        <v>1745000</v>
      </c>
      <c r="H21" s="18">
        <v>1245000</v>
      </c>
      <c r="I21" s="18">
        <v>1400000</v>
      </c>
      <c r="J21" s="18">
        <v>1400000</v>
      </c>
      <c r="K21" s="18">
        <v>1710000</v>
      </c>
      <c r="L21" s="18">
        <v>2240000</v>
      </c>
    </row>
    <row r="22" spans="2:17" ht="15.75" customHeight="1" x14ac:dyDescent="0.2">
      <c r="C22" s="1" t="s">
        <v>169</v>
      </c>
      <c r="D22" s="18">
        <v>62900</v>
      </c>
      <c r="E22" s="18">
        <v>0</v>
      </c>
      <c r="F22" s="18">
        <v>59000</v>
      </c>
      <c r="G22" s="18">
        <v>213000</v>
      </c>
      <c r="H22" s="18">
        <v>0</v>
      </c>
      <c r="I22" s="18">
        <v>0</v>
      </c>
      <c r="J22" s="18">
        <v>42000</v>
      </c>
      <c r="K22" s="18">
        <v>1994000</v>
      </c>
      <c r="L22" s="18">
        <v>441000</v>
      </c>
    </row>
    <row r="23" spans="2:17" ht="15.75" customHeight="1" x14ac:dyDescent="0.2">
      <c r="C23" s="1" t="s">
        <v>170</v>
      </c>
      <c r="D23" s="18">
        <v>243300</v>
      </c>
      <c r="E23" s="18">
        <v>0</v>
      </c>
      <c r="F23" s="18">
        <v>0</v>
      </c>
      <c r="G23" s="18">
        <v>0</v>
      </c>
      <c r="H23" s="18">
        <v>0</v>
      </c>
      <c r="I23" s="18">
        <v>759300</v>
      </c>
      <c r="J23" s="18">
        <v>0</v>
      </c>
      <c r="K23" s="18">
        <v>0</v>
      </c>
      <c r="L23" s="18">
        <v>977600</v>
      </c>
    </row>
    <row r="24" spans="2:17" ht="15.75" customHeight="1" x14ac:dyDescent="0.2">
      <c r="C24" s="1" t="s">
        <v>171</v>
      </c>
      <c r="D24" s="18">
        <v>343758.33</v>
      </c>
      <c r="E24" s="18">
        <v>356425</v>
      </c>
      <c r="F24" s="18">
        <v>1828151</v>
      </c>
      <c r="G24" s="18">
        <v>1767212</v>
      </c>
      <c r="H24" s="18">
        <v>1708305</v>
      </c>
      <c r="I24" s="18">
        <v>1651362</v>
      </c>
      <c r="J24" s="18">
        <v>1596316</v>
      </c>
      <c r="K24" s="18">
        <v>1543106</v>
      </c>
      <c r="L24" s="18">
        <v>1491669</v>
      </c>
    </row>
    <row r="25" spans="2:17" ht="15.75" customHeight="1" x14ac:dyDescent="0.2">
      <c r="C25" s="30"/>
      <c r="D25" s="31">
        <f t="shared" ref="D25:L25" si="1">SUM(D11:D24)</f>
        <v>11630835.219999993</v>
      </c>
      <c r="E25" s="31">
        <f t="shared" si="1"/>
        <v>35800728.840000011</v>
      </c>
      <c r="F25" s="31">
        <f t="shared" si="1"/>
        <v>45238168.109999999</v>
      </c>
      <c r="G25" s="31">
        <f t="shared" si="1"/>
        <v>48869665.760000013</v>
      </c>
      <c r="H25" s="31">
        <f t="shared" si="1"/>
        <v>29203604.869999997</v>
      </c>
      <c r="I25" s="31">
        <f t="shared" si="1"/>
        <v>17914424.629999995</v>
      </c>
      <c r="J25" s="31">
        <f t="shared" si="1"/>
        <v>20165754.34</v>
      </c>
      <c r="K25" s="31">
        <f t="shared" si="1"/>
        <v>26546845.050000004</v>
      </c>
      <c r="L25" s="31">
        <f t="shared" si="1"/>
        <v>21981284.84</v>
      </c>
    </row>
    <row r="26" spans="2:17" ht="15.75" customHeight="1" x14ac:dyDescent="0.2">
      <c r="C26" s="1"/>
      <c r="D26" s="18"/>
    </row>
    <row r="27" spans="2:17" ht="15.75" customHeight="1" x14ac:dyDescent="0.2">
      <c r="C27" s="1"/>
      <c r="D27" s="18"/>
      <c r="L27" s="18"/>
    </row>
    <row r="28" spans="2:17" ht="15.75" customHeight="1" x14ac:dyDescent="0.2">
      <c r="B28" s="1">
        <v>3</v>
      </c>
      <c r="C28" s="27" t="s">
        <v>76</v>
      </c>
      <c r="D28" s="18"/>
    </row>
    <row r="29" spans="2:17" ht="15.75" customHeight="1" x14ac:dyDescent="0.2">
      <c r="C29" s="1"/>
      <c r="D29" s="18" t="s">
        <v>78</v>
      </c>
      <c r="E29" s="1" t="s">
        <v>79</v>
      </c>
      <c r="F29" s="1" t="s">
        <v>80</v>
      </c>
      <c r="G29" s="1" t="s">
        <v>81</v>
      </c>
      <c r="H29" s="1" t="s">
        <v>82</v>
      </c>
      <c r="I29" s="1" t="s">
        <v>83</v>
      </c>
      <c r="J29" s="1" t="s">
        <v>84</v>
      </c>
      <c r="K29" s="1" t="s">
        <v>85</v>
      </c>
      <c r="L29" s="1" t="s">
        <v>97</v>
      </c>
    </row>
    <row r="30" spans="2:17" ht="15.75" customHeight="1" x14ac:dyDescent="0.2">
      <c r="C30" s="1" t="s">
        <v>174</v>
      </c>
      <c r="D30" s="18">
        <v>84000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</row>
    <row r="31" spans="2:17" ht="15.75" customHeight="1" x14ac:dyDescent="0.2">
      <c r="C31" s="1" t="s">
        <v>175</v>
      </c>
      <c r="D31" s="18">
        <v>0</v>
      </c>
      <c r="E31" s="18">
        <v>0</v>
      </c>
      <c r="F31" s="18">
        <v>0</v>
      </c>
      <c r="G31" s="18">
        <v>0</v>
      </c>
      <c r="H31" s="18">
        <v>0</v>
      </c>
      <c r="I31" s="18">
        <v>0</v>
      </c>
      <c r="J31" s="18">
        <v>0</v>
      </c>
      <c r="K31" s="18">
        <v>0</v>
      </c>
      <c r="L31" s="18">
        <v>0</v>
      </c>
    </row>
    <row r="32" spans="2:17" ht="15.75" customHeight="1" x14ac:dyDescent="0.2">
      <c r="C32" s="1" t="s">
        <v>176</v>
      </c>
      <c r="D32" s="18">
        <v>0</v>
      </c>
      <c r="E32" s="18">
        <v>0</v>
      </c>
      <c r="F32" s="18">
        <v>0</v>
      </c>
      <c r="G32" s="18">
        <v>0</v>
      </c>
      <c r="H32" s="18">
        <v>0</v>
      </c>
      <c r="I32" s="18">
        <v>0</v>
      </c>
      <c r="J32" s="18">
        <v>0</v>
      </c>
      <c r="K32" s="18">
        <v>0</v>
      </c>
      <c r="L32" s="18">
        <v>0</v>
      </c>
    </row>
    <row r="33" spans="2:12" ht="15.75" customHeight="1" x14ac:dyDescent="0.2">
      <c r="C33" s="1" t="s">
        <v>177</v>
      </c>
      <c r="D33" s="18">
        <v>0</v>
      </c>
      <c r="E33" s="18">
        <v>0</v>
      </c>
      <c r="F33" s="18">
        <v>0</v>
      </c>
      <c r="G33" s="18">
        <v>0</v>
      </c>
      <c r="H33" s="18">
        <v>0</v>
      </c>
      <c r="I33" s="18">
        <v>0</v>
      </c>
      <c r="J33" s="18">
        <v>0</v>
      </c>
      <c r="K33" s="18">
        <v>0</v>
      </c>
      <c r="L33" s="18">
        <v>0</v>
      </c>
    </row>
    <row r="34" spans="2:12" ht="15.75" customHeight="1" x14ac:dyDescent="0.2">
      <c r="C34" s="1" t="s">
        <v>178</v>
      </c>
      <c r="D34" s="18">
        <v>0</v>
      </c>
      <c r="E34" s="18">
        <v>0</v>
      </c>
      <c r="F34" s="18">
        <v>0</v>
      </c>
      <c r="G34" s="18">
        <v>0</v>
      </c>
      <c r="H34" s="18">
        <v>0</v>
      </c>
      <c r="I34" s="18">
        <v>0</v>
      </c>
      <c r="J34" s="18">
        <v>0</v>
      </c>
      <c r="K34" s="18">
        <v>0</v>
      </c>
      <c r="L34" s="18">
        <v>0</v>
      </c>
    </row>
    <row r="35" spans="2:12" ht="15.75" customHeight="1" x14ac:dyDescent="0.2">
      <c r="C35" s="1" t="s">
        <v>179</v>
      </c>
      <c r="D35" s="18">
        <v>0</v>
      </c>
      <c r="E35" s="18">
        <v>0</v>
      </c>
      <c r="F35" s="18">
        <v>1146150</v>
      </c>
      <c r="G35" s="18">
        <v>583000</v>
      </c>
      <c r="H35" s="18">
        <v>0</v>
      </c>
      <c r="I35" s="18">
        <v>10000</v>
      </c>
      <c r="J35" s="18">
        <v>0</v>
      </c>
      <c r="K35" s="18">
        <v>274898</v>
      </c>
      <c r="L35" s="18">
        <v>394898</v>
      </c>
    </row>
    <row r="36" spans="2:12" ht="15.75" customHeight="1" x14ac:dyDescent="0.2">
      <c r="C36" s="1" t="s">
        <v>180</v>
      </c>
      <c r="D36" s="18">
        <v>601666.67000000004</v>
      </c>
      <c r="E36" s="18">
        <v>658800</v>
      </c>
      <c r="F36" s="18">
        <v>960628.67</v>
      </c>
      <c r="G36" s="18">
        <v>947079.67</v>
      </c>
      <c r="H36" s="18">
        <v>933983</v>
      </c>
      <c r="I36" s="18">
        <v>921323</v>
      </c>
      <c r="J36" s="18">
        <v>909084</v>
      </c>
      <c r="K36" s="18">
        <v>897254</v>
      </c>
      <c r="L36" s="18">
        <v>885817</v>
      </c>
    </row>
    <row r="37" spans="2:12" ht="15.75" customHeight="1" x14ac:dyDescent="0.2">
      <c r="C37" s="1" t="s">
        <v>181</v>
      </c>
      <c r="D37" s="18">
        <v>0</v>
      </c>
      <c r="E37" s="18">
        <v>0</v>
      </c>
      <c r="F37" s="18">
        <v>0</v>
      </c>
      <c r="G37" s="18">
        <v>0</v>
      </c>
      <c r="H37" s="18">
        <v>0</v>
      </c>
      <c r="I37" s="18">
        <v>0</v>
      </c>
      <c r="J37" s="18">
        <v>1729738.5</v>
      </c>
      <c r="K37" s="18">
        <v>1340478</v>
      </c>
      <c r="L37" s="18">
        <v>0</v>
      </c>
    </row>
    <row r="38" spans="2:12" ht="15.75" customHeight="1" x14ac:dyDescent="0.2">
      <c r="C38" s="1" t="s">
        <v>87</v>
      </c>
      <c r="D38" s="18">
        <v>0</v>
      </c>
      <c r="E38" s="18">
        <v>0</v>
      </c>
      <c r="F38" s="18">
        <v>200000</v>
      </c>
      <c r="G38" s="18">
        <v>0</v>
      </c>
      <c r="H38" s="18">
        <v>0</v>
      </c>
      <c r="I38" s="18">
        <v>0</v>
      </c>
      <c r="J38" s="18">
        <v>0</v>
      </c>
      <c r="K38" s="18">
        <v>0</v>
      </c>
      <c r="L38" s="18">
        <v>0</v>
      </c>
    </row>
    <row r="39" spans="2:12" ht="15.75" customHeight="1" x14ac:dyDescent="0.2">
      <c r="C39" s="1" t="s">
        <v>182</v>
      </c>
      <c r="D39" s="18">
        <v>0</v>
      </c>
      <c r="E39" s="18">
        <v>107227.03</v>
      </c>
      <c r="F39" s="18">
        <v>0</v>
      </c>
      <c r="G39" s="18">
        <v>0</v>
      </c>
      <c r="H39" s="18">
        <v>0</v>
      </c>
      <c r="I39" s="18">
        <v>0</v>
      </c>
      <c r="J39" s="18">
        <v>0</v>
      </c>
      <c r="K39" s="18">
        <v>0</v>
      </c>
      <c r="L39" s="18">
        <v>0</v>
      </c>
    </row>
    <row r="40" spans="2:12" ht="15.75" customHeight="1" x14ac:dyDescent="0.2">
      <c r="C40" s="28"/>
      <c r="D40" s="29">
        <f t="shared" ref="D40:L40" si="2">SUM(D30:D39)</f>
        <v>685666.67</v>
      </c>
      <c r="E40" s="29">
        <f t="shared" si="2"/>
        <v>766027.03</v>
      </c>
      <c r="F40" s="29">
        <f t="shared" si="2"/>
        <v>2306778.67</v>
      </c>
      <c r="G40" s="29">
        <f t="shared" si="2"/>
        <v>1530079.67</v>
      </c>
      <c r="H40" s="29">
        <f t="shared" si="2"/>
        <v>933983</v>
      </c>
      <c r="I40" s="29">
        <f t="shared" si="2"/>
        <v>931323</v>
      </c>
      <c r="J40" s="29">
        <f t="shared" si="2"/>
        <v>2638822.5</v>
      </c>
      <c r="K40" s="29">
        <f t="shared" si="2"/>
        <v>2512630</v>
      </c>
      <c r="L40" s="29">
        <f t="shared" si="2"/>
        <v>1280715</v>
      </c>
    </row>
    <row r="41" spans="2:12" ht="15.75" customHeight="1" x14ac:dyDescent="0.2">
      <c r="D41" s="18"/>
    </row>
    <row r="42" spans="2:12" ht="15.75" customHeight="1" x14ac:dyDescent="0.2">
      <c r="D42" s="18"/>
    </row>
    <row r="43" spans="2:12" ht="15.75" customHeight="1" x14ac:dyDescent="0.2">
      <c r="B43" s="1">
        <v>4</v>
      </c>
      <c r="C43" s="27" t="s">
        <v>77</v>
      </c>
      <c r="D43" s="18" t="s">
        <v>78</v>
      </c>
      <c r="E43" s="1" t="s">
        <v>79</v>
      </c>
      <c r="F43" s="1" t="s">
        <v>80</v>
      </c>
      <c r="G43" s="1" t="s">
        <v>81</v>
      </c>
      <c r="H43" s="1" t="s">
        <v>82</v>
      </c>
      <c r="I43" s="1" t="s">
        <v>83</v>
      </c>
      <c r="J43" s="1" t="s">
        <v>84</v>
      </c>
      <c r="K43" s="1" t="s">
        <v>85</v>
      </c>
      <c r="L43" s="1" t="s">
        <v>85</v>
      </c>
    </row>
    <row r="44" spans="2:12" ht="15.75" customHeight="1" x14ac:dyDescent="0.2">
      <c r="C44" s="1" t="s">
        <v>171</v>
      </c>
      <c r="D44" s="18">
        <v>343758.33</v>
      </c>
      <c r="E44" s="18">
        <v>356425</v>
      </c>
      <c r="F44" s="18">
        <v>1828151</v>
      </c>
      <c r="G44" s="18">
        <v>1767212</v>
      </c>
      <c r="H44" s="18">
        <v>1708305</v>
      </c>
      <c r="I44" s="18">
        <v>1651362</v>
      </c>
      <c r="J44" s="18">
        <v>1596316</v>
      </c>
      <c r="K44" s="18">
        <v>1543106</v>
      </c>
      <c r="L44" s="18">
        <v>1491669</v>
      </c>
    </row>
    <row r="45" spans="2:12" ht="15.75" customHeight="1" x14ac:dyDescent="0.2">
      <c r="C45" s="1" t="s">
        <v>180</v>
      </c>
      <c r="D45" s="18">
        <v>601666.67000000004</v>
      </c>
      <c r="E45" s="18">
        <v>658800</v>
      </c>
      <c r="F45" s="18">
        <v>960628.67</v>
      </c>
      <c r="G45" s="18">
        <v>947079.67</v>
      </c>
      <c r="H45" s="18">
        <v>933983</v>
      </c>
      <c r="I45" s="18">
        <v>921323</v>
      </c>
      <c r="J45" s="18">
        <v>909084</v>
      </c>
      <c r="K45" s="18">
        <v>897254</v>
      </c>
      <c r="L45" s="18">
        <v>885817</v>
      </c>
    </row>
    <row r="46" spans="2:12" ht="15.75" customHeight="1" x14ac:dyDescent="0.2">
      <c r="C46" s="28"/>
      <c r="D46" s="29">
        <f t="shared" ref="D46:L46" si="3">SUM(D44:D45)</f>
        <v>945425</v>
      </c>
      <c r="E46" s="29">
        <f t="shared" si="3"/>
        <v>1015225</v>
      </c>
      <c r="F46" s="29">
        <f t="shared" si="3"/>
        <v>2788779.67</v>
      </c>
      <c r="G46" s="29">
        <f t="shared" si="3"/>
        <v>2714291.67</v>
      </c>
      <c r="H46" s="29">
        <f t="shared" si="3"/>
        <v>2642288</v>
      </c>
      <c r="I46" s="29">
        <f t="shared" si="3"/>
        <v>2572685</v>
      </c>
      <c r="J46" s="29">
        <f t="shared" si="3"/>
        <v>2505400</v>
      </c>
      <c r="K46" s="29">
        <f t="shared" si="3"/>
        <v>2440360</v>
      </c>
      <c r="L46" s="29">
        <f t="shared" si="3"/>
        <v>2377486</v>
      </c>
    </row>
    <row r="47" spans="2:12" ht="15.75" customHeight="1" x14ac:dyDescent="0.2">
      <c r="D47" s="18"/>
    </row>
    <row r="48" spans="2:12" ht="15.75" customHeight="1" x14ac:dyDescent="0.2">
      <c r="D48" s="18"/>
    </row>
    <row r="49" spans="2:14" ht="15.75" customHeight="1" x14ac:dyDescent="0.2">
      <c r="B49" s="1">
        <v>5</v>
      </c>
      <c r="C49" s="27" t="s">
        <v>86</v>
      </c>
      <c r="D49" s="18"/>
    </row>
    <row r="50" spans="2:14" ht="15.75" customHeight="1" x14ac:dyDescent="0.2">
      <c r="C50" s="1"/>
      <c r="D50" s="18" t="s">
        <v>78</v>
      </c>
      <c r="E50" s="1" t="s">
        <v>79</v>
      </c>
      <c r="F50" s="1" t="s">
        <v>80</v>
      </c>
      <c r="G50" s="1" t="s">
        <v>81</v>
      </c>
      <c r="H50" s="1" t="s">
        <v>82</v>
      </c>
      <c r="I50" s="1" t="s">
        <v>83</v>
      </c>
      <c r="J50" s="1" t="s">
        <v>84</v>
      </c>
      <c r="K50" s="1" t="s">
        <v>85</v>
      </c>
      <c r="L50" s="1" t="s">
        <v>97</v>
      </c>
    </row>
    <row r="51" spans="2:14" ht="15.75" customHeight="1" x14ac:dyDescent="0.2">
      <c r="C51" s="1" t="s">
        <v>183</v>
      </c>
      <c r="D51" s="18">
        <v>0</v>
      </c>
      <c r="E51" s="18">
        <v>0</v>
      </c>
      <c r="F51" s="18">
        <v>348030</v>
      </c>
      <c r="G51" s="18">
        <v>0</v>
      </c>
      <c r="H51" s="18">
        <v>0</v>
      </c>
      <c r="I51" s="18">
        <v>0</v>
      </c>
      <c r="J51" s="18">
        <v>0</v>
      </c>
      <c r="K51" s="18">
        <v>0</v>
      </c>
      <c r="L51" s="18">
        <v>818728.93</v>
      </c>
      <c r="N51" s="18"/>
    </row>
    <row r="52" spans="2:14" ht="15.75" customHeight="1" x14ac:dyDescent="0.2">
      <c r="C52" s="28"/>
      <c r="D52" s="29">
        <f t="shared" ref="D52:L52" si="4">SUM(D51)</f>
        <v>0</v>
      </c>
      <c r="E52" s="29">
        <f t="shared" si="4"/>
        <v>0</v>
      </c>
      <c r="F52" s="29">
        <f t="shared" si="4"/>
        <v>348030</v>
      </c>
      <c r="G52" s="29">
        <f t="shared" si="4"/>
        <v>0</v>
      </c>
      <c r="H52" s="29">
        <f t="shared" si="4"/>
        <v>0</v>
      </c>
      <c r="I52" s="29">
        <f t="shared" si="4"/>
        <v>0</v>
      </c>
      <c r="J52" s="29">
        <f t="shared" si="4"/>
        <v>0</v>
      </c>
      <c r="K52" s="29">
        <f t="shared" si="4"/>
        <v>0</v>
      </c>
      <c r="L52" s="29">
        <f t="shared" si="4"/>
        <v>818728.93</v>
      </c>
    </row>
    <row r="53" spans="2:14" ht="15.75" customHeight="1" x14ac:dyDescent="0.2">
      <c r="D53" s="18"/>
    </row>
    <row r="54" spans="2:14" ht="15.75" customHeight="1" x14ac:dyDescent="0.2">
      <c r="D54" s="18"/>
    </row>
    <row r="55" spans="2:14" ht="15.75" customHeight="1" x14ac:dyDescent="0.2">
      <c r="B55" s="1">
        <v>6</v>
      </c>
      <c r="C55" s="27" t="s">
        <v>87</v>
      </c>
      <c r="D55" s="18"/>
    </row>
    <row r="56" spans="2:14" ht="15.75" customHeight="1" x14ac:dyDescent="0.2">
      <c r="C56" s="1"/>
      <c r="D56" s="18" t="s">
        <v>78</v>
      </c>
      <c r="E56" s="1" t="s">
        <v>79</v>
      </c>
      <c r="F56" s="1" t="s">
        <v>80</v>
      </c>
      <c r="G56" s="1" t="s">
        <v>81</v>
      </c>
      <c r="H56" s="1" t="s">
        <v>82</v>
      </c>
      <c r="I56" s="1" t="s">
        <v>83</v>
      </c>
      <c r="J56" s="1" t="s">
        <v>84</v>
      </c>
      <c r="K56" s="1" t="s">
        <v>85</v>
      </c>
      <c r="L56" s="1" t="s">
        <v>97</v>
      </c>
    </row>
    <row r="57" spans="2:14" ht="15.75" customHeight="1" x14ac:dyDescent="0.2">
      <c r="C57" s="1" t="s">
        <v>184</v>
      </c>
      <c r="D57" s="18">
        <v>0</v>
      </c>
      <c r="E57" s="18">
        <v>0</v>
      </c>
      <c r="F57" s="18">
        <v>0</v>
      </c>
      <c r="G57" s="18">
        <v>0</v>
      </c>
      <c r="H57" s="18"/>
      <c r="I57" s="18"/>
      <c r="J57" s="18">
        <v>0</v>
      </c>
      <c r="K57" s="18">
        <v>0</v>
      </c>
      <c r="L57" s="18">
        <v>0</v>
      </c>
    </row>
    <row r="58" spans="2:14" ht="15.75" customHeight="1" x14ac:dyDescent="0.2">
      <c r="C58" s="1" t="s">
        <v>185</v>
      </c>
      <c r="D58" s="18">
        <v>0</v>
      </c>
      <c r="E58" s="18">
        <v>1213698.93</v>
      </c>
      <c r="F58" s="18">
        <v>0</v>
      </c>
      <c r="G58" s="18">
        <v>0</v>
      </c>
      <c r="H58" s="18"/>
      <c r="I58" s="18"/>
      <c r="J58" s="18">
        <v>0</v>
      </c>
      <c r="K58" s="18">
        <v>0</v>
      </c>
      <c r="L58" s="18">
        <v>0</v>
      </c>
    </row>
    <row r="59" spans="2:14" ht="15.75" customHeight="1" x14ac:dyDescent="0.2">
      <c r="C59" s="28"/>
      <c r="D59" s="29">
        <f t="shared" ref="D59:L59" si="5">SUM(D57)+D58</f>
        <v>0</v>
      </c>
      <c r="E59" s="29">
        <f t="shared" si="5"/>
        <v>1213698.93</v>
      </c>
      <c r="F59" s="29">
        <f t="shared" si="5"/>
        <v>0</v>
      </c>
      <c r="G59" s="29">
        <f t="shared" si="5"/>
        <v>0</v>
      </c>
      <c r="H59" s="29">
        <f t="shared" si="5"/>
        <v>0</v>
      </c>
      <c r="I59" s="29">
        <f t="shared" si="5"/>
        <v>0</v>
      </c>
      <c r="J59" s="29">
        <f t="shared" si="5"/>
        <v>0</v>
      </c>
      <c r="K59" s="29">
        <f t="shared" si="5"/>
        <v>0</v>
      </c>
      <c r="L59" s="29">
        <f t="shared" si="5"/>
        <v>0</v>
      </c>
    </row>
    <row r="60" spans="2:14" ht="15.75" customHeight="1" x14ac:dyDescent="0.2">
      <c r="D60" s="18"/>
    </row>
    <row r="61" spans="2:14" ht="15.75" customHeight="1" x14ac:dyDescent="0.2">
      <c r="C61" s="1" t="s">
        <v>88</v>
      </c>
      <c r="D61" s="18"/>
      <c r="L61" s="18">
        <v>212994813.02000001</v>
      </c>
    </row>
    <row r="62" spans="2:14" ht="15.75" customHeight="1" x14ac:dyDescent="0.2">
      <c r="B62" s="1">
        <v>11</v>
      </c>
      <c r="C62" s="27" t="s">
        <v>89</v>
      </c>
      <c r="D62" s="18"/>
    </row>
    <row r="63" spans="2:14" ht="15.75" customHeight="1" x14ac:dyDescent="0.2">
      <c r="C63" s="1"/>
      <c r="D63" s="18" t="s">
        <v>78</v>
      </c>
      <c r="E63" s="1" t="s">
        <v>79</v>
      </c>
      <c r="F63" s="1" t="s">
        <v>80</v>
      </c>
      <c r="G63" s="1" t="s">
        <v>81</v>
      </c>
      <c r="H63" s="1" t="s">
        <v>82</v>
      </c>
      <c r="I63" s="1" t="s">
        <v>83</v>
      </c>
      <c r="J63" s="1" t="s">
        <v>84</v>
      </c>
      <c r="K63" s="1" t="s">
        <v>85</v>
      </c>
      <c r="L63" s="1" t="s">
        <v>97</v>
      </c>
    </row>
    <row r="64" spans="2:14" ht="15.75" customHeight="1" x14ac:dyDescent="0.2">
      <c r="C64" s="1" t="s">
        <v>186</v>
      </c>
      <c r="D64" s="18">
        <v>0</v>
      </c>
      <c r="E64" s="18">
        <v>0</v>
      </c>
      <c r="F64" s="18">
        <v>0</v>
      </c>
      <c r="G64" s="18">
        <v>0</v>
      </c>
      <c r="H64" s="18">
        <v>0</v>
      </c>
      <c r="I64" s="18">
        <v>0</v>
      </c>
      <c r="J64" s="18">
        <v>0</v>
      </c>
      <c r="K64" s="18">
        <v>0</v>
      </c>
      <c r="L64" s="18">
        <v>0</v>
      </c>
    </row>
    <row r="65" spans="2:12" ht="15.75" customHeight="1" x14ac:dyDescent="0.2">
      <c r="C65" s="1" t="s">
        <v>187</v>
      </c>
      <c r="D65" s="18">
        <v>58249420</v>
      </c>
      <c r="E65" s="18">
        <v>26125591.969999999</v>
      </c>
      <c r="F65" s="18">
        <v>57533471.969999999</v>
      </c>
      <c r="G65" s="18">
        <v>27135001.969999999</v>
      </c>
      <c r="H65" s="18">
        <v>146282641.97</v>
      </c>
      <c r="I65" s="18">
        <v>308870521.97000003</v>
      </c>
      <c r="J65" s="18">
        <v>44008441.969999999</v>
      </c>
      <c r="K65" s="18">
        <v>47056991.969999999</v>
      </c>
      <c r="L65" s="18">
        <v>257918170.90000001</v>
      </c>
    </row>
    <row r="66" spans="2:12" ht="15.75" customHeight="1" x14ac:dyDescent="0.2">
      <c r="C66" s="30"/>
      <c r="D66" s="31">
        <f t="shared" ref="D66:L66" si="6">SUM(D64:D65)</f>
        <v>58249420</v>
      </c>
      <c r="E66" s="31">
        <f t="shared" si="6"/>
        <v>26125591.969999999</v>
      </c>
      <c r="F66" s="31">
        <f t="shared" si="6"/>
        <v>57533471.969999999</v>
      </c>
      <c r="G66" s="31">
        <f t="shared" si="6"/>
        <v>27135001.969999999</v>
      </c>
      <c r="H66" s="31">
        <f t="shared" si="6"/>
        <v>146282641.97</v>
      </c>
      <c r="I66" s="31">
        <f t="shared" si="6"/>
        <v>308870521.97000003</v>
      </c>
      <c r="J66" s="31">
        <f t="shared" si="6"/>
        <v>44008441.969999999</v>
      </c>
      <c r="K66" s="31">
        <f t="shared" si="6"/>
        <v>47056991.969999999</v>
      </c>
      <c r="L66" s="31">
        <f t="shared" si="6"/>
        <v>257918170.90000001</v>
      </c>
    </row>
    <row r="67" spans="2:12" ht="15.75" customHeight="1" x14ac:dyDescent="0.2">
      <c r="D67" s="18"/>
      <c r="L67" s="18">
        <f>L65-L61</f>
        <v>44923357.879999995</v>
      </c>
    </row>
    <row r="68" spans="2:12" ht="15.75" customHeight="1" x14ac:dyDescent="0.2">
      <c r="B68" s="1">
        <v>12</v>
      </c>
      <c r="C68" s="27" t="s">
        <v>90</v>
      </c>
      <c r="D68" s="18"/>
    </row>
    <row r="69" spans="2:12" ht="15.75" customHeight="1" x14ac:dyDescent="0.2">
      <c r="C69" s="1"/>
      <c r="D69" s="18" t="s">
        <v>78</v>
      </c>
      <c r="E69" s="1" t="s">
        <v>79</v>
      </c>
      <c r="F69" s="1" t="s">
        <v>80</v>
      </c>
      <c r="G69" s="1" t="s">
        <v>81</v>
      </c>
      <c r="H69" s="1" t="s">
        <v>82</v>
      </c>
      <c r="I69" s="1" t="s">
        <v>83</v>
      </c>
      <c r="J69" s="1" t="s">
        <v>84</v>
      </c>
      <c r="K69" s="1" t="s">
        <v>85</v>
      </c>
      <c r="L69" s="1" t="s">
        <v>97</v>
      </c>
    </row>
    <row r="70" spans="2:12" ht="15.75" customHeight="1" x14ac:dyDescent="0.2">
      <c r="C70" s="1" t="s">
        <v>188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</row>
    <row r="71" spans="2:12" ht="15.75" customHeight="1" x14ac:dyDescent="0.2">
      <c r="C71" s="30"/>
      <c r="D71" s="31">
        <f t="shared" ref="D71:L71" si="7">D70</f>
        <v>0</v>
      </c>
      <c r="E71" s="31">
        <f t="shared" si="7"/>
        <v>0</v>
      </c>
      <c r="F71" s="31">
        <f t="shared" si="7"/>
        <v>0</v>
      </c>
      <c r="G71" s="31">
        <f t="shared" si="7"/>
        <v>0</v>
      </c>
      <c r="H71" s="31">
        <f t="shared" si="7"/>
        <v>0</v>
      </c>
      <c r="I71" s="31">
        <f t="shared" si="7"/>
        <v>0</v>
      </c>
      <c r="J71" s="31">
        <f t="shared" si="7"/>
        <v>0</v>
      </c>
      <c r="K71" s="31">
        <f t="shared" si="7"/>
        <v>0</v>
      </c>
      <c r="L71" s="31">
        <f t="shared" si="7"/>
        <v>0</v>
      </c>
    </row>
    <row r="72" spans="2:12" ht="15.75" customHeight="1" x14ac:dyDescent="0.2">
      <c r="D72" s="18"/>
    </row>
    <row r="73" spans="2:12" ht="15.75" customHeight="1" x14ac:dyDescent="0.2">
      <c r="B73" s="1">
        <v>13</v>
      </c>
      <c r="C73" s="27" t="s">
        <v>91</v>
      </c>
      <c r="D73" s="18"/>
    </row>
    <row r="74" spans="2:12" ht="15.75" customHeight="1" x14ac:dyDescent="0.2">
      <c r="C74" s="1"/>
      <c r="D74" s="18" t="s">
        <v>78</v>
      </c>
      <c r="E74" s="1" t="s">
        <v>79</v>
      </c>
      <c r="F74" s="1" t="s">
        <v>80</v>
      </c>
      <c r="G74" s="1" t="s">
        <v>81</v>
      </c>
      <c r="H74" s="1" t="s">
        <v>82</v>
      </c>
      <c r="I74" s="1" t="s">
        <v>83</v>
      </c>
      <c r="J74" s="1" t="s">
        <v>84</v>
      </c>
      <c r="K74" s="1" t="s">
        <v>85</v>
      </c>
      <c r="L74" s="1" t="s">
        <v>97</v>
      </c>
    </row>
    <row r="75" spans="2:12" ht="15.75" customHeight="1" x14ac:dyDescent="0.2">
      <c r="C75" s="1" t="s">
        <v>189</v>
      </c>
      <c r="D75" s="18">
        <v>9965463.7799999993</v>
      </c>
      <c r="E75" s="18">
        <v>8136940.8300000001</v>
      </c>
      <c r="F75" s="18">
        <v>8212072.3600000003</v>
      </c>
      <c r="G75" s="18">
        <v>5597336.0999999996</v>
      </c>
      <c r="H75" s="18">
        <v>5914124.0700000003</v>
      </c>
      <c r="I75" s="18">
        <v>4790395.16</v>
      </c>
      <c r="J75" s="18">
        <v>7190701.1399999997</v>
      </c>
      <c r="K75" s="18">
        <v>6515831.9400000004</v>
      </c>
      <c r="L75" s="18">
        <v>8507511.9000000004</v>
      </c>
    </row>
    <row r="76" spans="2:12" ht="15.75" customHeight="1" x14ac:dyDescent="0.2">
      <c r="C76" s="1" t="s">
        <v>190</v>
      </c>
      <c r="D76" s="18">
        <v>22801950</v>
      </c>
      <c r="E76" s="18">
        <v>24876371</v>
      </c>
      <c r="F76" s="18">
        <v>23855351</v>
      </c>
      <c r="G76" s="18">
        <v>22235468.710000001</v>
      </c>
      <c r="H76" s="18">
        <v>9216388.4499999993</v>
      </c>
      <c r="I76" s="18">
        <v>7452015.2400000002</v>
      </c>
      <c r="J76" s="18">
        <v>12692758.720000001</v>
      </c>
      <c r="K76" s="18">
        <v>15343618.6</v>
      </c>
      <c r="L76" s="18">
        <v>8810566.1099999994</v>
      </c>
    </row>
    <row r="77" spans="2:12" ht="15.75" customHeight="1" x14ac:dyDescent="0.2">
      <c r="C77" s="1" t="s">
        <v>192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</row>
    <row r="78" spans="2:12" ht="15.75" customHeight="1" x14ac:dyDescent="0.2">
      <c r="C78" s="1" t="s">
        <v>191</v>
      </c>
      <c r="D78" s="18">
        <v>50973912.770000003</v>
      </c>
      <c r="E78" s="18">
        <v>52480612.950000003</v>
      </c>
      <c r="F78" s="18">
        <v>29756984.309999999</v>
      </c>
      <c r="G78" s="18">
        <v>34185619.100000001</v>
      </c>
      <c r="H78" s="18">
        <v>33723471.520000003</v>
      </c>
      <c r="I78" s="18">
        <v>37467131.009999998</v>
      </c>
      <c r="J78" s="18">
        <v>32444704.710000001</v>
      </c>
      <c r="K78" s="18">
        <v>17720746.98</v>
      </c>
      <c r="L78" s="18">
        <v>23496953.670000002</v>
      </c>
    </row>
    <row r="79" spans="2:12" ht="15.75" customHeight="1" x14ac:dyDescent="0.2">
      <c r="C79" s="1" t="s">
        <v>139</v>
      </c>
      <c r="D79" s="18">
        <v>0</v>
      </c>
      <c r="E79" s="18">
        <v>0</v>
      </c>
      <c r="F79" s="18">
        <v>0</v>
      </c>
      <c r="G79" s="18">
        <v>0</v>
      </c>
      <c r="H79" s="18">
        <v>0</v>
      </c>
      <c r="I79" s="18">
        <v>0</v>
      </c>
      <c r="J79" s="18">
        <v>0</v>
      </c>
      <c r="K79" s="18">
        <v>0</v>
      </c>
      <c r="L79" s="18">
        <v>0</v>
      </c>
    </row>
    <row r="80" spans="2:12" ht="15.75" customHeight="1" x14ac:dyDescent="0.2">
      <c r="C80" s="30"/>
      <c r="D80" s="31">
        <f t="shared" ref="D80:L80" si="8">SUM(D75:D79)</f>
        <v>83741326.550000012</v>
      </c>
      <c r="E80" s="31">
        <f t="shared" si="8"/>
        <v>85493924.780000001</v>
      </c>
      <c r="F80" s="31">
        <f t="shared" si="8"/>
        <v>61824407.670000002</v>
      </c>
      <c r="G80" s="31">
        <f t="shared" si="8"/>
        <v>62018423.910000004</v>
      </c>
      <c r="H80" s="31">
        <f t="shared" si="8"/>
        <v>48853984.040000007</v>
      </c>
      <c r="I80" s="31">
        <f t="shared" si="8"/>
        <v>49709541.409999996</v>
      </c>
      <c r="J80" s="31">
        <f t="shared" si="8"/>
        <v>52328164.57</v>
      </c>
      <c r="K80" s="31">
        <f t="shared" si="8"/>
        <v>39580197.519999996</v>
      </c>
      <c r="L80" s="31">
        <f t="shared" si="8"/>
        <v>40815031.68</v>
      </c>
    </row>
    <row r="81" spans="2:12" ht="15.75" customHeight="1" x14ac:dyDescent="0.2">
      <c r="D81" s="18"/>
    </row>
    <row r="82" spans="2:12" ht="15.75" customHeight="1" x14ac:dyDescent="0.2">
      <c r="D82" s="18"/>
    </row>
    <row r="83" spans="2:12" ht="15.75" customHeight="1" x14ac:dyDescent="0.2">
      <c r="B83" s="1">
        <v>14</v>
      </c>
      <c r="C83" s="27" t="s">
        <v>92</v>
      </c>
      <c r="D83" s="18"/>
    </row>
    <row r="84" spans="2:12" ht="15.75" customHeight="1" x14ac:dyDescent="0.2">
      <c r="C84" s="1"/>
      <c r="D84" s="18" t="s">
        <v>78</v>
      </c>
      <c r="E84" s="1" t="s">
        <v>79</v>
      </c>
      <c r="F84" s="1" t="s">
        <v>80</v>
      </c>
      <c r="G84" s="1" t="s">
        <v>81</v>
      </c>
      <c r="H84" s="1" t="s">
        <v>82</v>
      </c>
      <c r="I84" s="1" t="s">
        <v>83</v>
      </c>
      <c r="J84" s="1" t="s">
        <v>84</v>
      </c>
      <c r="K84" s="1" t="s">
        <v>85</v>
      </c>
      <c r="L84" s="1" t="s">
        <v>97</v>
      </c>
    </row>
    <row r="85" spans="2:12" ht="15.75" customHeight="1" x14ac:dyDescent="0.2">
      <c r="C85" s="1" t="s">
        <v>193</v>
      </c>
      <c r="D85" s="18">
        <v>0</v>
      </c>
      <c r="E85" s="18">
        <v>0</v>
      </c>
      <c r="F85" s="18">
        <v>0</v>
      </c>
      <c r="G85" s="18">
        <v>0</v>
      </c>
      <c r="H85" s="18">
        <v>0</v>
      </c>
      <c r="I85" s="18">
        <v>0</v>
      </c>
      <c r="J85" s="18">
        <v>261063780</v>
      </c>
      <c r="K85" s="18">
        <v>267758882</v>
      </c>
      <c r="L85" s="18">
        <v>454383984</v>
      </c>
    </row>
    <row r="86" spans="2:12" ht="15.75" customHeight="1" x14ac:dyDescent="0.2">
      <c r="C86" s="30"/>
      <c r="D86" s="31">
        <f t="shared" ref="D86:L86" si="9">D85</f>
        <v>0</v>
      </c>
      <c r="E86" s="31">
        <f t="shared" si="9"/>
        <v>0</v>
      </c>
      <c r="F86" s="31">
        <f t="shared" si="9"/>
        <v>0</v>
      </c>
      <c r="G86" s="31">
        <f t="shared" si="9"/>
        <v>0</v>
      </c>
      <c r="H86" s="31">
        <f t="shared" si="9"/>
        <v>0</v>
      </c>
      <c r="I86" s="31">
        <f t="shared" si="9"/>
        <v>0</v>
      </c>
      <c r="J86" s="31">
        <f t="shared" si="9"/>
        <v>261063780</v>
      </c>
      <c r="K86" s="31">
        <f t="shared" si="9"/>
        <v>267758882</v>
      </c>
      <c r="L86" s="31">
        <f t="shared" si="9"/>
        <v>454383984</v>
      </c>
    </row>
    <row r="87" spans="2:12" ht="15.75" customHeight="1" x14ac:dyDescent="0.2">
      <c r="D87" s="18"/>
    </row>
    <row r="88" spans="2:12" ht="15.75" customHeight="1" x14ac:dyDescent="0.2">
      <c r="B88" s="1">
        <f>B83+1</f>
        <v>15</v>
      </c>
      <c r="C88" s="27" t="s">
        <v>93</v>
      </c>
      <c r="D88" s="18" t="s">
        <v>78</v>
      </c>
      <c r="E88" s="1" t="s">
        <v>79</v>
      </c>
      <c r="F88" s="1" t="s">
        <v>80</v>
      </c>
      <c r="G88" s="1" t="s">
        <v>81</v>
      </c>
      <c r="H88" s="1" t="s">
        <v>82</v>
      </c>
      <c r="I88" s="1" t="s">
        <v>83</v>
      </c>
      <c r="J88" s="1" t="s">
        <v>84</v>
      </c>
      <c r="K88" s="1" t="s">
        <v>85</v>
      </c>
      <c r="L88" s="1" t="s">
        <v>97</v>
      </c>
    </row>
    <row r="89" spans="2:12" ht="15.75" customHeight="1" x14ac:dyDescent="0.2">
      <c r="C89" s="1" t="s">
        <v>93</v>
      </c>
      <c r="D89" s="18">
        <v>0</v>
      </c>
      <c r="E89" s="18">
        <v>0</v>
      </c>
      <c r="F89" s="18">
        <v>0</v>
      </c>
      <c r="G89" s="18">
        <v>0</v>
      </c>
      <c r="H89" s="18">
        <v>0</v>
      </c>
      <c r="I89" s="18">
        <v>0</v>
      </c>
      <c r="J89" s="18">
        <v>0</v>
      </c>
      <c r="K89" s="18">
        <v>0</v>
      </c>
      <c r="L89" s="18">
        <v>2034100</v>
      </c>
    </row>
    <row r="90" spans="2:12" ht="15.75" customHeight="1" x14ac:dyDescent="0.2">
      <c r="D90" s="18"/>
    </row>
    <row r="91" spans="2:12" ht="15.75" customHeight="1" x14ac:dyDescent="0.2">
      <c r="D91" s="18"/>
    </row>
    <row r="92" spans="2:12" ht="15.75" customHeight="1" x14ac:dyDescent="0.2">
      <c r="B92" s="1">
        <f>B88+1</f>
        <v>16</v>
      </c>
      <c r="C92" s="27" t="s">
        <v>94</v>
      </c>
      <c r="D92" s="18"/>
    </row>
    <row r="93" spans="2:12" ht="15.75" customHeight="1" x14ac:dyDescent="0.2">
      <c r="C93" s="1"/>
      <c r="D93" s="18" t="s">
        <v>78</v>
      </c>
      <c r="E93" s="1" t="s">
        <v>79</v>
      </c>
      <c r="F93" s="1" t="s">
        <v>80</v>
      </c>
      <c r="G93" s="1" t="s">
        <v>81</v>
      </c>
      <c r="H93" s="1" t="s">
        <v>82</v>
      </c>
      <c r="I93" s="1" t="s">
        <v>83</v>
      </c>
      <c r="J93" s="1" t="s">
        <v>84</v>
      </c>
      <c r="K93" s="1" t="s">
        <v>85</v>
      </c>
      <c r="L93" s="1" t="s">
        <v>97</v>
      </c>
    </row>
    <row r="94" spans="2:12" ht="15.75" customHeight="1" x14ac:dyDescent="0.2">
      <c r="C94" s="1" t="s">
        <v>194</v>
      </c>
      <c r="D94" s="18">
        <v>429290000</v>
      </c>
      <c r="E94" s="18">
        <v>429290000</v>
      </c>
      <c r="F94" s="18">
        <v>429290000</v>
      </c>
      <c r="G94" s="18">
        <v>429290000</v>
      </c>
      <c r="H94" s="18">
        <v>429290000</v>
      </c>
      <c r="I94" s="18">
        <v>429290000</v>
      </c>
      <c r="J94" s="18">
        <v>429290000</v>
      </c>
      <c r="K94" s="18">
        <v>429290000</v>
      </c>
      <c r="L94" s="18">
        <v>429290000</v>
      </c>
    </row>
    <row r="95" spans="2:12" ht="15.75" customHeight="1" x14ac:dyDescent="0.2">
      <c r="C95" s="1" t="s">
        <v>195</v>
      </c>
      <c r="D95" s="18">
        <v>133000000</v>
      </c>
      <c r="E95" s="18">
        <v>133000000</v>
      </c>
      <c r="F95" s="18">
        <v>133000000</v>
      </c>
      <c r="G95" s="18">
        <v>133000000</v>
      </c>
      <c r="H95" s="18">
        <v>133000000</v>
      </c>
      <c r="I95" s="18">
        <v>133000000</v>
      </c>
      <c r="J95" s="18">
        <v>449445000</v>
      </c>
      <c r="K95" s="18">
        <v>449445000</v>
      </c>
      <c r="L95" s="18">
        <v>449445000</v>
      </c>
    </row>
    <row r="96" spans="2:12" ht="15.75" customHeight="1" x14ac:dyDescent="0.2">
      <c r="C96" s="1" t="s">
        <v>196</v>
      </c>
      <c r="D96" s="18">
        <v>66400000</v>
      </c>
      <c r="E96" s="18">
        <v>67920000</v>
      </c>
      <c r="F96" s="18">
        <v>67920000</v>
      </c>
      <c r="G96" s="18">
        <v>67920000</v>
      </c>
      <c r="H96" s="18">
        <v>67920000</v>
      </c>
      <c r="I96" s="18">
        <v>135920000</v>
      </c>
      <c r="J96" s="18">
        <v>135920000</v>
      </c>
      <c r="K96" s="18">
        <v>137974300</v>
      </c>
      <c r="L96" s="18">
        <v>138102300</v>
      </c>
    </row>
    <row r="97" spans="2:12" ht="15.75" customHeight="1" x14ac:dyDescent="0.2">
      <c r="C97" s="1" t="s">
        <v>197</v>
      </c>
      <c r="D97" s="18">
        <v>0</v>
      </c>
      <c r="E97" s="18">
        <v>0</v>
      </c>
      <c r="F97" s="18">
        <v>0</v>
      </c>
      <c r="G97" s="18">
        <v>0</v>
      </c>
      <c r="H97" s="18">
        <v>0</v>
      </c>
      <c r="I97" s="18">
        <v>0</v>
      </c>
      <c r="J97" s="18">
        <v>0</v>
      </c>
      <c r="K97" s="18">
        <v>0</v>
      </c>
      <c r="L97" s="18">
        <v>0</v>
      </c>
    </row>
    <row r="98" spans="2:12" ht="15.75" customHeight="1" x14ac:dyDescent="0.2">
      <c r="C98" s="1" t="s">
        <v>198</v>
      </c>
      <c r="D98" s="18">
        <v>14056000</v>
      </c>
      <c r="E98" s="18">
        <v>14056000</v>
      </c>
      <c r="F98" s="18">
        <v>14056000</v>
      </c>
      <c r="G98" s="18">
        <v>14056000</v>
      </c>
      <c r="H98" s="18">
        <v>14056000</v>
      </c>
      <c r="I98" s="18">
        <v>106081000</v>
      </c>
      <c r="J98" s="18">
        <v>106081000</v>
      </c>
      <c r="K98" s="18">
        <v>106081000</v>
      </c>
      <c r="L98" s="18">
        <v>106081000</v>
      </c>
    </row>
    <row r="99" spans="2:12" ht="15.75" customHeight="1" x14ac:dyDescent="0.2">
      <c r="C99" s="1" t="s">
        <v>199</v>
      </c>
      <c r="D99" s="18">
        <v>90334300</v>
      </c>
      <c r="E99" s="18">
        <v>120606300</v>
      </c>
      <c r="F99" s="18">
        <v>120619800</v>
      </c>
      <c r="G99" s="18">
        <v>160619800</v>
      </c>
      <c r="H99" s="18">
        <v>210619800</v>
      </c>
      <c r="I99" s="18">
        <v>340652800</v>
      </c>
      <c r="J99" s="18">
        <v>24847800</v>
      </c>
      <c r="K99" s="18">
        <v>24847800</v>
      </c>
      <c r="L99" s="18">
        <v>75792800</v>
      </c>
    </row>
    <row r="100" spans="2:12" ht="15.75" customHeight="1" x14ac:dyDescent="0.2">
      <c r="C100" s="1" t="s">
        <v>200</v>
      </c>
      <c r="D100" s="18">
        <v>0</v>
      </c>
      <c r="E100" s="18">
        <v>0</v>
      </c>
      <c r="F100" s="18">
        <v>0</v>
      </c>
      <c r="G100" s="18">
        <v>0</v>
      </c>
      <c r="H100" s="18">
        <v>0</v>
      </c>
      <c r="I100" s="18">
        <v>0</v>
      </c>
      <c r="J100" s="18">
        <v>0</v>
      </c>
      <c r="K100" s="18">
        <v>0</v>
      </c>
      <c r="L100" s="18">
        <v>0</v>
      </c>
    </row>
    <row r="101" spans="2:12" ht="15.75" customHeight="1" x14ac:dyDescent="0.2">
      <c r="C101" s="1" t="s">
        <v>201</v>
      </c>
      <c r="D101" s="18">
        <v>20504166.670000002</v>
      </c>
      <c r="E101" s="18">
        <v>21058333.34</v>
      </c>
      <c r="F101" s="18">
        <v>21612500.010000002</v>
      </c>
      <c r="G101" s="18">
        <v>22166666.68</v>
      </c>
      <c r="H101" s="18">
        <v>22720833.68</v>
      </c>
      <c r="I101" s="18">
        <v>23275000.68</v>
      </c>
      <c r="J101" s="18">
        <v>23829167.68</v>
      </c>
      <c r="K101" s="18">
        <v>24383334.68</v>
      </c>
      <c r="L101" s="18">
        <v>24937501.68</v>
      </c>
    </row>
    <row r="102" spans="2:12" ht="15.75" customHeight="1" x14ac:dyDescent="0.2">
      <c r="C102" s="1" t="s">
        <v>202</v>
      </c>
      <c r="D102" s="18">
        <v>12719058.33</v>
      </c>
      <c r="E102" s="18">
        <v>13075483.33</v>
      </c>
      <c r="F102" s="18">
        <v>14903634.33</v>
      </c>
      <c r="G102" s="18">
        <v>16670846.33</v>
      </c>
      <c r="H102" s="18">
        <v>18379151.329999998</v>
      </c>
      <c r="I102" s="18">
        <v>20030513.329999998</v>
      </c>
      <c r="J102" s="18">
        <v>21626829.329999998</v>
      </c>
      <c r="K102" s="18">
        <v>23169935.329999998</v>
      </c>
      <c r="L102" s="18">
        <v>24661604.329999998</v>
      </c>
    </row>
    <row r="103" spans="2:12" ht="15.75" customHeight="1" x14ac:dyDescent="0.2">
      <c r="C103" s="1" t="s">
        <v>203</v>
      </c>
      <c r="D103" s="18">
        <v>0</v>
      </c>
      <c r="E103" s="18">
        <v>0</v>
      </c>
      <c r="F103" s="18">
        <v>0</v>
      </c>
      <c r="G103" s="18">
        <v>0</v>
      </c>
      <c r="H103" s="18">
        <v>0</v>
      </c>
      <c r="I103" s="18">
        <v>0</v>
      </c>
      <c r="J103" s="18">
        <v>0</v>
      </c>
      <c r="K103" s="18">
        <v>0</v>
      </c>
      <c r="L103" s="18">
        <v>0</v>
      </c>
    </row>
    <row r="104" spans="2:12" ht="15.75" customHeight="1" x14ac:dyDescent="0.2">
      <c r="C104" s="1" t="s">
        <v>204</v>
      </c>
      <c r="D104" s="18">
        <v>1757500</v>
      </c>
      <c r="E104" s="18">
        <v>1862133.33</v>
      </c>
      <c r="F104" s="18">
        <v>2268595.33</v>
      </c>
      <c r="G104" s="18">
        <v>2661508.33</v>
      </c>
      <c r="H104" s="18">
        <v>3041324.33</v>
      </c>
      <c r="I104" s="18">
        <v>3408480.33</v>
      </c>
      <c r="J104" s="18">
        <v>3763397.33</v>
      </c>
      <c r="K104" s="18">
        <v>4106484.33</v>
      </c>
      <c r="L104" s="18">
        <v>4438134.33</v>
      </c>
    </row>
    <row r="105" spans="2:12" ht="15.75" customHeight="1" x14ac:dyDescent="0.2">
      <c r="C105" s="1" t="s">
        <v>205</v>
      </c>
      <c r="D105" s="18">
        <v>0</v>
      </c>
      <c r="E105" s="18">
        <v>0</v>
      </c>
      <c r="F105" s="18">
        <v>0</v>
      </c>
      <c r="G105" s="18">
        <v>0</v>
      </c>
      <c r="H105" s="18">
        <v>0</v>
      </c>
      <c r="I105" s="18">
        <v>0</v>
      </c>
      <c r="J105" s="18">
        <v>0</v>
      </c>
      <c r="K105" s="18">
        <v>0</v>
      </c>
      <c r="L105" s="18">
        <v>0</v>
      </c>
    </row>
    <row r="106" spans="2:12" ht="15.75" customHeight="1" x14ac:dyDescent="0.2">
      <c r="C106" s="30"/>
      <c r="D106" s="31">
        <f t="shared" ref="D106:L106" si="10">SUM(D94:D100)-SUM(D101:D105)</f>
        <v>698099575</v>
      </c>
      <c r="E106" s="31">
        <f t="shared" si="10"/>
        <v>728876350</v>
      </c>
      <c r="F106" s="31">
        <f t="shared" si="10"/>
        <v>726101070.33000004</v>
      </c>
      <c r="G106" s="31">
        <f t="shared" si="10"/>
        <v>763386778.65999997</v>
      </c>
      <c r="H106" s="31">
        <f t="shared" si="10"/>
        <v>810744490.65999997</v>
      </c>
      <c r="I106" s="31">
        <f t="shared" si="10"/>
        <v>1098229805.6600001</v>
      </c>
      <c r="J106" s="31">
        <f t="shared" si="10"/>
        <v>1096364405.6600001</v>
      </c>
      <c r="K106" s="31">
        <f t="shared" si="10"/>
        <v>1095978345.6600001</v>
      </c>
      <c r="L106" s="31">
        <f t="shared" si="10"/>
        <v>1144673859.6600001</v>
      </c>
    </row>
    <row r="107" spans="2:12" ht="15.75" customHeight="1" x14ac:dyDescent="0.2">
      <c r="D107" s="18"/>
    </row>
    <row r="108" spans="2:12" ht="15.75" customHeight="1" x14ac:dyDescent="0.2">
      <c r="B108" s="1">
        <f>B92+1</f>
        <v>17</v>
      </c>
      <c r="C108" s="27" t="s">
        <v>95</v>
      </c>
      <c r="D108" s="18"/>
    </row>
    <row r="109" spans="2:12" ht="15.75" customHeight="1" x14ac:dyDescent="0.2">
      <c r="C109" s="1"/>
      <c r="D109" s="18" t="s">
        <v>78</v>
      </c>
      <c r="E109" s="1" t="s">
        <v>79</v>
      </c>
      <c r="F109" s="1" t="s">
        <v>80</v>
      </c>
      <c r="G109" s="1" t="s">
        <v>81</v>
      </c>
      <c r="H109" s="1" t="s">
        <v>82</v>
      </c>
      <c r="I109" s="1" t="s">
        <v>83</v>
      </c>
      <c r="J109" s="1" t="s">
        <v>84</v>
      </c>
      <c r="K109" s="1" t="s">
        <v>85</v>
      </c>
      <c r="L109" s="1" t="s">
        <v>97</v>
      </c>
    </row>
    <row r="110" spans="2:12" ht="15.75" customHeight="1" x14ac:dyDescent="0.2">
      <c r="C110" s="1" t="s">
        <v>95</v>
      </c>
      <c r="D110" s="18">
        <v>839530823.44000006</v>
      </c>
      <c r="E110" s="18">
        <v>839530823.44000006</v>
      </c>
      <c r="F110" s="18">
        <v>839530823.44000006</v>
      </c>
      <c r="G110" s="18">
        <v>839530823.44000006</v>
      </c>
      <c r="H110" s="18">
        <v>989530823.44000006</v>
      </c>
      <c r="I110" s="18">
        <v>1439530823.4400001</v>
      </c>
      <c r="J110" s="18">
        <v>1439530823.4400001</v>
      </c>
      <c r="K110" s="18">
        <v>1439530823.4400001</v>
      </c>
      <c r="L110" s="18">
        <v>1889530823.4400001</v>
      </c>
    </row>
    <row r="111" spans="2:12" ht="15.75" customHeight="1" x14ac:dyDescent="0.2">
      <c r="C111" s="30"/>
      <c r="D111" s="31">
        <f t="shared" ref="D111:L111" si="11">D110</f>
        <v>839530823.44000006</v>
      </c>
      <c r="E111" s="31">
        <f t="shared" si="11"/>
        <v>839530823.44000006</v>
      </c>
      <c r="F111" s="31">
        <f t="shared" si="11"/>
        <v>839530823.44000006</v>
      </c>
      <c r="G111" s="31">
        <f t="shared" si="11"/>
        <v>839530823.44000006</v>
      </c>
      <c r="H111" s="31">
        <f t="shared" si="11"/>
        <v>989530823.44000006</v>
      </c>
      <c r="I111" s="31">
        <f t="shared" si="11"/>
        <v>1439530823.4400001</v>
      </c>
      <c r="J111" s="31">
        <f t="shared" si="11"/>
        <v>1439530823.4400001</v>
      </c>
      <c r="K111" s="31">
        <f t="shared" si="11"/>
        <v>1439530823.4400001</v>
      </c>
      <c r="L111" s="31">
        <f t="shared" si="11"/>
        <v>1889530823.4400001</v>
      </c>
    </row>
    <row r="112" spans="2:12" ht="15.75" customHeight="1" x14ac:dyDescent="0.2">
      <c r="D112" s="18"/>
    </row>
    <row r="113" spans="2:12" ht="15.75" customHeight="1" x14ac:dyDescent="0.2">
      <c r="D113" s="18"/>
    </row>
    <row r="114" spans="2:12" ht="15.75" customHeight="1" x14ac:dyDescent="0.2">
      <c r="B114" s="1">
        <f>B108+1</f>
        <v>18</v>
      </c>
      <c r="C114" s="27" t="s">
        <v>96</v>
      </c>
      <c r="D114" s="18"/>
    </row>
    <row r="115" spans="2:12" ht="15.75" customHeight="1" x14ac:dyDescent="0.2">
      <c r="C115" s="1"/>
      <c r="D115" s="18" t="s">
        <v>78</v>
      </c>
      <c r="E115" s="1" t="s">
        <v>79</v>
      </c>
      <c r="F115" s="1" t="s">
        <v>80</v>
      </c>
      <c r="G115" s="1" t="s">
        <v>81</v>
      </c>
      <c r="H115" s="1" t="s">
        <v>82</v>
      </c>
      <c r="I115" s="1" t="s">
        <v>82</v>
      </c>
      <c r="J115" s="1" t="s">
        <v>84</v>
      </c>
      <c r="K115" s="1" t="s">
        <v>85</v>
      </c>
      <c r="L115" s="1" t="s">
        <v>97</v>
      </c>
    </row>
    <row r="116" spans="2:12" ht="15.75" customHeight="1" x14ac:dyDescent="0.2">
      <c r="C116" s="1" t="s">
        <v>96</v>
      </c>
      <c r="D116" s="18">
        <v>0</v>
      </c>
      <c r="E116" s="18">
        <v>559498.11</v>
      </c>
      <c r="F116" s="18">
        <v>965043.31</v>
      </c>
      <c r="G116" s="18">
        <v>5928126.5300000003</v>
      </c>
      <c r="H116" s="18">
        <v>13009381.1</v>
      </c>
      <c r="I116" s="18">
        <v>16350293.23</v>
      </c>
      <c r="J116" s="18">
        <v>17279045.600000001</v>
      </c>
      <c r="K116" s="18">
        <v>14233968.76</v>
      </c>
      <c r="L116" s="18">
        <v>10843593.710000001</v>
      </c>
    </row>
    <row r="117" spans="2:12" ht="15.75" customHeight="1" x14ac:dyDescent="0.2">
      <c r="D117" s="18"/>
    </row>
    <row r="118" spans="2:12" ht="15.75" customHeight="1" x14ac:dyDescent="0.2">
      <c r="C118" s="27"/>
      <c r="D118" s="18"/>
    </row>
    <row r="119" spans="2:12" ht="15.75" customHeight="1" x14ac:dyDescent="0.2">
      <c r="D119" s="18"/>
    </row>
    <row r="120" spans="2:12" ht="15.75" customHeight="1" x14ac:dyDescent="0.2">
      <c r="D120" s="18"/>
    </row>
    <row r="121" spans="2:12" ht="15.75" customHeight="1" x14ac:dyDescent="0.2">
      <c r="D121" s="18"/>
    </row>
    <row r="122" spans="2:12" ht="15.75" customHeight="1" x14ac:dyDescent="0.2">
      <c r="D122" s="18"/>
    </row>
    <row r="123" spans="2:12" ht="15.75" customHeight="1" x14ac:dyDescent="0.2">
      <c r="D123" s="18"/>
    </row>
    <row r="124" spans="2:12" ht="15.75" customHeight="1" x14ac:dyDescent="0.2">
      <c r="D124" s="18"/>
    </row>
    <row r="125" spans="2:12" ht="15.75" customHeight="1" x14ac:dyDescent="0.2">
      <c r="D125" s="18"/>
    </row>
    <row r="126" spans="2:12" ht="15.75" customHeight="1" x14ac:dyDescent="0.2">
      <c r="D126" s="18"/>
    </row>
    <row r="127" spans="2:12" ht="15.75" customHeight="1" x14ac:dyDescent="0.2">
      <c r="D127" s="18"/>
    </row>
    <row r="128" spans="2:12" ht="15.75" customHeight="1" x14ac:dyDescent="0.2">
      <c r="D128" s="18"/>
    </row>
    <row r="129" spans="4:4" ht="15.75" customHeight="1" x14ac:dyDescent="0.2">
      <c r="D129" s="18"/>
    </row>
    <row r="130" spans="4:4" ht="15.75" customHeight="1" x14ac:dyDescent="0.2">
      <c r="D130" s="18"/>
    </row>
    <row r="131" spans="4:4" ht="15.75" customHeight="1" x14ac:dyDescent="0.2">
      <c r="D131" s="18"/>
    </row>
    <row r="132" spans="4:4" ht="15.75" customHeight="1" x14ac:dyDescent="0.2">
      <c r="D132" s="18"/>
    </row>
    <row r="133" spans="4:4" ht="15.75" customHeight="1" x14ac:dyDescent="0.2">
      <c r="D133" s="18"/>
    </row>
    <row r="134" spans="4:4" ht="15.75" customHeight="1" x14ac:dyDescent="0.2">
      <c r="D134" s="18"/>
    </row>
    <row r="135" spans="4:4" ht="15.75" customHeight="1" x14ac:dyDescent="0.2">
      <c r="D135" s="18"/>
    </row>
    <row r="136" spans="4:4" ht="15.75" customHeight="1" x14ac:dyDescent="0.2">
      <c r="D136" s="18"/>
    </row>
    <row r="137" spans="4:4" ht="15.75" customHeight="1" x14ac:dyDescent="0.2">
      <c r="D137" s="18"/>
    </row>
    <row r="138" spans="4:4" ht="15.75" customHeight="1" x14ac:dyDescent="0.2">
      <c r="D138" s="18"/>
    </row>
    <row r="139" spans="4:4" ht="15.75" customHeight="1" x14ac:dyDescent="0.2">
      <c r="D139" s="18"/>
    </row>
    <row r="140" spans="4:4" ht="15.75" customHeight="1" x14ac:dyDescent="0.2">
      <c r="D140" s="18"/>
    </row>
    <row r="141" spans="4:4" ht="15.75" customHeight="1" x14ac:dyDescent="0.2">
      <c r="D141" s="18"/>
    </row>
    <row r="142" spans="4:4" ht="15.75" customHeight="1" x14ac:dyDescent="0.2">
      <c r="D142" s="18"/>
    </row>
    <row r="143" spans="4:4" ht="15.75" customHeight="1" x14ac:dyDescent="0.2">
      <c r="D143" s="18"/>
    </row>
    <row r="144" spans="4:4" ht="15.75" customHeight="1" x14ac:dyDescent="0.2">
      <c r="D144" s="18"/>
    </row>
    <row r="145" spans="4:4" ht="15.75" customHeight="1" x14ac:dyDescent="0.2">
      <c r="D145" s="18"/>
    </row>
    <row r="146" spans="4:4" ht="15.75" customHeight="1" x14ac:dyDescent="0.2">
      <c r="D146" s="18"/>
    </row>
    <row r="147" spans="4:4" ht="15.75" customHeight="1" x14ac:dyDescent="0.2">
      <c r="D147" s="18"/>
    </row>
    <row r="148" spans="4:4" ht="15.75" customHeight="1" x14ac:dyDescent="0.2">
      <c r="D148" s="18"/>
    </row>
    <row r="149" spans="4:4" ht="15.75" customHeight="1" x14ac:dyDescent="0.2">
      <c r="D149" s="18"/>
    </row>
    <row r="150" spans="4:4" ht="15.75" customHeight="1" x14ac:dyDescent="0.2">
      <c r="D150" s="18"/>
    </row>
    <row r="151" spans="4:4" ht="15.75" customHeight="1" x14ac:dyDescent="0.2">
      <c r="D151" s="18"/>
    </row>
    <row r="152" spans="4:4" ht="15.75" customHeight="1" x14ac:dyDescent="0.2">
      <c r="D152" s="18"/>
    </row>
    <row r="153" spans="4:4" ht="15.75" customHeight="1" x14ac:dyDescent="0.2">
      <c r="D153" s="18"/>
    </row>
    <row r="154" spans="4:4" ht="15.75" customHeight="1" x14ac:dyDescent="0.2">
      <c r="D154" s="18"/>
    </row>
    <row r="155" spans="4:4" ht="15.75" customHeight="1" x14ac:dyDescent="0.2">
      <c r="D155" s="18"/>
    </row>
    <row r="156" spans="4:4" ht="15.75" customHeight="1" x14ac:dyDescent="0.2">
      <c r="D156" s="18"/>
    </row>
    <row r="157" spans="4:4" ht="15.75" customHeight="1" x14ac:dyDescent="0.2">
      <c r="D157" s="18"/>
    </row>
    <row r="158" spans="4:4" ht="15.75" customHeight="1" x14ac:dyDescent="0.2">
      <c r="D158" s="18"/>
    </row>
    <row r="159" spans="4:4" ht="15.75" customHeight="1" x14ac:dyDescent="0.2">
      <c r="D159" s="18"/>
    </row>
    <row r="160" spans="4:4" ht="15.75" customHeight="1" x14ac:dyDescent="0.2">
      <c r="D160" s="18"/>
    </row>
    <row r="161" spans="4:4" ht="15.75" customHeight="1" x14ac:dyDescent="0.2">
      <c r="D161" s="18"/>
    </row>
    <row r="162" spans="4:4" ht="15.75" customHeight="1" x14ac:dyDescent="0.2">
      <c r="D162" s="18"/>
    </row>
    <row r="163" spans="4:4" ht="15.75" customHeight="1" x14ac:dyDescent="0.2">
      <c r="D163" s="18"/>
    </row>
    <row r="164" spans="4:4" ht="15.75" customHeight="1" x14ac:dyDescent="0.2">
      <c r="D164" s="18"/>
    </row>
    <row r="165" spans="4:4" ht="15.75" customHeight="1" x14ac:dyDescent="0.2">
      <c r="D165" s="18"/>
    </row>
    <row r="166" spans="4:4" ht="15.75" customHeight="1" x14ac:dyDescent="0.2">
      <c r="D166" s="18"/>
    </row>
    <row r="167" spans="4:4" ht="15.75" customHeight="1" x14ac:dyDescent="0.2">
      <c r="D167" s="18"/>
    </row>
    <row r="168" spans="4:4" ht="15.75" customHeight="1" x14ac:dyDescent="0.2">
      <c r="D168" s="18"/>
    </row>
    <row r="169" spans="4:4" ht="15.75" customHeight="1" x14ac:dyDescent="0.2">
      <c r="D169" s="18"/>
    </row>
    <row r="170" spans="4:4" ht="15.75" customHeight="1" x14ac:dyDescent="0.2">
      <c r="D170" s="18"/>
    </row>
    <row r="171" spans="4:4" ht="15.75" customHeight="1" x14ac:dyDescent="0.2">
      <c r="D171" s="18"/>
    </row>
    <row r="172" spans="4:4" ht="15.75" customHeight="1" x14ac:dyDescent="0.2">
      <c r="D172" s="18"/>
    </row>
    <row r="173" spans="4:4" ht="15.75" customHeight="1" x14ac:dyDescent="0.2">
      <c r="D173" s="18"/>
    </row>
    <row r="174" spans="4:4" ht="15.75" customHeight="1" x14ac:dyDescent="0.2">
      <c r="D174" s="18"/>
    </row>
    <row r="175" spans="4:4" ht="15.75" customHeight="1" x14ac:dyDescent="0.2">
      <c r="D175" s="18"/>
    </row>
    <row r="176" spans="4:4" ht="15.75" customHeight="1" x14ac:dyDescent="0.2">
      <c r="D176" s="18"/>
    </row>
    <row r="177" spans="4:4" ht="15.75" customHeight="1" x14ac:dyDescent="0.2">
      <c r="D177" s="18"/>
    </row>
    <row r="178" spans="4:4" ht="15.75" customHeight="1" x14ac:dyDescent="0.2">
      <c r="D178" s="18"/>
    </row>
    <row r="179" spans="4:4" ht="15.75" customHeight="1" x14ac:dyDescent="0.2">
      <c r="D179" s="18"/>
    </row>
    <row r="180" spans="4:4" ht="15.75" customHeight="1" x14ac:dyDescent="0.2">
      <c r="D180" s="18"/>
    </row>
    <row r="181" spans="4:4" ht="15.75" customHeight="1" x14ac:dyDescent="0.2">
      <c r="D181" s="18"/>
    </row>
    <row r="182" spans="4:4" ht="15.75" customHeight="1" x14ac:dyDescent="0.2">
      <c r="D182" s="18"/>
    </row>
    <row r="183" spans="4:4" ht="15.75" customHeight="1" x14ac:dyDescent="0.2">
      <c r="D183" s="18"/>
    </row>
    <row r="184" spans="4:4" ht="15.75" customHeight="1" x14ac:dyDescent="0.2">
      <c r="D184" s="18"/>
    </row>
    <row r="185" spans="4:4" ht="15.75" customHeight="1" x14ac:dyDescent="0.2">
      <c r="D185" s="18"/>
    </row>
    <row r="186" spans="4:4" ht="15.75" customHeight="1" x14ac:dyDescent="0.2">
      <c r="D186" s="18"/>
    </row>
    <row r="187" spans="4:4" ht="15.75" customHeight="1" x14ac:dyDescent="0.2">
      <c r="D187" s="18"/>
    </row>
    <row r="188" spans="4:4" ht="15.75" customHeight="1" x14ac:dyDescent="0.2">
      <c r="D188" s="18"/>
    </row>
    <row r="189" spans="4:4" ht="15.75" customHeight="1" x14ac:dyDescent="0.2">
      <c r="D189" s="18"/>
    </row>
    <row r="190" spans="4:4" ht="15.75" customHeight="1" x14ac:dyDescent="0.2">
      <c r="D190" s="18"/>
    </row>
    <row r="191" spans="4:4" ht="15.75" customHeight="1" x14ac:dyDescent="0.2">
      <c r="D191" s="18"/>
    </row>
    <row r="192" spans="4:4" ht="15.75" customHeight="1" x14ac:dyDescent="0.2">
      <c r="D192" s="18"/>
    </row>
    <row r="193" spans="4:4" ht="15.75" customHeight="1" x14ac:dyDescent="0.2">
      <c r="D193" s="18"/>
    </row>
    <row r="194" spans="4:4" ht="15.75" customHeight="1" x14ac:dyDescent="0.2">
      <c r="D194" s="18"/>
    </row>
    <row r="195" spans="4:4" ht="15.75" customHeight="1" x14ac:dyDescent="0.2">
      <c r="D195" s="18"/>
    </row>
    <row r="196" spans="4:4" ht="15.75" customHeight="1" x14ac:dyDescent="0.2">
      <c r="D196" s="18"/>
    </row>
    <row r="197" spans="4:4" ht="15.75" customHeight="1" x14ac:dyDescent="0.2">
      <c r="D197" s="18"/>
    </row>
    <row r="198" spans="4:4" ht="15.75" customHeight="1" x14ac:dyDescent="0.2">
      <c r="D198" s="18"/>
    </row>
    <row r="199" spans="4:4" ht="15.75" customHeight="1" x14ac:dyDescent="0.2">
      <c r="D199" s="18"/>
    </row>
    <row r="200" spans="4:4" ht="15.75" customHeight="1" x14ac:dyDescent="0.2">
      <c r="D200" s="18"/>
    </row>
    <row r="201" spans="4:4" ht="15.75" customHeight="1" x14ac:dyDescent="0.2">
      <c r="D201" s="18"/>
    </row>
    <row r="202" spans="4:4" ht="15.75" customHeight="1" x14ac:dyDescent="0.2">
      <c r="D202" s="18"/>
    </row>
    <row r="203" spans="4:4" ht="15.75" customHeight="1" x14ac:dyDescent="0.2">
      <c r="D203" s="18"/>
    </row>
    <row r="204" spans="4:4" ht="15.75" customHeight="1" x14ac:dyDescent="0.2">
      <c r="D204" s="18"/>
    </row>
    <row r="205" spans="4:4" ht="15.75" customHeight="1" x14ac:dyDescent="0.2">
      <c r="D205" s="18"/>
    </row>
    <row r="206" spans="4:4" ht="15.75" customHeight="1" x14ac:dyDescent="0.2">
      <c r="D206" s="18"/>
    </row>
    <row r="207" spans="4:4" ht="15.75" customHeight="1" x14ac:dyDescent="0.2">
      <c r="D207" s="18"/>
    </row>
    <row r="208" spans="4:4" ht="15.75" customHeight="1" x14ac:dyDescent="0.2">
      <c r="D208" s="18"/>
    </row>
    <row r="209" spans="4:4" ht="15.75" customHeight="1" x14ac:dyDescent="0.2">
      <c r="D209" s="18"/>
    </row>
    <row r="210" spans="4:4" ht="15.75" customHeight="1" x14ac:dyDescent="0.2">
      <c r="D210" s="18"/>
    </row>
    <row r="211" spans="4:4" ht="15.75" customHeight="1" x14ac:dyDescent="0.2">
      <c r="D211" s="18"/>
    </row>
    <row r="212" spans="4:4" ht="15.75" customHeight="1" x14ac:dyDescent="0.2">
      <c r="D212" s="18"/>
    </row>
    <row r="213" spans="4:4" ht="15.75" customHeight="1" x14ac:dyDescent="0.2">
      <c r="D213" s="18"/>
    </row>
    <row r="214" spans="4:4" ht="15.75" customHeight="1" x14ac:dyDescent="0.2">
      <c r="D214" s="18"/>
    </row>
    <row r="215" spans="4:4" ht="15.75" customHeight="1" x14ac:dyDescent="0.2">
      <c r="D215" s="18"/>
    </row>
    <row r="216" spans="4:4" ht="15.75" customHeight="1" x14ac:dyDescent="0.2">
      <c r="D216" s="18"/>
    </row>
    <row r="217" spans="4:4" ht="15.75" customHeight="1" x14ac:dyDescent="0.2">
      <c r="D217" s="18"/>
    </row>
    <row r="218" spans="4:4" ht="15.75" customHeight="1" x14ac:dyDescent="0.2">
      <c r="D218" s="18"/>
    </row>
    <row r="219" spans="4:4" ht="15.75" customHeight="1" x14ac:dyDescent="0.2">
      <c r="D219" s="18"/>
    </row>
    <row r="220" spans="4:4" ht="15.75" customHeight="1" x14ac:dyDescent="0.2">
      <c r="D220" s="18"/>
    </row>
    <row r="221" spans="4:4" ht="15.75" customHeight="1" x14ac:dyDescent="0.2">
      <c r="D221" s="18"/>
    </row>
    <row r="222" spans="4:4" ht="15.75" customHeight="1" x14ac:dyDescent="0.2">
      <c r="D222" s="18"/>
    </row>
    <row r="223" spans="4:4" ht="15.75" customHeight="1" x14ac:dyDescent="0.2">
      <c r="D223" s="18"/>
    </row>
    <row r="224" spans="4:4" ht="15.75" customHeight="1" x14ac:dyDescent="0.2">
      <c r="D224" s="18"/>
    </row>
    <row r="225" spans="4:4" ht="15.75" customHeight="1" x14ac:dyDescent="0.2">
      <c r="D225" s="18"/>
    </row>
    <row r="226" spans="4:4" ht="15.75" customHeight="1" x14ac:dyDescent="0.2">
      <c r="D226" s="18"/>
    </row>
    <row r="227" spans="4:4" ht="15.75" customHeight="1" x14ac:dyDescent="0.2">
      <c r="D227" s="18"/>
    </row>
    <row r="228" spans="4:4" ht="15.75" customHeight="1" x14ac:dyDescent="0.2">
      <c r="D228" s="18"/>
    </row>
    <row r="229" spans="4:4" ht="15.75" customHeight="1" x14ac:dyDescent="0.2">
      <c r="D229" s="18"/>
    </row>
    <row r="230" spans="4:4" ht="15.75" customHeight="1" x14ac:dyDescent="0.2">
      <c r="D230" s="18"/>
    </row>
    <row r="231" spans="4:4" ht="15.75" customHeight="1" x14ac:dyDescent="0.2">
      <c r="D231" s="18"/>
    </row>
    <row r="232" spans="4:4" ht="15.75" customHeight="1" x14ac:dyDescent="0.2">
      <c r="D232" s="18"/>
    </row>
    <row r="233" spans="4:4" ht="15.75" customHeight="1" x14ac:dyDescent="0.2">
      <c r="D233" s="18"/>
    </row>
    <row r="234" spans="4:4" ht="15.75" customHeight="1" x14ac:dyDescent="0.2">
      <c r="D234" s="18"/>
    </row>
    <row r="235" spans="4:4" ht="15.75" customHeight="1" x14ac:dyDescent="0.2">
      <c r="D235" s="18"/>
    </row>
    <row r="236" spans="4:4" ht="15.75" customHeight="1" x14ac:dyDescent="0.2">
      <c r="D236" s="18"/>
    </row>
    <row r="237" spans="4:4" ht="15.75" customHeight="1" x14ac:dyDescent="0.2">
      <c r="D237" s="18"/>
    </row>
    <row r="238" spans="4:4" ht="15.75" customHeight="1" x14ac:dyDescent="0.2">
      <c r="D238" s="18"/>
    </row>
    <row r="239" spans="4:4" ht="15.75" customHeight="1" x14ac:dyDescent="0.2">
      <c r="D239" s="18"/>
    </row>
    <row r="240" spans="4:4" ht="15.75" customHeight="1" x14ac:dyDescent="0.2">
      <c r="D240" s="18"/>
    </row>
    <row r="241" spans="4:4" ht="15.75" customHeight="1" x14ac:dyDescent="0.2">
      <c r="D241" s="18"/>
    </row>
    <row r="242" spans="4:4" ht="15.75" customHeight="1" x14ac:dyDescent="0.2">
      <c r="D242" s="18"/>
    </row>
    <row r="243" spans="4:4" ht="15.75" customHeight="1" x14ac:dyDescent="0.2">
      <c r="D243" s="18"/>
    </row>
    <row r="244" spans="4:4" ht="15.75" customHeight="1" x14ac:dyDescent="0.2">
      <c r="D244" s="18"/>
    </row>
    <row r="245" spans="4:4" ht="15.75" customHeight="1" x14ac:dyDescent="0.2">
      <c r="D245" s="18"/>
    </row>
    <row r="246" spans="4:4" ht="15.75" customHeight="1" x14ac:dyDescent="0.2">
      <c r="D246" s="18"/>
    </row>
    <row r="247" spans="4:4" ht="15.75" customHeight="1" x14ac:dyDescent="0.2">
      <c r="D247" s="18"/>
    </row>
    <row r="248" spans="4:4" ht="15.75" customHeight="1" x14ac:dyDescent="0.2">
      <c r="D248" s="18"/>
    </row>
    <row r="249" spans="4:4" ht="15.75" customHeight="1" x14ac:dyDescent="0.2">
      <c r="D249" s="18"/>
    </row>
    <row r="250" spans="4:4" ht="15.75" customHeight="1" x14ac:dyDescent="0.2">
      <c r="D250" s="18"/>
    </row>
    <row r="251" spans="4:4" ht="15.75" customHeight="1" x14ac:dyDescent="0.2">
      <c r="D251" s="18"/>
    </row>
    <row r="252" spans="4:4" ht="15.75" customHeight="1" x14ac:dyDescent="0.2">
      <c r="D252" s="18"/>
    </row>
    <row r="253" spans="4:4" ht="15.75" customHeight="1" x14ac:dyDescent="0.2">
      <c r="D253" s="18"/>
    </row>
    <row r="254" spans="4:4" ht="15.75" customHeight="1" x14ac:dyDescent="0.2">
      <c r="D254" s="18"/>
    </row>
    <row r="255" spans="4:4" ht="15.75" customHeight="1" x14ac:dyDescent="0.2">
      <c r="D255" s="18"/>
    </row>
    <row r="256" spans="4:4" ht="15.75" customHeight="1" x14ac:dyDescent="0.2">
      <c r="D256" s="18"/>
    </row>
    <row r="257" spans="4:4" ht="15.75" customHeight="1" x14ac:dyDescent="0.2">
      <c r="D257" s="18"/>
    </row>
    <row r="258" spans="4:4" ht="15.75" customHeight="1" x14ac:dyDescent="0.2">
      <c r="D258" s="18"/>
    </row>
    <row r="259" spans="4:4" ht="15.75" customHeight="1" x14ac:dyDescent="0.2">
      <c r="D259" s="18"/>
    </row>
    <row r="260" spans="4:4" ht="15.75" customHeight="1" x14ac:dyDescent="0.2">
      <c r="D260" s="18"/>
    </row>
    <row r="261" spans="4:4" ht="15.75" customHeight="1" x14ac:dyDescent="0.2">
      <c r="D261" s="18"/>
    </row>
    <row r="262" spans="4:4" ht="15.75" customHeight="1" x14ac:dyDescent="0.2">
      <c r="D262" s="18"/>
    </row>
    <row r="263" spans="4:4" ht="15.75" customHeight="1" x14ac:dyDescent="0.2">
      <c r="D263" s="18"/>
    </row>
    <row r="264" spans="4:4" ht="15.75" customHeight="1" x14ac:dyDescent="0.2">
      <c r="D264" s="18"/>
    </row>
    <row r="265" spans="4:4" ht="15.75" customHeight="1" x14ac:dyDescent="0.2">
      <c r="D265" s="18"/>
    </row>
    <row r="266" spans="4:4" ht="15.75" customHeight="1" x14ac:dyDescent="0.2">
      <c r="D266" s="18"/>
    </row>
    <row r="267" spans="4:4" ht="15.75" customHeight="1" x14ac:dyDescent="0.2">
      <c r="D267" s="18"/>
    </row>
    <row r="268" spans="4:4" ht="15.75" customHeight="1" x14ac:dyDescent="0.2">
      <c r="D268" s="18"/>
    </row>
    <row r="269" spans="4:4" ht="15.75" customHeight="1" x14ac:dyDescent="0.2">
      <c r="D269" s="18"/>
    </row>
    <row r="270" spans="4:4" ht="15.75" customHeight="1" x14ac:dyDescent="0.2">
      <c r="D270" s="18"/>
    </row>
    <row r="271" spans="4:4" ht="15.75" customHeight="1" x14ac:dyDescent="0.2">
      <c r="D271" s="18"/>
    </row>
    <row r="272" spans="4:4" ht="15.75" customHeight="1" x14ac:dyDescent="0.2">
      <c r="D272" s="18"/>
    </row>
    <row r="273" spans="4:4" ht="15.75" customHeight="1" x14ac:dyDescent="0.2">
      <c r="D273" s="18"/>
    </row>
    <row r="274" spans="4:4" ht="15.75" customHeight="1" x14ac:dyDescent="0.2">
      <c r="D274" s="18"/>
    </row>
    <row r="275" spans="4:4" ht="15.75" customHeight="1" x14ac:dyDescent="0.2">
      <c r="D275" s="18"/>
    </row>
    <row r="276" spans="4:4" ht="15.75" customHeight="1" x14ac:dyDescent="0.2">
      <c r="D276" s="18"/>
    </row>
    <row r="277" spans="4:4" ht="15.75" customHeight="1" x14ac:dyDescent="0.2">
      <c r="D277" s="18"/>
    </row>
    <row r="278" spans="4:4" ht="15.75" customHeight="1" x14ac:dyDescent="0.2">
      <c r="D278" s="18"/>
    </row>
    <row r="279" spans="4:4" ht="15.75" customHeight="1" x14ac:dyDescent="0.2">
      <c r="D279" s="18"/>
    </row>
    <row r="280" spans="4:4" ht="15.75" customHeight="1" x14ac:dyDescent="0.2">
      <c r="D280" s="18"/>
    </row>
    <row r="281" spans="4:4" ht="15.75" customHeight="1" x14ac:dyDescent="0.2">
      <c r="D281" s="18"/>
    </row>
    <row r="282" spans="4:4" ht="15.75" customHeight="1" x14ac:dyDescent="0.2">
      <c r="D282" s="18"/>
    </row>
    <row r="283" spans="4:4" ht="15.75" customHeight="1" x14ac:dyDescent="0.2">
      <c r="D283" s="18"/>
    </row>
    <row r="284" spans="4:4" ht="15.75" customHeight="1" x14ac:dyDescent="0.2">
      <c r="D284" s="18"/>
    </row>
    <row r="285" spans="4:4" ht="15.75" customHeight="1" x14ac:dyDescent="0.2">
      <c r="D285" s="18"/>
    </row>
    <row r="286" spans="4:4" ht="15.75" customHeight="1" x14ac:dyDescent="0.2">
      <c r="D286" s="18"/>
    </row>
    <row r="287" spans="4:4" ht="15.75" customHeight="1" x14ac:dyDescent="0.2">
      <c r="D287" s="18"/>
    </row>
    <row r="288" spans="4:4" ht="15.75" customHeight="1" x14ac:dyDescent="0.2">
      <c r="D288" s="18"/>
    </row>
    <row r="289" spans="4:4" ht="15.75" customHeight="1" x14ac:dyDescent="0.2">
      <c r="D289" s="18"/>
    </row>
    <row r="290" spans="4:4" ht="15.75" customHeight="1" x14ac:dyDescent="0.2">
      <c r="D290" s="18"/>
    </row>
    <row r="291" spans="4:4" ht="15.75" customHeight="1" x14ac:dyDescent="0.2">
      <c r="D291" s="18"/>
    </row>
    <row r="292" spans="4:4" ht="15.75" customHeight="1" x14ac:dyDescent="0.2">
      <c r="D292" s="18"/>
    </row>
    <row r="293" spans="4:4" ht="15.75" customHeight="1" x14ac:dyDescent="0.2">
      <c r="D293" s="18"/>
    </row>
    <row r="294" spans="4:4" ht="15.75" customHeight="1" x14ac:dyDescent="0.2">
      <c r="D294" s="18"/>
    </row>
    <row r="295" spans="4:4" ht="15.75" customHeight="1" x14ac:dyDescent="0.2">
      <c r="D295" s="18"/>
    </row>
    <row r="296" spans="4:4" ht="15.75" customHeight="1" x14ac:dyDescent="0.2">
      <c r="D296" s="18"/>
    </row>
    <row r="297" spans="4:4" ht="15.75" customHeight="1" x14ac:dyDescent="0.2">
      <c r="D297" s="18"/>
    </row>
    <row r="298" spans="4:4" ht="15.75" customHeight="1" x14ac:dyDescent="0.2">
      <c r="D298" s="18"/>
    </row>
    <row r="299" spans="4:4" ht="15.75" customHeight="1" x14ac:dyDescent="0.2">
      <c r="D299" s="18"/>
    </row>
    <row r="300" spans="4:4" ht="15.75" customHeight="1" x14ac:dyDescent="0.2">
      <c r="D300" s="18"/>
    </row>
    <row r="301" spans="4:4" ht="15.75" customHeight="1" x14ac:dyDescent="0.2">
      <c r="D301" s="18"/>
    </row>
    <row r="302" spans="4:4" ht="15.75" customHeight="1" x14ac:dyDescent="0.2">
      <c r="D302" s="18"/>
    </row>
    <row r="303" spans="4:4" ht="15.75" customHeight="1" x14ac:dyDescent="0.2">
      <c r="D303" s="18"/>
    </row>
    <row r="304" spans="4:4" ht="15.75" customHeight="1" x14ac:dyDescent="0.2">
      <c r="D304" s="18"/>
    </row>
    <row r="305" spans="4:4" ht="15.75" customHeight="1" x14ac:dyDescent="0.2">
      <c r="D305" s="18"/>
    </row>
    <row r="306" spans="4:4" ht="15.75" customHeight="1" x14ac:dyDescent="0.2">
      <c r="D306" s="18"/>
    </row>
    <row r="307" spans="4:4" ht="15.75" customHeight="1" x14ac:dyDescent="0.2">
      <c r="D307" s="18"/>
    </row>
    <row r="308" spans="4:4" ht="15.75" customHeight="1" x14ac:dyDescent="0.2">
      <c r="D308" s="18"/>
    </row>
    <row r="309" spans="4:4" ht="15.75" customHeight="1" x14ac:dyDescent="0.2">
      <c r="D309" s="18"/>
    </row>
    <row r="310" spans="4:4" ht="15.75" customHeight="1" x14ac:dyDescent="0.2">
      <c r="D310" s="18"/>
    </row>
    <row r="311" spans="4:4" ht="15.75" customHeight="1" x14ac:dyDescent="0.2">
      <c r="D311" s="18"/>
    </row>
    <row r="312" spans="4:4" ht="15.75" customHeight="1" x14ac:dyDescent="0.2">
      <c r="D312" s="18"/>
    </row>
    <row r="313" spans="4:4" ht="15.75" customHeight="1" x14ac:dyDescent="0.2">
      <c r="D313" s="18"/>
    </row>
    <row r="314" spans="4:4" ht="15.75" customHeight="1" x14ac:dyDescent="0.2">
      <c r="D314" s="18"/>
    </row>
    <row r="315" spans="4:4" ht="15.75" customHeight="1" x14ac:dyDescent="0.2">
      <c r="D315" s="18"/>
    </row>
    <row r="316" spans="4:4" ht="15.75" customHeight="1" x14ac:dyDescent="0.2">
      <c r="D316" s="18"/>
    </row>
    <row r="317" spans="4:4" ht="15.75" customHeight="1" x14ac:dyDescent="0.2"/>
    <row r="318" spans="4:4" ht="15.75" customHeight="1" x14ac:dyDescent="0.2"/>
    <row r="319" spans="4:4" ht="15.75" customHeight="1" x14ac:dyDescent="0.2"/>
    <row r="320" spans="4:4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B1:K1000"/>
  <sheetViews>
    <sheetView workbookViewId="0"/>
  </sheetViews>
  <sheetFormatPr defaultColWidth="12.5703125" defaultRowHeight="15" customHeight="1" x14ac:dyDescent="0.2"/>
  <cols>
    <col min="1" max="6" width="12.5703125" customWidth="1"/>
  </cols>
  <sheetData>
    <row r="1" spans="2:11" ht="15.75" customHeight="1" x14ac:dyDescent="0.2"/>
    <row r="2" spans="2:11" ht="15.75" customHeight="1" x14ac:dyDescent="0.2"/>
    <row r="3" spans="2:11" ht="15.75" customHeight="1" x14ac:dyDescent="0.2"/>
    <row r="4" spans="2:11" ht="15.75" customHeight="1" x14ac:dyDescent="0.2">
      <c r="B4" s="1" t="s">
        <v>98</v>
      </c>
      <c r="C4" s="1" t="s">
        <v>99</v>
      </c>
      <c r="D4" s="1" t="s">
        <v>100</v>
      </c>
      <c r="E4" s="1" t="s">
        <v>101</v>
      </c>
      <c r="F4" s="1" t="s">
        <v>102</v>
      </c>
      <c r="G4" s="1" t="s">
        <v>103</v>
      </c>
      <c r="H4" s="1" t="s">
        <v>104</v>
      </c>
      <c r="I4" s="1" t="s">
        <v>105</v>
      </c>
      <c r="J4" s="1" t="s">
        <v>106</v>
      </c>
      <c r="K4" s="1" t="s">
        <v>107</v>
      </c>
    </row>
    <row r="5" spans="2:11" ht="15.75" customHeight="1" x14ac:dyDescent="0.2">
      <c r="B5" s="1" t="s">
        <v>4</v>
      </c>
      <c r="C5" s="18">
        <v>12876000</v>
      </c>
      <c r="D5" s="18">
        <v>38186000</v>
      </c>
      <c r="E5" s="18">
        <v>52160000</v>
      </c>
      <c r="F5" s="18">
        <v>57481000</v>
      </c>
      <c r="G5" s="18">
        <v>33478500</v>
      </c>
      <c r="H5" s="18">
        <v>19774500</v>
      </c>
      <c r="I5" s="18">
        <v>19759500</v>
      </c>
      <c r="J5" s="18">
        <v>25669100</v>
      </c>
      <c r="K5" s="18">
        <v>21894000</v>
      </c>
    </row>
    <row r="6" spans="2:11" ht="15.75" customHeight="1" x14ac:dyDescent="0.2">
      <c r="B6" s="1" t="s">
        <v>26</v>
      </c>
      <c r="C6" s="18">
        <v>559498.11000000674</v>
      </c>
      <c r="D6" s="18">
        <v>405545.19999998901</v>
      </c>
      <c r="E6" s="18">
        <v>4963083.2200000007</v>
      </c>
      <c r="F6" s="18">
        <v>7081254.5699999873</v>
      </c>
      <c r="G6" s="18">
        <v>3340912.1300000027</v>
      </c>
      <c r="H6" s="18">
        <v>928752.37000000477</v>
      </c>
      <c r="I6" s="18">
        <v>-3045076.84</v>
      </c>
      <c r="J6" s="18">
        <v>-3390375.0500000045</v>
      </c>
      <c r="K6" s="18">
        <v>-549270.9099999998</v>
      </c>
    </row>
    <row r="7" spans="2:11" ht="15.75" customHeight="1" x14ac:dyDescent="0.2">
      <c r="B7" s="1" t="s">
        <v>27</v>
      </c>
      <c r="C7" s="32">
        <v>4.3452788909599777E-2</v>
      </c>
      <c r="D7" s="32">
        <v>1.0620258733566989E-2</v>
      </c>
      <c r="E7" s="32">
        <v>9.5151135352760749E-2</v>
      </c>
      <c r="F7" s="32">
        <v>0.12319296063046897</v>
      </c>
      <c r="G7" s="32">
        <v>9.9792766402317989E-2</v>
      </c>
      <c r="H7" s="32">
        <v>4.6967173379858139E-2</v>
      </c>
      <c r="I7" s="32">
        <v>-0.15410697841544574</v>
      </c>
      <c r="J7" s="32">
        <v>-0.13208001254426546</v>
      </c>
      <c r="K7" s="32">
        <v>-2.5087736822873838E-2</v>
      </c>
    </row>
    <row r="8" spans="2:11" ht="15.75" customHeight="1" x14ac:dyDescent="0.2"/>
    <row r="9" spans="2:11" ht="15.75" customHeight="1" x14ac:dyDescent="0.2"/>
    <row r="10" spans="2:11" ht="15.75" customHeight="1" x14ac:dyDescent="0.2"/>
    <row r="11" spans="2:11" ht="15.75" customHeight="1" x14ac:dyDescent="0.2"/>
    <row r="12" spans="2:11" ht="15.75" customHeight="1" x14ac:dyDescent="0.2">
      <c r="I12" s="33"/>
    </row>
    <row r="13" spans="2:11" ht="15.75" customHeight="1" x14ac:dyDescent="0.2"/>
    <row r="14" spans="2:11" ht="15.75" customHeight="1" x14ac:dyDescent="0.2"/>
    <row r="15" spans="2:11" ht="15.75" customHeight="1" x14ac:dyDescent="0.2"/>
    <row r="16" spans="2:11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D32"/>
    <pageSetUpPr fitToPage="1"/>
  </sheetPr>
  <dimension ref="A1:R1000"/>
  <sheetViews>
    <sheetView showGridLines="0" workbookViewId="0"/>
  </sheetViews>
  <sheetFormatPr defaultColWidth="12.5703125" defaultRowHeight="15" customHeight="1" x14ac:dyDescent="0.2"/>
  <cols>
    <col min="1" max="1" width="2.85546875" customWidth="1"/>
    <col min="2" max="2" width="3.42578125" customWidth="1"/>
    <col min="3" max="3" width="28.140625" customWidth="1"/>
    <col min="4" max="4" width="13.85546875" customWidth="1"/>
    <col min="5" max="16" width="10.42578125" customWidth="1"/>
    <col min="17" max="17" width="12.140625" customWidth="1"/>
    <col min="18" max="18" width="2.85546875" customWidth="1"/>
  </cols>
  <sheetData>
    <row r="1" spans="1:18" ht="15.75" customHeight="1" x14ac:dyDescent="0.35">
      <c r="A1" s="34"/>
      <c r="B1" s="34"/>
      <c r="C1" s="35"/>
      <c r="D1" s="36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6"/>
    </row>
    <row r="2" spans="1:18" ht="15.75" customHeight="1" x14ac:dyDescent="0.35">
      <c r="A2" s="38"/>
      <c r="B2" s="39" t="s">
        <v>108</v>
      </c>
      <c r="C2" s="39"/>
      <c r="D2" s="40"/>
      <c r="E2" s="40"/>
      <c r="F2" s="39"/>
      <c r="G2" s="40"/>
      <c r="H2" s="40"/>
      <c r="I2" s="40"/>
      <c r="J2" s="40"/>
      <c r="K2" s="40"/>
      <c r="L2" s="40"/>
      <c r="M2" s="40"/>
      <c r="N2" s="40"/>
      <c r="O2" s="40"/>
      <c r="P2" s="41"/>
      <c r="Q2" s="42" t="s">
        <v>109</v>
      </c>
      <c r="R2" s="43"/>
    </row>
    <row r="3" spans="1:18" ht="15.75" customHeight="1" x14ac:dyDescent="0.35">
      <c r="A3" s="38"/>
      <c r="B3" s="44"/>
      <c r="C3" s="44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1"/>
      <c r="Q3" s="46" t="s">
        <v>110</v>
      </c>
      <c r="R3" s="43"/>
    </row>
    <row r="4" spans="1:18" ht="15.75" customHeight="1" x14ac:dyDescent="0.35">
      <c r="A4" s="38"/>
      <c r="B4" s="47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3"/>
    </row>
    <row r="5" spans="1:18" ht="15.75" customHeight="1" x14ac:dyDescent="0.35">
      <c r="A5" s="34"/>
      <c r="B5" s="34"/>
      <c r="C5" s="35"/>
      <c r="D5" s="36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6"/>
    </row>
    <row r="6" spans="1:18" ht="15.75" customHeight="1" x14ac:dyDescent="0.35">
      <c r="A6" s="49"/>
      <c r="B6" s="49"/>
      <c r="C6" s="50"/>
      <c r="D6" s="51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1"/>
    </row>
    <row r="7" spans="1:18" ht="15.75" customHeight="1" x14ac:dyDescent="0.35">
      <c r="A7" s="49"/>
      <c r="B7" s="97" t="s">
        <v>111</v>
      </c>
      <c r="C7" s="96"/>
      <c r="D7" s="53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1"/>
    </row>
    <row r="8" spans="1:18" ht="15.75" customHeight="1" x14ac:dyDescent="0.35">
      <c r="A8" s="49"/>
      <c r="B8" s="106" t="b">
        <v>1</v>
      </c>
      <c r="C8" s="100" t="str">
        <f>PROPER(B24)</f>
        <v>Revenue</v>
      </c>
      <c r="D8" s="53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1"/>
    </row>
    <row r="9" spans="1:18" ht="15.75" customHeight="1" x14ac:dyDescent="0.35">
      <c r="A9" s="49"/>
      <c r="B9" s="96"/>
      <c r="C9" s="96"/>
      <c r="D9" s="51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1"/>
    </row>
    <row r="10" spans="1:18" ht="15.75" customHeight="1" x14ac:dyDescent="0.35">
      <c r="A10" s="49"/>
      <c r="B10" s="106" t="b">
        <v>1</v>
      </c>
      <c r="C10" s="100" t="str">
        <f>PROPER(B25)</f>
        <v>Cost Of Goods Sold</v>
      </c>
      <c r="D10" s="51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1"/>
    </row>
    <row r="11" spans="1:18" ht="15.75" customHeight="1" x14ac:dyDescent="0.35">
      <c r="A11" s="49"/>
      <c r="B11" s="96"/>
      <c r="C11" s="96"/>
      <c r="D11" s="54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1"/>
    </row>
    <row r="12" spans="1:18" ht="15.75" customHeight="1" x14ac:dyDescent="0.35">
      <c r="A12" s="49"/>
      <c r="B12" s="106" t="b">
        <v>1</v>
      </c>
      <c r="C12" s="100" t="str">
        <f>PROPER(B26)</f>
        <v>Total Expenses</v>
      </c>
      <c r="D12" s="54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1"/>
    </row>
    <row r="13" spans="1:18" ht="15.75" customHeight="1" x14ac:dyDescent="0.35">
      <c r="A13" s="55"/>
      <c r="B13" s="96"/>
      <c r="C13" s="96"/>
      <c r="D13" s="54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7"/>
    </row>
    <row r="14" spans="1:18" ht="15.75" customHeight="1" x14ac:dyDescent="0.2">
      <c r="A14" s="58"/>
      <c r="B14" s="106" t="b">
        <v>1</v>
      </c>
      <c r="C14" s="100" t="str">
        <f>PROPER(B27)</f>
        <v>Net Profit / Loss</v>
      </c>
      <c r="D14" s="54"/>
      <c r="E14" s="59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1"/>
    </row>
    <row r="15" spans="1:18" ht="15.75" customHeight="1" x14ac:dyDescent="0.35">
      <c r="A15" s="57"/>
      <c r="B15" s="96"/>
      <c r="C15" s="96"/>
      <c r="D15" s="54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3"/>
    </row>
    <row r="16" spans="1:18" ht="21.75" customHeight="1" x14ac:dyDescent="0.35">
      <c r="A16" s="55"/>
      <c r="B16" s="64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53"/>
      <c r="Q16" s="53"/>
      <c r="R16" s="64"/>
    </row>
    <row r="17" spans="1:18" ht="21.75" hidden="1" customHeight="1" x14ac:dyDescent="0.35">
      <c r="A17" s="65"/>
      <c r="B17" s="107" t="s">
        <v>112</v>
      </c>
      <c r="C17" s="96"/>
      <c r="D17" s="66" t="str">
        <f t="shared" ref="D17:O17" si="0">E23</f>
        <v>FEB</v>
      </c>
      <c r="E17" s="66" t="str">
        <f t="shared" si="0"/>
        <v>MAR</v>
      </c>
      <c r="F17" s="66" t="str">
        <f t="shared" si="0"/>
        <v>APR</v>
      </c>
      <c r="G17" s="66" t="str">
        <f t="shared" si="0"/>
        <v>MAY</v>
      </c>
      <c r="H17" s="66" t="str">
        <f t="shared" si="0"/>
        <v>JUN</v>
      </c>
      <c r="I17" s="66" t="str">
        <f t="shared" si="0"/>
        <v>JUL</v>
      </c>
      <c r="J17" s="66" t="str">
        <f t="shared" si="0"/>
        <v>AUG</v>
      </c>
      <c r="K17" s="66" t="str">
        <f t="shared" si="0"/>
        <v>SEP</v>
      </c>
      <c r="L17" s="66" t="str">
        <f t="shared" si="0"/>
        <v>OCT</v>
      </c>
      <c r="M17" s="66" t="str">
        <f t="shared" si="0"/>
        <v>NOV</v>
      </c>
      <c r="N17" s="66" t="str">
        <f t="shared" si="0"/>
        <v>DEC</v>
      </c>
      <c r="O17" s="66" t="str">
        <f t="shared" si="0"/>
        <v>JAN</v>
      </c>
      <c r="P17" s="67"/>
      <c r="Q17" s="67"/>
      <c r="R17" s="65"/>
    </row>
    <row r="18" spans="1:18" ht="21.75" hidden="1" customHeight="1" x14ac:dyDescent="0.35">
      <c r="A18" s="65"/>
      <c r="B18" s="105" t="s">
        <v>74</v>
      </c>
      <c r="C18" s="96"/>
      <c r="D18" s="68">
        <v>87137</v>
      </c>
      <c r="E18" s="68">
        <v>50964</v>
      </c>
      <c r="F18" s="68">
        <v>86259</v>
      </c>
      <c r="G18" s="68">
        <v>79607</v>
      </c>
      <c r="H18" s="68">
        <v>71341</v>
      </c>
      <c r="I18" s="68">
        <v>88114</v>
      </c>
      <c r="J18" s="68">
        <v>59503</v>
      </c>
      <c r="K18" s="68">
        <v>64060</v>
      </c>
      <c r="L18" s="68">
        <v>71160</v>
      </c>
      <c r="M18" s="68">
        <v>60826</v>
      </c>
      <c r="N18" s="68">
        <v>52063</v>
      </c>
      <c r="O18" s="68">
        <v>69167</v>
      </c>
      <c r="P18" s="67"/>
      <c r="Q18" s="67"/>
      <c r="R18" s="65"/>
    </row>
    <row r="19" spans="1:18" ht="21.75" hidden="1" customHeight="1" x14ac:dyDescent="0.35">
      <c r="A19" s="65"/>
      <c r="B19" s="105" t="s">
        <v>157</v>
      </c>
      <c r="C19" s="96"/>
      <c r="D19" s="68">
        <v>33324</v>
      </c>
      <c r="E19" s="68">
        <v>26542</v>
      </c>
      <c r="F19" s="68">
        <v>41047</v>
      </c>
      <c r="G19" s="68">
        <v>29883</v>
      </c>
      <c r="H19" s="68">
        <v>45828</v>
      </c>
      <c r="I19" s="68">
        <v>40046</v>
      </c>
      <c r="J19" s="68">
        <v>38135</v>
      </c>
      <c r="K19" s="68">
        <v>36655</v>
      </c>
      <c r="L19" s="68">
        <v>40328</v>
      </c>
      <c r="M19" s="68">
        <v>32649</v>
      </c>
      <c r="N19" s="68">
        <v>48086</v>
      </c>
      <c r="O19" s="68">
        <v>48494</v>
      </c>
      <c r="P19" s="67"/>
      <c r="Q19" s="67"/>
      <c r="R19" s="65"/>
    </row>
    <row r="20" spans="1:18" ht="21.75" hidden="1" customHeight="1" x14ac:dyDescent="0.35">
      <c r="A20" s="65"/>
      <c r="B20" s="105" t="s">
        <v>158</v>
      </c>
      <c r="C20" s="96"/>
      <c r="D20" s="68">
        <v>18170</v>
      </c>
      <c r="E20" s="68">
        <v>17385</v>
      </c>
      <c r="F20" s="68">
        <v>16587</v>
      </c>
      <c r="G20" s="68">
        <v>18128</v>
      </c>
      <c r="H20" s="68">
        <v>18608</v>
      </c>
      <c r="I20" s="68">
        <v>16934</v>
      </c>
      <c r="J20" s="68">
        <v>16446</v>
      </c>
      <c r="K20" s="68">
        <v>17697</v>
      </c>
      <c r="L20" s="68">
        <v>18155</v>
      </c>
      <c r="M20" s="68">
        <v>17847</v>
      </c>
      <c r="N20" s="68">
        <v>17832</v>
      </c>
      <c r="O20" s="68">
        <v>19582</v>
      </c>
      <c r="P20" s="67"/>
      <c r="Q20" s="67"/>
      <c r="R20" s="65"/>
    </row>
    <row r="21" spans="1:18" ht="21.75" hidden="1" customHeight="1" x14ac:dyDescent="0.35">
      <c r="A21" s="65"/>
      <c r="B21" s="105" t="s">
        <v>159</v>
      </c>
      <c r="C21" s="96"/>
      <c r="D21" s="68">
        <v>35643</v>
      </c>
      <c r="E21" s="68">
        <v>7037</v>
      </c>
      <c r="F21" s="68">
        <v>28625</v>
      </c>
      <c r="G21" s="68">
        <v>31596</v>
      </c>
      <c r="H21" s="68">
        <v>6905</v>
      </c>
      <c r="I21" s="68">
        <v>31134</v>
      </c>
      <c r="J21" s="68">
        <v>4922</v>
      </c>
      <c r="K21" s="68">
        <v>9708</v>
      </c>
      <c r="L21" s="68">
        <v>12677</v>
      </c>
      <c r="M21" s="68">
        <v>10330</v>
      </c>
      <c r="N21" s="68">
        <v>-13855</v>
      </c>
      <c r="O21" s="68">
        <v>1091</v>
      </c>
      <c r="P21" s="67"/>
      <c r="Q21" s="67"/>
      <c r="R21" s="65"/>
    </row>
    <row r="22" spans="1:18" ht="21.75" customHeight="1" x14ac:dyDescent="0.35">
      <c r="A22" s="65"/>
      <c r="B22" s="98"/>
      <c r="C22" s="96"/>
      <c r="D22" s="69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0"/>
      <c r="R22" s="65"/>
    </row>
    <row r="23" spans="1:18" ht="19.5" customHeight="1" x14ac:dyDescent="0.25">
      <c r="A23" s="71"/>
      <c r="B23" s="104" t="s">
        <v>112</v>
      </c>
      <c r="C23" s="96"/>
      <c r="D23" s="72" t="s">
        <v>113</v>
      </c>
      <c r="E23" s="73" t="s">
        <v>114</v>
      </c>
      <c r="F23" s="73" t="s">
        <v>115</v>
      </c>
      <c r="G23" s="73" t="s">
        <v>116</v>
      </c>
      <c r="H23" s="73" t="s">
        <v>117</v>
      </c>
      <c r="I23" s="73" t="s">
        <v>118</v>
      </c>
      <c r="J23" s="73" t="s">
        <v>119</v>
      </c>
      <c r="K23" s="73" t="s">
        <v>120</v>
      </c>
      <c r="L23" s="73" t="s">
        <v>121</v>
      </c>
      <c r="M23" s="73" t="s">
        <v>122</v>
      </c>
      <c r="N23" s="73" t="s">
        <v>123</v>
      </c>
      <c r="O23" s="73" t="s">
        <v>124</v>
      </c>
      <c r="P23" s="73" t="s">
        <v>125</v>
      </c>
      <c r="Q23" s="73" t="s">
        <v>126</v>
      </c>
      <c r="R23" s="74"/>
    </row>
    <row r="24" spans="1:18" ht="19.5" customHeight="1" x14ac:dyDescent="0.35">
      <c r="A24" s="65"/>
      <c r="B24" s="97" t="s">
        <v>127</v>
      </c>
      <c r="C24" s="96"/>
      <c r="D24" s="75" t="str">
        <f ca="1">IFERROR(__xludf.DUMMYFUNCTION("IFERROR(SPARKLINE(E24:P24, {""charttype"",""line"";""color"",""#0000FF"";""empty"",""ignore"";""nan"",""convert""}))"),"")</f>
        <v/>
      </c>
      <c r="E24" s="76">
        <f t="shared" ref="E24:P24" si="1">E34</f>
        <v>87137</v>
      </c>
      <c r="F24" s="76">
        <f t="shared" si="1"/>
        <v>50964</v>
      </c>
      <c r="G24" s="76">
        <f t="shared" si="1"/>
        <v>86259</v>
      </c>
      <c r="H24" s="76">
        <f t="shared" si="1"/>
        <v>79607</v>
      </c>
      <c r="I24" s="76">
        <f t="shared" si="1"/>
        <v>71341</v>
      </c>
      <c r="J24" s="76">
        <f t="shared" si="1"/>
        <v>88114</v>
      </c>
      <c r="K24" s="76">
        <f t="shared" si="1"/>
        <v>59503</v>
      </c>
      <c r="L24" s="76">
        <f t="shared" si="1"/>
        <v>64060</v>
      </c>
      <c r="M24" s="76">
        <f t="shared" si="1"/>
        <v>71160</v>
      </c>
      <c r="N24" s="76">
        <f t="shared" si="1"/>
        <v>60826</v>
      </c>
      <c r="O24" s="76">
        <f t="shared" si="1"/>
        <v>52063</v>
      </c>
      <c r="P24" s="76">
        <f t="shared" si="1"/>
        <v>69167</v>
      </c>
      <c r="Q24" s="76">
        <f t="shared" ref="Q24:Q25" si="2">SUM(E24:P24)</f>
        <v>840201</v>
      </c>
      <c r="R24" s="74"/>
    </row>
    <row r="25" spans="1:18" ht="19.5" customHeight="1" x14ac:dyDescent="0.35">
      <c r="A25" s="65"/>
      <c r="B25" s="102" t="s">
        <v>128</v>
      </c>
      <c r="C25" s="96"/>
      <c r="D25" s="77" t="str">
        <f ca="1">IFERROR(__xludf.DUMMYFUNCTION("IFERROR(SPARKLINE(E25:P25, {""charttype"",""line"";""color"",""#FF0000"";""empty"",""ignore"";""nan"",""convert""}))"),"")</f>
        <v/>
      </c>
      <c r="E25" s="78">
        <f t="shared" ref="E25:P25" si="3">E44</f>
        <v>33324</v>
      </c>
      <c r="F25" s="78">
        <f t="shared" si="3"/>
        <v>26542</v>
      </c>
      <c r="G25" s="78">
        <f t="shared" si="3"/>
        <v>41047</v>
      </c>
      <c r="H25" s="78">
        <f t="shared" si="3"/>
        <v>29883</v>
      </c>
      <c r="I25" s="78">
        <f t="shared" si="3"/>
        <v>45828</v>
      </c>
      <c r="J25" s="78">
        <f t="shared" si="3"/>
        <v>40046</v>
      </c>
      <c r="K25" s="78">
        <f t="shared" si="3"/>
        <v>38135</v>
      </c>
      <c r="L25" s="78">
        <f t="shared" si="3"/>
        <v>36655</v>
      </c>
      <c r="M25" s="78">
        <f t="shared" si="3"/>
        <v>40328</v>
      </c>
      <c r="N25" s="78">
        <f t="shared" si="3"/>
        <v>32649</v>
      </c>
      <c r="O25" s="78">
        <f t="shared" si="3"/>
        <v>48086</v>
      </c>
      <c r="P25" s="78">
        <f t="shared" si="3"/>
        <v>48494</v>
      </c>
      <c r="Q25" s="78">
        <f t="shared" si="2"/>
        <v>461017</v>
      </c>
      <c r="R25" s="65"/>
    </row>
    <row r="26" spans="1:18" ht="19.5" customHeight="1" x14ac:dyDescent="0.35">
      <c r="A26" s="65"/>
      <c r="B26" s="97" t="s">
        <v>129</v>
      </c>
      <c r="C26" s="96"/>
      <c r="D26" s="75" t="str">
        <f ca="1">IFERROR(__xludf.DUMMYFUNCTION("IFERROR(SPARKLINE(E26:P26, {""charttype"",""line"";""color"",""#FF0000"";""empty"",""ignore"";""nan"",""convert""}))"),"")</f>
        <v/>
      </c>
      <c r="E26" s="76">
        <f t="shared" ref="E26:Q26" si="4">E61</f>
        <v>18170</v>
      </c>
      <c r="F26" s="76">
        <f t="shared" si="4"/>
        <v>17385</v>
      </c>
      <c r="G26" s="76">
        <f t="shared" si="4"/>
        <v>16587</v>
      </c>
      <c r="H26" s="76">
        <f t="shared" si="4"/>
        <v>18128</v>
      </c>
      <c r="I26" s="76">
        <f t="shared" si="4"/>
        <v>18608</v>
      </c>
      <c r="J26" s="76">
        <f t="shared" si="4"/>
        <v>16934</v>
      </c>
      <c r="K26" s="76">
        <f t="shared" si="4"/>
        <v>16446</v>
      </c>
      <c r="L26" s="76">
        <f t="shared" si="4"/>
        <v>17697</v>
      </c>
      <c r="M26" s="76">
        <f t="shared" si="4"/>
        <v>18155</v>
      </c>
      <c r="N26" s="76">
        <f t="shared" si="4"/>
        <v>17847</v>
      </c>
      <c r="O26" s="76">
        <f t="shared" si="4"/>
        <v>17832</v>
      </c>
      <c r="P26" s="76">
        <f t="shared" si="4"/>
        <v>19582</v>
      </c>
      <c r="Q26" s="76">
        <f t="shared" si="4"/>
        <v>213371</v>
      </c>
      <c r="R26" s="65"/>
    </row>
    <row r="27" spans="1:18" ht="29.25" customHeight="1" x14ac:dyDescent="0.35">
      <c r="A27" s="65"/>
      <c r="B27" s="102" t="s">
        <v>130</v>
      </c>
      <c r="C27" s="96"/>
      <c r="D27" s="79" t="str">
        <f ca="1">IFERROR(__xludf.DUMMYFUNCTION("IFERROR(SPARKLINE(E27:P27, {""charttype"",""line"";""color"",""#0000FF"";""empty"",""ignore"";""nan"",""convert""}))"),"")</f>
        <v/>
      </c>
      <c r="E27" s="80">
        <f t="shared" ref="E27:Q27" si="5">E63</f>
        <v>35643</v>
      </c>
      <c r="F27" s="80">
        <f t="shared" si="5"/>
        <v>7037</v>
      </c>
      <c r="G27" s="80">
        <f t="shared" si="5"/>
        <v>28625</v>
      </c>
      <c r="H27" s="80">
        <f t="shared" si="5"/>
        <v>31596</v>
      </c>
      <c r="I27" s="80">
        <f t="shared" si="5"/>
        <v>6905</v>
      </c>
      <c r="J27" s="80">
        <f t="shared" si="5"/>
        <v>31134</v>
      </c>
      <c r="K27" s="80">
        <f t="shared" si="5"/>
        <v>4922</v>
      </c>
      <c r="L27" s="80">
        <f t="shared" si="5"/>
        <v>9708</v>
      </c>
      <c r="M27" s="80">
        <f t="shared" si="5"/>
        <v>12677</v>
      </c>
      <c r="N27" s="80">
        <f t="shared" si="5"/>
        <v>10330</v>
      </c>
      <c r="O27" s="80">
        <f t="shared" si="5"/>
        <v>-13855</v>
      </c>
      <c r="P27" s="80">
        <f t="shared" si="5"/>
        <v>1091</v>
      </c>
      <c r="Q27" s="80">
        <f t="shared" si="5"/>
        <v>165813</v>
      </c>
      <c r="R27" s="74"/>
    </row>
    <row r="28" spans="1:18" ht="19.5" customHeight="1" x14ac:dyDescent="0.35">
      <c r="A28" s="65"/>
      <c r="B28" s="98"/>
      <c r="C28" s="96"/>
      <c r="D28" s="81"/>
      <c r="E28" s="82"/>
      <c r="F28" s="82"/>
      <c r="G28" s="82"/>
      <c r="H28" s="82"/>
      <c r="I28" s="82"/>
      <c r="J28" s="82"/>
      <c r="K28" s="82"/>
      <c r="L28" s="82"/>
      <c r="M28" s="82"/>
      <c r="N28" s="82"/>
      <c r="O28" s="82"/>
      <c r="P28" s="82"/>
      <c r="Q28" s="82"/>
      <c r="R28" s="74"/>
    </row>
    <row r="29" spans="1:18" ht="19.5" customHeight="1" x14ac:dyDescent="0.25">
      <c r="A29" s="71"/>
      <c r="B29" s="104" t="s">
        <v>127</v>
      </c>
      <c r="C29" s="96"/>
      <c r="D29" s="72" t="s">
        <v>113</v>
      </c>
      <c r="E29" s="73" t="s">
        <v>114</v>
      </c>
      <c r="F29" s="73" t="s">
        <v>115</v>
      </c>
      <c r="G29" s="73" t="s">
        <v>116</v>
      </c>
      <c r="H29" s="73" t="s">
        <v>117</v>
      </c>
      <c r="I29" s="73" t="s">
        <v>118</v>
      </c>
      <c r="J29" s="73" t="s">
        <v>119</v>
      </c>
      <c r="K29" s="73" t="s">
        <v>120</v>
      </c>
      <c r="L29" s="73" t="s">
        <v>121</v>
      </c>
      <c r="M29" s="73" t="s">
        <v>122</v>
      </c>
      <c r="N29" s="73" t="s">
        <v>123</v>
      </c>
      <c r="O29" s="73" t="s">
        <v>124</v>
      </c>
      <c r="P29" s="73" t="s">
        <v>125</v>
      </c>
      <c r="Q29" s="73" t="s">
        <v>126</v>
      </c>
      <c r="R29" s="74"/>
    </row>
    <row r="30" spans="1:18" ht="19.5" customHeight="1" x14ac:dyDescent="0.35">
      <c r="A30" s="65"/>
      <c r="B30" s="100" t="s">
        <v>131</v>
      </c>
      <c r="C30" s="96"/>
      <c r="D30" s="75" t="str">
        <f ca="1">IFERROR(__xludf.DUMMYFUNCTION("IFERROR(SPARKLINE(E30:P30, {""charttype"",""line"";""color"",""#0000FF"";""empty"",""ignore"";""nan"",""convert""}))"),"")</f>
        <v/>
      </c>
      <c r="E30" s="76">
        <v>89297</v>
      </c>
      <c r="F30" s="76">
        <v>51817</v>
      </c>
      <c r="G30" s="76">
        <v>85600</v>
      </c>
      <c r="H30" s="76">
        <v>80295</v>
      </c>
      <c r="I30" s="76">
        <v>72998</v>
      </c>
      <c r="J30" s="76">
        <v>87088</v>
      </c>
      <c r="K30" s="76">
        <v>61207</v>
      </c>
      <c r="L30" s="76">
        <v>65849</v>
      </c>
      <c r="M30" s="76">
        <v>71072</v>
      </c>
      <c r="N30" s="76">
        <v>61317</v>
      </c>
      <c r="O30" s="76">
        <v>51889</v>
      </c>
      <c r="P30" s="76">
        <v>66560</v>
      </c>
      <c r="Q30" s="76">
        <f t="shared" ref="Q30:Q33" si="6">SUM(E30:P30)</f>
        <v>844989</v>
      </c>
      <c r="R30" s="74"/>
    </row>
    <row r="31" spans="1:18" ht="19.5" customHeight="1" x14ac:dyDescent="0.35">
      <c r="A31" s="65"/>
      <c r="B31" s="95" t="s">
        <v>132</v>
      </c>
      <c r="C31" s="96"/>
      <c r="D31" s="77" t="str">
        <f ca="1">IFERROR(__xludf.DUMMYFUNCTION("IFERROR(SPARKLINE(E31:P31, {""charttype"",""line"";""color"",""#0000FF"";""empty"",""ignore"";""nan"",""convert""}))"),"")</f>
        <v/>
      </c>
      <c r="E31" s="78">
        <v>6857</v>
      </c>
      <c r="F31" s="78">
        <v>7684</v>
      </c>
      <c r="G31" s="78">
        <v>8962</v>
      </c>
      <c r="H31" s="78">
        <v>7541</v>
      </c>
      <c r="I31" s="78">
        <v>6804</v>
      </c>
      <c r="J31" s="78">
        <v>7376</v>
      </c>
      <c r="K31" s="78">
        <v>6711</v>
      </c>
      <c r="L31" s="78">
        <v>5743</v>
      </c>
      <c r="M31" s="78">
        <v>6303</v>
      </c>
      <c r="N31" s="78">
        <v>7988</v>
      </c>
      <c r="O31" s="78">
        <v>7786</v>
      </c>
      <c r="P31" s="78">
        <v>9786</v>
      </c>
      <c r="Q31" s="78">
        <f t="shared" si="6"/>
        <v>89541</v>
      </c>
      <c r="R31" s="74"/>
    </row>
    <row r="32" spans="1:18" ht="19.5" customHeight="1" x14ac:dyDescent="0.35">
      <c r="A32" s="65"/>
      <c r="B32" s="100" t="s">
        <v>133</v>
      </c>
      <c r="C32" s="96"/>
      <c r="D32" s="75" t="str">
        <f ca="1">IFERROR(__xludf.DUMMYFUNCTION("IFERROR(SPARKLINE(E32:P32, {""charttype"",""line"";""color"",""#FF0000"";""empty"",""ignore"";""nan"",""convert""}))"),"")</f>
        <v/>
      </c>
      <c r="E32" s="83">
        <v>-4609</v>
      </c>
      <c r="F32" s="83">
        <v>-4091</v>
      </c>
      <c r="G32" s="83">
        <v>-3785</v>
      </c>
      <c r="H32" s="83">
        <v>-3876</v>
      </c>
      <c r="I32" s="83">
        <v>-4669</v>
      </c>
      <c r="J32" s="83">
        <v>-3339</v>
      </c>
      <c r="K32" s="83">
        <v>-4909</v>
      </c>
      <c r="L32" s="83">
        <v>-3667</v>
      </c>
      <c r="M32" s="83">
        <v>-3013</v>
      </c>
      <c r="N32" s="83">
        <v>-3668</v>
      </c>
      <c r="O32" s="83">
        <v>-4578</v>
      </c>
      <c r="P32" s="83">
        <v>-3476</v>
      </c>
      <c r="Q32" s="83">
        <f t="shared" si="6"/>
        <v>-47680</v>
      </c>
      <c r="R32" s="74"/>
    </row>
    <row r="33" spans="1:18" ht="19.5" customHeight="1" x14ac:dyDescent="0.35">
      <c r="A33" s="65"/>
      <c r="B33" s="95" t="s">
        <v>134</v>
      </c>
      <c r="C33" s="96"/>
      <c r="D33" s="77" t="str">
        <f ca="1">IFERROR(__xludf.DUMMYFUNCTION("IFERROR(SPARKLINE(E33:P33, {""charttype"",""line"";""color"",""#FF0000"";""empty"",""ignore"";""nan"",""convert""}))"),"")</f>
        <v/>
      </c>
      <c r="E33" s="84">
        <v>-4408</v>
      </c>
      <c r="F33" s="84">
        <v>-4446</v>
      </c>
      <c r="G33" s="84">
        <v>-4518</v>
      </c>
      <c r="H33" s="84">
        <v>-4353</v>
      </c>
      <c r="I33" s="84">
        <v>-3792</v>
      </c>
      <c r="J33" s="84">
        <v>-3011</v>
      </c>
      <c r="K33" s="84">
        <v>-3506</v>
      </c>
      <c r="L33" s="84">
        <v>-3865</v>
      </c>
      <c r="M33" s="84">
        <v>-3202</v>
      </c>
      <c r="N33" s="84">
        <v>-4811</v>
      </c>
      <c r="O33" s="84">
        <v>-3034</v>
      </c>
      <c r="P33" s="84">
        <v>-3703</v>
      </c>
      <c r="Q33" s="84">
        <f t="shared" si="6"/>
        <v>-46649</v>
      </c>
      <c r="R33" s="74"/>
    </row>
    <row r="34" spans="1:18" ht="27" customHeight="1" x14ac:dyDescent="0.35">
      <c r="A34" s="65"/>
      <c r="B34" s="97" t="str">
        <f>"TOTAL "&amp;C29</f>
        <v xml:space="preserve">TOTAL </v>
      </c>
      <c r="C34" s="96"/>
      <c r="D34" s="75" t="str">
        <f ca="1">IFERROR(__xludf.DUMMYFUNCTION("IFERROR(SPARKLINE(E34:P34, {""charttype"",""line"";""color"",""#0000FF"";""empty"",""ignore"";""nan"",""convert""}))"),"")</f>
        <v/>
      </c>
      <c r="E34" s="85">
        <f t="shared" ref="E34:Q34" si="7">SUM(E30:E33)</f>
        <v>87137</v>
      </c>
      <c r="F34" s="85">
        <f t="shared" si="7"/>
        <v>50964</v>
      </c>
      <c r="G34" s="85">
        <f t="shared" si="7"/>
        <v>86259</v>
      </c>
      <c r="H34" s="85">
        <f t="shared" si="7"/>
        <v>79607</v>
      </c>
      <c r="I34" s="85">
        <f t="shared" si="7"/>
        <v>71341</v>
      </c>
      <c r="J34" s="85">
        <f t="shared" si="7"/>
        <v>88114</v>
      </c>
      <c r="K34" s="85">
        <f t="shared" si="7"/>
        <v>59503</v>
      </c>
      <c r="L34" s="85">
        <f t="shared" si="7"/>
        <v>64060</v>
      </c>
      <c r="M34" s="85">
        <f t="shared" si="7"/>
        <v>71160</v>
      </c>
      <c r="N34" s="85">
        <f t="shared" si="7"/>
        <v>60826</v>
      </c>
      <c r="O34" s="85">
        <f t="shared" si="7"/>
        <v>52063</v>
      </c>
      <c r="P34" s="85">
        <f t="shared" si="7"/>
        <v>69167</v>
      </c>
      <c r="Q34" s="85">
        <f t="shared" si="7"/>
        <v>840201</v>
      </c>
      <c r="R34" s="74"/>
    </row>
    <row r="35" spans="1:18" ht="19.5" customHeight="1" x14ac:dyDescent="0.35">
      <c r="A35" s="65"/>
      <c r="B35" s="98"/>
      <c r="C35" s="96"/>
      <c r="D35" s="81"/>
      <c r="E35" s="82"/>
      <c r="F35" s="82"/>
      <c r="G35" s="82"/>
      <c r="H35" s="82"/>
      <c r="I35" s="82"/>
      <c r="J35" s="82"/>
      <c r="K35" s="82"/>
      <c r="L35" s="82"/>
      <c r="M35" s="82"/>
      <c r="N35" s="82"/>
      <c r="O35" s="82"/>
      <c r="P35" s="82"/>
      <c r="Q35" s="82"/>
      <c r="R35" s="74"/>
    </row>
    <row r="36" spans="1:18" ht="19.5" customHeight="1" x14ac:dyDescent="0.35">
      <c r="A36" s="65"/>
      <c r="B36" s="104" t="s">
        <v>128</v>
      </c>
      <c r="C36" s="96"/>
      <c r="D36" s="72" t="s">
        <v>113</v>
      </c>
      <c r="E36" s="73" t="s">
        <v>114</v>
      </c>
      <c r="F36" s="73" t="s">
        <v>115</v>
      </c>
      <c r="G36" s="73" t="s">
        <v>116</v>
      </c>
      <c r="H36" s="73" t="s">
        <v>117</v>
      </c>
      <c r="I36" s="73" t="s">
        <v>118</v>
      </c>
      <c r="J36" s="73" t="s">
        <v>119</v>
      </c>
      <c r="K36" s="73" t="s">
        <v>120</v>
      </c>
      <c r="L36" s="73" t="s">
        <v>121</v>
      </c>
      <c r="M36" s="73" t="s">
        <v>122</v>
      </c>
      <c r="N36" s="73" t="s">
        <v>123</v>
      </c>
      <c r="O36" s="73" t="s">
        <v>124</v>
      </c>
      <c r="P36" s="73" t="s">
        <v>125</v>
      </c>
      <c r="Q36" s="73" t="s">
        <v>126</v>
      </c>
      <c r="R36" s="74"/>
    </row>
    <row r="37" spans="1:18" ht="19.5" customHeight="1" x14ac:dyDescent="0.35">
      <c r="A37" s="86"/>
      <c r="B37" s="100" t="s">
        <v>135</v>
      </c>
      <c r="C37" s="96"/>
      <c r="D37" s="75" t="str">
        <f ca="1">IFERROR(__xludf.DUMMYFUNCTION("IFERROR(SPARKLINE(E37:P37, {""charttype"",""line"";""color"",""#FF0000"";""empty"",""ignore"";""nan"",""convert""}))"),"")</f>
        <v/>
      </c>
      <c r="E37" s="76">
        <v>6719</v>
      </c>
      <c r="F37" s="76">
        <v>1884</v>
      </c>
      <c r="G37" s="76">
        <v>7489</v>
      </c>
      <c r="H37" s="76">
        <v>7037</v>
      </c>
      <c r="I37" s="76">
        <v>8340</v>
      </c>
      <c r="J37" s="76">
        <v>8883</v>
      </c>
      <c r="K37" s="76">
        <v>3176</v>
      </c>
      <c r="L37" s="76">
        <v>2715</v>
      </c>
      <c r="M37" s="76">
        <v>7862</v>
      </c>
      <c r="N37" s="76">
        <v>4710</v>
      </c>
      <c r="O37" s="76">
        <v>4158</v>
      </c>
      <c r="P37" s="76">
        <v>9662</v>
      </c>
      <c r="Q37" s="76">
        <f t="shared" ref="Q37:Q43" si="8">SUM(E37:P37)</f>
        <v>72635</v>
      </c>
      <c r="R37" s="74"/>
    </row>
    <row r="38" spans="1:18" ht="19.5" customHeight="1" x14ac:dyDescent="0.35">
      <c r="A38" s="86"/>
      <c r="B38" s="95" t="s">
        <v>136</v>
      </c>
      <c r="C38" s="96"/>
      <c r="D38" s="77" t="str">
        <f ca="1">IFERROR(__xludf.DUMMYFUNCTION("IFERROR(SPARKLINE(E38:P38, {""charttype"",""line"";""color"",""#FF0000"";""empty"",""ignore"";""nan"",""convert""}))"),"")</f>
        <v/>
      </c>
      <c r="E38" s="78">
        <v>6851</v>
      </c>
      <c r="F38" s="78">
        <v>6443</v>
      </c>
      <c r="G38" s="78">
        <v>5265</v>
      </c>
      <c r="H38" s="78">
        <v>3580</v>
      </c>
      <c r="I38" s="78">
        <v>7785</v>
      </c>
      <c r="J38" s="78">
        <v>6300</v>
      </c>
      <c r="K38" s="78">
        <v>1382</v>
      </c>
      <c r="L38" s="78">
        <v>9373</v>
      </c>
      <c r="M38" s="78">
        <v>9652</v>
      </c>
      <c r="N38" s="78">
        <v>3355</v>
      </c>
      <c r="O38" s="78">
        <v>2023</v>
      </c>
      <c r="P38" s="78">
        <v>5143</v>
      </c>
      <c r="Q38" s="78">
        <f t="shared" si="8"/>
        <v>67152</v>
      </c>
      <c r="R38" s="74"/>
    </row>
    <row r="39" spans="1:18" ht="19.5" customHeight="1" x14ac:dyDescent="0.35">
      <c r="A39" s="86"/>
      <c r="B39" s="100" t="s">
        <v>137</v>
      </c>
      <c r="C39" s="96"/>
      <c r="D39" s="75" t="str">
        <f ca="1">IFERROR(__xludf.DUMMYFUNCTION("IFERROR(SPARKLINE(E39:P39, {""charttype"",""line"";""color"",""#FF0000"";""empty"",""ignore"";""nan"",""convert""}))"),"")</f>
        <v/>
      </c>
      <c r="E39" s="76">
        <v>3189</v>
      </c>
      <c r="F39" s="76">
        <v>3753</v>
      </c>
      <c r="G39" s="76">
        <v>3192</v>
      </c>
      <c r="H39" s="76">
        <v>1533</v>
      </c>
      <c r="I39" s="76">
        <v>7499</v>
      </c>
      <c r="J39" s="76">
        <v>3980</v>
      </c>
      <c r="K39" s="76">
        <v>7884</v>
      </c>
      <c r="L39" s="76">
        <v>9727</v>
      </c>
      <c r="M39" s="76">
        <v>5852</v>
      </c>
      <c r="N39" s="76">
        <v>6705</v>
      </c>
      <c r="O39" s="76">
        <v>9774</v>
      </c>
      <c r="P39" s="76">
        <v>6065</v>
      </c>
      <c r="Q39" s="76">
        <f t="shared" si="8"/>
        <v>69153</v>
      </c>
      <c r="R39" s="74"/>
    </row>
    <row r="40" spans="1:18" ht="19.5" customHeight="1" x14ac:dyDescent="0.35">
      <c r="A40" s="86"/>
      <c r="B40" s="95" t="s">
        <v>138</v>
      </c>
      <c r="C40" s="96"/>
      <c r="D40" s="77" t="str">
        <f ca="1">IFERROR(__xludf.DUMMYFUNCTION("IFERROR(SPARKLINE(E40:P40, {""charttype"",""line"";""color"",""#FF0000"";""empty"",""ignore"";""nan"",""convert""}))"),"")</f>
        <v/>
      </c>
      <c r="E40" s="78">
        <v>3499</v>
      </c>
      <c r="F40" s="78">
        <v>5245</v>
      </c>
      <c r="G40" s="78">
        <v>6343</v>
      </c>
      <c r="H40" s="78">
        <v>5148</v>
      </c>
      <c r="I40" s="78">
        <v>2413</v>
      </c>
      <c r="J40" s="78">
        <v>6877</v>
      </c>
      <c r="K40" s="78">
        <v>7859</v>
      </c>
      <c r="L40" s="78">
        <v>2460</v>
      </c>
      <c r="M40" s="78">
        <v>3712</v>
      </c>
      <c r="N40" s="78">
        <v>7415</v>
      </c>
      <c r="O40" s="78">
        <v>9736</v>
      </c>
      <c r="P40" s="78">
        <v>7735</v>
      </c>
      <c r="Q40" s="78">
        <f t="shared" si="8"/>
        <v>68442</v>
      </c>
      <c r="R40" s="74"/>
    </row>
    <row r="41" spans="1:18" ht="19.5" customHeight="1" x14ac:dyDescent="0.35">
      <c r="A41" s="86"/>
      <c r="B41" s="100" t="s">
        <v>139</v>
      </c>
      <c r="C41" s="96"/>
      <c r="D41" s="75" t="str">
        <f ca="1">IFERROR(__xludf.DUMMYFUNCTION("IFERROR(SPARKLINE(E41:P41, {""charttype"",""line"";""color"",""#FF0000"";""empty"",""ignore"";""nan"",""convert""}))"),"")</f>
        <v/>
      </c>
      <c r="E41" s="76">
        <v>2487</v>
      </c>
      <c r="F41" s="76">
        <v>4367</v>
      </c>
      <c r="G41" s="76">
        <v>8972</v>
      </c>
      <c r="H41" s="76">
        <v>3694</v>
      </c>
      <c r="I41" s="76">
        <v>8480</v>
      </c>
      <c r="J41" s="76">
        <v>4447</v>
      </c>
      <c r="K41" s="76">
        <v>8393</v>
      </c>
      <c r="L41" s="76">
        <v>2514</v>
      </c>
      <c r="M41" s="76">
        <v>2780</v>
      </c>
      <c r="N41" s="76">
        <v>4581</v>
      </c>
      <c r="O41" s="76">
        <v>5776</v>
      </c>
      <c r="P41" s="76">
        <v>4491</v>
      </c>
      <c r="Q41" s="76">
        <f t="shared" si="8"/>
        <v>60982</v>
      </c>
      <c r="R41" s="74"/>
    </row>
    <row r="42" spans="1:18" ht="19.5" customHeight="1" x14ac:dyDescent="0.35">
      <c r="A42" s="65"/>
      <c r="B42" s="95" t="s">
        <v>140</v>
      </c>
      <c r="C42" s="96"/>
      <c r="D42" s="77" t="str">
        <f ca="1">IFERROR(__xludf.DUMMYFUNCTION("IFERROR(SPARKLINE(E42:P42, {""charttype"",""line"";""color"",""#FF0000"";""empty"",""ignore"";""nan"",""convert""}))"),"")</f>
        <v/>
      </c>
      <c r="E42" s="78">
        <v>6386</v>
      </c>
      <c r="F42" s="78">
        <v>1698</v>
      </c>
      <c r="G42" s="78">
        <v>3679</v>
      </c>
      <c r="H42" s="78">
        <v>3804</v>
      </c>
      <c r="I42" s="78">
        <v>8444</v>
      </c>
      <c r="J42" s="78">
        <v>5668</v>
      </c>
      <c r="K42" s="78">
        <v>4213</v>
      </c>
      <c r="L42" s="78">
        <v>5510</v>
      </c>
      <c r="M42" s="78">
        <v>9444</v>
      </c>
      <c r="N42" s="78">
        <v>2250</v>
      </c>
      <c r="O42" s="78">
        <v>6882</v>
      </c>
      <c r="P42" s="78">
        <v>9579</v>
      </c>
      <c r="Q42" s="78">
        <f t="shared" si="8"/>
        <v>67557</v>
      </c>
      <c r="R42" s="74"/>
    </row>
    <row r="43" spans="1:18" ht="19.5" customHeight="1" x14ac:dyDescent="0.35">
      <c r="A43" s="65"/>
      <c r="B43" s="100" t="s">
        <v>141</v>
      </c>
      <c r="C43" s="96"/>
      <c r="D43" s="75" t="str">
        <f ca="1">IFERROR(__xludf.DUMMYFUNCTION("IFERROR(SPARKLINE(E43:P43, {""charttype"",""line"";""color"",""#FF0000"";""empty"",""ignore"";""nan"",""convert""}))"),"")</f>
        <v/>
      </c>
      <c r="E43" s="76">
        <v>4193</v>
      </c>
      <c r="F43" s="76">
        <v>3152</v>
      </c>
      <c r="G43" s="76">
        <v>6107</v>
      </c>
      <c r="H43" s="76">
        <v>5087</v>
      </c>
      <c r="I43" s="76">
        <v>2867</v>
      </c>
      <c r="J43" s="76">
        <v>3891</v>
      </c>
      <c r="K43" s="76">
        <v>5228</v>
      </c>
      <c r="L43" s="76">
        <v>4356</v>
      </c>
      <c r="M43" s="76">
        <v>1026</v>
      </c>
      <c r="N43" s="76">
        <v>3633</v>
      </c>
      <c r="O43" s="76">
        <v>9737</v>
      </c>
      <c r="P43" s="76">
        <v>5819</v>
      </c>
      <c r="Q43" s="76">
        <f t="shared" si="8"/>
        <v>55096</v>
      </c>
      <c r="R43" s="74"/>
    </row>
    <row r="44" spans="1:18" ht="19.5" customHeight="1" x14ac:dyDescent="0.35">
      <c r="A44" s="65"/>
      <c r="B44" s="102" t="str">
        <f>"TOTAL "&amp;C36</f>
        <v xml:space="preserve">TOTAL </v>
      </c>
      <c r="C44" s="96"/>
      <c r="D44" s="77" t="str">
        <f ca="1">IFERROR(__xludf.DUMMYFUNCTION("IFERROR(SPARKLINE(E44:P44, {""charttype"",""line"";""color"",""#FF0000"";""empty"",""ignore"";""nan"",""convert""}))"),"")</f>
        <v/>
      </c>
      <c r="E44" s="80">
        <f t="shared" ref="E44:Q44" si="9">SUM(E37:E43)</f>
        <v>33324</v>
      </c>
      <c r="F44" s="80">
        <f t="shared" si="9"/>
        <v>26542</v>
      </c>
      <c r="G44" s="80">
        <f t="shared" si="9"/>
        <v>41047</v>
      </c>
      <c r="H44" s="80">
        <f t="shared" si="9"/>
        <v>29883</v>
      </c>
      <c r="I44" s="80">
        <f t="shared" si="9"/>
        <v>45828</v>
      </c>
      <c r="J44" s="80">
        <f t="shared" si="9"/>
        <v>40046</v>
      </c>
      <c r="K44" s="80">
        <f t="shared" si="9"/>
        <v>38135</v>
      </c>
      <c r="L44" s="80">
        <f t="shared" si="9"/>
        <v>36655</v>
      </c>
      <c r="M44" s="80">
        <f t="shared" si="9"/>
        <v>40328</v>
      </c>
      <c r="N44" s="80">
        <f t="shared" si="9"/>
        <v>32649</v>
      </c>
      <c r="O44" s="80">
        <f t="shared" si="9"/>
        <v>48086</v>
      </c>
      <c r="P44" s="80">
        <f t="shared" si="9"/>
        <v>48494</v>
      </c>
      <c r="Q44" s="80">
        <f t="shared" si="9"/>
        <v>461017</v>
      </c>
      <c r="R44" s="74"/>
    </row>
    <row r="45" spans="1:18" ht="19.5" customHeight="1" x14ac:dyDescent="0.35">
      <c r="A45" s="65"/>
      <c r="B45" s="98"/>
      <c r="C45" s="96"/>
      <c r="D45" s="81"/>
      <c r="E45" s="82"/>
      <c r="F45" s="82"/>
      <c r="G45" s="82"/>
      <c r="H45" s="82"/>
      <c r="I45" s="82"/>
      <c r="J45" s="82"/>
      <c r="K45" s="82"/>
      <c r="L45" s="82"/>
      <c r="M45" s="82"/>
      <c r="N45" s="82"/>
      <c r="O45" s="82"/>
      <c r="P45" s="82"/>
      <c r="Q45" s="82"/>
      <c r="R45" s="74"/>
    </row>
    <row r="46" spans="1:18" ht="19.5" customHeight="1" x14ac:dyDescent="0.35">
      <c r="A46" s="65"/>
      <c r="B46" s="103" t="s">
        <v>142</v>
      </c>
      <c r="C46" s="96"/>
      <c r="D46" s="87" t="str">
        <f ca="1">IFERROR(__xludf.DUMMYFUNCTION("IFERROR(SPARKLINE(E46:P46, {""charttype"",""line"";""color"",""#0000FF"";""empty"",""ignore"";""nan"",""convert""}))"),"")</f>
        <v/>
      </c>
      <c r="E46" s="88">
        <f t="shared" ref="E46:Q46" si="10">E34-E44</f>
        <v>53813</v>
      </c>
      <c r="F46" s="88">
        <f t="shared" si="10"/>
        <v>24422</v>
      </c>
      <c r="G46" s="88">
        <f t="shared" si="10"/>
        <v>45212</v>
      </c>
      <c r="H46" s="88">
        <f t="shared" si="10"/>
        <v>49724</v>
      </c>
      <c r="I46" s="88">
        <f t="shared" si="10"/>
        <v>25513</v>
      </c>
      <c r="J46" s="88">
        <f t="shared" si="10"/>
        <v>48068</v>
      </c>
      <c r="K46" s="88">
        <f t="shared" si="10"/>
        <v>21368</v>
      </c>
      <c r="L46" s="88">
        <f t="shared" si="10"/>
        <v>27405</v>
      </c>
      <c r="M46" s="88">
        <f t="shared" si="10"/>
        <v>30832</v>
      </c>
      <c r="N46" s="88">
        <f t="shared" si="10"/>
        <v>28177</v>
      </c>
      <c r="O46" s="88">
        <f t="shared" si="10"/>
        <v>3977</v>
      </c>
      <c r="P46" s="88">
        <f t="shared" si="10"/>
        <v>20673</v>
      </c>
      <c r="Q46" s="88">
        <f t="shared" si="10"/>
        <v>379184</v>
      </c>
      <c r="R46" s="74"/>
    </row>
    <row r="47" spans="1:18" ht="19.5" customHeight="1" x14ac:dyDescent="0.35">
      <c r="A47" s="65"/>
      <c r="B47" s="98"/>
      <c r="C47" s="96"/>
      <c r="D47" s="81"/>
      <c r="E47" s="89"/>
      <c r="F47" s="89"/>
      <c r="G47" s="89"/>
      <c r="H47" s="89"/>
      <c r="I47" s="89"/>
      <c r="J47" s="89"/>
      <c r="K47" s="89"/>
      <c r="L47" s="89"/>
      <c r="M47" s="89"/>
      <c r="N47" s="89"/>
      <c r="O47" s="89"/>
      <c r="P47" s="89"/>
      <c r="Q47" s="89"/>
      <c r="R47" s="74"/>
    </row>
    <row r="48" spans="1:18" ht="19.5" customHeight="1" x14ac:dyDescent="0.35">
      <c r="A48" s="65"/>
      <c r="B48" s="101" t="s">
        <v>143</v>
      </c>
      <c r="C48" s="96"/>
      <c r="D48" s="72" t="s">
        <v>113</v>
      </c>
      <c r="E48" s="73" t="s">
        <v>125</v>
      </c>
      <c r="F48" s="73" t="s">
        <v>114</v>
      </c>
      <c r="G48" s="73" t="s">
        <v>115</v>
      </c>
      <c r="H48" s="73" t="s">
        <v>116</v>
      </c>
      <c r="I48" s="73" t="s">
        <v>117</v>
      </c>
      <c r="J48" s="73" t="s">
        <v>118</v>
      </c>
      <c r="K48" s="73" t="s">
        <v>119</v>
      </c>
      <c r="L48" s="73" t="s">
        <v>120</v>
      </c>
      <c r="M48" s="73" t="s">
        <v>121</v>
      </c>
      <c r="N48" s="73" t="s">
        <v>122</v>
      </c>
      <c r="O48" s="73" t="s">
        <v>123</v>
      </c>
      <c r="P48" s="73" t="s">
        <v>124</v>
      </c>
      <c r="Q48" s="73" t="s">
        <v>126</v>
      </c>
      <c r="R48" s="74"/>
    </row>
    <row r="49" spans="1:18" ht="19.5" customHeight="1" x14ac:dyDescent="0.35">
      <c r="A49" s="86"/>
      <c r="B49" s="100" t="s">
        <v>144</v>
      </c>
      <c r="C49" s="96"/>
      <c r="D49" s="75" t="str">
        <f ca="1">IFERROR(__xludf.DUMMYFUNCTION("IFERROR(SPARKLINE(E49:P49, {""charttype"",""line"";""color"",""#FF0000"";""empty"",""ignore"";""nan"",""convert""}))"),"")</f>
        <v/>
      </c>
      <c r="E49" s="76">
        <v>1951</v>
      </c>
      <c r="F49" s="76">
        <v>1114</v>
      </c>
      <c r="G49" s="76">
        <v>1619</v>
      </c>
      <c r="H49" s="76">
        <v>1862</v>
      </c>
      <c r="I49" s="76">
        <v>1027</v>
      </c>
      <c r="J49" s="76">
        <v>1105</v>
      </c>
      <c r="K49" s="76">
        <v>1872</v>
      </c>
      <c r="L49" s="76">
        <v>1167</v>
      </c>
      <c r="M49" s="76">
        <v>1053</v>
      </c>
      <c r="N49" s="76">
        <v>1111</v>
      </c>
      <c r="O49" s="76">
        <v>1335</v>
      </c>
      <c r="P49" s="76">
        <v>1682</v>
      </c>
      <c r="Q49" s="76">
        <f t="shared" ref="Q49:Q60" si="11">SUM(E49:P49)</f>
        <v>16898</v>
      </c>
      <c r="R49" s="74"/>
    </row>
    <row r="50" spans="1:18" ht="19.5" customHeight="1" x14ac:dyDescent="0.35">
      <c r="A50" s="86"/>
      <c r="B50" s="95" t="s">
        <v>145</v>
      </c>
      <c r="C50" s="96"/>
      <c r="D50" s="77" t="str">
        <f ca="1">IFERROR(__xludf.DUMMYFUNCTION("IFERROR(SPARKLINE(E50:P50, {""charttype"",""line"";""color"",""#FF0000"";""empty"",""ignore"";""nan"",""convert""}))"),"")</f>
        <v/>
      </c>
      <c r="E50" s="78">
        <v>1227</v>
      </c>
      <c r="F50" s="78">
        <v>1794</v>
      </c>
      <c r="G50" s="78">
        <v>1548</v>
      </c>
      <c r="H50" s="78">
        <v>1796</v>
      </c>
      <c r="I50" s="78">
        <v>1209</v>
      </c>
      <c r="J50" s="78">
        <v>1828</v>
      </c>
      <c r="K50" s="78">
        <v>1390</v>
      </c>
      <c r="L50" s="78">
        <v>1846</v>
      </c>
      <c r="M50" s="78">
        <v>1704</v>
      </c>
      <c r="N50" s="78">
        <v>1900</v>
      </c>
      <c r="O50" s="78">
        <v>1087</v>
      </c>
      <c r="P50" s="78">
        <v>1749</v>
      </c>
      <c r="Q50" s="78">
        <f t="shared" si="11"/>
        <v>19078</v>
      </c>
      <c r="R50" s="74"/>
    </row>
    <row r="51" spans="1:18" ht="19.5" customHeight="1" x14ac:dyDescent="0.35">
      <c r="A51" s="86"/>
      <c r="B51" s="100" t="s">
        <v>146</v>
      </c>
      <c r="C51" s="96"/>
      <c r="D51" s="75" t="str">
        <f ca="1">IFERROR(__xludf.DUMMYFUNCTION("IFERROR(SPARKLINE(E51:P51, {""charttype"",""line"";""color"",""#FF0000"";""empty"",""ignore"";""nan"",""convert""}))"),"")</f>
        <v/>
      </c>
      <c r="E51" s="76">
        <v>1442</v>
      </c>
      <c r="F51" s="76">
        <v>1537</v>
      </c>
      <c r="G51" s="76">
        <v>1238</v>
      </c>
      <c r="H51" s="76">
        <v>1836</v>
      </c>
      <c r="I51" s="76">
        <v>1981</v>
      </c>
      <c r="J51" s="76">
        <v>1219</v>
      </c>
      <c r="K51" s="76">
        <v>1244</v>
      </c>
      <c r="L51" s="76">
        <v>1596</v>
      </c>
      <c r="M51" s="76">
        <v>1270</v>
      </c>
      <c r="N51" s="76">
        <v>1288</v>
      </c>
      <c r="O51" s="76">
        <v>1935</v>
      </c>
      <c r="P51" s="76">
        <v>1975</v>
      </c>
      <c r="Q51" s="76">
        <f t="shared" si="11"/>
        <v>18561</v>
      </c>
      <c r="R51" s="74"/>
    </row>
    <row r="52" spans="1:18" ht="19.5" customHeight="1" x14ac:dyDescent="0.35">
      <c r="A52" s="86"/>
      <c r="B52" s="95" t="s">
        <v>147</v>
      </c>
      <c r="C52" s="96"/>
      <c r="D52" s="77" t="str">
        <f ca="1">IFERROR(__xludf.DUMMYFUNCTION("IFERROR(SPARKLINE(E52:P52, {""charttype"",""line"";""color"",""#FF0000"";""empty"",""ignore"";""nan"",""convert""}))"),"")</f>
        <v/>
      </c>
      <c r="E52" s="78">
        <v>1157</v>
      </c>
      <c r="F52" s="78">
        <v>1389</v>
      </c>
      <c r="G52" s="78">
        <v>1033</v>
      </c>
      <c r="H52" s="78">
        <v>1177</v>
      </c>
      <c r="I52" s="78">
        <v>1825</v>
      </c>
      <c r="J52" s="78">
        <v>1950</v>
      </c>
      <c r="K52" s="78">
        <v>1252</v>
      </c>
      <c r="L52" s="78">
        <v>1417</v>
      </c>
      <c r="M52" s="78">
        <v>1050</v>
      </c>
      <c r="N52" s="78">
        <v>1585</v>
      </c>
      <c r="O52" s="78">
        <v>1227</v>
      </c>
      <c r="P52" s="78">
        <v>1613</v>
      </c>
      <c r="Q52" s="78">
        <f t="shared" si="11"/>
        <v>16675</v>
      </c>
      <c r="R52" s="74"/>
    </row>
    <row r="53" spans="1:18" ht="19.5" customHeight="1" x14ac:dyDescent="0.35">
      <c r="A53" s="86"/>
      <c r="B53" s="100" t="s">
        <v>148</v>
      </c>
      <c r="C53" s="96"/>
      <c r="D53" s="75" t="str">
        <f ca="1">IFERROR(__xludf.DUMMYFUNCTION("IFERROR(SPARKLINE(E53:P53, {""charttype"",""line"";""color"",""#FF0000"";""empty"",""ignore"";""nan"",""convert""}))"),"")</f>
        <v/>
      </c>
      <c r="E53" s="76">
        <v>1639</v>
      </c>
      <c r="F53" s="76">
        <v>1035</v>
      </c>
      <c r="G53" s="76">
        <v>1408</v>
      </c>
      <c r="H53" s="76">
        <v>1039</v>
      </c>
      <c r="I53" s="76">
        <v>1218</v>
      </c>
      <c r="J53" s="76">
        <v>1472</v>
      </c>
      <c r="K53" s="76">
        <v>1024</v>
      </c>
      <c r="L53" s="76">
        <v>1185</v>
      </c>
      <c r="M53" s="76">
        <v>1743</v>
      </c>
      <c r="N53" s="76">
        <v>1316</v>
      </c>
      <c r="O53" s="76">
        <v>1934</v>
      </c>
      <c r="P53" s="76">
        <v>1893</v>
      </c>
      <c r="Q53" s="76">
        <f t="shared" si="11"/>
        <v>16906</v>
      </c>
      <c r="R53" s="74"/>
    </row>
    <row r="54" spans="1:18" ht="19.5" customHeight="1" x14ac:dyDescent="0.35">
      <c r="A54" s="86"/>
      <c r="B54" s="95" t="s">
        <v>149</v>
      </c>
      <c r="C54" s="96"/>
      <c r="D54" s="77" t="str">
        <f ca="1">IFERROR(__xludf.DUMMYFUNCTION("IFERROR(SPARKLINE(E54:P54, {""charttype"",""line"";""color"",""#FF0000"";""empty"",""ignore"";""nan"",""convert""}))"),"")</f>
        <v/>
      </c>
      <c r="E54" s="78">
        <v>1799</v>
      </c>
      <c r="F54" s="78">
        <v>1936</v>
      </c>
      <c r="G54" s="78">
        <v>1118</v>
      </c>
      <c r="H54" s="78">
        <v>1305</v>
      </c>
      <c r="I54" s="78">
        <v>1194</v>
      </c>
      <c r="J54" s="78">
        <v>1519</v>
      </c>
      <c r="K54" s="78">
        <v>1008</v>
      </c>
      <c r="L54" s="78">
        <v>1001</v>
      </c>
      <c r="M54" s="78">
        <v>1919</v>
      </c>
      <c r="N54" s="78">
        <v>1213</v>
      </c>
      <c r="O54" s="78">
        <v>1055</v>
      </c>
      <c r="P54" s="78">
        <v>1896</v>
      </c>
      <c r="Q54" s="78">
        <f t="shared" si="11"/>
        <v>16963</v>
      </c>
      <c r="R54" s="74"/>
    </row>
    <row r="55" spans="1:18" ht="19.5" customHeight="1" x14ac:dyDescent="0.35">
      <c r="A55" s="86"/>
      <c r="B55" s="100" t="s">
        <v>150</v>
      </c>
      <c r="C55" s="96"/>
      <c r="D55" s="75" t="str">
        <f ca="1">IFERROR(__xludf.DUMMYFUNCTION("IFERROR(SPARKLINE(E55:P55, {""charttype"",""line"";""color"",""#FF0000"";""empty"",""ignore"";""nan"",""convert""}))"),"")</f>
        <v/>
      </c>
      <c r="E55" s="76">
        <v>1707</v>
      </c>
      <c r="F55" s="76">
        <v>1030</v>
      </c>
      <c r="G55" s="76">
        <v>1654</v>
      </c>
      <c r="H55" s="76">
        <v>1250</v>
      </c>
      <c r="I55" s="76">
        <v>1679</v>
      </c>
      <c r="J55" s="76">
        <v>1181</v>
      </c>
      <c r="K55" s="76">
        <v>1692</v>
      </c>
      <c r="L55" s="76">
        <v>1363</v>
      </c>
      <c r="M55" s="76">
        <v>1722</v>
      </c>
      <c r="N55" s="76">
        <v>1204</v>
      </c>
      <c r="O55" s="76">
        <v>1065</v>
      </c>
      <c r="P55" s="76">
        <v>1953</v>
      </c>
      <c r="Q55" s="76">
        <f t="shared" si="11"/>
        <v>17500</v>
      </c>
      <c r="R55" s="74"/>
    </row>
    <row r="56" spans="1:18" ht="19.5" customHeight="1" x14ac:dyDescent="0.35">
      <c r="A56" s="86"/>
      <c r="B56" s="95" t="s">
        <v>151</v>
      </c>
      <c r="C56" s="96"/>
      <c r="D56" s="77" t="str">
        <f ca="1">IFERROR(__xludf.DUMMYFUNCTION("IFERROR(SPARKLINE(E56:P56, {""charttype"",""line"";""color"",""#FF0000"";""empty"",""ignore"";""nan"",""convert""}))"),"")</f>
        <v/>
      </c>
      <c r="E56" s="78">
        <v>1434</v>
      </c>
      <c r="F56" s="78">
        <v>1415</v>
      </c>
      <c r="G56" s="78">
        <v>1240</v>
      </c>
      <c r="H56" s="78">
        <v>1713</v>
      </c>
      <c r="I56" s="78">
        <v>1868</v>
      </c>
      <c r="J56" s="78">
        <v>1309</v>
      </c>
      <c r="K56" s="78">
        <v>1454</v>
      </c>
      <c r="L56" s="78">
        <v>1968</v>
      </c>
      <c r="M56" s="78">
        <v>1989</v>
      </c>
      <c r="N56" s="78">
        <v>1706</v>
      </c>
      <c r="O56" s="78">
        <v>1606</v>
      </c>
      <c r="P56" s="78">
        <v>1129</v>
      </c>
      <c r="Q56" s="78">
        <f t="shared" si="11"/>
        <v>18831</v>
      </c>
      <c r="R56" s="74"/>
    </row>
    <row r="57" spans="1:18" ht="19.5" customHeight="1" x14ac:dyDescent="0.35">
      <c r="A57" s="86"/>
      <c r="B57" s="100" t="s">
        <v>152</v>
      </c>
      <c r="C57" s="96"/>
      <c r="D57" s="75" t="str">
        <f ca="1">IFERROR(__xludf.DUMMYFUNCTION("IFERROR(SPARKLINE(E57:P57, {""charttype"",""line"";""color"",""#FF0000"";""empty"",""ignore"";""nan"",""convert""}))"),"")</f>
        <v/>
      </c>
      <c r="E57" s="76">
        <v>1304</v>
      </c>
      <c r="F57" s="76">
        <v>1915</v>
      </c>
      <c r="G57" s="76">
        <v>1401</v>
      </c>
      <c r="H57" s="76">
        <v>1482</v>
      </c>
      <c r="I57" s="76">
        <v>1465</v>
      </c>
      <c r="J57" s="76">
        <v>1145</v>
      </c>
      <c r="K57" s="76">
        <v>1059</v>
      </c>
      <c r="L57" s="76">
        <v>1900</v>
      </c>
      <c r="M57" s="76">
        <v>1382</v>
      </c>
      <c r="N57" s="76">
        <v>1931</v>
      </c>
      <c r="O57" s="76">
        <v>1961</v>
      </c>
      <c r="P57" s="76">
        <v>1556</v>
      </c>
      <c r="Q57" s="76">
        <f t="shared" si="11"/>
        <v>18501</v>
      </c>
      <c r="R57" s="74"/>
    </row>
    <row r="58" spans="1:18" ht="19.5" customHeight="1" x14ac:dyDescent="0.35">
      <c r="A58" s="86"/>
      <c r="B58" s="95" t="s">
        <v>153</v>
      </c>
      <c r="C58" s="96"/>
      <c r="D58" s="77" t="str">
        <f ca="1">IFERROR(__xludf.DUMMYFUNCTION("IFERROR(SPARKLINE(E58:P58, {""charttype"",""line"";""color"",""#FF0000"";""empty"",""ignore"";""nan"",""convert""}))"),"")</f>
        <v/>
      </c>
      <c r="E58" s="78">
        <v>1393</v>
      </c>
      <c r="F58" s="78">
        <v>1014</v>
      </c>
      <c r="G58" s="78">
        <v>1563</v>
      </c>
      <c r="H58" s="78">
        <v>1551</v>
      </c>
      <c r="I58" s="78">
        <v>1882</v>
      </c>
      <c r="J58" s="78">
        <v>1385</v>
      </c>
      <c r="K58" s="78">
        <v>1264</v>
      </c>
      <c r="L58" s="78">
        <v>1028</v>
      </c>
      <c r="M58" s="78">
        <v>1120</v>
      </c>
      <c r="N58" s="78">
        <v>1271</v>
      </c>
      <c r="O58" s="78">
        <v>1677</v>
      </c>
      <c r="P58" s="78">
        <v>1339</v>
      </c>
      <c r="Q58" s="78">
        <f t="shared" si="11"/>
        <v>16487</v>
      </c>
      <c r="R58" s="74"/>
    </row>
    <row r="59" spans="1:18" ht="19.5" customHeight="1" x14ac:dyDescent="0.35">
      <c r="A59" s="86"/>
      <c r="B59" s="100" t="s">
        <v>154</v>
      </c>
      <c r="C59" s="96"/>
      <c r="D59" s="75" t="str">
        <f ca="1">IFERROR(__xludf.DUMMYFUNCTION("IFERROR(SPARKLINE(E59:P59, {""charttype"",""line"";""color"",""#FF0000"";""empty"",""ignore"";""nan"",""convert""}))"),"")</f>
        <v/>
      </c>
      <c r="E59" s="76">
        <v>1655</v>
      </c>
      <c r="F59" s="76">
        <v>1583</v>
      </c>
      <c r="G59" s="76">
        <v>1635</v>
      </c>
      <c r="H59" s="76">
        <v>1721</v>
      </c>
      <c r="I59" s="76">
        <v>1439</v>
      </c>
      <c r="J59" s="76">
        <v>1808</v>
      </c>
      <c r="K59" s="76">
        <v>1228</v>
      </c>
      <c r="L59" s="76">
        <v>1337</v>
      </c>
      <c r="M59" s="76">
        <v>1379</v>
      </c>
      <c r="N59" s="76">
        <v>1725</v>
      </c>
      <c r="O59" s="76">
        <v>1057</v>
      </c>
      <c r="P59" s="76">
        <v>1707</v>
      </c>
      <c r="Q59" s="76">
        <f t="shared" si="11"/>
        <v>18274</v>
      </c>
      <c r="R59" s="74"/>
    </row>
    <row r="60" spans="1:18" ht="19.5" customHeight="1" x14ac:dyDescent="0.35">
      <c r="A60" s="86"/>
      <c r="B60" s="95" t="s">
        <v>155</v>
      </c>
      <c r="C60" s="96"/>
      <c r="D60" s="77" t="str">
        <f ca="1">IFERROR(__xludf.DUMMYFUNCTION("IFERROR(SPARKLINE(E60:P60, {""charttype"",""line"";""color"",""#FF0000"";""empty"",""ignore"";""nan"",""convert""}))"),"")</f>
        <v/>
      </c>
      <c r="E60" s="78">
        <v>1462</v>
      </c>
      <c r="F60" s="78">
        <v>1623</v>
      </c>
      <c r="G60" s="78">
        <v>1130</v>
      </c>
      <c r="H60" s="78">
        <v>1396</v>
      </c>
      <c r="I60" s="78">
        <v>1821</v>
      </c>
      <c r="J60" s="78">
        <v>1013</v>
      </c>
      <c r="K60" s="78">
        <v>1959</v>
      </c>
      <c r="L60" s="78">
        <v>1889</v>
      </c>
      <c r="M60" s="78">
        <v>1824</v>
      </c>
      <c r="N60" s="78">
        <v>1597</v>
      </c>
      <c r="O60" s="78">
        <v>1893</v>
      </c>
      <c r="P60" s="78">
        <v>1090</v>
      </c>
      <c r="Q60" s="78">
        <f t="shared" si="11"/>
        <v>18697</v>
      </c>
      <c r="R60" s="74"/>
    </row>
    <row r="61" spans="1:18" ht="19.5" customHeight="1" x14ac:dyDescent="0.35">
      <c r="A61" s="65"/>
      <c r="B61" s="97" t="str">
        <f>"TOTAL "&amp;C48</f>
        <v xml:space="preserve">TOTAL </v>
      </c>
      <c r="C61" s="96"/>
      <c r="D61" s="75" t="str">
        <f ca="1">IFERROR(__xludf.DUMMYFUNCTION("IFERROR(SPARKLINE(E61:P61, {""charttype"",""line"";""color"",""#FF0000"";""empty"",""ignore"";""nan"",""convert""}))"),"")</f>
        <v/>
      </c>
      <c r="E61" s="85">
        <f t="shared" ref="E61:Q61" si="12">SUM(E49:E60)</f>
        <v>18170</v>
      </c>
      <c r="F61" s="85">
        <f t="shared" si="12"/>
        <v>17385</v>
      </c>
      <c r="G61" s="85">
        <f t="shared" si="12"/>
        <v>16587</v>
      </c>
      <c r="H61" s="85">
        <f t="shared" si="12"/>
        <v>18128</v>
      </c>
      <c r="I61" s="85">
        <f t="shared" si="12"/>
        <v>18608</v>
      </c>
      <c r="J61" s="85">
        <f t="shared" si="12"/>
        <v>16934</v>
      </c>
      <c r="K61" s="85">
        <f t="shared" si="12"/>
        <v>16446</v>
      </c>
      <c r="L61" s="85">
        <f t="shared" si="12"/>
        <v>17697</v>
      </c>
      <c r="M61" s="85">
        <f t="shared" si="12"/>
        <v>18155</v>
      </c>
      <c r="N61" s="85">
        <f t="shared" si="12"/>
        <v>17847</v>
      </c>
      <c r="O61" s="85">
        <f t="shared" si="12"/>
        <v>17832</v>
      </c>
      <c r="P61" s="85">
        <f t="shared" si="12"/>
        <v>19582</v>
      </c>
      <c r="Q61" s="85">
        <f t="shared" si="12"/>
        <v>213371</v>
      </c>
      <c r="R61" s="74"/>
    </row>
    <row r="62" spans="1:18" ht="19.5" customHeight="1" x14ac:dyDescent="0.35">
      <c r="A62" s="65"/>
      <c r="B62" s="98"/>
      <c r="C62" s="96"/>
      <c r="D62" s="81"/>
      <c r="E62" s="90"/>
      <c r="F62" s="90"/>
      <c r="G62" s="90"/>
      <c r="H62" s="90"/>
      <c r="I62" s="90"/>
      <c r="J62" s="90"/>
      <c r="K62" s="90"/>
      <c r="L62" s="90"/>
      <c r="M62" s="90"/>
      <c r="N62" s="90"/>
      <c r="O62" s="90"/>
      <c r="P62" s="90"/>
      <c r="Q62" s="90"/>
      <c r="R62" s="65"/>
    </row>
    <row r="63" spans="1:18" ht="27" customHeight="1" x14ac:dyDescent="0.25">
      <c r="A63" s="74"/>
      <c r="B63" s="99" t="s">
        <v>156</v>
      </c>
      <c r="C63" s="96"/>
      <c r="D63" s="91" t="str">
        <f ca="1">IFERROR(__xludf.DUMMYFUNCTION("IFERROR(SPARKLINE(E63:P63, {""charttype"",""line"";""color"",""#0000FF"";""empty"",""ignore"";""nan"",""convert""}))"),"")</f>
        <v/>
      </c>
      <c r="E63" s="92">
        <f t="shared" ref="E63:Q63" si="13">E46-E61</f>
        <v>35643</v>
      </c>
      <c r="F63" s="92">
        <f t="shared" si="13"/>
        <v>7037</v>
      </c>
      <c r="G63" s="92">
        <f t="shared" si="13"/>
        <v>28625</v>
      </c>
      <c r="H63" s="92">
        <f t="shared" si="13"/>
        <v>31596</v>
      </c>
      <c r="I63" s="92">
        <f t="shared" si="13"/>
        <v>6905</v>
      </c>
      <c r="J63" s="92">
        <f t="shared" si="13"/>
        <v>31134</v>
      </c>
      <c r="K63" s="92">
        <f t="shared" si="13"/>
        <v>4922</v>
      </c>
      <c r="L63" s="92">
        <f t="shared" si="13"/>
        <v>9708</v>
      </c>
      <c r="M63" s="92">
        <f t="shared" si="13"/>
        <v>12677</v>
      </c>
      <c r="N63" s="92">
        <f t="shared" si="13"/>
        <v>10330</v>
      </c>
      <c r="O63" s="92">
        <f t="shared" si="13"/>
        <v>-13855</v>
      </c>
      <c r="P63" s="92">
        <f t="shared" si="13"/>
        <v>1091</v>
      </c>
      <c r="Q63" s="92">
        <f t="shared" si="13"/>
        <v>165813</v>
      </c>
      <c r="R63" s="74"/>
    </row>
    <row r="64" spans="1:18" ht="19.5" customHeight="1" x14ac:dyDescent="0.35">
      <c r="A64" s="65"/>
      <c r="B64" s="65"/>
      <c r="C64" s="93"/>
      <c r="D64" s="81"/>
      <c r="E64" s="94"/>
      <c r="F64" s="94"/>
      <c r="G64" s="94"/>
      <c r="H64" s="94"/>
      <c r="I64" s="94"/>
      <c r="J64" s="94"/>
      <c r="K64" s="94"/>
      <c r="L64" s="94"/>
      <c r="M64" s="94"/>
      <c r="N64" s="94"/>
      <c r="O64" s="94"/>
      <c r="P64" s="94"/>
      <c r="Q64" s="94"/>
      <c r="R64" s="65"/>
    </row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56">
    <mergeCell ref="B7:C7"/>
    <mergeCell ref="B8:B9"/>
    <mergeCell ref="C8:C9"/>
    <mergeCell ref="B10:B11"/>
    <mergeCell ref="C10:C11"/>
    <mergeCell ref="B12:B13"/>
    <mergeCell ref="C12:C13"/>
    <mergeCell ref="B14:B15"/>
    <mergeCell ref="C14:C15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7:C57"/>
    <mergeCell ref="B58:C58"/>
    <mergeCell ref="B59:C59"/>
    <mergeCell ref="B60:C60"/>
    <mergeCell ref="B61:C61"/>
    <mergeCell ref="B62:C62"/>
    <mergeCell ref="B63:C63"/>
    <mergeCell ref="B50:C50"/>
    <mergeCell ref="B51:C51"/>
    <mergeCell ref="B52:C52"/>
    <mergeCell ref="B53:C53"/>
    <mergeCell ref="B54:C54"/>
    <mergeCell ref="B55:C55"/>
    <mergeCell ref="B56:C56"/>
  </mergeCells>
  <conditionalFormatting sqref="E24:Q27 E30:Q34 E37:Q44 E46:Q64 D48">
    <cfRule type="cellIs" dxfId="0" priority="1" operator="lessThan">
      <formula>0</formula>
    </cfRule>
  </conditionalFormatting>
  <pageMargins left="0.3" right="0.3" top="0.3" bottom="0.3" header="0" footer="0"/>
  <pageSetup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Statement_of_Profit&amp;Loss</vt:lpstr>
      <vt:lpstr>Statement_of_Financial Position</vt:lpstr>
      <vt:lpstr>Statement_of Cashflow</vt:lpstr>
      <vt:lpstr>Financial_Notes</vt:lpstr>
      <vt:lpstr>Sheet4</vt:lpstr>
      <vt:lpstr>Copy of Monthly P&amp;L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Kaung Pyae Htet</cp:lastModifiedBy>
  <dcterms:created xsi:type="dcterms:W3CDTF">2026-03-11T08:14:20Z</dcterms:created>
  <dcterms:modified xsi:type="dcterms:W3CDTF">2026-03-16T04:54:02Z</dcterms:modified>
</cp:coreProperties>
</file>