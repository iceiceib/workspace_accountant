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ng\workspace_accountant\accountant-skill\Exisitng Accounting Workflow _ reference files\Financial Reports\"/>
    </mc:Choice>
  </mc:AlternateContent>
  <xr:revisionPtr revIDLastSave="0" documentId="13_ncr:1_{CD340C49-6E0D-4DE8-A9BE-8417B7ABEED6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Feb_2025" sheetId="2" r:id="rId1"/>
    <sheet name="Mar_2025" sheetId="3" r:id="rId2"/>
    <sheet name="April_2025" sheetId="4" r:id="rId3"/>
    <sheet name="May_2025" sheetId="5" r:id="rId4"/>
    <sheet name="June_2025" sheetId="6" r:id="rId5"/>
    <sheet name="July_2025" sheetId="7" r:id="rId6"/>
    <sheet name="Aug_2025" sheetId="8" r:id="rId7"/>
    <sheet name="Sep_2025" sheetId="9" r:id="rId8"/>
    <sheet name="Oct_2025" sheetId="10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UxZhKLsaYRtqYUS0KPCI09fv+oxlFcqUQV0Vgjr/M2k="/>
    </ext>
  </extLst>
</workbook>
</file>

<file path=xl/calcChain.xml><?xml version="1.0" encoding="utf-8"?>
<calcChain xmlns="http://schemas.openxmlformats.org/spreadsheetml/2006/main">
  <c r="C52" i="5" l="1"/>
  <c r="C51" i="5"/>
  <c r="C50" i="5"/>
  <c r="F50" i="5" s="1"/>
  <c r="C50" i="6" s="1"/>
  <c r="F50" i="6" s="1"/>
  <c r="C50" i="7" s="1"/>
  <c r="F50" i="7" s="1"/>
  <c r="C50" i="8" s="1"/>
  <c r="F50" i="8" s="1"/>
  <c r="C50" i="9" s="1"/>
  <c r="F50" i="9" s="1"/>
  <c r="C50" i="10" s="1"/>
  <c r="F50" i="10" s="1"/>
  <c r="C20" i="5"/>
  <c r="F20" i="5" s="1"/>
  <c r="C20" i="6" s="1"/>
  <c r="F20" i="6" s="1"/>
  <c r="C20" i="7" s="1"/>
  <c r="F20" i="7" s="1"/>
  <c r="C20" i="8" s="1"/>
  <c r="F20" i="8" s="1"/>
  <c r="C20" i="9" s="1"/>
  <c r="F20" i="9" s="1"/>
  <c r="C20" i="10" s="1"/>
  <c r="F20" i="10" s="1"/>
  <c r="F62" i="4"/>
  <c r="C62" i="5" s="1"/>
  <c r="F62" i="5" s="1"/>
  <c r="C62" i="6" s="1"/>
  <c r="F62" i="6" s="1"/>
  <c r="C62" i="7" s="1"/>
  <c r="F62" i="7" s="1"/>
  <c r="C62" i="8" s="1"/>
  <c r="F62" i="8" s="1"/>
  <c r="C62" i="9" s="1"/>
  <c r="F62" i="9" s="1"/>
  <c r="C62" i="10" s="1"/>
  <c r="F62" i="10" s="1"/>
  <c r="F42" i="4"/>
  <c r="C42" i="5" s="1"/>
  <c r="F42" i="5" s="1"/>
  <c r="C42" i="6" s="1"/>
  <c r="F42" i="6" s="1"/>
  <c r="C42" i="7" s="1"/>
  <c r="F42" i="7" s="1"/>
  <c r="C42" i="8" s="1"/>
  <c r="F42" i="8" s="1"/>
  <c r="C42" i="9" s="1"/>
  <c r="F42" i="9" s="1"/>
  <c r="C42" i="10" s="1"/>
  <c r="F42" i="10" s="1"/>
  <c r="F41" i="4"/>
  <c r="C41" i="5" s="1"/>
  <c r="F41" i="5" s="1"/>
  <c r="C41" i="6" s="1"/>
  <c r="F41" i="6" s="1"/>
  <c r="C41" i="7" s="1"/>
  <c r="F41" i="7" s="1"/>
  <c r="C41" i="8" s="1"/>
  <c r="F41" i="8" s="1"/>
  <c r="C41" i="9" s="1"/>
  <c r="F41" i="9" s="1"/>
  <c r="C41" i="10" s="1"/>
  <c r="F41" i="10" s="1"/>
  <c r="F40" i="4"/>
  <c r="C40" i="5" s="1"/>
  <c r="F40" i="5" s="1"/>
  <c r="C40" i="6" s="1"/>
  <c r="F40" i="6" s="1"/>
  <c r="C40" i="7" s="1"/>
  <c r="F40" i="7" s="1"/>
  <c r="C40" i="8" s="1"/>
  <c r="F40" i="8" s="1"/>
  <c r="C40" i="9" s="1"/>
  <c r="F40" i="9" s="1"/>
  <c r="C40" i="10" s="1"/>
  <c r="F40" i="10" s="1"/>
  <c r="F39" i="4"/>
  <c r="C39" i="5" s="1"/>
  <c r="F39" i="5" s="1"/>
  <c r="C39" i="6" s="1"/>
  <c r="F39" i="6" s="1"/>
  <c r="C39" i="7" s="1"/>
  <c r="F39" i="7" s="1"/>
  <c r="C39" i="8" s="1"/>
  <c r="F39" i="8" s="1"/>
  <c r="C39" i="9" s="1"/>
  <c r="F39" i="9" s="1"/>
  <c r="C39" i="10" s="1"/>
  <c r="F39" i="10" s="1"/>
  <c r="F38" i="4"/>
  <c r="C38" i="5" s="1"/>
  <c r="F38" i="5" s="1"/>
  <c r="C38" i="6" s="1"/>
  <c r="F38" i="6" s="1"/>
  <c r="C38" i="7" s="1"/>
  <c r="F38" i="7" s="1"/>
  <c r="C38" i="8" s="1"/>
  <c r="F38" i="8" s="1"/>
  <c r="C38" i="9" s="1"/>
  <c r="F38" i="9" s="1"/>
  <c r="C38" i="10" s="1"/>
  <c r="F38" i="10" s="1"/>
  <c r="F37" i="4"/>
  <c r="C37" i="5" s="1"/>
  <c r="F37" i="5" s="1"/>
  <c r="C37" i="6" s="1"/>
  <c r="F37" i="6" s="1"/>
  <c r="C37" i="7" s="1"/>
  <c r="F37" i="7" s="1"/>
  <c r="C37" i="8" s="1"/>
  <c r="F37" i="8" s="1"/>
  <c r="C37" i="9" s="1"/>
  <c r="F37" i="9" s="1"/>
  <c r="C37" i="10" s="1"/>
  <c r="F37" i="10" s="1"/>
  <c r="C36" i="4"/>
  <c r="F36" i="4" s="1"/>
  <c r="C36" i="5" s="1"/>
  <c r="F36" i="5" s="1"/>
  <c r="C36" i="6" s="1"/>
  <c r="F36" i="6" s="1"/>
  <c r="C36" i="7" s="1"/>
  <c r="F36" i="7" s="1"/>
  <c r="C36" i="8" s="1"/>
  <c r="F36" i="8" s="1"/>
  <c r="C36" i="9" s="1"/>
  <c r="F36" i="9" s="1"/>
  <c r="C36" i="10" s="1"/>
  <c r="F36" i="10" s="1"/>
  <c r="C35" i="4"/>
  <c r="C34" i="4"/>
  <c r="C33" i="4"/>
  <c r="C32" i="4"/>
  <c r="C31" i="4"/>
  <c r="F31" i="4" s="1"/>
  <c r="C31" i="5" s="1"/>
  <c r="F31" i="5" s="1"/>
  <c r="C31" i="6" s="1"/>
  <c r="F31" i="6" s="1"/>
  <c r="C31" i="7" s="1"/>
  <c r="F31" i="7" s="1"/>
  <c r="C31" i="8" s="1"/>
  <c r="F31" i="8" s="1"/>
  <c r="C31" i="9" s="1"/>
  <c r="F31" i="9" s="1"/>
  <c r="C31" i="10" s="1"/>
  <c r="F31" i="10" s="1"/>
  <c r="C30" i="4"/>
  <c r="F30" i="4" s="1"/>
  <c r="C30" i="5" s="1"/>
  <c r="F30" i="5" s="1"/>
  <c r="C30" i="6" s="1"/>
  <c r="F30" i="6" s="1"/>
  <c r="C30" i="7" s="1"/>
  <c r="F30" i="7" s="1"/>
  <c r="C30" i="8" s="1"/>
  <c r="F30" i="8" s="1"/>
  <c r="C30" i="9" s="1"/>
  <c r="F30" i="9" s="1"/>
  <c r="C30" i="10" s="1"/>
  <c r="F30" i="10" s="1"/>
  <c r="C29" i="4"/>
  <c r="F29" i="4" s="1"/>
  <c r="C29" i="5" s="1"/>
  <c r="F29" i="5" s="1"/>
  <c r="C29" i="6" s="1"/>
  <c r="F29" i="6" s="1"/>
  <c r="C29" i="7" s="1"/>
  <c r="F29" i="7" s="1"/>
  <c r="C29" i="8" s="1"/>
  <c r="F29" i="8" s="1"/>
  <c r="C29" i="9" s="1"/>
  <c r="F29" i="9" s="1"/>
  <c r="C29" i="10" s="1"/>
  <c r="F29" i="10" s="1"/>
  <c r="C28" i="4"/>
  <c r="F28" i="4" s="1"/>
  <c r="C28" i="5" s="1"/>
  <c r="F28" i="5" s="1"/>
  <c r="C28" i="6" s="1"/>
  <c r="F28" i="6" s="1"/>
  <c r="C28" i="7" s="1"/>
  <c r="F28" i="7" s="1"/>
  <c r="C28" i="8" s="1"/>
  <c r="F28" i="8" s="1"/>
  <c r="C28" i="9" s="1"/>
  <c r="F28" i="9" s="1"/>
  <c r="C28" i="10" s="1"/>
  <c r="F28" i="10" s="1"/>
  <c r="C27" i="4"/>
  <c r="F27" i="4" s="1"/>
  <c r="C27" i="5" s="1"/>
  <c r="F27" i="5" s="1"/>
  <c r="C27" i="6" s="1"/>
  <c r="F27" i="6" s="1"/>
  <c r="C27" i="7" s="1"/>
  <c r="F27" i="7" s="1"/>
  <c r="C27" i="8" s="1"/>
  <c r="F27" i="8" s="1"/>
  <c r="C27" i="9" s="1"/>
  <c r="F27" i="9" s="1"/>
  <c r="C27" i="10" s="1"/>
  <c r="F27" i="10" s="1"/>
  <c r="C26" i="4"/>
  <c r="F26" i="4" s="1"/>
  <c r="C26" i="5" s="1"/>
  <c r="F26" i="5" s="1"/>
  <c r="C26" i="6" s="1"/>
  <c r="F26" i="6" s="1"/>
  <c r="C26" i="7" s="1"/>
  <c r="F26" i="7" s="1"/>
  <c r="C26" i="8" s="1"/>
  <c r="F26" i="8" s="1"/>
  <c r="C26" i="9" s="1"/>
  <c r="F26" i="9" s="1"/>
  <c r="C26" i="10" s="1"/>
  <c r="F26" i="10" s="1"/>
  <c r="C25" i="4"/>
  <c r="F25" i="4" s="1"/>
  <c r="C25" i="5" s="1"/>
  <c r="F25" i="5" s="1"/>
  <c r="C25" i="6" s="1"/>
  <c r="F25" i="6" s="1"/>
  <c r="C25" i="7" s="1"/>
  <c r="F25" i="7" s="1"/>
  <c r="C25" i="8" s="1"/>
  <c r="F25" i="8" s="1"/>
  <c r="C25" i="9" s="1"/>
  <c r="F25" i="9" s="1"/>
  <c r="C25" i="10" s="1"/>
  <c r="F25" i="10" s="1"/>
  <c r="C24" i="4"/>
  <c r="F24" i="4" s="1"/>
  <c r="C24" i="5" s="1"/>
  <c r="F24" i="5" s="1"/>
  <c r="C24" i="6" s="1"/>
  <c r="F24" i="6" s="1"/>
  <c r="C24" i="7" s="1"/>
  <c r="F24" i="7" s="1"/>
  <c r="C24" i="8" s="1"/>
  <c r="F24" i="8" s="1"/>
  <c r="C24" i="9" s="1"/>
  <c r="F24" i="9" s="1"/>
  <c r="C24" i="10" s="1"/>
  <c r="F24" i="10" s="1"/>
  <c r="C23" i="4"/>
  <c r="C22" i="4"/>
  <c r="C21" i="4"/>
  <c r="C20" i="4"/>
  <c r="F20" i="4" s="1"/>
  <c r="C19" i="4"/>
  <c r="C18" i="4"/>
  <c r="C17" i="4"/>
  <c r="F17" i="4" s="1"/>
  <c r="C17" i="5" s="1"/>
  <c r="F17" i="5" s="1"/>
  <c r="C17" i="6" s="1"/>
  <c r="F17" i="6" s="1"/>
  <c r="C17" i="7" s="1"/>
  <c r="F17" i="7" s="1"/>
  <c r="C17" i="8" s="1"/>
  <c r="F17" i="8" s="1"/>
  <c r="C17" i="9" s="1"/>
  <c r="F17" i="9" s="1"/>
  <c r="C17" i="10" s="1"/>
  <c r="F17" i="10" s="1"/>
  <c r="C16" i="4"/>
  <c r="F16" i="4" s="1"/>
  <c r="C16" i="5" s="1"/>
  <c r="F16" i="5" s="1"/>
  <c r="C16" i="6" s="1"/>
  <c r="F16" i="6" s="1"/>
  <c r="C16" i="7" s="1"/>
  <c r="F16" i="7" s="1"/>
  <c r="C16" i="8" s="1"/>
  <c r="F16" i="8" s="1"/>
  <c r="C16" i="9" s="1"/>
  <c r="F16" i="9" s="1"/>
  <c r="C16" i="10" s="1"/>
  <c r="F16" i="10" s="1"/>
  <c r="C15" i="4"/>
  <c r="F15" i="4" s="1"/>
  <c r="C15" i="5" s="1"/>
  <c r="F15" i="5" s="1"/>
  <c r="C15" i="6" s="1"/>
  <c r="F15" i="6" s="1"/>
  <c r="C15" i="7" s="1"/>
  <c r="F15" i="7" s="1"/>
  <c r="C15" i="8" s="1"/>
  <c r="F15" i="8" s="1"/>
  <c r="C15" i="9" s="1"/>
  <c r="F15" i="9" s="1"/>
  <c r="C15" i="10" s="1"/>
  <c r="F15" i="10" s="1"/>
  <c r="C14" i="4"/>
  <c r="F14" i="4" s="1"/>
  <c r="C14" i="5" s="1"/>
  <c r="F14" i="5" s="1"/>
  <c r="C14" i="6" s="1"/>
  <c r="F14" i="6" s="1"/>
  <c r="C14" i="7" s="1"/>
  <c r="F14" i="7" s="1"/>
  <c r="C14" i="8" s="1"/>
  <c r="F14" i="8" s="1"/>
  <c r="C14" i="9" s="1"/>
  <c r="F14" i="9" s="1"/>
  <c r="C14" i="10" s="1"/>
  <c r="F14" i="10" s="1"/>
  <c r="C13" i="4"/>
  <c r="F13" i="4" s="1"/>
  <c r="C13" i="5" s="1"/>
  <c r="F13" i="5" s="1"/>
  <c r="C13" i="6" s="1"/>
  <c r="F13" i="6" s="1"/>
  <c r="C13" i="7" s="1"/>
  <c r="F13" i="7" s="1"/>
  <c r="C13" i="8" s="1"/>
  <c r="F13" i="8" s="1"/>
  <c r="C13" i="9" s="1"/>
  <c r="F13" i="9" s="1"/>
  <c r="C13" i="10" s="1"/>
  <c r="F13" i="10" s="1"/>
  <c r="C12" i="4"/>
  <c r="F12" i="4" s="1"/>
  <c r="C12" i="5" s="1"/>
  <c r="F12" i="5" s="1"/>
  <c r="C12" i="6" s="1"/>
  <c r="F12" i="6" s="1"/>
  <c r="C12" i="7" s="1"/>
  <c r="F12" i="7" s="1"/>
  <c r="C12" i="8" s="1"/>
  <c r="F12" i="8" s="1"/>
  <c r="C12" i="9" s="1"/>
  <c r="F12" i="9" s="1"/>
  <c r="C12" i="10" s="1"/>
  <c r="F12" i="10" s="1"/>
  <c r="C11" i="4"/>
  <c r="C10" i="4"/>
  <c r="C9" i="4"/>
  <c r="C8" i="4"/>
  <c r="F47" i="4"/>
  <c r="C47" i="5" s="1"/>
  <c r="F47" i="5" s="1"/>
  <c r="C47" i="6" s="1"/>
  <c r="F47" i="6" s="1"/>
  <c r="C47" i="7" s="1"/>
  <c r="F47" i="7" s="1"/>
  <c r="C47" i="8" s="1"/>
  <c r="F47" i="8" s="1"/>
  <c r="C47" i="9" s="1"/>
  <c r="F47" i="9" s="1"/>
  <c r="C47" i="10" s="1"/>
  <c r="F47" i="10" s="1"/>
  <c r="F45" i="4"/>
  <c r="C45" i="5" s="1"/>
  <c r="F45" i="5" s="1"/>
  <c r="C45" i="6" s="1"/>
  <c r="F45" i="6" s="1"/>
  <c r="C45" i="7" s="1"/>
  <c r="F45" i="7" s="1"/>
  <c r="C45" i="8" s="1"/>
  <c r="F45" i="8" s="1"/>
  <c r="C45" i="9" s="1"/>
  <c r="F45" i="9" s="1"/>
  <c r="C45" i="10" s="1"/>
  <c r="F45" i="10" s="1"/>
  <c r="F44" i="4"/>
  <c r="C44" i="5" s="1"/>
  <c r="F44" i="5" s="1"/>
  <c r="C44" i="6" s="1"/>
  <c r="F44" i="6" s="1"/>
  <c r="C44" i="7" s="1"/>
  <c r="F44" i="7" s="1"/>
  <c r="C44" i="8" s="1"/>
  <c r="F44" i="8" s="1"/>
  <c r="C44" i="9" s="1"/>
  <c r="F44" i="9" s="1"/>
  <c r="C44" i="10" s="1"/>
  <c r="F44" i="10" s="1"/>
  <c r="F43" i="4"/>
  <c r="C43" i="5" s="1"/>
  <c r="F43" i="5" s="1"/>
  <c r="C43" i="6" s="1"/>
  <c r="F43" i="6" s="1"/>
  <c r="C43" i="7" s="1"/>
  <c r="F43" i="7" s="1"/>
  <c r="C43" i="8" s="1"/>
  <c r="F43" i="8" s="1"/>
  <c r="C43" i="9" s="1"/>
  <c r="F43" i="9" s="1"/>
  <c r="C43" i="10" s="1"/>
  <c r="F43" i="10" s="1"/>
  <c r="C64" i="3"/>
  <c r="C63" i="3"/>
  <c r="C62" i="3"/>
  <c r="C61" i="3"/>
  <c r="C60" i="3"/>
  <c r="C59" i="3"/>
  <c r="C58" i="3"/>
  <c r="C57" i="3"/>
  <c r="C56" i="3"/>
  <c r="F56" i="3" s="1"/>
  <c r="C55" i="3"/>
  <c r="C54" i="3"/>
  <c r="C53" i="3"/>
  <c r="C52" i="3"/>
  <c r="F52" i="3" s="1"/>
  <c r="C51" i="3"/>
  <c r="C50" i="3"/>
  <c r="F50" i="3" s="1"/>
  <c r="C49" i="3"/>
  <c r="C48" i="3"/>
  <c r="C47" i="3"/>
  <c r="C46" i="3"/>
  <c r="C45" i="3"/>
  <c r="C44" i="3"/>
  <c r="F44" i="3" s="1"/>
  <c r="C43" i="3"/>
  <c r="C42" i="3"/>
  <c r="F42" i="3" s="1"/>
  <c r="C41" i="3"/>
  <c r="F41" i="3" s="1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F25" i="3" s="1"/>
  <c r="C24" i="3"/>
  <c r="C23" i="3"/>
  <c r="C22" i="3"/>
  <c r="C21" i="3"/>
  <c r="C20" i="3"/>
  <c r="C19" i="3"/>
  <c r="C18" i="3"/>
  <c r="F18" i="3" s="1"/>
  <c r="C17" i="3"/>
  <c r="C16" i="3"/>
  <c r="C15" i="3"/>
  <c r="C14" i="3"/>
  <c r="C13" i="3"/>
  <c r="C12" i="3"/>
  <c r="C11" i="3"/>
  <c r="C10" i="3"/>
  <c r="C9" i="3"/>
  <c r="C8" i="3"/>
  <c r="F47" i="3"/>
  <c r="F45" i="3"/>
  <c r="F43" i="3"/>
  <c r="F52" i="5"/>
  <c r="C52" i="6" s="1"/>
  <c r="F52" i="6" s="1"/>
  <c r="C52" i="7" s="1"/>
  <c r="F52" i="7" s="1"/>
  <c r="C52" i="8" s="1"/>
  <c r="F52" i="8" s="1"/>
  <c r="C52" i="9" s="1"/>
  <c r="F52" i="9" s="1"/>
  <c r="C52" i="10" s="1"/>
  <c r="F52" i="10" s="1"/>
  <c r="F51" i="5"/>
  <c r="C51" i="6" s="1"/>
  <c r="F51" i="6" s="1"/>
  <c r="C51" i="7" s="1"/>
  <c r="F51" i="7" s="1"/>
  <c r="C51" i="8" s="1"/>
  <c r="F51" i="8" s="1"/>
  <c r="C51" i="9" s="1"/>
  <c r="F51" i="9" s="1"/>
  <c r="C51" i="10" s="1"/>
  <c r="F51" i="10" s="1"/>
  <c r="F64" i="4"/>
  <c r="C64" i="5" s="1"/>
  <c r="F64" i="5" s="1"/>
  <c r="C64" i="6" s="1"/>
  <c r="F64" i="6" s="1"/>
  <c r="C64" i="7" s="1"/>
  <c r="F64" i="7" s="1"/>
  <c r="C64" i="8" s="1"/>
  <c r="F64" i="8" s="1"/>
  <c r="C64" i="9" s="1"/>
  <c r="F64" i="9" s="1"/>
  <c r="C64" i="10" s="1"/>
  <c r="F64" i="10" s="1"/>
  <c r="F63" i="4"/>
  <c r="C63" i="5" s="1"/>
  <c r="F63" i="5" s="1"/>
  <c r="C63" i="6" s="1"/>
  <c r="F63" i="6" s="1"/>
  <c r="C63" i="7" s="1"/>
  <c r="F63" i="7" s="1"/>
  <c r="C63" i="8" s="1"/>
  <c r="F63" i="8" s="1"/>
  <c r="C63" i="9" s="1"/>
  <c r="F63" i="9" s="1"/>
  <c r="C63" i="10" s="1"/>
  <c r="F63" i="10" s="1"/>
  <c r="F61" i="4"/>
  <c r="C61" i="5" s="1"/>
  <c r="F61" i="5" s="1"/>
  <c r="C61" i="6" s="1"/>
  <c r="F61" i="6" s="1"/>
  <c r="C61" i="7" s="1"/>
  <c r="F61" i="7" s="1"/>
  <c r="C61" i="8" s="1"/>
  <c r="F61" i="8" s="1"/>
  <c r="C61" i="9" s="1"/>
  <c r="F61" i="9" s="1"/>
  <c r="C61" i="10" s="1"/>
  <c r="F61" i="10" s="1"/>
  <c r="F60" i="4"/>
  <c r="C60" i="5" s="1"/>
  <c r="F60" i="5" s="1"/>
  <c r="C60" i="6" s="1"/>
  <c r="F60" i="6" s="1"/>
  <c r="C60" i="7" s="1"/>
  <c r="F60" i="7" s="1"/>
  <c r="C60" i="8" s="1"/>
  <c r="F60" i="8" s="1"/>
  <c r="C60" i="9" s="1"/>
  <c r="F60" i="9" s="1"/>
  <c r="C60" i="10" s="1"/>
  <c r="F60" i="10" s="1"/>
  <c r="F59" i="4"/>
  <c r="C59" i="5" s="1"/>
  <c r="F59" i="5" s="1"/>
  <c r="C59" i="6" s="1"/>
  <c r="F59" i="6" s="1"/>
  <c r="C59" i="7" s="1"/>
  <c r="F59" i="7" s="1"/>
  <c r="C59" i="8" s="1"/>
  <c r="F59" i="8" s="1"/>
  <c r="C59" i="9" s="1"/>
  <c r="F59" i="9" s="1"/>
  <c r="C59" i="10" s="1"/>
  <c r="F59" i="10" s="1"/>
  <c r="F58" i="4"/>
  <c r="C58" i="5" s="1"/>
  <c r="F58" i="5" s="1"/>
  <c r="C58" i="6" s="1"/>
  <c r="F58" i="6" s="1"/>
  <c r="C58" i="7" s="1"/>
  <c r="F58" i="7" s="1"/>
  <c r="C58" i="8" s="1"/>
  <c r="F58" i="8" s="1"/>
  <c r="C58" i="9" s="1"/>
  <c r="F58" i="9" s="1"/>
  <c r="C58" i="10" s="1"/>
  <c r="F58" i="10" s="1"/>
  <c r="F57" i="4"/>
  <c r="C57" i="5" s="1"/>
  <c r="F57" i="5" s="1"/>
  <c r="C57" i="6" s="1"/>
  <c r="F57" i="6" s="1"/>
  <c r="C57" i="7" s="1"/>
  <c r="F57" i="7" s="1"/>
  <c r="C57" i="8" s="1"/>
  <c r="F57" i="8" s="1"/>
  <c r="C57" i="9" s="1"/>
  <c r="F57" i="9" s="1"/>
  <c r="C57" i="10" s="1"/>
  <c r="F57" i="10" s="1"/>
  <c r="F56" i="4"/>
  <c r="C56" i="5" s="1"/>
  <c r="F56" i="5" s="1"/>
  <c r="C56" i="6" s="1"/>
  <c r="F56" i="6" s="1"/>
  <c r="C56" i="7" s="1"/>
  <c r="F56" i="7" s="1"/>
  <c r="C56" i="8" s="1"/>
  <c r="F56" i="8" s="1"/>
  <c r="C56" i="9" s="1"/>
  <c r="F56" i="9" s="1"/>
  <c r="C56" i="10" s="1"/>
  <c r="F56" i="10" s="1"/>
  <c r="F55" i="4"/>
  <c r="C55" i="5" s="1"/>
  <c r="F55" i="5" s="1"/>
  <c r="C55" i="6" s="1"/>
  <c r="F55" i="6" s="1"/>
  <c r="C55" i="7" s="1"/>
  <c r="F55" i="7" s="1"/>
  <c r="C55" i="8" s="1"/>
  <c r="F55" i="8" s="1"/>
  <c r="C55" i="9" s="1"/>
  <c r="F55" i="9" s="1"/>
  <c r="C55" i="10" s="1"/>
  <c r="F55" i="10" s="1"/>
  <c r="F54" i="4"/>
  <c r="C54" i="5" s="1"/>
  <c r="F54" i="5" s="1"/>
  <c r="C54" i="6" s="1"/>
  <c r="F54" i="6" s="1"/>
  <c r="C54" i="7" s="1"/>
  <c r="F54" i="7" s="1"/>
  <c r="C54" i="8" s="1"/>
  <c r="F54" i="8" s="1"/>
  <c r="C54" i="9" s="1"/>
  <c r="F54" i="9" s="1"/>
  <c r="C54" i="10" s="1"/>
  <c r="F54" i="10" s="1"/>
  <c r="F53" i="4"/>
  <c r="C53" i="5" s="1"/>
  <c r="F53" i="5" s="1"/>
  <c r="C53" i="6" s="1"/>
  <c r="F53" i="6" s="1"/>
  <c r="C53" i="7" s="1"/>
  <c r="F53" i="7" s="1"/>
  <c r="C53" i="8" s="1"/>
  <c r="F53" i="8" s="1"/>
  <c r="C53" i="9" s="1"/>
  <c r="F53" i="9" s="1"/>
  <c r="C53" i="10" s="1"/>
  <c r="F53" i="10" s="1"/>
  <c r="F52" i="4"/>
  <c r="F51" i="4"/>
  <c r="F50" i="4"/>
  <c r="F49" i="4"/>
  <c r="C49" i="5" s="1"/>
  <c r="F49" i="5" s="1"/>
  <c r="C49" i="6" s="1"/>
  <c r="F49" i="6" s="1"/>
  <c r="C49" i="7" s="1"/>
  <c r="F49" i="7" s="1"/>
  <c r="C49" i="8" s="1"/>
  <c r="F49" i="8" s="1"/>
  <c r="C49" i="9" s="1"/>
  <c r="F49" i="9" s="1"/>
  <c r="C49" i="10" s="1"/>
  <c r="F49" i="10" s="1"/>
  <c r="F48" i="4"/>
  <c r="C48" i="5" s="1"/>
  <c r="F48" i="5" s="1"/>
  <c r="C48" i="6" s="1"/>
  <c r="F48" i="6" s="1"/>
  <c r="C48" i="7" s="1"/>
  <c r="F48" i="7" s="1"/>
  <c r="C48" i="8" s="1"/>
  <c r="F48" i="8" s="1"/>
  <c r="C48" i="9" s="1"/>
  <c r="F48" i="9" s="1"/>
  <c r="C48" i="10" s="1"/>
  <c r="F48" i="10" s="1"/>
  <c r="F46" i="4"/>
  <c r="C46" i="5" s="1"/>
  <c r="F46" i="5" s="1"/>
  <c r="C46" i="6" s="1"/>
  <c r="F46" i="6" s="1"/>
  <c r="C46" i="7" s="1"/>
  <c r="F46" i="7" s="1"/>
  <c r="C46" i="8" s="1"/>
  <c r="F46" i="8" s="1"/>
  <c r="C46" i="9" s="1"/>
  <c r="F46" i="9" s="1"/>
  <c r="C46" i="10" s="1"/>
  <c r="F46" i="10" s="1"/>
  <c r="F35" i="4"/>
  <c r="C35" i="5" s="1"/>
  <c r="F35" i="5" s="1"/>
  <c r="C35" i="6" s="1"/>
  <c r="F35" i="6" s="1"/>
  <c r="C35" i="7" s="1"/>
  <c r="F35" i="7" s="1"/>
  <c r="C35" i="8" s="1"/>
  <c r="F35" i="8" s="1"/>
  <c r="C35" i="9" s="1"/>
  <c r="F35" i="9" s="1"/>
  <c r="C35" i="10" s="1"/>
  <c r="F35" i="10" s="1"/>
  <c r="F34" i="4"/>
  <c r="C34" i="5" s="1"/>
  <c r="F34" i="5" s="1"/>
  <c r="C34" i="6" s="1"/>
  <c r="F34" i="6" s="1"/>
  <c r="C34" i="7" s="1"/>
  <c r="F34" i="7" s="1"/>
  <c r="C34" i="8" s="1"/>
  <c r="F34" i="8" s="1"/>
  <c r="C34" i="9" s="1"/>
  <c r="F34" i="9" s="1"/>
  <c r="C34" i="10" s="1"/>
  <c r="F34" i="10" s="1"/>
  <c r="F33" i="4"/>
  <c r="C33" i="5" s="1"/>
  <c r="F33" i="5" s="1"/>
  <c r="C33" i="6" s="1"/>
  <c r="F33" i="6" s="1"/>
  <c r="C33" i="7" s="1"/>
  <c r="F33" i="7" s="1"/>
  <c r="C33" i="8" s="1"/>
  <c r="F33" i="8" s="1"/>
  <c r="C33" i="9" s="1"/>
  <c r="F33" i="9" s="1"/>
  <c r="C33" i="10" s="1"/>
  <c r="F33" i="10" s="1"/>
  <c r="F32" i="4"/>
  <c r="C32" i="5" s="1"/>
  <c r="F32" i="5" s="1"/>
  <c r="C32" i="6" s="1"/>
  <c r="F32" i="6" s="1"/>
  <c r="C32" i="7" s="1"/>
  <c r="F32" i="7" s="1"/>
  <c r="C32" i="8" s="1"/>
  <c r="F32" i="8" s="1"/>
  <c r="C32" i="9" s="1"/>
  <c r="F32" i="9" s="1"/>
  <c r="C32" i="10" s="1"/>
  <c r="F32" i="10" s="1"/>
  <c r="F23" i="4"/>
  <c r="C23" i="5" s="1"/>
  <c r="F23" i="5" s="1"/>
  <c r="C23" i="6" s="1"/>
  <c r="F23" i="6" s="1"/>
  <c r="C23" i="7" s="1"/>
  <c r="F23" i="7" s="1"/>
  <c r="C23" i="8" s="1"/>
  <c r="F23" i="8" s="1"/>
  <c r="C23" i="9" s="1"/>
  <c r="F23" i="9" s="1"/>
  <c r="C23" i="10" s="1"/>
  <c r="F23" i="10" s="1"/>
  <c r="F22" i="4"/>
  <c r="C22" i="5" s="1"/>
  <c r="F22" i="5" s="1"/>
  <c r="C22" i="6" s="1"/>
  <c r="F22" i="6" s="1"/>
  <c r="C22" i="7" s="1"/>
  <c r="F22" i="7" s="1"/>
  <c r="C22" i="8" s="1"/>
  <c r="F22" i="8" s="1"/>
  <c r="C22" i="9" s="1"/>
  <c r="F22" i="9" s="1"/>
  <c r="C22" i="10" s="1"/>
  <c r="F22" i="10" s="1"/>
  <c r="F21" i="4"/>
  <c r="C21" i="5" s="1"/>
  <c r="F21" i="5" s="1"/>
  <c r="C21" i="6" s="1"/>
  <c r="F21" i="6" s="1"/>
  <c r="C21" i="7" s="1"/>
  <c r="F21" i="7" s="1"/>
  <c r="C21" i="8" s="1"/>
  <c r="F21" i="8" s="1"/>
  <c r="C21" i="9" s="1"/>
  <c r="F21" i="9" s="1"/>
  <c r="C21" i="10" s="1"/>
  <c r="F21" i="10" s="1"/>
  <c r="F19" i="4"/>
  <c r="C19" i="5" s="1"/>
  <c r="F19" i="5" s="1"/>
  <c r="C19" i="6" s="1"/>
  <c r="F19" i="6" s="1"/>
  <c r="C19" i="7" s="1"/>
  <c r="F19" i="7" s="1"/>
  <c r="C19" i="8" s="1"/>
  <c r="F19" i="8" s="1"/>
  <c r="C19" i="9" s="1"/>
  <c r="F19" i="9" s="1"/>
  <c r="C19" i="10" s="1"/>
  <c r="F19" i="10" s="1"/>
  <c r="F18" i="4"/>
  <c r="C18" i="5" s="1"/>
  <c r="F18" i="5" s="1"/>
  <c r="C18" i="6" s="1"/>
  <c r="F18" i="6" s="1"/>
  <c r="C18" i="7" s="1"/>
  <c r="F18" i="7" s="1"/>
  <c r="C18" i="8" s="1"/>
  <c r="F18" i="8" s="1"/>
  <c r="C18" i="9" s="1"/>
  <c r="F18" i="9" s="1"/>
  <c r="C18" i="10" s="1"/>
  <c r="F18" i="10" s="1"/>
  <c r="F11" i="4"/>
  <c r="C11" i="5" s="1"/>
  <c r="F11" i="5" s="1"/>
  <c r="C11" i="6" s="1"/>
  <c r="F11" i="6" s="1"/>
  <c r="C11" i="7" s="1"/>
  <c r="F11" i="7" s="1"/>
  <c r="C11" i="8" s="1"/>
  <c r="F11" i="8" s="1"/>
  <c r="C11" i="9" s="1"/>
  <c r="F11" i="9" s="1"/>
  <c r="C11" i="10" s="1"/>
  <c r="F11" i="10" s="1"/>
  <c r="F10" i="4"/>
  <c r="C10" i="5" s="1"/>
  <c r="F10" i="5" s="1"/>
  <c r="C10" i="6" s="1"/>
  <c r="F10" i="6" s="1"/>
  <c r="C10" i="7" s="1"/>
  <c r="F10" i="7" s="1"/>
  <c r="C10" i="8" s="1"/>
  <c r="F10" i="8" s="1"/>
  <c r="C10" i="9" s="1"/>
  <c r="F10" i="9" s="1"/>
  <c r="C10" i="10" s="1"/>
  <c r="F10" i="10" s="1"/>
  <c r="F9" i="4"/>
  <c r="C9" i="5" s="1"/>
  <c r="F9" i="5" s="1"/>
  <c r="C9" i="6" s="1"/>
  <c r="F9" i="6" s="1"/>
  <c r="C9" i="7" s="1"/>
  <c r="F9" i="7" s="1"/>
  <c r="C9" i="8" s="1"/>
  <c r="F9" i="8" s="1"/>
  <c r="C9" i="9" s="1"/>
  <c r="F9" i="9" s="1"/>
  <c r="C9" i="10" s="1"/>
  <c r="F9" i="10" s="1"/>
  <c r="F8" i="4"/>
  <c r="C8" i="5" s="1"/>
  <c r="F8" i="5" s="1"/>
  <c r="C8" i="6" s="1"/>
  <c r="F8" i="6" s="1"/>
  <c r="C8" i="7" s="1"/>
  <c r="F8" i="7" s="1"/>
  <c r="C8" i="8" s="1"/>
  <c r="F8" i="8" s="1"/>
  <c r="C8" i="9" s="1"/>
  <c r="F8" i="9" s="1"/>
  <c r="C8" i="10" s="1"/>
  <c r="F8" i="10" s="1"/>
  <c r="F64" i="3"/>
  <c r="F63" i="3"/>
  <c r="F62" i="3"/>
  <c r="F61" i="3"/>
  <c r="F60" i="3"/>
  <c r="F59" i="3"/>
  <c r="F58" i="3"/>
  <c r="F57" i="3"/>
  <c r="F55" i="3"/>
  <c r="F54" i="3"/>
  <c r="F53" i="3"/>
  <c r="F51" i="3"/>
  <c r="F49" i="3"/>
  <c r="F48" i="3"/>
  <c r="F46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4" i="3"/>
  <c r="F23" i="3"/>
  <c r="F22" i="3"/>
  <c r="F21" i="3"/>
  <c r="F20" i="3"/>
  <c r="F19" i="3"/>
  <c r="F17" i="3"/>
  <c r="F16" i="3"/>
  <c r="F15" i="3"/>
  <c r="F14" i="3"/>
  <c r="F13" i="3"/>
  <c r="F12" i="3"/>
  <c r="F11" i="3"/>
  <c r="F10" i="3"/>
  <c r="F9" i="3"/>
  <c r="F8" i="3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C3" i="10"/>
  <c r="C1" i="10" s="1"/>
  <c r="C3" i="9"/>
  <c r="C1" i="9" s="1"/>
  <c r="C3" i="8"/>
  <c r="C1" i="8" s="1"/>
  <c r="C3" i="7"/>
  <c r="C1" i="7" s="1"/>
  <c r="C3" i="6"/>
  <c r="C1" i="6" s="1"/>
  <c r="C3" i="5"/>
  <c r="C1" i="5" s="1"/>
  <c r="C3" i="4"/>
  <c r="C1" i="4" s="1"/>
  <c r="C3" i="3"/>
  <c r="C1" i="3" s="1"/>
  <c r="C3" i="2"/>
  <c r="C1" i="2" s="1"/>
  <c r="J22" i="2" l="1"/>
  <c r="I48" i="9"/>
  <c r="E5" i="5"/>
  <c r="E5" i="3"/>
  <c r="D5" i="3"/>
  <c r="D5" i="2"/>
  <c r="E5" i="2"/>
  <c r="F5" i="2" s="1"/>
  <c r="D5" i="5"/>
  <c r="E5" i="7"/>
  <c r="D5" i="7"/>
  <c r="D5" i="9"/>
  <c r="E5" i="9"/>
  <c r="D5" i="10"/>
  <c r="I48" i="10"/>
  <c r="E5" i="8"/>
  <c r="D5" i="4"/>
  <c r="E5" i="4"/>
  <c r="E5" i="6"/>
  <c r="D5" i="6"/>
  <c r="D5" i="8"/>
  <c r="E5" i="10"/>
  <c r="F5" i="10" l="1"/>
  <c r="F5" i="9"/>
  <c r="F2" i="9"/>
  <c r="F5" i="5"/>
  <c r="F5" i="3"/>
  <c r="F2" i="5"/>
  <c r="F2" i="10"/>
  <c r="F2" i="7"/>
  <c r="F2" i="2"/>
  <c r="F5" i="7"/>
  <c r="F2" i="3"/>
  <c r="F5" i="4"/>
  <c r="F2" i="4"/>
  <c r="F5" i="8"/>
  <c r="F2" i="8"/>
  <c r="F2" i="6"/>
  <c r="F5" i="6"/>
</calcChain>
</file>

<file path=xl/sharedStrings.xml><?xml version="1.0" encoding="utf-8"?>
<sst xmlns="http://schemas.openxmlformats.org/spreadsheetml/2006/main" count="604" uniqueCount="68">
  <si>
    <t>Period</t>
  </si>
  <si>
    <t xml:space="preserve">Start </t>
  </si>
  <si>
    <t>Balance Check</t>
  </si>
  <si>
    <t>End</t>
  </si>
  <si>
    <t>Account Name</t>
  </si>
  <si>
    <t>COA Account Number</t>
  </si>
  <si>
    <t>Opening Balance (MMK)</t>
  </si>
  <si>
    <t>Debits (MMK)</t>
  </si>
  <si>
    <t>Credits (MMK)</t>
  </si>
  <si>
    <t>Ending Balance (MMK)</t>
  </si>
  <si>
    <t>COGS per box - 6593 MMK</t>
  </si>
  <si>
    <t>Cash in hand</t>
  </si>
  <si>
    <t>Cash at Bank</t>
  </si>
  <si>
    <t>Accounts Receivable</t>
  </si>
  <si>
    <t>Inventory - Raw Material</t>
  </si>
  <si>
    <t>Inventory - Packaging</t>
  </si>
  <si>
    <t>Inventory - Finished Goods</t>
  </si>
  <si>
    <t>Inventory Adjustments</t>
  </si>
  <si>
    <t>Advanced Payments</t>
  </si>
  <si>
    <t>Land</t>
  </si>
  <si>
    <t>Buildings &amp; Structures</t>
  </si>
  <si>
    <t>Machinery &amp; Equipment</t>
  </si>
  <si>
    <t>Office &amp; Facility Equipment</t>
  </si>
  <si>
    <t>Electrical &amp; Utility Systems</t>
  </si>
  <si>
    <t>Construction in Progress</t>
  </si>
  <si>
    <t>Motor Vehicles</t>
  </si>
  <si>
    <t>Accumulated Depreciation - Buildings &amp; Structures</t>
  </si>
  <si>
    <t>Accumulated Depreciation - Machinery &amp; Equipment</t>
  </si>
  <si>
    <t>Accumulated Depreciation - Office &amp; Facility Equipment</t>
  </si>
  <si>
    <t>Accumulated Depreciation - Electrical &amp; Utility Systems</t>
  </si>
  <si>
    <t>Accumulated Depreciation - Motor Vehicles</t>
  </si>
  <si>
    <t>Deferred Preliminary Expenses</t>
  </si>
  <si>
    <t>Accounts Payable</t>
  </si>
  <si>
    <t>Short-term Loans</t>
  </si>
  <si>
    <t>Utility Bills</t>
  </si>
  <si>
    <t>Provision for Managment Compensation</t>
  </si>
  <si>
    <t>Wages Payable</t>
  </si>
  <si>
    <t>Bank Loan</t>
  </si>
  <si>
    <t>Paid-up Capital</t>
  </si>
  <si>
    <t>Retained Earnings</t>
  </si>
  <si>
    <t>Opening Inventory - Raw Materials</t>
  </si>
  <si>
    <t>Opening Inventory - Packaging</t>
  </si>
  <si>
    <t>Opening Inventory - Finished Goods</t>
  </si>
  <si>
    <t>Purchases Raw Materials</t>
  </si>
  <si>
    <t>Purchases Packaging</t>
  </si>
  <si>
    <t>Closing Inventory - Raw Materials</t>
  </si>
  <si>
    <t>Closing Inventory - Packaging</t>
  </si>
  <si>
    <t>Closing Inventory - Finished Goods</t>
  </si>
  <si>
    <t>Direct Labor Wages</t>
  </si>
  <si>
    <t>Machine Maintenance &amp; Repair Expense</t>
  </si>
  <si>
    <t>Production Utilities (Electricity &amp; Water)</t>
  </si>
  <si>
    <t>Depreciation Expenses - COGS</t>
  </si>
  <si>
    <t>Marketing &amp; Advertising Expense</t>
  </si>
  <si>
    <t>Office Salaries</t>
  </si>
  <si>
    <t>Meal Allowance Expense</t>
  </si>
  <si>
    <t>Utilities (Electricity &amp; Water)</t>
  </si>
  <si>
    <t>Transportation &amp; Distribution Expense</t>
  </si>
  <si>
    <t>Factory Buildings &amp; Office Supplies and Maintenance</t>
  </si>
  <si>
    <t>Depreciation Expenses - SG&amp;A</t>
  </si>
  <si>
    <t>Inventory Write-off</t>
  </si>
  <si>
    <t>Other Expenses</t>
  </si>
  <si>
    <t>Key Managment Personnel and Director Compensation</t>
  </si>
  <si>
    <t>Interest Income</t>
  </si>
  <si>
    <t>Tax Expenses</t>
  </si>
  <si>
    <t>Inventory Loss due to unexpected events</t>
  </si>
  <si>
    <t>Sales Revenue</t>
  </si>
  <si>
    <t>Opening Work-in-progress</t>
  </si>
  <si>
    <t>Closing Work-in-progress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</si>
</sst>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4" fontId="1" fillId="3" borderId="0" xfId="0" applyNumberFormat="1" applyFont="1" applyFill="1"/>
    <xf numFmtId="0" fontId="1" fillId="4" borderId="0" xfId="0" applyFont="1" applyFill="1"/>
    <xf numFmtId="3" fontId="1" fillId="4" borderId="0" xfId="0" applyNumberFormat="1" applyFont="1" applyFill="1"/>
    <xf numFmtId="4" fontId="1" fillId="4" borderId="0" xfId="0" applyNumberFormat="1" applyFont="1" applyFill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right" wrapText="1"/>
    </xf>
    <xf numFmtId="4" fontId="0" fillId="0" borderId="0" xfId="0" applyNumberFormat="1"/>
    <xf numFmtId="4" fontId="3" fillId="6" borderId="0" xfId="0" applyNumberFormat="1" applyFont="1" applyFill="1" applyAlignment="1">
      <alignment horizontal="right" wrapText="1"/>
    </xf>
    <xf numFmtId="4" fontId="3" fillId="5" borderId="0" xfId="0" applyNumberFormat="1" applyFont="1" applyFill="1" applyAlignment="1">
      <alignment horizontal="right" wrapText="1"/>
    </xf>
    <xf numFmtId="3" fontId="3" fillId="6" borderId="0" xfId="0" applyNumberFormat="1" applyFont="1" applyFill="1" applyAlignment="1">
      <alignment horizontal="right" wrapText="1"/>
    </xf>
    <xf numFmtId="4" fontId="3" fillId="6" borderId="0" xfId="0" applyNumberFormat="1" applyFont="1" applyFill="1" applyAlignment="1">
      <alignment wrapText="1"/>
    </xf>
    <xf numFmtId="3" fontId="3" fillId="5" borderId="0" xfId="0" applyNumberFormat="1" applyFont="1" applyFill="1" applyAlignment="1">
      <alignment horizontal="right" wrapText="1"/>
    </xf>
    <xf numFmtId="4" fontId="3" fillId="5" borderId="0" xfId="0" applyNumberFormat="1" applyFont="1" applyFill="1" applyAlignment="1">
      <alignment wrapText="1"/>
    </xf>
  </cellXfs>
  <cellStyles count="1">
    <cellStyle name="Normal" xfId="0" builtinId="0"/>
  </cellStyles>
  <dxfs count="3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1">
    <tableStyle name="Helper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Helper-style 2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Feb_2025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Mar_2025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April_2025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May_2025-style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June_2025-style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July_2025-style" pivot="0" count="3" xr9:uid="{00000000-0011-0000-FFFF-FFFF07000000}">
      <tableStyleElement type="headerRow" dxfId="11"/>
      <tableStyleElement type="firstRowStripe" dxfId="10"/>
      <tableStyleElement type="secondRowStripe" dxfId="9"/>
    </tableStyle>
    <tableStyle name="Aug_2025-style" pivot="0" count="3" xr9:uid="{00000000-0011-0000-FFFF-FFFF08000000}">
      <tableStyleElement type="headerRow" dxfId="8"/>
      <tableStyleElement type="firstRowStripe" dxfId="7"/>
      <tableStyleElement type="secondRowStripe" dxfId="6"/>
    </tableStyle>
    <tableStyle name="Sep_2025-style" pivot="0" count="3" xr9:uid="{00000000-0011-0000-FFFF-FFFF09000000}">
      <tableStyleElement type="headerRow" dxfId="5"/>
      <tableStyleElement type="firstRowStripe" dxfId="4"/>
      <tableStyleElement type="secondRowStripe" dxfId="3"/>
    </tableStyle>
    <tableStyle name="Oct_2025-style" pivot="0" count="3" xr9:uid="{00000000-0011-0000-FFFF-FFFF0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32CAAF-5B8A-47EF-9A12-083F7663243A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1001"/>
  <sheetViews>
    <sheetView showGridLines="0" topLeftCell="A15" workbookViewId="0">
      <selection activeCell="F37" sqref="F37"/>
    </sheetView>
  </sheetViews>
  <sheetFormatPr defaultColWidth="12.5703125" defaultRowHeight="15" customHeight="1" x14ac:dyDescent="0.2"/>
  <cols>
    <col min="1" max="1" width="41.85546875" customWidth="1"/>
    <col min="2" max="2" width="21.5703125" customWidth="1"/>
    <col min="3" max="3" width="23.42578125" customWidth="1"/>
    <col min="4" max="4" width="18.42578125" customWidth="1"/>
    <col min="5" max="5" width="17.5703125" customWidth="1"/>
    <col min="6" max="6" width="22.28515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February-2025</v>
      </c>
    </row>
    <row r="2" spans="1:9" ht="15.75" customHeight="1" x14ac:dyDescent="0.2">
      <c r="A2" s="3"/>
      <c r="B2" s="1" t="s">
        <v>1</v>
      </c>
      <c r="C2" s="3">
        <v>45689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45716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900155454.99000001</v>
      </c>
      <c r="E5" s="5">
        <f t="shared" si="0"/>
        <v>900155454.99000001</v>
      </c>
      <c r="F5" s="5">
        <f>D5-E5</f>
        <v>0</v>
      </c>
    </row>
    <row r="6" spans="1:9" ht="15.75" customHeight="1" x14ac:dyDescent="0.2">
      <c r="I6" s="1"/>
    </row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v>0</v>
      </c>
      <c r="D9" s="13">
        <v>412876000</v>
      </c>
      <c r="E9" s="13">
        <v>354626580</v>
      </c>
      <c r="F9" s="13">
        <f t="shared" si="1"/>
        <v>58249420</v>
      </c>
    </row>
    <row r="10" spans="1:9" ht="15.75" customHeight="1" x14ac:dyDescent="0.2">
      <c r="A10" s="8" t="s">
        <v>13</v>
      </c>
      <c r="B10" s="8">
        <v>11000</v>
      </c>
      <c r="C10" s="9"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v>5605177</v>
      </c>
      <c r="D11" s="13">
        <v>9965463.7799999993</v>
      </c>
      <c r="E11" s="13">
        <v>5605177.4400000004</v>
      </c>
      <c r="F11" s="13">
        <f t="shared" si="1"/>
        <v>9965463.3399999999</v>
      </c>
    </row>
    <row r="12" spans="1:9" ht="15.75" customHeight="1" x14ac:dyDescent="0.2">
      <c r="A12" s="8" t="s">
        <v>15</v>
      </c>
      <c r="B12" s="8">
        <v>12100</v>
      </c>
      <c r="C12" s="9">
        <v>7899300</v>
      </c>
      <c r="D12" s="10">
        <v>22801950</v>
      </c>
      <c r="E12" s="10">
        <v>7899300</v>
      </c>
      <c r="F12" s="10">
        <f t="shared" si="1"/>
        <v>22801950</v>
      </c>
    </row>
    <row r="13" spans="1:9" ht="15.75" customHeight="1" x14ac:dyDescent="0.2">
      <c r="A13" s="11" t="s">
        <v>16</v>
      </c>
      <c r="B13" s="11">
        <v>12200</v>
      </c>
      <c r="C13" s="12">
        <v>34461646</v>
      </c>
      <c r="D13" s="13">
        <v>50973912.770000003</v>
      </c>
      <c r="E13" s="13">
        <v>34461646</v>
      </c>
      <c r="F13" s="13">
        <f t="shared" si="1"/>
        <v>50973912.770000011</v>
      </c>
      <c r="H13" s="1" t="s">
        <v>10</v>
      </c>
      <c r="I13" s="2"/>
    </row>
    <row r="14" spans="1:9" ht="15.75" customHeight="1" x14ac:dyDescent="0.2">
      <c r="A14" s="8" t="s">
        <v>17</v>
      </c>
      <c r="B14" s="8">
        <v>12300</v>
      </c>
      <c r="C14" s="9"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v>0</v>
      </c>
      <c r="D15" s="13"/>
      <c r="E15" s="13"/>
      <c r="F15" s="13">
        <f t="shared" si="1"/>
        <v>0</v>
      </c>
    </row>
    <row r="16" spans="1:9" ht="15.75" customHeight="1" x14ac:dyDescent="0.2">
      <c r="A16" s="8" t="s">
        <v>19</v>
      </c>
      <c r="B16" s="8">
        <v>15000</v>
      </c>
      <c r="C16" s="9">
        <v>219000000</v>
      </c>
      <c r="D16" s="10">
        <v>210290000</v>
      </c>
      <c r="E16" s="10">
        <v>0</v>
      </c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v>66400000</v>
      </c>
      <c r="D18" s="10"/>
      <c r="E18" s="10"/>
      <c r="F18" s="10">
        <f t="shared" si="1"/>
        <v>66400000</v>
      </c>
    </row>
    <row r="19" spans="1:13" ht="15.75" customHeight="1" x14ac:dyDescent="0.2">
      <c r="A19" s="11" t="s">
        <v>22</v>
      </c>
      <c r="B19" s="11">
        <v>15300</v>
      </c>
      <c r="C19" s="12"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v>7200000</v>
      </c>
      <c r="D20" s="10">
        <v>6856000</v>
      </c>
      <c r="E20" s="10">
        <v>0</v>
      </c>
      <c r="F20" s="10">
        <f t="shared" si="1"/>
        <v>14056000</v>
      </c>
    </row>
    <row r="21" spans="1:13" ht="15.75" customHeight="1" x14ac:dyDescent="0.2">
      <c r="A21" s="11" t="s">
        <v>24</v>
      </c>
      <c r="B21" s="11">
        <v>15500</v>
      </c>
      <c r="C21" s="12">
        <v>0</v>
      </c>
      <c r="D21" s="13">
        <v>90334300</v>
      </c>
      <c r="E21" s="13">
        <v>0</v>
      </c>
      <c r="F21" s="13">
        <f t="shared" si="1"/>
        <v>90334300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v>0</v>
      </c>
      <c r="D22" s="10"/>
      <c r="E22" s="10"/>
      <c r="F22" s="10">
        <f t="shared" si="1"/>
        <v>0</v>
      </c>
      <c r="J22" s="5">
        <f>SUM(F16:F20)-SUM(F22:F25)</f>
        <v>609522775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v>19950000</v>
      </c>
      <c r="D23" s="13">
        <v>0</v>
      </c>
      <c r="E23" s="13">
        <v>554166.67000000004</v>
      </c>
      <c r="F23" s="13">
        <f>C23+E23-D23</f>
        <v>20504166.670000002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v>12375300</v>
      </c>
      <c r="D24" s="10">
        <v>0</v>
      </c>
      <c r="E24" s="10">
        <v>343758.33</v>
      </c>
      <c r="F24" s="10">
        <f>C24+E24-D24</f>
        <v>12719058.33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v>1710000</v>
      </c>
      <c r="D26" s="10">
        <v>0</v>
      </c>
      <c r="E26" s="10">
        <v>47500</v>
      </c>
      <c r="F26" s="10">
        <f>C26+E26-D26</f>
        <v>1757500</v>
      </c>
    </row>
    <row r="27" spans="1:13" ht="15.75" customHeight="1" x14ac:dyDescent="0.2">
      <c r="A27" s="11" t="s">
        <v>30</v>
      </c>
      <c r="B27" s="11">
        <v>15610</v>
      </c>
      <c r="C27" s="12"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v>0</v>
      </c>
      <c r="D32" s="10"/>
      <c r="E32" s="10"/>
      <c r="F32" s="10">
        <f t="shared" si="2"/>
        <v>0</v>
      </c>
    </row>
    <row r="33" spans="1:9" ht="15.75" customHeight="1" x14ac:dyDescent="0.2">
      <c r="A33" s="11" t="s">
        <v>36</v>
      </c>
      <c r="B33" s="11">
        <v>22200</v>
      </c>
      <c r="C33" s="12">
        <v>0</v>
      </c>
      <c r="D33" s="13"/>
      <c r="E33" s="13"/>
      <c r="F33" s="13">
        <f t="shared" si="2"/>
        <v>0</v>
      </c>
    </row>
    <row r="34" spans="1:9" ht="15.75" customHeight="1" x14ac:dyDescent="0.2">
      <c r="A34" s="8" t="s">
        <v>37</v>
      </c>
      <c r="B34" s="8">
        <v>25000</v>
      </c>
      <c r="C34" s="9">
        <v>0</v>
      </c>
      <c r="D34" s="10"/>
      <c r="E34" s="10"/>
      <c r="F34" s="10">
        <f t="shared" si="2"/>
        <v>0</v>
      </c>
    </row>
    <row r="35" spans="1:9" ht="15.75" customHeight="1" x14ac:dyDescent="0.2">
      <c r="A35" s="11" t="s">
        <v>38</v>
      </c>
      <c r="B35" s="11">
        <v>31000</v>
      </c>
      <c r="C35" s="12">
        <v>439530823</v>
      </c>
      <c r="D35" s="13">
        <v>0</v>
      </c>
      <c r="E35" s="13">
        <v>400000000</v>
      </c>
      <c r="F35" s="13">
        <f t="shared" si="2"/>
        <v>839530823</v>
      </c>
    </row>
    <row r="36" spans="1:9" ht="15.75" customHeight="1" x14ac:dyDescent="0.2">
      <c r="A36" s="8" t="s">
        <v>39</v>
      </c>
      <c r="B36" s="8">
        <v>32000</v>
      </c>
      <c r="C36" s="9"/>
      <c r="D36" s="10"/>
      <c r="E36" s="10"/>
      <c r="F36" s="10">
        <f t="shared" si="2"/>
        <v>0</v>
      </c>
    </row>
    <row r="37" spans="1:9" ht="15.75" customHeight="1" x14ac:dyDescent="0.2">
      <c r="A37" s="11" t="s">
        <v>65</v>
      </c>
      <c r="B37" s="11">
        <v>40000</v>
      </c>
      <c r="C37" s="12">
        <v>0</v>
      </c>
      <c r="D37" s="13">
        <v>0</v>
      </c>
      <c r="E37" s="13">
        <v>12876000</v>
      </c>
      <c r="F37" s="13">
        <f t="shared" si="2"/>
        <v>12876000</v>
      </c>
      <c r="I37" s="18"/>
    </row>
    <row r="38" spans="1:9" ht="15.75" customHeight="1" x14ac:dyDescent="0.2">
      <c r="A38" s="11" t="s">
        <v>40</v>
      </c>
      <c r="B38" s="11">
        <v>50000</v>
      </c>
      <c r="C38" s="12">
        <v>0</v>
      </c>
      <c r="D38" s="13">
        <v>5605177.4400000004</v>
      </c>
      <c r="E38" s="13">
        <v>0</v>
      </c>
      <c r="F38" s="13">
        <f>C38+D38-E38</f>
        <v>5605177.4400000004</v>
      </c>
    </row>
    <row r="39" spans="1:9" ht="15.75" customHeight="1" x14ac:dyDescent="0.2">
      <c r="A39" s="8" t="s">
        <v>41</v>
      </c>
      <c r="B39" s="8">
        <v>50100</v>
      </c>
      <c r="C39" s="9">
        <v>0</v>
      </c>
      <c r="D39" s="10">
        <v>7899300</v>
      </c>
      <c r="E39" s="10">
        <v>0</v>
      </c>
      <c r="F39" s="10">
        <f>C39+D39-E39</f>
        <v>7899300</v>
      </c>
    </row>
    <row r="40" spans="1:9" ht="15.75" customHeight="1" x14ac:dyDescent="0.2">
      <c r="A40" s="11" t="s">
        <v>42</v>
      </c>
      <c r="B40" s="11">
        <v>50200</v>
      </c>
      <c r="C40" s="12">
        <v>0</v>
      </c>
      <c r="D40" s="13">
        <v>34461646</v>
      </c>
      <c r="E40" s="13">
        <v>0</v>
      </c>
      <c r="F40" s="13">
        <f>C40+D40-E40</f>
        <v>34461646</v>
      </c>
    </row>
    <row r="41" spans="1:9" ht="15.75" customHeight="1" x14ac:dyDescent="0.2">
      <c r="A41" s="8" t="s">
        <v>43</v>
      </c>
      <c r="B41" s="8">
        <v>50010</v>
      </c>
      <c r="C41" s="9">
        <v>0</v>
      </c>
      <c r="D41" s="10">
        <v>9393050</v>
      </c>
      <c r="E41" s="10">
        <v>0</v>
      </c>
      <c r="F41" s="10">
        <f>C41+D41-E41</f>
        <v>9393050</v>
      </c>
    </row>
    <row r="42" spans="1:9" ht="15.75" customHeight="1" x14ac:dyDescent="0.2">
      <c r="A42" s="11" t="s">
        <v>44</v>
      </c>
      <c r="B42" s="11">
        <v>50110</v>
      </c>
      <c r="C42" s="12">
        <v>0</v>
      </c>
      <c r="D42" s="13">
        <v>35553030</v>
      </c>
      <c r="E42" s="13">
        <v>0</v>
      </c>
      <c r="F42" s="13">
        <f>C42+D42-E42</f>
        <v>35553030</v>
      </c>
    </row>
    <row r="43" spans="1:9" ht="15.75" customHeight="1" x14ac:dyDescent="0.2">
      <c r="A43" s="8" t="s">
        <v>45</v>
      </c>
      <c r="B43" s="8">
        <v>50020</v>
      </c>
      <c r="C43" s="9">
        <v>0</v>
      </c>
      <c r="D43" s="10">
        <v>0</v>
      </c>
      <c r="E43" s="10">
        <v>9965463.7799999993</v>
      </c>
      <c r="F43" s="10">
        <f>C43+E43-D43</f>
        <v>9965463.7799999993</v>
      </c>
    </row>
    <row r="44" spans="1:9" ht="15.75" customHeight="1" x14ac:dyDescent="0.2">
      <c r="A44" s="11" t="s">
        <v>46</v>
      </c>
      <c r="B44" s="11">
        <v>50120</v>
      </c>
      <c r="C44" s="12">
        <v>0</v>
      </c>
      <c r="D44" s="13">
        <v>0</v>
      </c>
      <c r="E44" s="13">
        <v>22801950</v>
      </c>
      <c r="F44" s="13">
        <f>C44+E44-D44</f>
        <v>22801950</v>
      </c>
    </row>
    <row r="45" spans="1:9" ht="15.75" customHeight="1" x14ac:dyDescent="0.2">
      <c r="A45" s="8" t="s">
        <v>47</v>
      </c>
      <c r="B45" s="8">
        <v>50220</v>
      </c>
      <c r="C45" s="9">
        <v>0</v>
      </c>
      <c r="D45" s="10">
        <v>0</v>
      </c>
      <c r="E45" s="10">
        <v>50973912.770000003</v>
      </c>
      <c r="F45" s="10">
        <f>C45+E45-D45</f>
        <v>50973912.770000003</v>
      </c>
    </row>
    <row r="46" spans="1:9" ht="15.75" customHeight="1" x14ac:dyDescent="0.2">
      <c r="A46" s="8" t="s">
        <v>66</v>
      </c>
      <c r="B46" s="8">
        <v>50300</v>
      </c>
      <c r="C46" s="9">
        <v>0</v>
      </c>
      <c r="D46" s="10"/>
      <c r="E46" s="10"/>
      <c r="F46" s="9">
        <f>C46+D46-E46</f>
        <v>0</v>
      </c>
    </row>
    <row r="47" spans="1:9" ht="15.75" customHeight="1" x14ac:dyDescent="0.2">
      <c r="A47" s="8" t="s">
        <v>67</v>
      </c>
      <c r="B47" s="8">
        <v>50320</v>
      </c>
      <c r="C47" s="9">
        <v>0</v>
      </c>
      <c r="D47" s="10"/>
      <c r="E47" s="10"/>
      <c r="F47" s="9">
        <f>C47+E47-D47</f>
        <v>0</v>
      </c>
    </row>
    <row r="48" spans="1:9" ht="15.75" customHeight="1" x14ac:dyDescent="0.2">
      <c r="A48" s="11" t="s">
        <v>48</v>
      </c>
      <c r="B48" s="11">
        <v>53000</v>
      </c>
      <c r="C48" s="12">
        <v>0</v>
      </c>
      <c r="D48" s="13">
        <v>1810000</v>
      </c>
      <c r="E48" s="13">
        <v>0</v>
      </c>
      <c r="F48" s="13">
        <f t="shared" ref="F48:F61" si="3">C48+D48-E48</f>
        <v>1810000</v>
      </c>
    </row>
    <row r="49" spans="1:6" ht="15.75" customHeight="1" x14ac:dyDescent="0.2">
      <c r="A49" s="8" t="s">
        <v>49</v>
      </c>
      <c r="B49" s="8">
        <v>53100</v>
      </c>
      <c r="C49" s="9">
        <v>0</v>
      </c>
      <c r="D49" s="10">
        <v>62900</v>
      </c>
      <c r="E49" s="10">
        <v>0</v>
      </c>
      <c r="F49" s="10">
        <f t="shared" si="3"/>
        <v>62900</v>
      </c>
    </row>
    <row r="50" spans="1:6" ht="15.75" customHeight="1" x14ac:dyDescent="0.2">
      <c r="A50" s="11" t="s">
        <v>50</v>
      </c>
      <c r="B50" s="11">
        <v>53200</v>
      </c>
      <c r="C50" s="12">
        <v>0</v>
      </c>
      <c r="D50" s="13">
        <v>243300</v>
      </c>
      <c r="E50" s="13">
        <v>0</v>
      </c>
      <c r="F50" s="13">
        <f t="shared" si="3"/>
        <v>243300</v>
      </c>
    </row>
    <row r="51" spans="1:6" ht="15.75" customHeight="1" x14ac:dyDescent="0.2">
      <c r="A51" s="8" t="s">
        <v>51</v>
      </c>
      <c r="B51" s="8">
        <v>53300</v>
      </c>
      <c r="C51" s="9">
        <v>0</v>
      </c>
      <c r="D51" s="10">
        <v>343758.33</v>
      </c>
      <c r="E51" s="10">
        <v>0</v>
      </c>
      <c r="F51" s="10">
        <f t="shared" si="3"/>
        <v>343758.33</v>
      </c>
    </row>
    <row r="52" spans="1:6" ht="15.75" customHeight="1" x14ac:dyDescent="0.2">
      <c r="A52" s="11" t="s">
        <v>52</v>
      </c>
      <c r="B52" s="11">
        <v>60000</v>
      </c>
      <c r="C52" s="12">
        <v>0</v>
      </c>
      <c r="D52" s="13">
        <v>84000</v>
      </c>
      <c r="E52" s="13">
        <v>0</v>
      </c>
      <c r="F52" s="13">
        <f t="shared" si="3"/>
        <v>84000</v>
      </c>
    </row>
    <row r="53" spans="1:6" ht="15.75" customHeight="1" x14ac:dyDescent="0.2">
      <c r="A53" s="8" t="s">
        <v>53</v>
      </c>
      <c r="B53" s="8">
        <v>61000</v>
      </c>
      <c r="C53" s="9"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v>0</v>
      </c>
      <c r="D57" s="10"/>
      <c r="E57" s="10"/>
      <c r="F57" s="10">
        <f t="shared" si="3"/>
        <v>0</v>
      </c>
    </row>
    <row r="58" spans="1:6" ht="15.75" customHeight="1" x14ac:dyDescent="0.2">
      <c r="A58" s="11" t="s">
        <v>58</v>
      </c>
      <c r="B58" s="11">
        <v>66000</v>
      </c>
      <c r="C58" s="12">
        <v>0</v>
      </c>
      <c r="D58" s="13">
        <v>601666.67000000004</v>
      </c>
      <c r="E58" s="13">
        <v>0</v>
      </c>
      <c r="F58" s="13">
        <f t="shared" si="3"/>
        <v>601666.67000000004</v>
      </c>
    </row>
    <row r="59" spans="1:6" ht="15.75" customHeight="1" x14ac:dyDescent="0.2">
      <c r="A59" s="8" t="s">
        <v>59</v>
      </c>
      <c r="B59" s="8">
        <v>67000</v>
      </c>
      <c r="C59" s="9">
        <v>0</v>
      </c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>
        <v>0</v>
      </c>
      <c r="D60" s="13"/>
      <c r="E60" s="13"/>
      <c r="F60" s="13">
        <f t="shared" si="3"/>
        <v>0</v>
      </c>
    </row>
    <row r="61" spans="1:6" ht="15.75" customHeight="1" x14ac:dyDescent="0.2">
      <c r="A61" s="8" t="s">
        <v>61</v>
      </c>
      <c r="B61" s="8">
        <v>69000</v>
      </c>
      <c r="C61" s="9">
        <v>0</v>
      </c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>
        <v>0</v>
      </c>
      <c r="D62" s="13"/>
      <c r="E62" s="13"/>
      <c r="F62" s="13">
        <f>C62+E62-D62</f>
        <v>0</v>
      </c>
    </row>
    <row r="63" spans="1:6" ht="15.75" customHeight="1" x14ac:dyDescent="0.2">
      <c r="A63" s="8" t="s">
        <v>63</v>
      </c>
      <c r="B63" s="8">
        <v>80000</v>
      </c>
      <c r="C63" s="9"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v>0</v>
      </c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1001"/>
  <sheetViews>
    <sheetView showGridLines="0" topLeftCell="A31" workbookViewId="0">
      <selection activeCell="B37" sqref="B37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6" ht="15.75" customHeight="1" x14ac:dyDescent="0.2">
      <c r="B1" s="1" t="s">
        <v>0</v>
      </c>
      <c r="C1" s="1" t="str">
        <f>TEXT(C3,"MMMM-YYY")</f>
        <v>March-2025</v>
      </c>
    </row>
    <row r="2" spans="1:6" ht="15.75" customHeight="1" x14ac:dyDescent="0.2">
      <c r="A2" s="3"/>
      <c r="B2" s="1" t="s">
        <v>1</v>
      </c>
      <c r="C2" s="3">
        <v>45717</v>
      </c>
      <c r="E2" s="4" t="s">
        <v>2</v>
      </c>
      <c r="F2" s="1" t="str">
        <f>IF(SUM(D:D) = SUM(E:E), "✅ Balanced", "⚠️ Unbalanced")</f>
        <v>✅ Balanced</v>
      </c>
    </row>
    <row r="3" spans="1:6" ht="15.75" customHeight="1" x14ac:dyDescent="0.2">
      <c r="B3" s="1" t="s">
        <v>3</v>
      </c>
      <c r="C3" s="3">
        <f>EOMONTH(C2,0)</f>
        <v>45747</v>
      </c>
      <c r="E3" s="4"/>
    </row>
    <row r="4" spans="1:6" ht="15.75" customHeight="1" x14ac:dyDescent="0.2"/>
    <row r="5" spans="1:6" ht="15.75" customHeight="1" x14ac:dyDescent="0.2">
      <c r="D5" s="5">
        <f t="shared" ref="D5:E5" si="0">SUM(D8:D1001)</f>
        <v>281173702.21999997</v>
      </c>
      <c r="E5" s="5">
        <f t="shared" si="0"/>
        <v>281173702.22000003</v>
      </c>
      <c r="F5" s="5">
        <f>D5-E5</f>
        <v>0</v>
      </c>
    </row>
    <row r="6" spans="1:6" ht="15.75" customHeight="1" x14ac:dyDescent="0.2"/>
    <row r="7" spans="1:6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6" ht="15.75" customHeight="1" x14ac:dyDescent="0.2">
      <c r="A8" s="8" t="s">
        <v>11</v>
      </c>
      <c r="B8" s="8">
        <v>10000</v>
      </c>
      <c r="C8" s="9">
        <f>Feb_2025!F8</f>
        <v>0</v>
      </c>
      <c r="D8" s="10"/>
      <c r="E8" s="10"/>
      <c r="F8" s="10">
        <f t="shared" ref="F8:F22" si="1">C8+D8-E8</f>
        <v>0</v>
      </c>
    </row>
    <row r="9" spans="1:6" ht="15.75" customHeight="1" x14ac:dyDescent="0.2">
      <c r="A9" s="11" t="s">
        <v>12</v>
      </c>
      <c r="B9" s="11">
        <v>10100</v>
      </c>
      <c r="C9" s="12">
        <f>Feb_2025!F9</f>
        <v>58249420</v>
      </c>
      <c r="D9" s="13">
        <v>38186000</v>
      </c>
      <c r="E9" s="13">
        <v>70309828.030000001</v>
      </c>
      <c r="F9" s="13">
        <f t="shared" si="1"/>
        <v>26125591.969999999</v>
      </c>
    </row>
    <row r="10" spans="1:6" ht="15.75" customHeight="1" x14ac:dyDescent="0.2">
      <c r="A10" s="8" t="s">
        <v>13</v>
      </c>
      <c r="B10" s="8">
        <v>11000</v>
      </c>
      <c r="C10" s="9">
        <f>Feb_2025!F10</f>
        <v>0</v>
      </c>
      <c r="D10" s="10"/>
      <c r="E10" s="10"/>
      <c r="F10" s="10">
        <f t="shared" si="1"/>
        <v>0</v>
      </c>
    </row>
    <row r="11" spans="1:6" ht="15.75" customHeight="1" x14ac:dyDescent="0.2">
      <c r="A11" s="11" t="s">
        <v>14</v>
      </c>
      <c r="B11" s="11">
        <v>12000</v>
      </c>
      <c r="C11" s="12">
        <f>Feb_2025!F11</f>
        <v>9965463.3399999999</v>
      </c>
      <c r="D11" s="13">
        <v>8136940.8300000001</v>
      </c>
      <c r="E11" s="13">
        <v>9965463.7799999993</v>
      </c>
      <c r="F11" s="13">
        <f t="shared" si="1"/>
        <v>8136940.3900000025</v>
      </c>
    </row>
    <row r="12" spans="1:6" ht="15.75" customHeight="1" x14ac:dyDescent="0.2">
      <c r="A12" s="8" t="s">
        <v>15</v>
      </c>
      <c r="B12" s="8">
        <v>12100</v>
      </c>
      <c r="C12" s="9">
        <f>Feb_2025!F12</f>
        <v>22801950</v>
      </c>
      <c r="D12" s="10">
        <v>24876371</v>
      </c>
      <c r="E12" s="10">
        <v>22801950</v>
      </c>
      <c r="F12" s="10">
        <f t="shared" si="1"/>
        <v>24876371</v>
      </c>
    </row>
    <row r="13" spans="1:6" ht="15.75" customHeight="1" x14ac:dyDescent="0.2">
      <c r="A13" s="11" t="s">
        <v>16</v>
      </c>
      <c r="B13" s="11">
        <v>12200</v>
      </c>
      <c r="C13" s="12">
        <f>Feb_2025!F13</f>
        <v>50973912.770000011</v>
      </c>
      <c r="D13" s="13">
        <v>53694311.880000003</v>
      </c>
      <c r="E13" s="13">
        <v>52187611.700000003</v>
      </c>
      <c r="F13" s="13">
        <f t="shared" si="1"/>
        <v>52480612.950000003</v>
      </c>
    </row>
    <row r="14" spans="1:6" ht="15.75" customHeight="1" x14ac:dyDescent="0.2">
      <c r="A14" s="8" t="s">
        <v>17</v>
      </c>
      <c r="B14" s="8">
        <v>12300</v>
      </c>
      <c r="C14" s="9">
        <f>Feb_2025!F14</f>
        <v>0</v>
      </c>
      <c r="D14" s="10"/>
      <c r="E14" s="10"/>
      <c r="F14" s="10">
        <f t="shared" si="1"/>
        <v>0</v>
      </c>
    </row>
    <row r="15" spans="1:6" ht="15.75" customHeight="1" x14ac:dyDescent="0.2">
      <c r="A15" s="11" t="s">
        <v>18</v>
      </c>
      <c r="B15" s="11">
        <v>13000</v>
      </c>
      <c r="C15" s="12">
        <f>Feb_2025!F15</f>
        <v>0</v>
      </c>
      <c r="D15" s="13"/>
      <c r="E15" s="13"/>
      <c r="F15" s="13">
        <f t="shared" si="1"/>
        <v>0</v>
      </c>
    </row>
    <row r="16" spans="1:6" ht="15.75" customHeight="1" x14ac:dyDescent="0.2">
      <c r="A16" s="8" t="s">
        <v>19</v>
      </c>
      <c r="B16" s="8">
        <v>15000</v>
      </c>
      <c r="C16" s="9">
        <f>Feb_2025!F16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Feb_2025!F17</f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f>Feb_2025!F18</f>
        <v>66400000</v>
      </c>
      <c r="D18" s="10">
        <v>1520000</v>
      </c>
      <c r="E18" s="10">
        <v>0</v>
      </c>
      <c r="F18" s="10">
        <f t="shared" si="1"/>
        <v>67920000</v>
      </c>
    </row>
    <row r="19" spans="1:13" ht="15.75" customHeight="1" x14ac:dyDescent="0.2">
      <c r="A19" s="11" t="s">
        <v>22</v>
      </c>
      <c r="B19" s="11">
        <v>15300</v>
      </c>
      <c r="C19" s="12">
        <f>Feb_2025!F19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Feb_2025!F20</f>
        <v>14056000</v>
      </c>
      <c r="D20" s="10"/>
      <c r="E20" s="10"/>
      <c r="F20" s="10">
        <f t="shared" si="1"/>
        <v>14056000</v>
      </c>
    </row>
    <row r="21" spans="1:13" ht="15.75" customHeight="1" x14ac:dyDescent="0.2">
      <c r="A21" s="11" t="s">
        <v>24</v>
      </c>
      <c r="B21" s="11">
        <v>15500</v>
      </c>
      <c r="C21" s="12">
        <f>Feb_2025!F21</f>
        <v>90334300</v>
      </c>
      <c r="D21" s="13">
        <v>30272000</v>
      </c>
      <c r="E21" s="13">
        <v>0</v>
      </c>
      <c r="F21" s="13">
        <f t="shared" si="1"/>
        <v>120606300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Feb_2025!F22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Feb_2025!F23</f>
        <v>20504166.670000002</v>
      </c>
      <c r="D23" s="13">
        <v>0</v>
      </c>
      <c r="E23" s="13">
        <v>554166.67000000004</v>
      </c>
      <c r="F23" s="13">
        <f>C23+E23-D23</f>
        <v>21058333.340000004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Feb_2025!F24</f>
        <v>12719058.33</v>
      </c>
      <c r="D24" s="10">
        <v>0</v>
      </c>
      <c r="E24" s="10">
        <v>356425</v>
      </c>
      <c r="F24" s="10">
        <f>C24+E24-D24</f>
        <v>13075483.33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Feb_2025!F25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Feb_2025!F26</f>
        <v>1757500</v>
      </c>
      <c r="D26" s="10">
        <v>0</v>
      </c>
      <c r="E26" s="10">
        <v>104633.33</v>
      </c>
      <c r="F26" s="10">
        <f>C26+E26-D26</f>
        <v>1862133.33</v>
      </c>
    </row>
    <row r="27" spans="1:13" ht="15.75" customHeight="1" x14ac:dyDescent="0.2">
      <c r="A27" s="11" t="s">
        <v>30</v>
      </c>
      <c r="B27" s="11">
        <v>15610</v>
      </c>
      <c r="C27" s="12">
        <f>Feb_2025!F27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Feb_2025!F28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Feb_2025!F29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Feb_2025!F30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Feb_2025!F31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Feb_2025!F32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Feb_2025!F33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Feb_2025!F34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Feb_2025!F35</f>
        <v>839530823</v>
      </c>
      <c r="D35" s="13"/>
      <c r="E35" s="13"/>
      <c r="F35" s="13">
        <f t="shared" si="2"/>
        <v>839530823</v>
      </c>
    </row>
    <row r="36" spans="1:6" ht="15.75" customHeight="1" x14ac:dyDescent="0.2">
      <c r="A36" s="8" t="s">
        <v>39</v>
      </c>
      <c r="B36" s="8">
        <v>32000</v>
      </c>
      <c r="C36" s="9">
        <f>Feb_2025!F36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>
        <f>Feb_2025!F37</f>
        <v>12876000</v>
      </c>
      <c r="D37" s="13">
        <v>0</v>
      </c>
      <c r="E37" s="13">
        <v>38186000</v>
      </c>
      <c r="F37" s="13">
        <f t="shared" si="2"/>
        <v>51062000</v>
      </c>
    </row>
    <row r="38" spans="1:6" ht="15.75" customHeight="1" x14ac:dyDescent="0.2">
      <c r="A38" s="11" t="s">
        <v>40</v>
      </c>
      <c r="B38" s="11">
        <v>50000</v>
      </c>
      <c r="C38" s="12">
        <f>Feb_2025!F38</f>
        <v>5605177.4400000004</v>
      </c>
      <c r="D38" s="13">
        <v>9965463.7799999993</v>
      </c>
      <c r="E38" s="13">
        <v>0</v>
      </c>
      <c r="F38" s="13">
        <f t="shared" ref="F38:F61" si="3">C38+D38-E38</f>
        <v>15570641.219999999</v>
      </c>
    </row>
    <row r="39" spans="1:6" ht="15.75" customHeight="1" x14ac:dyDescent="0.2">
      <c r="A39" s="8" t="s">
        <v>41</v>
      </c>
      <c r="B39" s="8">
        <v>50100</v>
      </c>
      <c r="C39" s="9">
        <f>Feb_2025!F39</f>
        <v>7899300</v>
      </c>
      <c r="D39" s="10">
        <v>22801950</v>
      </c>
      <c r="E39" s="10">
        <v>0</v>
      </c>
      <c r="F39" s="10">
        <f t="shared" si="3"/>
        <v>30701250</v>
      </c>
    </row>
    <row r="40" spans="1:6" ht="15.75" customHeight="1" x14ac:dyDescent="0.2">
      <c r="A40" s="11" t="s">
        <v>42</v>
      </c>
      <c r="B40" s="11">
        <v>50200</v>
      </c>
      <c r="C40" s="12">
        <f>Feb_2025!F40</f>
        <v>34461646</v>
      </c>
      <c r="D40" s="13">
        <v>50973912.770000003</v>
      </c>
      <c r="E40" s="13">
        <v>0</v>
      </c>
      <c r="F40" s="13">
        <f t="shared" si="3"/>
        <v>85435558.770000011</v>
      </c>
    </row>
    <row r="41" spans="1:6" ht="15.75" customHeight="1" x14ac:dyDescent="0.2">
      <c r="A41" s="8" t="s">
        <v>43</v>
      </c>
      <c r="B41" s="8">
        <v>50010</v>
      </c>
      <c r="C41" s="9">
        <f>Feb_2025!F41</f>
        <v>9393050</v>
      </c>
      <c r="D41" s="10">
        <v>18487471</v>
      </c>
      <c r="E41" s="10">
        <v>0</v>
      </c>
      <c r="F41" s="10">
        <f t="shared" si="3"/>
        <v>27880521</v>
      </c>
    </row>
    <row r="42" spans="1:6" ht="15.75" customHeight="1" x14ac:dyDescent="0.2">
      <c r="A42" s="11" t="s">
        <v>44</v>
      </c>
      <c r="B42" s="11">
        <v>50110</v>
      </c>
      <c r="C42" s="12">
        <f>Feb_2025!F42</f>
        <v>35553030</v>
      </c>
      <c r="D42" s="13">
        <v>18273130</v>
      </c>
      <c r="E42" s="13">
        <v>0</v>
      </c>
      <c r="F42" s="13">
        <f t="shared" si="3"/>
        <v>53826160</v>
      </c>
    </row>
    <row r="43" spans="1:6" ht="15.75" customHeight="1" x14ac:dyDescent="0.2">
      <c r="A43" s="8" t="s">
        <v>45</v>
      </c>
      <c r="B43" s="8">
        <v>50020</v>
      </c>
      <c r="C43" s="9">
        <f>Feb_2025!F43</f>
        <v>9965463.7799999993</v>
      </c>
      <c r="D43" s="10">
        <v>0</v>
      </c>
      <c r="E43" s="10">
        <v>8136940.8300000001</v>
      </c>
      <c r="F43" s="10">
        <f t="shared" si="3"/>
        <v>1828522.9499999993</v>
      </c>
    </row>
    <row r="44" spans="1:6" ht="15.75" customHeight="1" x14ac:dyDescent="0.2">
      <c r="A44" s="11" t="s">
        <v>46</v>
      </c>
      <c r="B44" s="11">
        <v>50120</v>
      </c>
      <c r="C44" s="12">
        <f>Feb_2025!F44</f>
        <v>22801950</v>
      </c>
      <c r="D44" s="13">
        <v>0</v>
      </c>
      <c r="E44" s="13">
        <v>24876371</v>
      </c>
      <c r="F44" s="13">
        <f t="shared" si="3"/>
        <v>-2074421</v>
      </c>
    </row>
    <row r="45" spans="1:6" ht="15.75" customHeight="1" x14ac:dyDescent="0.2">
      <c r="A45" s="8" t="s">
        <v>47</v>
      </c>
      <c r="B45" s="8">
        <v>50220</v>
      </c>
      <c r="C45" s="9">
        <f>Feb_2025!F45</f>
        <v>50973912.770000003</v>
      </c>
      <c r="D45" s="10">
        <v>0</v>
      </c>
      <c r="E45" s="10">
        <v>53694311.880000003</v>
      </c>
      <c r="F45" s="10">
        <f t="shared" si="3"/>
        <v>-2720399.1099999994</v>
      </c>
    </row>
    <row r="46" spans="1:6" ht="15.75" customHeight="1" x14ac:dyDescent="0.2">
      <c r="A46" s="8" t="s">
        <v>66</v>
      </c>
      <c r="B46" s="8">
        <v>50300</v>
      </c>
      <c r="C46" s="9">
        <f>Feb_2025!F46</f>
        <v>0</v>
      </c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>
        <f>Feb_2025!F47</f>
        <v>0</v>
      </c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>
        <f>Feb_2025!F48</f>
        <v>1810000</v>
      </c>
      <c r="D48" s="13">
        <v>1650000</v>
      </c>
      <c r="E48" s="13">
        <v>0</v>
      </c>
      <c r="F48" s="13">
        <f t="shared" si="3"/>
        <v>3460000</v>
      </c>
    </row>
    <row r="49" spans="1:6" ht="15.75" customHeight="1" x14ac:dyDescent="0.2">
      <c r="A49" s="8" t="s">
        <v>49</v>
      </c>
      <c r="B49" s="8">
        <v>53100</v>
      </c>
      <c r="C49" s="9">
        <f>Feb_2025!F49</f>
        <v>62900</v>
      </c>
      <c r="D49" s="10"/>
      <c r="E49" s="10"/>
      <c r="F49" s="10">
        <f t="shared" si="3"/>
        <v>62900</v>
      </c>
    </row>
    <row r="50" spans="1:6" ht="15.75" customHeight="1" x14ac:dyDescent="0.2">
      <c r="A50" s="11" t="s">
        <v>50</v>
      </c>
      <c r="B50" s="11">
        <v>53200</v>
      </c>
      <c r="C50" s="12">
        <f>Feb_2025!F50</f>
        <v>243300</v>
      </c>
      <c r="D50" s="13">
        <v>0</v>
      </c>
      <c r="E50" s="13">
        <v>0</v>
      </c>
      <c r="F50" s="13">
        <f t="shared" si="3"/>
        <v>243300</v>
      </c>
    </row>
    <row r="51" spans="1:6" ht="15.75" customHeight="1" x14ac:dyDescent="0.2">
      <c r="A51" s="8" t="s">
        <v>51</v>
      </c>
      <c r="B51" s="8">
        <v>53300</v>
      </c>
      <c r="C51" s="9">
        <f>Feb_2025!F51</f>
        <v>343758.33</v>
      </c>
      <c r="D51" s="10">
        <v>356425</v>
      </c>
      <c r="E51" s="10">
        <v>0</v>
      </c>
      <c r="F51" s="10">
        <f t="shared" si="3"/>
        <v>700183.33000000007</v>
      </c>
    </row>
    <row r="52" spans="1:6" ht="15.75" customHeight="1" x14ac:dyDescent="0.2">
      <c r="A52" s="11" t="s">
        <v>52</v>
      </c>
      <c r="B52" s="11">
        <v>60000</v>
      </c>
      <c r="C52" s="12">
        <f>Feb_2025!F52</f>
        <v>84000</v>
      </c>
      <c r="D52" s="13"/>
      <c r="E52" s="13"/>
      <c r="F52" s="13">
        <f t="shared" si="3"/>
        <v>84000</v>
      </c>
    </row>
    <row r="53" spans="1:6" ht="15.75" customHeight="1" x14ac:dyDescent="0.2">
      <c r="A53" s="8" t="s">
        <v>53</v>
      </c>
      <c r="B53" s="8">
        <v>61000</v>
      </c>
      <c r="C53" s="9">
        <f>Feb_2025!F53</f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f>Feb_2025!F54</f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f>Feb_2025!F55</f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f>Feb_2025!F56</f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f>Feb_2025!F57</f>
        <v>0</v>
      </c>
      <c r="D57" s="10"/>
      <c r="E57" s="10"/>
      <c r="F57" s="10">
        <f t="shared" si="3"/>
        <v>0</v>
      </c>
    </row>
    <row r="58" spans="1:6" ht="15.75" customHeight="1" x14ac:dyDescent="0.2">
      <c r="A58" s="11" t="s">
        <v>58</v>
      </c>
      <c r="B58" s="11">
        <v>66000</v>
      </c>
      <c r="C58" s="12">
        <f>Feb_2025!F58</f>
        <v>601666.67000000004</v>
      </c>
      <c r="D58" s="13">
        <v>658800</v>
      </c>
      <c r="E58" s="13">
        <v>0</v>
      </c>
      <c r="F58" s="13">
        <f t="shared" si="3"/>
        <v>1260466.67</v>
      </c>
    </row>
    <row r="59" spans="1:6" ht="15.75" customHeight="1" x14ac:dyDescent="0.2">
      <c r="A59" s="8" t="s">
        <v>59</v>
      </c>
      <c r="B59" s="8">
        <v>67000</v>
      </c>
      <c r="C59" s="9">
        <f>Feb_2025!F59</f>
        <v>0</v>
      </c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>
        <f>Feb_2025!F60</f>
        <v>0</v>
      </c>
      <c r="D60" s="13"/>
      <c r="E60" s="13"/>
      <c r="F60" s="13">
        <f t="shared" si="3"/>
        <v>0</v>
      </c>
    </row>
    <row r="61" spans="1:6" ht="15.75" customHeight="1" x14ac:dyDescent="0.2">
      <c r="A61" s="8" t="s">
        <v>61</v>
      </c>
      <c r="B61" s="8">
        <v>69000</v>
      </c>
      <c r="C61" s="9">
        <f>Feb_2025!F61</f>
        <v>0</v>
      </c>
      <c r="D61" s="10">
        <v>107227.03</v>
      </c>
      <c r="E61" s="10">
        <v>0</v>
      </c>
      <c r="F61" s="10">
        <f t="shared" si="3"/>
        <v>107227.03</v>
      </c>
    </row>
    <row r="62" spans="1:6" ht="15.75" customHeight="1" x14ac:dyDescent="0.2">
      <c r="A62" s="11" t="s">
        <v>62</v>
      </c>
      <c r="B62" s="11">
        <v>70000</v>
      </c>
      <c r="C62" s="12">
        <f>Feb_2025!F62</f>
        <v>0</v>
      </c>
      <c r="D62" s="13"/>
      <c r="E62" s="13"/>
      <c r="F62" s="13">
        <f>C62+E62-D62</f>
        <v>0</v>
      </c>
    </row>
    <row r="63" spans="1:6" ht="15.75" customHeight="1" x14ac:dyDescent="0.2">
      <c r="A63" s="8" t="s">
        <v>63</v>
      </c>
      <c r="B63" s="8">
        <v>80000</v>
      </c>
      <c r="C63" s="9">
        <f>Feb_2025!F63</f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f>Feb_2025!F64</f>
        <v>0</v>
      </c>
      <c r="D64" s="13">
        <v>1213698.93</v>
      </c>
      <c r="E64" s="13">
        <v>0</v>
      </c>
      <c r="F64" s="13">
        <f>C64+D64-E64</f>
        <v>1213698.93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1001"/>
  <sheetViews>
    <sheetView showGridLines="0" tabSelected="1" topLeftCell="A17" workbookViewId="0">
      <selection activeCell="C37" sqref="C37:C1048576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April-2025</v>
      </c>
    </row>
    <row r="2" spans="1:9" ht="15.75" customHeight="1" x14ac:dyDescent="0.2">
      <c r="A2" s="3"/>
      <c r="B2" s="1" t="s">
        <v>1</v>
      </c>
      <c r="C2" s="3">
        <v>45748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45777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223715292.11999997</v>
      </c>
      <c r="E5" s="5">
        <f t="shared" si="0"/>
        <v>223715292.12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f>Mar_2025!F8</f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f>Mar_2025!F9</f>
        <v>26125591.969999999</v>
      </c>
      <c r="D9" s="13">
        <v>52508030</v>
      </c>
      <c r="E9" s="13">
        <v>21100150</v>
      </c>
      <c r="F9" s="13">
        <f t="shared" si="1"/>
        <v>57533471.969999999</v>
      </c>
    </row>
    <row r="10" spans="1:9" ht="15.75" customHeight="1" x14ac:dyDescent="0.2">
      <c r="A10" s="8" t="s">
        <v>13</v>
      </c>
      <c r="B10" s="8">
        <v>11000</v>
      </c>
      <c r="C10" s="9">
        <f>Mar_2025!F10</f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f>Mar_2025!F11</f>
        <v>8136940.3900000025</v>
      </c>
      <c r="D11" s="13">
        <v>8212072.3600000003</v>
      </c>
      <c r="E11" s="13">
        <v>8136940.8300000001</v>
      </c>
      <c r="F11" s="13">
        <f t="shared" si="1"/>
        <v>8212071.9200000037</v>
      </c>
    </row>
    <row r="12" spans="1:9" ht="15.75" customHeight="1" x14ac:dyDescent="0.2">
      <c r="A12" s="8" t="s">
        <v>15</v>
      </c>
      <c r="B12" s="8">
        <v>12100</v>
      </c>
      <c r="C12" s="9">
        <f>Mar_2025!F12</f>
        <v>24876371</v>
      </c>
      <c r="D12" s="10">
        <v>23855351</v>
      </c>
      <c r="E12" s="10">
        <v>24876371</v>
      </c>
      <c r="F12" s="10">
        <f t="shared" si="1"/>
        <v>23855351</v>
      </c>
    </row>
    <row r="13" spans="1:9" ht="15.75" customHeight="1" x14ac:dyDescent="0.2">
      <c r="A13" s="11" t="s">
        <v>16</v>
      </c>
      <c r="B13" s="11">
        <v>12200</v>
      </c>
      <c r="C13" s="12">
        <f>Mar_2025!F13</f>
        <v>52480612.950000003</v>
      </c>
      <c r="D13" s="13">
        <v>29756984.309999999</v>
      </c>
      <c r="E13" s="13">
        <v>52480612.950000003</v>
      </c>
      <c r="F13" s="13">
        <f t="shared" si="1"/>
        <v>29756984.310000002</v>
      </c>
      <c r="I13" s="2"/>
    </row>
    <row r="14" spans="1:9" ht="15.75" customHeight="1" x14ac:dyDescent="0.2">
      <c r="A14" s="8" t="s">
        <v>17</v>
      </c>
      <c r="B14" s="8">
        <v>12300</v>
      </c>
      <c r="C14" s="9">
        <f>Mar_2025!F14</f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f>Mar_2025!F15</f>
        <v>0</v>
      </c>
      <c r="D15" s="13"/>
      <c r="E15" s="13"/>
      <c r="F15" s="13">
        <f t="shared" si="1"/>
        <v>0</v>
      </c>
    </row>
    <row r="16" spans="1:9" ht="15.75" customHeight="1" x14ac:dyDescent="0.2">
      <c r="A16" s="8" t="s">
        <v>19</v>
      </c>
      <c r="B16" s="8">
        <v>15000</v>
      </c>
      <c r="C16" s="9">
        <f>Mar_2025!F16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Mar_2025!F17</f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f>Mar_2025!F18</f>
        <v>67920000</v>
      </c>
      <c r="D18" s="10"/>
      <c r="E18" s="10"/>
      <c r="F18" s="10">
        <f t="shared" si="1"/>
        <v>67920000</v>
      </c>
    </row>
    <row r="19" spans="1:13" ht="15.75" customHeight="1" x14ac:dyDescent="0.2">
      <c r="A19" s="11" t="s">
        <v>22</v>
      </c>
      <c r="B19" s="11">
        <v>15300</v>
      </c>
      <c r="C19" s="12">
        <f>Mar_2025!F19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Mar_2025!F20</f>
        <v>14056000</v>
      </c>
      <c r="D20" s="10"/>
      <c r="E20" s="10"/>
      <c r="F20" s="10">
        <f t="shared" si="1"/>
        <v>14056000</v>
      </c>
    </row>
    <row r="21" spans="1:13" ht="15.75" customHeight="1" x14ac:dyDescent="0.2">
      <c r="A21" s="11" t="s">
        <v>24</v>
      </c>
      <c r="B21" s="11">
        <v>15500</v>
      </c>
      <c r="C21" s="12">
        <f>Mar_2025!F21</f>
        <v>120606300</v>
      </c>
      <c r="D21" s="13">
        <v>13500</v>
      </c>
      <c r="E21" s="13">
        <v>0</v>
      </c>
      <c r="F21" s="13">
        <f t="shared" si="1"/>
        <v>120619800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Mar_2025!F22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Mar_2025!F23</f>
        <v>21058333.340000004</v>
      </c>
      <c r="D23" s="13">
        <v>0</v>
      </c>
      <c r="E23" s="13">
        <v>554166.67000000004</v>
      </c>
      <c r="F23" s="13">
        <f>C23+E23-D23</f>
        <v>21612500.010000005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Mar_2025!F24</f>
        <v>13075483.33</v>
      </c>
      <c r="D24" s="10">
        <v>0</v>
      </c>
      <c r="E24" s="10">
        <v>1828151</v>
      </c>
      <c r="F24" s="10">
        <f>C24+E24-D24</f>
        <v>14903634.33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Mar_2025!F25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Mar_2025!F26</f>
        <v>1862133.33</v>
      </c>
      <c r="D26" s="10">
        <v>0</v>
      </c>
      <c r="E26" s="10">
        <v>406462</v>
      </c>
      <c r="F26" s="10">
        <f>C26+E26-D26</f>
        <v>2268595.33</v>
      </c>
    </row>
    <row r="27" spans="1:13" ht="15.75" customHeight="1" x14ac:dyDescent="0.2">
      <c r="A27" s="11" t="s">
        <v>30</v>
      </c>
      <c r="B27" s="11">
        <v>15610</v>
      </c>
      <c r="C27" s="12">
        <f>Mar_2025!F27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Mar_2025!F28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Mar_2025!F29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Mar_2025!F30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Mar_2025!F31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Mar_2025!F32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Mar_2025!F33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Mar_2025!F34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Mar_2025!F35</f>
        <v>839530823</v>
      </c>
      <c r="D35" s="13"/>
      <c r="E35" s="13"/>
      <c r="F35" s="13">
        <f t="shared" si="2"/>
        <v>839530823</v>
      </c>
    </row>
    <row r="36" spans="1:6" ht="15.75" customHeight="1" x14ac:dyDescent="0.2">
      <c r="A36" s="8" t="s">
        <v>39</v>
      </c>
      <c r="B36" s="8">
        <v>32000</v>
      </c>
      <c r="C36" s="9">
        <f>Mar_2025!F36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/>
      <c r="D37" s="13">
        <v>0</v>
      </c>
      <c r="E37" s="13">
        <v>52160000</v>
      </c>
      <c r="F37" s="13">
        <f t="shared" si="2"/>
        <v>52160000</v>
      </c>
    </row>
    <row r="38" spans="1:6" ht="15.75" customHeight="1" x14ac:dyDescent="0.2">
      <c r="A38" s="11" t="s">
        <v>40</v>
      </c>
      <c r="B38" s="11">
        <v>50000</v>
      </c>
      <c r="C38" s="12"/>
      <c r="D38" s="13">
        <v>8136940.8300000001</v>
      </c>
      <c r="E38" s="13">
        <v>0</v>
      </c>
      <c r="F38" s="13">
        <f t="shared" ref="F38:F61" si="3">C38+D38-E38</f>
        <v>8136940.8300000001</v>
      </c>
    </row>
    <row r="39" spans="1:6" ht="15.75" customHeight="1" x14ac:dyDescent="0.2">
      <c r="A39" s="8" t="s">
        <v>41</v>
      </c>
      <c r="B39" s="8">
        <v>50100</v>
      </c>
      <c r="C39" s="9"/>
      <c r="D39" s="10">
        <v>24876371</v>
      </c>
      <c r="E39" s="10">
        <v>0</v>
      </c>
      <c r="F39" s="10">
        <f t="shared" si="3"/>
        <v>24876371</v>
      </c>
    </row>
    <row r="40" spans="1:6" ht="15.75" customHeight="1" x14ac:dyDescent="0.2">
      <c r="A40" s="11" t="s">
        <v>42</v>
      </c>
      <c r="B40" s="11">
        <v>50200</v>
      </c>
      <c r="C40" s="12"/>
      <c r="D40" s="13">
        <v>52480612.950000003</v>
      </c>
      <c r="E40" s="13">
        <v>0</v>
      </c>
      <c r="F40" s="13">
        <f t="shared" si="3"/>
        <v>52480612.950000003</v>
      </c>
    </row>
    <row r="41" spans="1:6" ht="15.75" customHeight="1" x14ac:dyDescent="0.2">
      <c r="A41" s="8" t="s">
        <v>43</v>
      </c>
      <c r="B41" s="8">
        <v>50010</v>
      </c>
      <c r="C41" s="9"/>
      <c r="D41" s="10">
        <v>3821200</v>
      </c>
      <c r="E41" s="10">
        <v>0</v>
      </c>
      <c r="F41" s="10">
        <f t="shared" si="3"/>
        <v>3821200</v>
      </c>
    </row>
    <row r="42" spans="1:6" ht="15.75" customHeight="1" x14ac:dyDescent="0.2">
      <c r="A42" s="11" t="s">
        <v>44</v>
      </c>
      <c r="B42" s="11">
        <v>50110</v>
      </c>
      <c r="C42" s="12"/>
      <c r="D42" s="13">
        <v>14210300</v>
      </c>
      <c r="E42" s="13">
        <v>0</v>
      </c>
      <c r="F42" s="13">
        <f t="shared" si="3"/>
        <v>14210300</v>
      </c>
    </row>
    <row r="43" spans="1:6" ht="15.75" customHeight="1" x14ac:dyDescent="0.2">
      <c r="A43" s="8" t="s">
        <v>45</v>
      </c>
      <c r="B43" s="8">
        <v>50020</v>
      </c>
      <c r="C43" s="9"/>
      <c r="D43" s="10">
        <v>0</v>
      </c>
      <c r="E43" s="10">
        <v>8212072.3600000003</v>
      </c>
      <c r="F43" s="10">
        <f t="shared" si="3"/>
        <v>-8212072.3600000003</v>
      </c>
    </row>
    <row r="44" spans="1:6" ht="15.75" customHeight="1" x14ac:dyDescent="0.2">
      <c r="A44" s="11" t="s">
        <v>46</v>
      </c>
      <c r="B44" s="11">
        <v>50120</v>
      </c>
      <c r="C44" s="12"/>
      <c r="D44" s="13">
        <v>0</v>
      </c>
      <c r="E44" s="13">
        <v>23855351</v>
      </c>
      <c r="F44" s="13">
        <f t="shared" si="3"/>
        <v>-23855351</v>
      </c>
    </row>
    <row r="45" spans="1:6" ht="15.75" customHeight="1" x14ac:dyDescent="0.2">
      <c r="A45" s="8" t="s">
        <v>47</v>
      </c>
      <c r="B45" s="8">
        <v>50220</v>
      </c>
      <c r="C45" s="9"/>
      <c r="D45" s="10">
        <v>0</v>
      </c>
      <c r="E45" s="10">
        <v>29756984.309999999</v>
      </c>
      <c r="F45" s="10">
        <f t="shared" si="3"/>
        <v>-29756984.309999999</v>
      </c>
    </row>
    <row r="46" spans="1:6" ht="15.75" customHeight="1" x14ac:dyDescent="0.2">
      <c r="A46" s="8" t="s">
        <v>66</v>
      </c>
      <c r="B46" s="8">
        <v>50300</v>
      </c>
      <c r="C46" s="9"/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/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/>
      <c r="D48" s="13">
        <v>1650000</v>
      </c>
      <c r="E48" s="13">
        <v>0</v>
      </c>
      <c r="F48" s="13">
        <f t="shared" si="3"/>
        <v>1650000</v>
      </c>
    </row>
    <row r="49" spans="1:6" ht="15.75" customHeight="1" x14ac:dyDescent="0.2">
      <c r="A49" s="8" t="s">
        <v>49</v>
      </c>
      <c r="B49" s="8">
        <v>53100</v>
      </c>
      <c r="C49" s="9"/>
      <c r="D49" s="10">
        <v>59000</v>
      </c>
      <c r="E49" s="10">
        <v>0</v>
      </c>
      <c r="F49" s="10">
        <f t="shared" si="3"/>
        <v>59000</v>
      </c>
    </row>
    <row r="50" spans="1:6" ht="15.75" customHeight="1" x14ac:dyDescent="0.2">
      <c r="A50" s="11" t="s">
        <v>50</v>
      </c>
      <c r="B50" s="11">
        <v>53200</v>
      </c>
      <c r="C50" s="12"/>
      <c r="D50" s="13">
        <v>0</v>
      </c>
      <c r="E50" s="13">
        <v>0</v>
      </c>
      <c r="F50" s="13">
        <f t="shared" si="3"/>
        <v>0</v>
      </c>
    </row>
    <row r="51" spans="1:6" ht="15.75" customHeight="1" x14ac:dyDescent="0.2">
      <c r="A51" s="8" t="s">
        <v>51</v>
      </c>
      <c r="B51" s="8">
        <v>53300</v>
      </c>
      <c r="C51" s="9"/>
      <c r="D51" s="10">
        <v>1828151</v>
      </c>
      <c r="E51" s="10">
        <v>0</v>
      </c>
      <c r="F51" s="10">
        <f t="shared" si="3"/>
        <v>1828151</v>
      </c>
    </row>
    <row r="52" spans="1:6" ht="15.75" customHeight="1" x14ac:dyDescent="0.2">
      <c r="A52" s="11" t="s">
        <v>52</v>
      </c>
      <c r="B52" s="11">
        <v>60000</v>
      </c>
      <c r="C52" s="12"/>
      <c r="D52" s="13"/>
      <c r="E52" s="13"/>
      <c r="F52" s="13">
        <f t="shared" si="3"/>
        <v>0</v>
      </c>
    </row>
    <row r="53" spans="1:6" ht="15.75" customHeight="1" x14ac:dyDescent="0.2">
      <c r="A53" s="8" t="s">
        <v>53</v>
      </c>
      <c r="B53" s="8">
        <v>61000</v>
      </c>
      <c r="C53" s="9"/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/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/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/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/>
      <c r="D57" s="10">
        <v>1146150</v>
      </c>
      <c r="E57" s="10">
        <v>0</v>
      </c>
      <c r="F57" s="10">
        <f t="shared" si="3"/>
        <v>1146150</v>
      </c>
    </row>
    <row r="58" spans="1:6" ht="15.75" customHeight="1" x14ac:dyDescent="0.2">
      <c r="A58" s="11" t="s">
        <v>58</v>
      </c>
      <c r="B58" s="11">
        <v>66000</v>
      </c>
      <c r="C58" s="12"/>
      <c r="D58" s="13">
        <v>960628.67</v>
      </c>
      <c r="E58" s="13">
        <v>0</v>
      </c>
      <c r="F58" s="13">
        <f t="shared" si="3"/>
        <v>960628.67</v>
      </c>
    </row>
    <row r="59" spans="1:6" ht="15.75" customHeight="1" x14ac:dyDescent="0.2">
      <c r="A59" s="8" t="s">
        <v>59</v>
      </c>
      <c r="B59" s="8">
        <v>67000</v>
      </c>
      <c r="C59" s="9"/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/>
      <c r="D60" s="13">
        <v>200000</v>
      </c>
      <c r="E60" s="13">
        <v>0</v>
      </c>
      <c r="F60" s="13">
        <f t="shared" si="3"/>
        <v>200000</v>
      </c>
    </row>
    <row r="61" spans="1:6" ht="15.75" customHeight="1" x14ac:dyDescent="0.2">
      <c r="A61" s="8" t="s">
        <v>61</v>
      </c>
      <c r="B61" s="8">
        <v>69000</v>
      </c>
      <c r="C61" s="9"/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/>
      <c r="D62" s="13">
        <v>0</v>
      </c>
      <c r="E62" s="13">
        <v>348030</v>
      </c>
      <c r="F62" s="13">
        <f>C62+E62-D62</f>
        <v>348030</v>
      </c>
    </row>
    <row r="63" spans="1:6" ht="15.75" customHeight="1" x14ac:dyDescent="0.2">
      <c r="A63" s="8" t="s">
        <v>63</v>
      </c>
      <c r="B63" s="8">
        <v>80000</v>
      </c>
      <c r="C63" s="9"/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/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M1001"/>
  <sheetViews>
    <sheetView showGridLines="0" workbookViewId="0">
      <selection activeCell="C20" sqref="C20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May-2025</v>
      </c>
    </row>
    <row r="2" spans="1:9" ht="15.75" customHeight="1" x14ac:dyDescent="0.2">
      <c r="A2" s="3"/>
      <c r="B2" s="1" t="s">
        <v>1</v>
      </c>
      <c r="C2" s="3">
        <v>45778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45808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271917593.25000006</v>
      </c>
      <c r="E5" s="5">
        <f t="shared" si="0"/>
        <v>271917593.25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f>April_2025!F8</f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f>April_2025!F9</f>
        <v>57533471.969999999</v>
      </c>
      <c r="D9" s="13">
        <v>57481000</v>
      </c>
      <c r="E9" s="13">
        <v>87879470</v>
      </c>
      <c r="F9" s="13">
        <f t="shared" si="1"/>
        <v>27135001.969999999</v>
      </c>
    </row>
    <row r="10" spans="1:9" ht="15.75" customHeight="1" x14ac:dyDescent="0.2">
      <c r="A10" s="8" t="s">
        <v>13</v>
      </c>
      <c r="B10" s="8">
        <v>11000</v>
      </c>
      <c r="C10" s="9">
        <f>April_2025!F10</f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f>April_2025!F11</f>
        <v>8212071.9200000037</v>
      </c>
      <c r="D11" s="13">
        <v>5597336.0999999996</v>
      </c>
      <c r="E11" s="13">
        <v>8212072.3600000003</v>
      </c>
      <c r="F11" s="13">
        <f t="shared" si="1"/>
        <v>5597335.6600000029</v>
      </c>
    </row>
    <row r="12" spans="1:9" ht="15.75" customHeight="1" x14ac:dyDescent="0.2">
      <c r="A12" s="8" t="s">
        <v>15</v>
      </c>
      <c r="B12" s="8">
        <v>12100</v>
      </c>
      <c r="C12" s="9">
        <f>April_2025!F12</f>
        <v>23855351</v>
      </c>
      <c r="D12" s="10">
        <v>22235468.710000001</v>
      </c>
      <c r="E12" s="10">
        <v>23855351</v>
      </c>
      <c r="F12" s="10">
        <f t="shared" si="1"/>
        <v>22235468.710000001</v>
      </c>
    </row>
    <row r="13" spans="1:9" ht="15.75" customHeight="1" x14ac:dyDescent="0.2">
      <c r="A13" s="11" t="s">
        <v>16</v>
      </c>
      <c r="B13" s="11">
        <v>12200</v>
      </c>
      <c r="C13" s="12">
        <f>April_2025!F13</f>
        <v>29756984.310000002</v>
      </c>
      <c r="D13" s="13">
        <v>34185619.100000001</v>
      </c>
      <c r="E13" s="13">
        <v>29756984.309999999</v>
      </c>
      <c r="F13" s="13">
        <f t="shared" si="1"/>
        <v>34185619.100000009</v>
      </c>
      <c r="I13" s="2"/>
    </row>
    <row r="14" spans="1:9" ht="15.75" customHeight="1" x14ac:dyDescent="0.2">
      <c r="A14" s="8" t="s">
        <v>17</v>
      </c>
      <c r="B14" s="8">
        <v>12300</v>
      </c>
      <c r="C14" s="9">
        <f>April_2025!F14</f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f>April_2025!F15</f>
        <v>0</v>
      </c>
      <c r="D15" s="13"/>
      <c r="E15" s="13"/>
      <c r="F15" s="13">
        <f t="shared" si="1"/>
        <v>0</v>
      </c>
    </row>
    <row r="16" spans="1:9" ht="15.75" customHeight="1" x14ac:dyDescent="0.2">
      <c r="A16" s="8" t="s">
        <v>19</v>
      </c>
      <c r="B16" s="8">
        <v>15000</v>
      </c>
      <c r="C16" s="9">
        <f>April_2025!F16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April_2025!F17</f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f>April_2025!F18</f>
        <v>67920000</v>
      </c>
      <c r="D18" s="10"/>
      <c r="E18" s="10"/>
      <c r="F18" s="10">
        <f t="shared" si="1"/>
        <v>67920000</v>
      </c>
    </row>
    <row r="19" spans="1:13" ht="15.75" customHeight="1" x14ac:dyDescent="0.2">
      <c r="A19" s="11" t="s">
        <v>22</v>
      </c>
      <c r="B19" s="11">
        <v>15300</v>
      </c>
      <c r="C19" s="12">
        <f>April_2025!F19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April_2025!F20</f>
        <v>14056000</v>
      </c>
      <c r="D20" s="10"/>
      <c r="E20" s="10"/>
      <c r="F20" s="10">
        <f t="shared" si="1"/>
        <v>14056000</v>
      </c>
    </row>
    <row r="21" spans="1:13" ht="15.75" customHeight="1" x14ac:dyDescent="0.2">
      <c r="A21" s="11" t="s">
        <v>24</v>
      </c>
      <c r="B21" s="11">
        <v>15500</v>
      </c>
      <c r="C21" s="12">
        <f>April_2025!F21</f>
        <v>120619800</v>
      </c>
      <c r="D21" s="13">
        <v>40000000</v>
      </c>
      <c r="E21" s="13">
        <v>0</v>
      </c>
      <c r="F21" s="13">
        <f t="shared" si="1"/>
        <v>160619800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April_2025!F22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April_2025!F23</f>
        <v>21612500.010000005</v>
      </c>
      <c r="D23" s="13">
        <v>0</v>
      </c>
      <c r="E23" s="13">
        <v>554166.67000000004</v>
      </c>
      <c r="F23" s="13">
        <f>C23+E23-D23</f>
        <v>22166666.680000007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April_2025!F24</f>
        <v>14903634.33</v>
      </c>
      <c r="D24" s="10">
        <v>0</v>
      </c>
      <c r="E24" s="10">
        <v>1767212</v>
      </c>
      <c r="F24" s="10">
        <f>C24+E24-D24</f>
        <v>16670846.33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April_2025!F25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April_2025!F26</f>
        <v>2268595.33</v>
      </c>
      <c r="D26" s="10">
        <v>0</v>
      </c>
      <c r="E26" s="10">
        <v>392913</v>
      </c>
      <c r="F26" s="10">
        <f>C26+E26-D26</f>
        <v>2661508.33</v>
      </c>
    </row>
    <row r="27" spans="1:13" ht="15.75" customHeight="1" x14ac:dyDescent="0.2">
      <c r="A27" s="11" t="s">
        <v>30</v>
      </c>
      <c r="B27" s="11">
        <v>15610</v>
      </c>
      <c r="C27" s="12">
        <f>April_2025!F27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April_2025!F28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April_2025!F29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April_2025!F30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April_2025!F31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April_2025!F32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April_2025!F33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April_2025!F34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April_2025!F35</f>
        <v>839530823</v>
      </c>
      <c r="D35" s="13"/>
      <c r="E35" s="13"/>
      <c r="F35" s="13">
        <f t="shared" si="2"/>
        <v>839530823</v>
      </c>
    </row>
    <row r="36" spans="1:6" ht="15.75" customHeight="1" x14ac:dyDescent="0.2">
      <c r="A36" s="8" t="s">
        <v>39</v>
      </c>
      <c r="B36" s="8">
        <v>32000</v>
      </c>
      <c r="C36" s="9">
        <f>April_2025!F36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>
        <f>April_2025!F37</f>
        <v>52160000</v>
      </c>
      <c r="D37" s="13">
        <v>0</v>
      </c>
      <c r="E37" s="13">
        <v>57481000</v>
      </c>
      <c r="F37" s="13">
        <f t="shared" si="2"/>
        <v>109641000</v>
      </c>
    </row>
    <row r="38" spans="1:6" ht="15.75" customHeight="1" x14ac:dyDescent="0.2">
      <c r="A38" s="11" t="s">
        <v>40</v>
      </c>
      <c r="B38" s="11">
        <v>50000</v>
      </c>
      <c r="C38" s="12">
        <f>April_2025!F38</f>
        <v>8136940.8300000001</v>
      </c>
      <c r="D38" s="13">
        <v>8212072.3600000003</v>
      </c>
      <c r="E38" s="13">
        <v>0</v>
      </c>
      <c r="F38" s="13">
        <f t="shared" ref="F38:F61" si="3">C38+D38-E38</f>
        <v>16349013.190000001</v>
      </c>
    </row>
    <row r="39" spans="1:6" ht="15.75" customHeight="1" x14ac:dyDescent="0.2">
      <c r="A39" s="8" t="s">
        <v>41</v>
      </c>
      <c r="B39" s="8">
        <v>50100</v>
      </c>
      <c r="C39" s="9">
        <f>April_2025!F39</f>
        <v>24876371</v>
      </c>
      <c r="D39" s="10">
        <v>23855351</v>
      </c>
      <c r="E39" s="10">
        <v>0</v>
      </c>
      <c r="F39" s="10">
        <f t="shared" si="3"/>
        <v>48731722</v>
      </c>
    </row>
    <row r="40" spans="1:6" ht="15.75" customHeight="1" x14ac:dyDescent="0.2">
      <c r="A40" s="11" t="s">
        <v>42</v>
      </c>
      <c r="B40" s="11">
        <v>50200</v>
      </c>
      <c r="C40" s="12">
        <f>April_2025!F40</f>
        <v>52480612.950000003</v>
      </c>
      <c r="D40" s="13">
        <v>29756984.309999999</v>
      </c>
      <c r="E40" s="13">
        <v>0</v>
      </c>
      <c r="F40" s="13">
        <f t="shared" si="3"/>
        <v>82237597.260000005</v>
      </c>
    </row>
    <row r="41" spans="1:6" ht="15.75" customHeight="1" x14ac:dyDescent="0.2">
      <c r="A41" s="8" t="s">
        <v>43</v>
      </c>
      <c r="B41" s="8">
        <v>50010</v>
      </c>
      <c r="C41" s="9">
        <f>April_2025!F41</f>
        <v>3821200</v>
      </c>
      <c r="D41" s="10">
        <v>7719100</v>
      </c>
      <c r="E41" s="10">
        <v>0</v>
      </c>
      <c r="F41" s="10">
        <f t="shared" si="3"/>
        <v>11540300</v>
      </c>
    </row>
    <row r="42" spans="1:6" ht="15.75" customHeight="1" x14ac:dyDescent="0.2">
      <c r="A42" s="11" t="s">
        <v>44</v>
      </c>
      <c r="B42" s="11">
        <v>50110</v>
      </c>
      <c r="C42" s="12">
        <f>April_2025!F42</f>
        <v>14210300</v>
      </c>
      <c r="D42" s="13">
        <v>37619370</v>
      </c>
      <c r="E42" s="13"/>
      <c r="F42" s="13">
        <f t="shared" si="3"/>
        <v>51829670</v>
      </c>
    </row>
    <row r="43" spans="1:6" ht="15.75" customHeight="1" x14ac:dyDescent="0.2">
      <c r="A43" s="8" t="s">
        <v>45</v>
      </c>
      <c r="B43" s="8">
        <v>50020</v>
      </c>
      <c r="C43" s="9">
        <f>April_2025!F43</f>
        <v>-8212072.3600000003</v>
      </c>
      <c r="D43" s="10">
        <v>0</v>
      </c>
      <c r="E43" s="10">
        <v>5597336.0999999996</v>
      </c>
      <c r="F43" s="10">
        <f t="shared" si="3"/>
        <v>-13809408.460000001</v>
      </c>
    </row>
    <row r="44" spans="1:6" ht="15.75" customHeight="1" x14ac:dyDescent="0.2">
      <c r="A44" s="11" t="s">
        <v>46</v>
      </c>
      <c r="B44" s="11">
        <v>50120</v>
      </c>
      <c r="C44" s="12">
        <f>April_2025!F44</f>
        <v>-23855351</v>
      </c>
      <c r="D44" s="13">
        <v>0</v>
      </c>
      <c r="E44" s="13">
        <v>22235468.710000001</v>
      </c>
      <c r="F44" s="13">
        <f t="shared" si="3"/>
        <v>-46090819.710000001</v>
      </c>
    </row>
    <row r="45" spans="1:6" ht="15.75" customHeight="1" x14ac:dyDescent="0.2">
      <c r="A45" s="8" t="s">
        <v>47</v>
      </c>
      <c r="B45" s="8">
        <v>50220</v>
      </c>
      <c r="C45" s="9">
        <f>April_2025!F45</f>
        <v>-29756984.309999999</v>
      </c>
      <c r="D45" s="10">
        <v>0</v>
      </c>
      <c r="E45" s="10">
        <v>34185619.100000001</v>
      </c>
      <c r="F45" s="10">
        <f t="shared" si="3"/>
        <v>-63942603.409999996</v>
      </c>
    </row>
    <row r="46" spans="1:6" ht="15.75" customHeight="1" x14ac:dyDescent="0.2">
      <c r="A46" s="8" t="s">
        <v>66</v>
      </c>
      <c r="B46" s="8">
        <v>50300</v>
      </c>
      <c r="C46" s="9">
        <f>April_2025!F46</f>
        <v>0</v>
      </c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>
        <f>April_2025!F47</f>
        <v>0</v>
      </c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>
        <f>April_2025!F48</f>
        <v>1650000</v>
      </c>
      <c r="D48" s="13">
        <v>1745000</v>
      </c>
      <c r="E48" s="13">
        <v>0</v>
      </c>
      <c r="F48" s="13">
        <f t="shared" si="3"/>
        <v>3395000</v>
      </c>
    </row>
    <row r="49" spans="1:6" ht="15.75" customHeight="1" x14ac:dyDescent="0.2">
      <c r="A49" s="8" t="s">
        <v>49</v>
      </c>
      <c r="B49" s="8">
        <v>53100</v>
      </c>
      <c r="C49" s="9">
        <f>April_2025!F49</f>
        <v>59000</v>
      </c>
      <c r="D49" s="10">
        <v>213000</v>
      </c>
      <c r="E49" s="10">
        <v>0</v>
      </c>
      <c r="F49" s="10">
        <f t="shared" si="3"/>
        <v>272000</v>
      </c>
    </row>
    <row r="50" spans="1:6" ht="15.75" customHeight="1" x14ac:dyDescent="0.2">
      <c r="A50" s="11" t="s">
        <v>50</v>
      </c>
      <c r="B50" s="11">
        <v>53200</v>
      </c>
      <c r="C50" s="12">
        <f>April_2025!F50</f>
        <v>0</v>
      </c>
      <c r="D50" s="13"/>
      <c r="E50" s="13"/>
      <c r="F50" s="13">
        <f t="shared" si="3"/>
        <v>0</v>
      </c>
    </row>
    <row r="51" spans="1:6" ht="15.75" customHeight="1" x14ac:dyDescent="0.2">
      <c r="A51" s="8" t="s">
        <v>51</v>
      </c>
      <c r="B51" s="8">
        <v>53300</v>
      </c>
      <c r="C51" s="9">
        <f>April_2025!F51</f>
        <v>1828151</v>
      </c>
      <c r="D51" s="10">
        <v>1767212</v>
      </c>
      <c r="E51" s="10">
        <v>0</v>
      </c>
      <c r="F51" s="10">
        <f t="shared" si="3"/>
        <v>3595363</v>
      </c>
    </row>
    <row r="52" spans="1:6" ht="15.75" customHeight="1" x14ac:dyDescent="0.2">
      <c r="A52" s="11" t="s">
        <v>52</v>
      </c>
      <c r="B52" s="11">
        <v>60000</v>
      </c>
      <c r="C52" s="12">
        <f>April_2025!F52</f>
        <v>0</v>
      </c>
      <c r="D52" s="13"/>
      <c r="E52" s="13"/>
      <c r="F52" s="13">
        <f t="shared" si="3"/>
        <v>0</v>
      </c>
    </row>
    <row r="53" spans="1:6" ht="15.75" customHeight="1" x14ac:dyDescent="0.2">
      <c r="A53" s="8" t="s">
        <v>53</v>
      </c>
      <c r="B53" s="8">
        <v>61000</v>
      </c>
      <c r="C53" s="9">
        <f>April_2025!F53</f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f>April_2025!F54</f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f>April_2025!F55</f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f>April_2025!F56</f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f>April_2025!F57</f>
        <v>1146150</v>
      </c>
      <c r="D57" s="10">
        <v>583000</v>
      </c>
      <c r="E57" s="10">
        <v>0</v>
      </c>
      <c r="F57" s="10">
        <f t="shared" si="3"/>
        <v>1729150</v>
      </c>
    </row>
    <row r="58" spans="1:6" ht="15.75" customHeight="1" x14ac:dyDescent="0.2">
      <c r="A58" s="11" t="s">
        <v>58</v>
      </c>
      <c r="B58" s="11">
        <v>66000</v>
      </c>
      <c r="C58" s="12">
        <f>April_2025!F58</f>
        <v>960628.67</v>
      </c>
      <c r="D58" s="13">
        <v>947079.67</v>
      </c>
      <c r="E58" s="13">
        <v>0</v>
      </c>
      <c r="F58" s="13">
        <f t="shared" si="3"/>
        <v>1907708.34</v>
      </c>
    </row>
    <row r="59" spans="1:6" ht="15.75" customHeight="1" x14ac:dyDescent="0.2">
      <c r="A59" s="8" t="s">
        <v>59</v>
      </c>
      <c r="B59" s="8">
        <v>67000</v>
      </c>
      <c r="C59" s="9">
        <f>April_2025!F59</f>
        <v>0</v>
      </c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>
        <f>April_2025!F60</f>
        <v>200000</v>
      </c>
      <c r="D60" s="13"/>
      <c r="E60" s="13"/>
      <c r="F60" s="13">
        <f t="shared" si="3"/>
        <v>200000</v>
      </c>
    </row>
    <row r="61" spans="1:6" ht="15.75" customHeight="1" x14ac:dyDescent="0.2">
      <c r="A61" s="8" t="s">
        <v>61</v>
      </c>
      <c r="B61" s="8">
        <v>69000</v>
      </c>
      <c r="C61" s="9">
        <f>April_2025!F61</f>
        <v>0</v>
      </c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>
        <f>April_2025!F62</f>
        <v>348030</v>
      </c>
      <c r="D62" s="13"/>
      <c r="E62" s="13"/>
      <c r="F62" s="13">
        <f>C62+E62-D62</f>
        <v>348030</v>
      </c>
    </row>
    <row r="63" spans="1:6" ht="15.75" customHeight="1" x14ac:dyDescent="0.2">
      <c r="A63" s="8" t="s">
        <v>63</v>
      </c>
      <c r="B63" s="8">
        <v>80000</v>
      </c>
      <c r="C63" s="9">
        <f>April_2025!F63</f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f>April_2025!F64</f>
        <v>0</v>
      </c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M1001"/>
  <sheetViews>
    <sheetView showGridLines="0" topLeftCell="A26" workbookViewId="0">
      <selection activeCell="A7" sqref="A7:F63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June-2025</v>
      </c>
    </row>
    <row r="2" spans="1:9" ht="15.75" customHeight="1" x14ac:dyDescent="0.2">
      <c r="A2" s="3"/>
      <c r="B2" s="1" t="s">
        <v>1</v>
      </c>
      <c r="C2" s="3">
        <v>45809</v>
      </c>
      <c r="E2" s="4" t="s">
        <v>2</v>
      </c>
      <c r="F2" s="1" t="str">
        <f>IF(SUM(D:D) = SUM(E:E), "✅ Balanced", "⚠️ Unbalanced")</f>
        <v>⚠️ Unbalanced</v>
      </c>
    </row>
    <row r="3" spans="1:9" ht="15.75" customHeight="1" x14ac:dyDescent="0.2">
      <c r="B3" s="1" t="s">
        <v>3</v>
      </c>
      <c r="C3" s="3">
        <f>EOMONTH(C2,0)</f>
        <v>45838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361324055.94999999</v>
      </c>
      <c r="E5" s="5">
        <f t="shared" si="0"/>
        <v>361323555.94999993</v>
      </c>
      <c r="F5" s="5">
        <f>D5-E5</f>
        <v>500.00000005960464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f>May_2025!F8</f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f>May_2025!F9</f>
        <v>27135001.969999999</v>
      </c>
      <c r="D9" s="13">
        <v>183478500</v>
      </c>
      <c r="E9" s="13">
        <v>64330860</v>
      </c>
      <c r="F9" s="13">
        <f t="shared" si="1"/>
        <v>146282641.97</v>
      </c>
    </row>
    <row r="10" spans="1:9" ht="15.75" customHeight="1" x14ac:dyDescent="0.2">
      <c r="A10" s="8" t="s">
        <v>13</v>
      </c>
      <c r="B10" s="8">
        <v>11000</v>
      </c>
      <c r="C10" s="9">
        <f>May_2025!F10</f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f>May_2025!F11</f>
        <v>5597335.6600000029</v>
      </c>
      <c r="D11" s="13">
        <v>5914124.0700000003</v>
      </c>
      <c r="E11" s="13">
        <v>5597336.0999999996</v>
      </c>
      <c r="F11" s="13">
        <f t="shared" si="1"/>
        <v>5914123.6300000045</v>
      </c>
    </row>
    <row r="12" spans="1:9" ht="15.75" customHeight="1" x14ac:dyDescent="0.2">
      <c r="A12" s="8" t="s">
        <v>15</v>
      </c>
      <c r="B12" s="8">
        <v>12100</v>
      </c>
      <c r="C12" s="9">
        <f>May_2025!F12</f>
        <v>22235468.710000001</v>
      </c>
      <c r="D12" s="10">
        <v>9216388.4499999993</v>
      </c>
      <c r="E12" s="10">
        <v>22235468.710000001</v>
      </c>
      <c r="F12" s="10">
        <f t="shared" si="1"/>
        <v>9216388.4499999993</v>
      </c>
    </row>
    <row r="13" spans="1:9" ht="15.75" customHeight="1" x14ac:dyDescent="0.2">
      <c r="A13" s="11" t="s">
        <v>16</v>
      </c>
      <c r="B13" s="11">
        <v>12200</v>
      </c>
      <c r="C13" s="12">
        <f>May_2025!F13</f>
        <v>34185619.100000009</v>
      </c>
      <c r="D13" s="13">
        <v>33723471.520000003</v>
      </c>
      <c r="E13" s="13">
        <v>34185619.100000001</v>
      </c>
      <c r="F13" s="13">
        <f t="shared" si="1"/>
        <v>33723471.520000003</v>
      </c>
      <c r="I13" s="2"/>
    </row>
    <row r="14" spans="1:9" ht="15.75" customHeight="1" x14ac:dyDescent="0.2">
      <c r="A14" s="8" t="s">
        <v>17</v>
      </c>
      <c r="B14" s="8">
        <v>12300</v>
      </c>
      <c r="C14" s="9">
        <f>May_2025!F14</f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f>May_2025!F15</f>
        <v>0</v>
      </c>
      <c r="D15" s="13"/>
      <c r="E15" s="13"/>
      <c r="F15" s="13">
        <f t="shared" si="1"/>
        <v>0</v>
      </c>
    </row>
    <row r="16" spans="1:9" ht="15.75" customHeight="1" x14ac:dyDescent="0.2">
      <c r="A16" s="8" t="s">
        <v>19</v>
      </c>
      <c r="B16" s="8">
        <v>15000</v>
      </c>
      <c r="C16" s="9">
        <f>May_2025!F16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May_2025!F17</f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f>May_2025!F18</f>
        <v>67920000</v>
      </c>
      <c r="D18" s="10"/>
      <c r="E18" s="10"/>
      <c r="F18" s="10">
        <f t="shared" si="1"/>
        <v>67920000</v>
      </c>
    </row>
    <row r="19" spans="1:13" ht="15.75" customHeight="1" x14ac:dyDescent="0.2">
      <c r="A19" s="11" t="s">
        <v>22</v>
      </c>
      <c r="B19" s="11">
        <v>15300</v>
      </c>
      <c r="C19" s="12">
        <f>May_2025!F19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May_2025!F20</f>
        <v>14056000</v>
      </c>
      <c r="D20" s="10"/>
      <c r="E20" s="10"/>
      <c r="F20" s="10">
        <f t="shared" si="1"/>
        <v>14056000</v>
      </c>
    </row>
    <row r="21" spans="1:13" ht="15.75" customHeight="1" x14ac:dyDescent="0.2">
      <c r="A21" s="11" t="s">
        <v>24</v>
      </c>
      <c r="B21" s="11">
        <v>15500</v>
      </c>
      <c r="C21" s="12">
        <f>May_2025!F21</f>
        <v>160619800</v>
      </c>
      <c r="D21" s="13">
        <v>50000000</v>
      </c>
      <c r="E21" s="13"/>
      <c r="F21" s="13">
        <f t="shared" si="1"/>
        <v>210619800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May_2025!F22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May_2025!F23</f>
        <v>22166666.680000007</v>
      </c>
      <c r="D23" s="13"/>
      <c r="E23" s="13">
        <v>554167</v>
      </c>
      <c r="F23" s="13">
        <f>C23+E23-D23</f>
        <v>22720833.680000007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May_2025!F24</f>
        <v>16670846.33</v>
      </c>
      <c r="D24" s="10"/>
      <c r="E24" s="10">
        <v>1708305</v>
      </c>
      <c r="F24" s="10">
        <f>C24+E24-D24</f>
        <v>18379151.329999998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May_2025!F25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May_2025!F26</f>
        <v>2661508.33</v>
      </c>
      <c r="D26" s="10"/>
      <c r="E26" s="10">
        <v>379816</v>
      </c>
      <c r="F26" s="10">
        <f>C26+E26-D26</f>
        <v>3041324.33</v>
      </c>
    </row>
    <row r="27" spans="1:13" ht="15.75" customHeight="1" x14ac:dyDescent="0.2">
      <c r="A27" s="11" t="s">
        <v>30</v>
      </c>
      <c r="B27" s="11">
        <v>15610</v>
      </c>
      <c r="C27" s="12">
        <f>May_2025!F27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May_2025!F28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May_2025!F29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May_2025!F30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May_2025!F31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May_2025!F32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May_2025!F33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May_2025!F34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May_2025!F35</f>
        <v>839530823</v>
      </c>
      <c r="D35" s="13">
        <v>0</v>
      </c>
      <c r="E35" s="13">
        <v>150000000</v>
      </c>
      <c r="F35" s="13">
        <f t="shared" si="2"/>
        <v>989530823</v>
      </c>
    </row>
    <row r="36" spans="1:6" ht="15.75" customHeight="1" x14ac:dyDescent="0.2">
      <c r="A36" s="8" t="s">
        <v>39</v>
      </c>
      <c r="B36" s="8">
        <v>32000</v>
      </c>
      <c r="C36" s="9">
        <f>May_2025!F36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>
        <f>May_2025!F37</f>
        <v>109641000</v>
      </c>
      <c r="D37" s="13">
        <v>0</v>
      </c>
      <c r="E37" s="13">
        <v>33478000</v>
      </c>
      <c r="F37" s="13">
        <f t="shared" si="2"/>
        <v>143119000</v>
      </c>
    </row>
    <row r="38" spans="1:6" ht="15.75" customHeight="1" x14ac:dyDescent="0.2">
      <c r="A38" s="11" t="s">
        <v>40</v>
      </c>
      <c r="B38" s="11">
        <v>50000</v>
      </c>
      <c r="C38" s="12">
        <f>May_2025!F38</f>
        <v>16349013.190000001</v>
      </c>
      <c r="D38" s="13">
        <v>5597336.0999999996</v>
      </c>
      <c r="E38" s="13"/>
      <c r="F38" s="13">
        <f t="shared" ref="F38:F61" si="3">C38+D38-E38</f>
        <v>21946349.289999999</v>
      </c>
    </row>
    <row r="39" spans="1:6" ht="15.75" customHeight="1" x14ac:dyDescent="0.2">
      <c r="A39" s="8" t="s">
        <v>41</v>
      </c>
      <c r="B39" s="8">
        <v>50100</v>
      </c>
      <c r="C39" s="9">
        <f>May_2025!F39</f>
        <v>48731722</v>
      </c>
      <c r="D39" s="10">
        <v>22235468.710000001</v>
      </c>
      <c r="E39" s="10"/>
      <c r="F39" s="10">
        <f t="shared" si="3"/>
        <v>70967190.710000008</v>
      </c>
    </row>
    <row r="40" spans="1:6" ht="15.75" customHeight="1" x14ac:dyDescent="0.2">
      <c r="A40" s="11" t="s">
        <v>42</v>
      </c>
      <c r="B40" s="11">
        <v>50200</v>
      </c>
      <c r="C40" s="12">
        <f>May_2025!F40</f>
        <v>82237597.260000005</v>
      </c>
      <c r="D40" s="13">
        <v>34185619.100000001</v>
      </c>
      <c r="E40" s="13"/>
      <c r="F40" s="13">
        <f t="shared" si="3"/>
        <v>116423216.36000001</v>
      </c>
    </row>
    <row r="41" spans="1:6" ht="15.75" customHeight="1" x14ac:dyDescent="0.2">
      <c r="A41" s="8" t="s">
        <v>43</v>
      </c>
      <c r="B41" s="8">
        <v>50010</v>
      </c>
      <c r="C41" s="9">
        <f>May_2025!F41</f>
        <v>11540300</v>
      </c>
      <c r="D41" s="10">
        <v>5392060</v>
      </c>
      <c r="E41" s="10"/>
      <c r="F41" s="10">
        <f t="shared" si="3"/>
        <v>16932360</v>
      </c>
    </row>
    <row r="42" spans="1:6" ht="15.75" customHeight="1" x14ac:dyDescent="0.2">
      <c r="A42" s="11" t="s">
        <v>44</v>
      </c>
      <c r="B42" s="11">
        <v>50110</v>
      </c>
      <c r="C42" s="12">
        <f>May_2025!F42</f>
        <v>51829670</v>
      </c>
      <c r="D42" s="13">
        <v>7693800</v>
      </c>
      <c r="E42" s="13"/>
      <c r="F42" s="13">
        <f t="shared" si="3"/>
        <v>59523470</v>
      </c>
    </row>
    <row r="43" spans="1:6" ht="15.75" customHeight="1" x14ac:dyDescent="0.2">
      <c r="A43" s="8" t="s">
        <v>45</v>
      </c>
      <c r="B43" s="8">
        <v>50020</v>
      </c>
      <c r="C43" s="9">
        <f>May_2025!F43</f>
        <v>-13809408.460000001</v>
      </c>
      <c r="D43" s="10"/>
      <c r="E43" s="10">
        <v>5914124.0700000003</v>
      </c>
      <c r="F43" s="10">
        <f t="shared" si="3"/>
        <v>-19723532.530000001</v>
      </c>
    </row>
    <row r="44" spans="1:6" ht="15.75" customHeight="1" x14ac:dyDescent="0.2">
      <c r="A44" s="11" t="s">
        <v>46</v>
      </c>
      <c r="B44" s="11">
        <v>50120</v>
      </c>
      <c r="C44" s="12">
        <f>May_2025!F44</f>
        <v>-46090819.710000001</v>
      </c>
      <c r="D44" s="13"/>
      <c r="E44" s="13">
        <v>9216388.4499999993</v>
      </c>
      <c r="F44" s="13">
        <f t="shared" si="3"/>
        <v>-55307208.159999996</v>
      </c>
    </row>
    <row r="45" spans="1:6" ht="15.75" customHeight="1" x14ac:dyDescent="0.2">
      <c r="A45" s="8" t="s">
        <v>47</v>
      </c>
      <c r="B45" s="8">
        <v>50220</v>
      </c>
      <c r="C45" s="9">
        <f>May_2025!F45</f>
        <v>-63942603.409999996</v>
      </c>
      <c r="D45" s="10"/>
      <c r="E45" s="10">
        <v>33723471.520000003</v>
      </c>
      <c r="F45" s="10">
        <f t="shared" si="3"/>
        <v>-97666074.930000007</v>
      </c>
    </row>
    <row r="46" spans="1:6" ht="15.75" customHeight="1" x14ac:dyDescent="0.2">
      <c r="A46" s="8" t="s">
        <v>66</v>
      </c>
      <c r="B46" s="8">
        <v>50300</v>
      </c>
      <c r="C46" s="9">
        <f>May_2025!F46</f>
        <v>0</v>
      </c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>
        <f>May_2025!F47</f>
        <v>0</v>
      </c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>
        <f>May_2025!F48</f>
        <v>3395000</v>
      </c>
      <c r="D48" s="13">
        <v>1245000</v>
      </c>
      <c r="E48" s="13"/>
      <c r="F48" s="13">
        <f t="shared" si="3"/>
        <v>4640000</v>
      </c>
    </row>
    <row r="49" spans="1:6" ht="15.75" customHeight="1" x14ac:dyDescent="0.2">
      <c r="A49" s="8" t="s">
        <v>49</v>
      </c>
      <c r="B49" s="8">
        <v>53100</v>
      </c>
      <c r="C49" s="9">
        <f>May_2025!F49</f>
        <v>272000</v>
      </c>
      <c r="D49" s="10"/>
      <c r="E49" s="10"/>
      <c r="F49" s="10">
        <f t="shared" si="3"/>
        <v>272000</v>
      </c>
    </row>
    <row r="50" spans="1:6" ht="15.75" customHeight="1" x14ac:dyDescent="0.2">
      <c r="A50" s="11" t="s">
        <v>50</v>
      </c>
      <c r="B50" s="11">
        <v>53200</v>
      </c>
      <c r="C50" s="12">
        <f>May_2025!F50</f>
        <v>0</v>
      </c>
      <c r="D50" s="13"/>
      <c r="E50" s="13"/>
      <c r="F50" s="13">
        <f t="shared" si="3"/>
        <v>0</v>
      </c>
    </row>
    <row r="51" spans="1:6" ht="15.75" customHeight="1" x14ac:dyDescent="0.2">
      <c r="A51" s="8" t="s">
        <v>51</v>
      </c>
      <c r="B51" s="8">
        <v>53300</v>
      </c>
      <c r="C51" s="9">
        <f>May_2025!F51</f>
        <v>3595363</v>
      </c>
      <c r="D51" s="10">
        <v>1708305</v>
      </c>
      <c r="E51" s="10"/>
      <c r="F51" s="10">
        <f t="shared" si="3"/>
        <v>5303668</v>
      </c>
    </row>
    <row r="52" spans="1:6" ht="15.75" customHeight="1" x14ac:dyDescent="0.2">
      <c r="A52" s="11" t="s">
        <v>52</v>
      </c>
      <c r="B52" s="11">
        <v>60000</v>
      </c>
      <c r="C52" s="12">
        <f>May_2025!F52</f>
        <v>0</v>
      </c>
      <c r="D52" s="13"/>
      <c r="E52" s="13"/>
      <c r="F52" s="13">
        <f t="shared" si="3"/>
        <v>0</v>
      </c>
    </row>
    <row r="53" spans="1:6" ht="15.75" customHeight="1" x14ac:dyDescent="0.2">
      <c r="A53" s="8" t="s">
        <v>53</v>
      </c>
      <c r="B53" s="8">
        <v>61000</v>
      </c>
      <c r="C53" s="9">
        <f>May_2025!F53</f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f>May_2025!F54</f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f>May_2025!F55</f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f>May_2025!F56</f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f>May_2025!F57</f>
        <v>1729150</v>
      </c>
      <c r="D57" s="10"/>
      <c r="E57" s="10"/>
      <c r="F57" s="10">
        <f t="shared" si="3"/>
        <v>1729150</v>
      </c>
    </row>
    <row r="58" spans="1:6" ht="15.75" customHeight="1" x14ac:dyDescent="0.2">
      <c r="A58" s="11" t="s">
        <v>58</v>
      </c>
      <c r="B58" s="11">
        <v>66000</v>
      </c>
      <c r="C58" s="12">
        <f>May_2025!F58</f>
        <v>1907708.34</v>
      </c>
      <c r="D58" s="13">
        <v>933983</v>
      </c>
      <c r="E58" s="13"/>
      <c r="F58" s="13">
        <f t="shared" si="3"/>
        <v>2841691.34</v>
      </c>
    </row>
    <row r="59" spans="1:6" ht="15.75" customHeight="1" x14ac:dyDescent="0.2">
      <c r="A59" s="8" t="s">
        <v>59</v>
      </c>
      <c r="B59" s="8">
        <v>67000</v>
      </c>
      <c r="C59" s="9">
        <f>May_2025!F59</f>
        <v>0</v>
      </c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>
        <f>May_2025!F60</f>
        <v>200000</v>
      </c>
      <c r="D60" s="13"/>
      <c r="E60" s="13"/>
      <c r="F60" s="13">
        <f t="shared" si="3"/>
        <v>200000</v>
      </c>
    </row>
    <row r="61" spans="1:6" ht="15.75" customHeight="1" x14ac:dyDescent="0.2">
      <c r="A61" s="8" t="s">
        <v>61</v>
      </c>
      <c r="B61" s="8">
        <v>69000</v>
      </c>
      <c r="C61" s="9">
        <f>May_2025!F61</f>
        <v>0</v>
      </c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>
        <f>May_2025!F62</f>
        <v>348030</v>
      </c>
      <c r="D62" s="13"/>
      <c r="E62" s="13"/>
      <c r="F62" s="13">
        <f>C62+E62-D62</f>
        <v>348030</v>
      </c>
    </row>
    <row r="63" spans="1:6" ht="15.75" customHeight="1" x14ac:dyDescent="0.2">
      <c r="A63" s="8" t="s">
        <v>63</v>
      </c>
      <c r="B63" s="8">
        <v>80000</v>
      </c>
      <c r="C63" s="9">
        <f>May_2025!F63</f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f>May_2025!F64</f>
        <v>0</v>
      </c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M1001"/>
  <sheetViews>
    <sheetView showGridLines="0" topLeftCell="A26" workbookViewId="0">
      <selection activeCell="A7" sqref="A7:F63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July-2025</v>
      </c>
    </row>
    <row r="2" spans="1:9" ht="15.75" customHeight="1" x14ac:dyDescent="0.2">
      <c r="A2" s="3"/>
      <c r="B2" s="1" t="s">
        <v>1</v>
      </c>
      <c r="C2" s="3">
        <v>45839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45869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878097330.37</v>
      </c>
      <c r="E5" s="5">
        <f t="shared" si="0"/>
        <v>878097330.37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f>June_2025!F8</f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f>June_2025!F9</f>
        <v>146282641.97</v>
      </c>
      <c r="D9" s="13">
        <v>469774500</v>
      </c>
      <c r="E9" s="13">
        <v>307186620</v>
      </c>
      <c r="F9" s="13">
        <f t="shared" si="1"/>
        <v>308870521.97000003</v>
      </c>
    </row>
    <row r="10" spans="1:9" ht="15.75" customHeight="1" x14ac:dyDescent="0.2">
      <c r="A10" s="8" t="s">
        <v>13</v>
      </c>
      <c r="B10" s="8">
        <v>11000</v>
      </c>
      <c r="C10" s="9">
        <f>June_2025!F10</f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f>June_2025!F11</f>
        <v>5914123.6300000045</v>
      </c>
      <c r="D11" s="13">
        <v>4790395.09</v>
      </c>
      <c r="E11" s="13">
        <v>5914124</v>
      </c>
      <c r="F11" s="13">
        <f t="shared" si="1"/>
        <v>4790394.7200000044</v>
      </c>
    </row>
    <row r="12" spans="1:9" ht="15.75" customHeight="1" x14ac:dyDescent="0.2">
      <c r="A12" s="8" t="s">
        <v>15</v>
      </c>
      <c r="B12" s="8">
        <v>12100</v>
      </c>
      <c r="C12" s="9">
        <f>June_2025!F12</f>
        <v>9216388.4499999993</v>
      </c>
      <c r="D12" s="10">
        <v>7452014.79</v>
      </c>
      <c r="E12" s="10">
        <v>9216388</v>
      </c>
      <c r="F12" s="10">
        <f t="shared" si="1"/>
        <v>7452015.2399999984</v>
      </c>
    </row>
    <row r="13" spans="1:9" ht="15.75" customHeight="1" x14ac:dyDescent="0.2">
      <c r="A13" s="11" t="s">
        <v>16</v>
      </c>
      <c r="B13" s="11">
        <v>12200</v>
      </c>
      <c r="C13" s="12">
        <f>June_2025!F13</f>
        <v>33723471.520000003</v>
      </c>
      <c r="D13" s="13">
        <v>37467131.490000002</v>
      </c>
      <c r="E13" s="13">
        <v>33723472</v>
      </c>
      <c r="F13" s="13">
        <f t="shared" si="1"/>
        <v>37467131.010000005</v>
      </c>
      <c r="I13" s="2"/>
    </row>
    <row r="14" spans="1:9" ht="15.75" customHeight="1" x14ac:dyDescent="0.2">
      <c r="A14" s="8" t="s">
        <v>17</v>
      </c>
      <c r="B14" s="8">
        <v>12300</v>
      </c>
      <c r="C14" s="9">
        <f>June_2025!F14</f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f>June_2025!F15</f>
        <v>0</v>
      </c>
      <c r="D15" s="13"/>
      <c r="E15" s="13"/>
      <c r="F15" s="13">
        <f t="shared" si="1"/>
        <v>0</v>
      </c>
    </row>
    <row r="16" spans="1:9" ht="15.75" customHeight="1" x14ac:dyDescent="0.2">
      <c r="A16" s="8" t="s">
        <v>19</v>
      </c>
      <c r="B16" s="8">
        <v>15000</v>
      </c>
      <c r="C16" s="9">
        <f>June_2025!F16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June_2025!F17</f>
        <v>133000000</v>
      </c>
      <c r="D17" s="13"/>
      <c r="E17" s="13"/>
      <c r="F17" s="13">
        <f t="shared" si="1"/>
        <v>133000000</v>
      </c>
    </row>
    <row r="18" spans="1:13" ht="15.75" customHeight="1" x14ac:dyDescent="0.2">
      <c r="A18" s="8" t="s">
        <v>21</v>
      </c>
      <c r="B18" s="8">
        <v>15200</v>
      </c>
      <c r="C18" s="9">
        <f>June_2025!F18</f>
        <v>67920000</v>
      </c>
      <c r="D18" s="10">
        <v>68000000</v>
      </c>
      <c r="E18" s="10"/>
      <c r="F18" s="10">
        <f t="shared" si="1"/>
        <v>135920000</v>
      </c>
    </row>
    <row r="19" spans="1:13" ht="15.75" customHeight="1" x14ac:dyDescent="0.2">
      <c r="A19" s="11" t="s">
        <v>22</v>
      </c>
      <c r="B19" s="11">
        <v>15300</v>
      </c>
      <c r="C19" s="12">
        <f>June_2025!F19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June_2025!F20</f>
        <v>14056000</v>
      </c>
      <c r="D20" s="10">
        <v>92025000</v>
      </c>
      <c r="E20" s="10"/>
      <c r="F20" s="10">
        <f t="shared" si="1"/>
        <v>106081000</v>
      </c>
    </row>
    <row r="21" spans="1:13" ht="15.75" customHeight="1" x14ac:dyDescent="0.2">
      <c r="A21" s="11" t="s">
        <v>24</v>
      </c>
      <c r="B21" s="11">
        <v>15500</v>
      </c>
      <c r="C21" s="12">
        <f>June_2025!F21</f>
        <v>210619800</v>
      </c>
      <c r="D21" s="13">
        <v>130033000</v>
      </c>
      <c r="E21" s="13"/>
      <c r="F21" s="13">
        <f t="shared" si="1"/>
        <v>340652800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June_2025!F22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June_2025!F23</f>
        <v>22720833.680000007</v>
      </c>
      <c r="D23" s="13"/>
      <c r="E23" s="13">
        <v>554167</v>
      </c>
      <c r="F23" s="13">
        <f>C23+E23-D23</f>
        <v>23275000.680000007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June_2025!F24</f>
        <v>18379151.329999998</v>
      </c>
      <c r="D24" s="10"/>
      <c r="E24" s="10">
        <v>1651362</v>
      </c>
      <c r="F24" s="10">
        <f>C24+E24-D24</f>
        <v>20030513.329999998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June_2025!F25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June_2025!F26</f>
        <v>3041324.33</v>
      </c>
      <c r="D26" s="10"/>
      <c r="E26" s="10">
        <v>367156</v>
      </c>
      <c r="F26" s="10">
        <f>C26+E26-D26</f>
        <v>3408480.33</v>
      </c>
    </row>
    <row r="27" spans="1:13" ht="15.75" customHeight="1" x14ac:dyDescent="0.2">
      <c r="A27" s="11" t="s">
        <v>30</v>
      </c>
      <c r="B27" s="11">
        <v>15610</v>
      </c>
      <c r="C27" s="12">
        <f>June_2025!F27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June_2025!F28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June_2025!F29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June_2025!F30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June_2025!F31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June_2025!F32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June_2025!F33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June_2025!F34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June_2025!F35</f>
        <v>989530823</v>
      </c>
      <c r="D35" s="13"/>
      <c r="E35" s="13">
        <v>450000000</v>
      </c>
      <c r="F35" s="13">
        <f t="shared" si="2"/>
        <v>1439530823</v>
      </c>
    </row>
    <row r="36" spans="1:6" ht="15.75" customHeight="1" x14ac:dyDescent="0.2">
      <c r="A36" s="8" t="s">
        <v>39</v>
      </c>
      <c r="B36" s="8">
        <v>32000</v>
      </c>
      <c r="C36" s="9">
        <f>June_2025!F36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>
        <f>June_2025!F37</f>
        <v>143119000</v>
      </c>
      <c r="D37" s="13">
        <v>0</v>
      </c>
      <c r="E37" s="13">
        <v>19774500</v>
      </c>
      <c r="F37" s="13">
        <f t="shared" si="2"/>
        <v>162893500</v>
      </c>
    </row>
    <row r="38" spans="1:6" ht="15.75" customHeight="1" x14ac:dyDescent="0.2">
      <c r="A38" s="11" t="s">
        <v>40</v>
      </c>
      <c r="B38" s="11">
        <v>50000</v>
      </c>
      <c r="C38" s="12">
        <f>June_2025!F38</f>
        <v>21946349.289999999</v>
      </c>
      <c r="D38" s="13">
        <v>5914124</v>
      </c>
      <c r="E38" s="13"/>
      <c r="F38" s="13">
        <f t="shared" ref="F38:F61" si="3">C38+D38-E38</f>
        <v>27860473.289999999</v>
      </c>
    </row>
    <row r="39" spans="1:6" ht="15.75" customHeight="1" x14ac:dyDescent="0.2">
      <c r="A39" s="8" t="s">
        <v>41</v>
      </c>
      <c r="B39" s="8">
        <v>50100</v>
      </c>
      <c r="C39" s="9">
        <f>June_2025!F39</f>
        <v>70967190.710000008</v>
      </c>
      <c r="D39" s="10">
        <v>9216388</v>
      </c>
      <c r="E39" s="10"/>
      <c r="F39" s="10">
        <f t="shared" si="3"/>
        <v>80183578.710000008</v>
      </c>
    </row>
    <row r="40" spans="1:6" ht="15.75" customHeight="1" x14ac:dyDescent="0.2">
      <c r="A40" s="11" t="s">
        <v>42</v>
      </c>
      <c r="B40" s="11">
        <v>50200</v>
      </c>
      <c r="C40" s="12">
        <f>June_2025!F40</f>
        <v>116423216.36000001</v>
      </c>
      <c r="D40" s="13">
        <v>33723472</v>
      </c>
      <c r="E40" s="13"/>
      <c r="F40" s="13">
        <f t="shared" si="3"/>
        <v>150146688.36000001</v>
      </c>
    </row>
    <row r="41" spans="1:6" ht="15.75" customHeight="1" x14ac:dyDescent="0.2">
      <c r="A41" s="8" t="s">
        <v>43</v>
      </c>
      <c r="B41" s="8">
        <v>50010</v>
      </c>
      <c r="C41" s="9">
        <f>June_2025!F41</f>
        <v>16932360</v>
      </c>
      <c r="D41" s="10">
        <v>2408379</v>
      </c>
      <c r="E41" s="10"/>
      <c r="F41" s="10">
        <f t="shared" si="3"/>
        <v>19340739</v>
      </c>
    </row>
    <row r="42" spans="1:6" ht="15.75" customHeight="1" x14ac:dyDescent="0.2">
      <c r="A42" s="11" t="s">
        <v>44</v>
      </c>
      <c r="B42" s="11">
        <v>50110</v>
      </c>
      <c r="C42" s="12">
        <f>June_2025!F42</f>
        <v>59523470</v>
      </c>
      <c r="D42" s="13">
        <v>12550941</v>
      </c>
      <c r="E42" s="13"/>
      <c r="F42" s="13">
        <f t="shared" si="3"/>
        <v>72074411</v>
      </c>
    </row>
    <row r="43" spans="1:6" ht="15.75" customHeight="1" x14ac:dyDescent="0.2">
      <c r="A43" s="8" t="s">
        <v>45</v>
      </c>
      <c r="B43" s="8">
        <v>50020</v>
      </c>
      <c r="C43" s="9">
        <f>June_2025!F43</f>
        <v>-19723532.530000001</v>
      </c>
      <c r="D43" s="10"/>
      <c r="E43" s="10">
        <v>4790395.09</v>
      </c>
      <c r="F43" s="10">
        <f t="shared" si="3"/>
        <v>-24513927.620000001</v>
      </c>
    </row>
    <row r="44" spans="1:6" ht="15.75" customHeight="1" x14ac:dyDescent="0.2">
      <c r="A44" s="11" t="s">
        <v>46</v>
      </c>
      <c r="B44" s="11">
        <v>50120</v>
      </c>
      <c r="C44" s="12">
        <f>June_2025!F44</f>
        <v>-55307208.159999996</v>
      </c>
      <c r="D44" s="13"/>
      <c r="E44" s="13">
        <v>7452014.79</v>
      </c>
      <c r="F44" s="13">
        <f t="shared" si="3"/>
        <v>-62759222.949999996</v>
      </c>
    </row>
    <row r="45" spans="1:6" ht="15.75" customHeight="1" x14ac:dyDescent="0.2">
      <c r="A45" s="8" t="s">
        <v>47</v>
      </c>
      <c r="B45" s="8">
        <v>50220</v>
      </c>
      <c r="C45" s="9">
        <f>June_2025!F45</f>
        <v>-97666074.930000007</v>
      </c>
      <c r="D45" s="10"/>
      <c r="E45" s="10">
        <v>37467131.490000002</v>
      </c>
      <c r="F45" s="10">
        <f t="shared" si="3"/>
        <v>-135133206.42000002</v>
      </c>
    </row>
    <row r="46" spans="1:6" ht="15.75" customHeight="1" x14ac:dyDescent="0.2">
      <c r="A46" s="8" t="s">
        <v>66</v>
      </c>
      <c r="B46" s="8">
        <v>50300</v>
      </c>
      <c r="C46" s="9">
        <f>June_2025!F46</f>
        <v>0</v>
      </c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>
        <f>June_2025!F47</f>
        <v>0</v>
      </c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>
        <f>June_2025!F48</f>
        <v>4640000</v>
      </c>
      <c r="D48" s="13">
        <v>1400000</v>
      </c>
      <c r="E48" s="13"/>
      <c r="F48" s="13">
        <f t="shared" si="3"/>
        <v>6040000</v>
      </c>
    </row>
    <row r="49" spans="1:6" ht="15.75" customHeight="1" x14ac:dyDescent="0.2">
      <c r="A49" s="8" t="s">
        <v>49</v>
      </c>
      <c r="B49" s="8">
        <v>53100</v>
      </c>
      <c r="C49" s="9">
        <f>June_2025!F49</f>
        <v>272000</v>
      </c>
      <c r="D49" s="10"/>
      <c r="E49" s="10"/>
      <c r="F49" s="10">
        <f t="shared" si="3"/>
        <v>272000</v>
      </c>
    </row>
    <row r="50" spans="1:6" ht="15.75" customHeight="1" x14ac:dyDescent="0.2">
      <c r="A50" s="11" t="s">
        <v>50</v>
      </c>
      <c r="B50" s="11">
        <v>53200</v>
      </c>
      <c r="C50" s="12">
        <f>June_2025!F50</f>
        <v>0</v>
      </c>
      <c r="D50" s="13">
        <v>759300</v>
      </c>
      <c r="E50" s="13"/>
      <c r="F50" s="13">
        <f t="shared" si="3"/>
        <v>759300</v>
      </c>
    </row>
    <row r="51" spans="1:6" ht="15.75" customHeight="1" x14ac:dyDescent="0.2">
      <c r="A51" s="8" t="s">
        <v>51</v>
      </c>
      <c r="B51" s="8">
        <v>53300</v>
      </c>
      <c r="C51" s="9">
        <f>June_2025!F51</f>
        <v>5303668</v>
      </c>
      <c r="D51" s="10">
        <v>1651362</v>
      </c>
      <c r="E51" s="10"/>
      <c r="F51" s="10">
        <f t="shared" si="3"/>
        <v>6955030</v>
      </c>
    </row>
    <row r="52" spans="1:6" ht="15.75" customHeight="1" x14ac:dyDescent="0.2">
      <c r="A52" s="11" t="s">
        <v>52</v>
      </c>
      <c r="B52" s="11">
        <v>60000</v>
      </c>
      <c r="C52" s="12">
        <f>June_2025!F52</f>
        <v>0</v>
      </c>
      <c r="D52" s="13"/>
      <c r="E52" s="13"/>
      <c r="F52" s="13">
        <f t="shared" si="3"/>
        <v>0</v>
      </c>
    </row>
    <row r="53" spans="1:6" ht="15.75" customHeight="1" x14ac:dyDescent="0.2">
      <c r="A53" s="8" t="s">
        <v>53</v>
      </c>
      <c r="B53" s="8">
        <v>61000</v>
      </c>
      <c r="C53" s="9">
        <f>June_2025!F53</f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f>June_2025!F54</f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f>June_2025!F55</f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f>June_2025!F56</f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f>June_2025!F57</f>
        <v>1729150</v>
      </c>
      <c r="D57" s="10">
        <v>10000</v>
      </c>
      <c r="E57" s="10"/>
      <c r="F57" s="10">
        <f t="shared" si="3"/>
        <v>1739150</v>
      </c>
    </row>
    <row r="58" spans="1:6" ht="15.75" customHeight="1" x14ac:dyDescent="0.2">
      <c r="A58" s="11" t="s">
        <v>58</v>
      </c>
      <c r="B58" s="11">
        <v>66000</v>
      </c>
      <c r="C58" s="12">
        <f>June_2025!F58</f>
        <v>2841691.34</v>
      </c>
      <c r="D58" s="13">
        <v>921323</v>
      </c>
      <c r="E58" s="13"/>
      <c r="F58" s="13">
        <f t="shared" si="3"/>
        <v>3763014.34</v>
      </c>
    </row>
    <row r="59" spans="1:6" ht="15.75" customHeight="1" x14ac:dyDescent="0.2">
      <c r="A59" s="8" t="s">
        <v>59</v>
      </c>
      <c r="B59" s="8">
        <v>67000</v>
      </c>
      <c r="C59" s="9">
        <f>June_2025!F59</f>
        <v>0</v>
      </c>
      <c r="D59" s="10"/>
      <c r="E59" s="10"/>
      <c r="F59" s="10">
        <f t="shared" si="3"/>
        <v>0</v>
      </c>
    </row>
    <row r="60" spans="1:6" ht="15.75" customHeight="1" x14ac:dyDescent="0.2">
      <c r="A60" s="11" t="s">
        <v>60</v>
      </c>
      <c r="B60" s="11">
        <v>68000</v>
      </c>
      <c r="C60" s="12">
        <f>June_2025!F60</f>
        <v>200000</v>
      </c>
      <c r="D60" s="13"/>
      <c r="E60" s="13"/>
      <c r="F60" s="13">
        <f t="shared" si="3"/>
        <v>200000</v>
      </c>
    </row>
    <row r="61" spans="1:6" ht="15.75" customHeight="1" x14ac:dyDescent="0.2">
      <c r="A61" s="8" t="s">
        <v>61</v>
      </c>
      <c r="B61" s="8">
        <v>69000</v>
      </c>
      <c r="C61" s="9">
        <f>June_2025!F61</f>
        <v>0</v>
      </c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>
        <f>June_2025!F62</f>
        <v>348030</v>
      </c>
      <c r="D62" s="13"/>
      <c r="E62" s="13"/>
      <c r="F62" s="13">
        <f>C62+E62-D62</f>
        <v>348030</v>
      </c>
    </row>
    <row r="63" spans="1:6" ht="15.75" customHeight="1" x14ac:dyDescent="0.2">
      <c r="A63" s="8" t="s">
        <v>63</v>
      </c>
      <c r="B63" s="8">
        <v>80000</v>
      </c>
      <c r="C63" s="9">
        <f>June_2025!F63</f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f>June_2025!F64</f>
        <v>0</v>
      </c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M1001"/>
  <sheetViews>
    <sheetView showGridLines="0" topLeftCell="A26" workbookViewId="0">
      <selection activeCell="A7" sqref="A7:F63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August-2025</v>
      </c>
    </row>
    <row r="2" spans="1:9" ht="15.75" customHeight="1" x14ac:dyDescent="0.2">
      <c r="A2" s="3"/>
      <c r="B2" s="1" t="s">
        <v>1</v>
      </c>
      <c r="C2" s="3">
        <v>45870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45900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727098924.39999998</v>
      </c>
      <c r="E5" s="5">
        <f t="shared" si="0"/>
        <v>727098924.4000001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8" t="s">
        <v>11</v>
      </c>
      <c r="B8" s="8">
        <v>10000</v>
      </c>
      <c r="C8" s="9">
        <f>July_2025!F8</f>
        <v>0</v>
      </c>
      <c r="D8" s="10"/>
      <c r="E8" s="10"/>
      <c r="F8" s="10">
        <f t="shared" ref="F8:F22" si="1">C8+D8-E8</f>
        <v>0</v>
      </c>
    </row>
    <row r="9" spans="1:9" ht="15.75" customHeight="1" x14ac:dyDescent="0.2">
      <c r="A9" s="11" t="s">
        <v>12</v>
      </c>
      <c r="B9" s="11">
        <v>10100</v>
      </c>
      <c r="C9" s="12">
        <f>July_2025!F9</f>
        <v>308870521.97000003</v>
      </c>
      <c r="D9" s="13">
        <v>19759500</v>
      </c>
      <c r="E9" s="13">
        <v>284621580</v>
      </c>
      <c r="F9" s="13">
        <f t="shared" si="1"/>
        <v>44008441.970000029</v>
      </c>
    </row>
    <row r="10" spans="1:9" ht="15.75" customHeight="1" x14ac:dyDescent="0.2">
      <c r="A10" s="8" t="s">
        <v>13</v>
      </c>
      <c r="B10" s="8">
        <v>11000</v>
      </c>
      <c r="C10" s="9">
        <f>July_2025!F10</f>
        <v>0</v>
      </c>
      <c r="D10" s="10"/>
      <c r="E10" s="10"/>
      <c r="F10" s="10">
        <f t="shared" si="1"/>
        <v>0</v>
      </c>
    </row>
    <row r="11" spans="1:9" ht="15.75" customHeight="1" x14ac:dyDescent="0.2">
      <c r="A11" s="11" t="s">
        <v>14</v>
      </c>
      <c r="B11" s="11">
        <v>12000</v>
      </c>
      <c r="C11" s="12">
        <f>July_2025!F11</f>
        <v>4790394.7200000044</v>
      </c>
      <c r="D11" s="13">
        <v>7190701.0700000003</v>
      </c>
      <c r="E11" s="13">
        <v>4790395.09</v>
      </c>
      <c r="F11" s="13">
        <f t="shared" si="1"/>
        <v>7190700.7000000048</v>
      </c>
    </row>
    <row r="12" spans="1:9" ht="15.75" customHeight="1" x14ac:dyDescent="0.2">
      <c r="A12" s="8" t="s">
        <v>15</v>
      </c>
      <c r="B12" s="8">
        <v>12100</v>
      </c>
      <c r="C12" s="9">
        <f>July_2025!F12</f>
        <v>7452015.2399999984</v>
      </c>
      <c r="D12" s="10">
        <v>12692758.27</v>
      </c>
      <c r="E12" s="10">
        <v>7452014.79</v>
      </c>
      <c r="F12" s="10">
        <f t="shared" si="1"/>
        <v>12692758.719999999</v>
      </c>
    </row>
    <row r="13" spans="1:9" ht="15.75" customHeight="1" x14ac:dyDescent="0.2">
      <c r="A13" s="11" t="s">
        <v>16</v>
      </c>
      <c r="B13" s="11">
        <v>12200</v>
      </c>
      <c r="C13" s="12">
        <f>July_2025!F13</f>
        <v>37467131.010000005</v>
      </c>
      <c r="D13" s="13">
        <v>32444705.190000001</v>
      </c>
      <c r="E13" s="13">
        <v>37467131.490000002</v>
      </c>
      <c r="F13" s="13">
        <f t="shared" si="1"/>
        <v>32444704.710000001</v>
      </c>
      <c r="I13" s="2"/>
    </row>
    <row r="14" spans="1:9" ht="15.75" customHeight="1" x14ac:dyDescent="0.2">
      <c r="A14" s="8" t="s">
        <v>17</v>
      </c>
      <c r="B14" s="8">
        <v>12300</v>
      </c>
      <c r="C14" s="9">
        <f>July_2025!F14</f>
        <v>0</v>
      </c>
      <c r="D14" s="10"/>
      <c r="E14" s="10"/>
      <c r="F14" s="10">
        <f t="shared" si="1"/>
        <v>0</v>
      </c>
    </row>
    <row r="15" spans="1:9" ht="15.75" customHeight="1" x14ac:dyDescent="0.2">
      <c r="A15" s="11" t="s">
        <v>18</v>
      </c>
      <c r="B15" s="11">
        <v>13000</v>
      </c>
      <c r="C15" s="12">
        <f>July_2025!F15</f>
        <v>0</v>
      </c>
      <c r="D15" s="13">
        <v>261063780</v>
      </c>
      <c r="E15" s="13"/>
      <c r="F15" s="13">
        <f t="shared" si="1"/>
        <v>261063780</v>
      </c>
    </row>
    <row r="16" spans="1:9" ht="15.75" customHeight="1" x14ac:dyDescent="0.2">
      <c r="A16" s="8" t="s">
        <v>19</v>
      </c>
      <c r="B16" s="8">
        <v>15000</v>
      </c>
      <c r="C16" s="9">
        <f>July_2025!F16</f>
        <v>429290000</v>
      </c>
      <c r="D16" s="10"/>
      <c r="E16" s="10"/>
      <c r="F16" s="10">
        <f t="shared" si="1"/>
        <v>429290000</v>
      </c>
    </row>
    <row r="17" spans="1:13" ht="15.75" customHeight="1" x14ac:dyDescent="0.2">
      <c r="A17" s="11" t="s">
        <v>20</v>
      </c>
      <c r="B17" s="11">
        <v>15100</v>
      </c>
      <c r="C17" s="12">
        <f>July_2025!F17</f>
        <v>133000000</v>
      </c>
      <c r="D17" s="13">
        <v>316445000</v>
      </c>
      <c r="E17" s="13"/>
      <c r="F17" s="13">
        <f t="shared" si="1"/>
        <v>449445000</v>
      </c>
    </row>
    <row r="18" spans="1:13" ht="15.75" customHeight="1" x14ac:dyDescent="0.2">
      <c r="A18" s="8" t="s">
        <v>21</v>
      </c>
      <c r="B18" s="8">
        <v>15200</v>
      </c>
      <c r="C18" s="9">
        <f>July_2025!F18</f>
        <v>135920000</v>
      </c>
      <c r="D18" s="10"/>
      <c r="E18" s="10"/>
      <c r="F18" s="10">
        <f t="shared" si="1"/>
        <v>135920000</v>
      </c>
    </row>
    <row r="19" spans="1:13" ht="15.75" customHeight="1" x14ac:dyDescent="0.2">
      <c r="A19" s="11" t="s">
        <v>22</v>
      </c>
      <c r="B19" s="11">
        <v>15300</v>
      </c>
      <c r="C19" s="12">
        <f>July_2025!F19</f>
        <v>0</v>
      </c>
      <c r="D19" s="13"/>
      <c r="E19" s="13"/>
      <c r="F19" s="13">
        <f t="shared" si="1"/>
        <v>0</v>
      </c>
    </row>
    <row r="20" spans="1:13" ht="15.75" customHeight="1" x14ac:dyDescent="0.2">
      <c r="A20" s="8" t="s">
        <v>23</v>
      </c>
      <c r="B20" s="8">
        <v>15400</v>
      </c>
      <c r="C20" s="9">
        <f>July_2025!F20</f>
        <v>106081000</v>
      </c>
      <c r="D20" s="10"/>
      <c r="E20" s="10"/>
      <c r="F20" s="10">
        <f t="shared" si="1"/>
        <v>106081000</v>
      </c>
    </row>
    <row r="21" spans="1:13" ht="15.75" customHeight="1" x14ac:dyDescent="0.2">
      <c r="A21" s="11" t="s">
        <v>24</v>
      </c>
      <c r="B21" s="11">
        <v>15500</v>
      </c>
      <c r="C21" s="12">
        <f>July_2025!F21</f>
        <v>340652800</v>
      </c>
      <c r="D21" s="13">
        <v>640000</v>
      </c>
      <c r="E21" s="13">
        <v>316445000</v>
      </c>
      <c r="F21" s="13">
        <f t="shared" si="1"/>
        <v>24847800</v>
      </c>
      <c r="M21" s="5"/>
    </row>
    <row r="22" spans="1:13" ht="15.75" customHeight="1" x14ac:dyDescent="0.2">
      <c r="A22" s="8" t="s">
        <v>25</v>
      </c>
      <c r="B22" s="8">
        <v>15600</v>
      </c>
      <c r="C22" s="9">
        <f>July_2025!F22</f>
        <v>0</v>
      </c>
      <c r="D22" s="10"/>
      <c r="E22" s="10"/>
      <c r="F22" s="10">
        <f t="shared" si="1"/>
        <v>0</v>
      </c>
      <c r="M22" s="5"/>
    </row>
    <row r="23" spans="1:13" ht="15.75" customHeight="1" x14ac:dyDescent="0.2">
      <c r="A23" s="11" t="s">
        <v>26</v>
      </c>
      <c r="B23" s="11">
        <v>15110</v>
      </c>
      <c r="C23" s="12">
        <f>July_2025!F23</f>
        <v>23275000.680000007</v>
      </c>
      <c r="D23" s="13"/>
      <c r="E23" s="13">
        <v>554167</v>
      </c>
      <c r="F23" s="13">
        <f>C23+E23-D23</f>
        <v>23829167.680000007</v>
      </c>
      <c r="M23" s="5"/>
    </row>
    <row r="24" spans="1:13" ht="15.75" customHeight="1" x14ac:dyDescent="0.2">
      <c r="A24" s="8" t="s">
        <v>27</v>
      </c>
      <c r="B24" s="8">
        <v>15210</v>
      </c>
      <c r="C24" s="9">
        <f>July_2025!F24</f>
        <v>20030513.329999998</v>
      </c>
      <c r="D24" s="10"/>
      <c r="E24" s="10">
        <v>1596316</v>
      </c>
      <c r="F24" s="10">
        <f>C24+E24-D24</f>
        <v>21626829.329999998</v>
      </c>
      <c r="M24" s="5"/>
    </row>
    <row r="25" spans="1:13" ht="15.75" customHeight="1" x14ac:dyDescent="0.2">
      <c r="A25" s="11" t="s">
        <v>28</v>
      </c>
      <c r="B25" s="11">
        <v>15310</v>
      </c>
      <c r="C25" s="12">
        <f>July_2025!F25</f>
        <v>0</v>
      </c>
      <c r="D25" s="13"/>
      <c r="E25" s="13"/>
      <c r="F25" s="13">
        <f>C25+E25-D25</f>
        <v>0</v>
      </c>
    </row>
    <row r="26" spans="1:13" ht="15.75" customHeight="1" x14ac:dyDescent="0.2">
      <c r="A26" s="8" t="s">
        <v>29</v>
      </c>
      <c r="B26" s="8">
        <v>15410</v>
      </c>
      <c r="C26" s="9">
        <f>July_2025!F26</f>
        <v>3408480.33</v>
      </c>
      <c r="D26" s="10"/>
      <c r="E26" s="10">
        <v>354917</v>
      </c>
      <c r="F26" s="10">
        <f>C26+E26-D26</f>
        <v>3763397.33</v>
      </c>
    </row>
    <row r="27" spans="1:13" ht="15.75" customHeight="1" x14ac:dyDescent="0.2">
      <c r="A27" s="11" t="s">
        <v>30</v>
      </c>
      <c r="B27" s="11">
        <v>15610</v>
      </c>
      <c r="C27" s="12">
        <f>July_2025!F27</f>
        <v>0</v>
      </c>
      <c r="D27" s="13"/>
      <c r="E27" s="13"/>
      <c r="F27" s="13">
        <f>C27+E27-D27</f>
        <v>0</v>
      </c>
    </row>
    <row r="28" spans="1:13" ht="15.75" customHeight="1" x14ac:dyDescent="0.2">
      <c r="A28" s="8" t="s">
        <v>31</v>
      </c>
      <c r="B28" s="8">
        <v>14000</v>
      </c>
      <c r="C28" s="9">
        <f>July_2025!F28</f>
        <v>0</v>
      </c>
      <c r="D28" s="10"/>
      <c r="E28" s="10"/>
      <c r="F28" s="10">
        <f>C28+D28-E28</f>
        <v>0</v>
      </c>
    </row>
    <row r="29" spans="1:13" ht="15.75" customHeight="1" x14ac:dyDescent="0.2">
      <c r="A29" s="11" t="s">
        <v>32</v>
      </c>
      <c r="B29" s="11">
        <v>20000</v>
      </c>
      <c r="C29" s="12">
        <f>July_2025!F29</f>
        <v>0</v>
      </c>
      <c r="D29" s="13"/>
      <c r="E29" s="13"/>
      <c r="F29" s="13">
        <f t="shared" ref="F29:F37" si="2">C29+E29-D29</f>
        <v>0</v>
      </c>
    </row>
    <row r="30" spans="1:13" ht="15.75" customHeight="1" x14ac:dyDescent="0.2">
      <c r="A30" s="8" t="s">
        <v>33</v>
      </c>
      <c r="B30" s="8">
        <v>21000</v>
      </c>
      <c r="C30" s="9">
        <f>July_2025!F30</f>
        <v>0</v>
      </c>
      <c r="D30" s="10"/>
      <c r="E30" s="10"/>
      <c r="F30" s="10">
        <f t="shared" si="2"/>
        <v>0</v>
      </c>
    </row>
    <row r="31" spans="1:13" ht="15.75" customHeight="1" x14ac:dyDescent="0.2">
      <c r="A31" s="11" t="s">
        <v>34</v>
      </c>
      <c r="B31" s="11">
        <v>22000</v>
      </c>
      <c r="C31" s="12">
        <f>July_2025!F31</f>
        <v>0</v>
      </c>
      <c r="D31" s="13"/>
      <c r="E31" s="13"/>
      <c r="F31" s="13">
        <f t="shared" si="2"/>
        <v>0</v>
      </c>
    </row>
    <row r="32" spans="1:13" ht="15.75" customHeight="1" x14ac:dyDescent="0.2">
      <c r="A32" s="8" t="s">
        <v>35</v>
      </c>
      <c r="B32" s="8">
        <v>22100</v>
      </c>
      <c r="C32" s="9">
        <f>July_2025!F32</f>
        <v>0</v>
      </c>
      <c r="D32" s="10"/>
      <c r="E32" s="10"/>
      <c r="F32" s="10">
        <f t="shared" si="2"/>
        <v>0</v>
      </c>
    </row>
    <row r="33" spans="1:6" ht="15.75" customHeight="1" x14ac:dyDescent="0.2">
      <c r="A33" s="11" t="s">
        <v>36</v>
      </c>
      <c r="B33" s="11">
        <v>22200</v>
      </c>
      <c r="C33" s="12">
        <f>July_2025!F33</f>
        <v>0</v>
      </c>
      <c r="D33" s="13"/>
      <c r="E33" s="13"/>
      <c r="F33" s="13">
        <f t="shared" si="2"/>
        <v>0</v>
      </c>
    </row>
    <row r="34" spans="1:6" ht="15.75" customHeight="1" x14ac:dyDescent="0.2">
      <c r="A34" s="8" t="s">
        <v>37</v>
      </c>
      <c r="B34" s="8">
        <v>25000</v>
      </c>
      <c r="C34" s="9">
        <f>July_2025!F34</f>
        <v>0</v>
      </c>
      <c r="D34" s="10"/>
      <c r="E34" s="10"/>
      <c r="F34" s="10">
        <f t="shared" si="2"/>
        <v>0</v>
      </c>
    </row>
    <row r="35" spans="1:6" ht="15.75" customHeight="1" x14ac:dyDescent="0.2">
      <c r="A35" s="11" t="s">
        <v>38</v>
      </c>
      <c r="B35" s="11">
        <v>31000</v>
      </c>
      <c r="C35" s="12">
        <f>July_2025!F35</f>
        <v>1439530823</v>
      </c>
      <c r="D35" s="13"/>
      <c r="E35" s="13"/>
      <c r="F35" s="13">
        <f t="shared" si="2"/>
        <v>1439530823</v>
      </c>
    </row>
    <row r="36" spans="1:6" ht="15.75" customHeight="1" x14ac:dyDescent="0.2">
      <c r="A36" s="8" t="s">
        <v>39</v>
      </c>
      <c r="B36" s="8">
        <v>32000</v>
      </c>
      <c r="C36" s="9">
        <f>July_2025!F36</f>
        <v>0</v>
      </c>
      <c r="D36" s="10"/>
      <c r="E36" s="10"/>
      <c r="F36" s="10">
        <f t="shared" si="2"/>
        <v>0</v>
      </c>
    </row>
    <row r="37" spans="1:6" ht="15.75" customHeight="1" x14ac:dyDescent="0.2">
      <c r="A37" s="11" t="s">
        <v>65</v>
      </c>
      <c r="B37" s="11">
        <v>40000</v>
      </c>
      <c r="C37" s="12">
        <f>July_2025!F37</f>
        <v>162893500</v>
      </c>
      <c r="D37" s="13">
        <v>0</v>
      </c>
      <c r="E37" s="13">
        <v>19759500</v>
      </c>
      <c r="F37" s="13">
        <f t="shared" si="2"/>
        <v>182653000</v>
      </c>
    </row>
    <row r="38" spans="1:6" ht="15.75" customHeight="1" x14ac:dyDescent="0.2">
      <c r="A38" s="11" t="s">
        <v>40</v>
      </c>
      <c r="B38" s="11">
        <v>50000</v>
      </c>
      <c r="C38" s="12">
        <f>July_2025!F38</f>
        <v>27860473.289999999</v>
      </c>
      <c r="D38" s="13">
        <v>4790395.09</v>
      </c>
      <c r="E38" s="13"/>
      <c r="F38" s="13">
        <f t="shared" ref="F38:F61" si="3">C38+D38-E38</f>
        <v>32650868.379999999</v>
      </c>
    </row>
    <row r="39" spans="1:6" ht="15.75" customHeight="1" x14ac:dyDescent="0.2">
      <c r="A39" s="8" t="s">
        <v>41</v>
      </c>
      <c r="B39" s="8">
        <v>50100</v>
      </c>
      <c r="C39" s="9">
        <f>July_2025!F39</f>
        <v>80183578.710000008</v>
      </c>
      <c r="D39" s="10">
        <v>7452014.79</v>
      </c>
      <c r="E39" s="10"/>
      <c r="F39" s="10">
        <f t="shared" si="3"/>
        <v>87635593.500000015</v>
      </c>
    </row>
    <row r="40" spans="1:6" ht="15.75" customHeight="1" x14ac:dyDescent="0.2">
      <c r="A40" s="11" t="s">
        <v>42</v>
      </c>
      <c r="B40" s="11">
        <v>50200</v>
      </c>
      <c r="C40" s="12">
        <f>July_2025!F40</f>
        <v>150146688.36000001</v>
      </c>
      <c r="D40" s="13">
        <v>37467131.490000002</v>
      </c>
      <c r="E40" s="13"/>
      <c r="F40" s="13">
        <f t="shared" si="3"/>
        <v>187613819.85000002</v>
      </c>
    </row>
    <row r="41" spans="1:6" ht="15.75" customHeight="1" x14ac:dyDescent="0.2">
      <c r="A41" s="8" t="s">
        <v>43</v>
      </c>
      <c r="B41" s="8">
        <v>50010</v>
      </c>
      <c r="C41" s="9">
        <f>July_2025!F41</f>
        <v>19340739</v>
      </c>
      <c r="D41" s="10">
        <v>5239371</v>
      </c>
      <c r="E41" s="10"/>
      <c r="F41" s="10">
        <f t="shared" si="3"/>
        <v>24580110</v>
      </c>
    </row>
    <row r="42" spans="1:6" ht="15.75" customHeight="1" x14ac:dyDescent="0.2">
      <c r="A42" s="11" t="s">
        <v>44</v>
      </c>
      <c r="B42" s="11">
        <v>50110</v>
      </c>
      <c r="C42" s="12">
        <f>July_2025!F42</f>
        <v>72074411</v>
      </c>
      <c r="D42" s="13">
        <v>16236429</v>
      </c>
      <c r="E42" s="13"/>
      <c r="F42" s="13">
        <f t="shared" si="3"/>
        <v>88310840</v>
      </c>
    </row>
    <row r="43" spans="1:6" ht="15.75" customHeight="1" x14ac:dyDescent="0.2">
      <c r="A43" s="8" t="s">
        <v>45</v>
      </c>
      <c r="B43" s="8">
        <v>50020</v>
      </c>
      <c r="C43" s="9">
        <f>July_2025!F43</f>
        <v>-24513927.620000001</v>
      </c>
      <c r="D43" s="10"/>
      <c r="E43" s="10">
        <v>7190701.0700000003</v>
      </c>
      <c r="F43" s="10">
        <f t="shared" si="3"/>
        <v>-31704628.690000001</v>
      </c>
    </row>
    <row r="44" spans="1:6" ht="15.75" customHeight="1" x14ac:dyDescent="0.2">
      <c r="A44" s="11" t="s">
        <v>46</v>
      </c>
      <c r="B44" s="11">
        <v>50120</v>
      </c>
      <c r="C44" s="12">
        <f>July_2025!F44</f>
        <v>-62759222.949999996</v>
      </c>
      <c r="D44" s="13"/>
      <c r="E44" s="13">
        <v>14422496.77</v>
      </c>
      <c r="F44" s="13">
        <f t="shared" si="3"/>
        <v>-77181719.719999999</v>
      </c>
    </row>
    <row r="45" spans="1:6" ht="15.75" customHeight="1" x14ac:dyDescent="0.2">
      <c r="A45" s="8" t="s">
        <v>47</v>
      </c>
      <c r="B45" s="8">
        <v>50220</v>
      </c>
      <c r="C45" s="9">
        <f>July_2025!F45</f>
        <v>-135133206.42000002</v>
      </c>
      <c r="D45" s="10"/>
      <c r="E45" s="10">
        <v>32444705.190000001</v>
      </c>
      <c r="F45" s="10">
        <f t="shared" si="3"/>
        <v>-167577911.61000001</v>
      </c>
    </row>
    <row r="46" spans="1:6" ht="15.75" customHeight="1" x14ac:dyDescent="0.2">
      <c r="A46" s="8" t="s">
        <v>66</v>
      </c>
      <c r="B46" s="8">
        <v>50300</v>
      </c>
      <c r="C46" s="9">
        <f>July_2025!F46</f>
        <v>0</v>
      </c>
      <c r="D46" s="10">
        <v>0</v>
      </c>
      <c r="E46" s="10">
        <v>0</v>
      </c>
      <c r="F46" s="10">
        <f t="shared" si="3"/>
        <v>0</v>
      </c>
    </row>
    <row r="47" spans="1:6" ht="15.75" customHeight="1" x14ac:dyDescent="0.2">
      <c r="A47" s="8" t="s">
        <v>67</v>
      </c>
      <c r="B47" s="8">
        <v>50320</v>
      </c>
      <c r="C47" s="9">
        <f>July_2025!F47</f>
        <v>0</v>
      </c>
      <c r="D47" s="10">
        <v>0</v>
      </c>
      <c r="E47" s="10">
        <v>0</v>
      </c>
      <c r="F47" s="10">
        <f t="shared" si="3"/>
        <v>0</v>
      </c>
    </row>
    <row r="48" spans="1:6" ht="15.75" customHeight="1" x14ac:dyDescent="0.2">
      <c r="A48" s="11" t="s">
        <v>48</v>
      </c>
      <c r="B48" s="11">
        <v>53000</v>
      </c>
      <c r="C48" s="12">
        <f>July_2025!F48</f>
        <v>6040000</v>
      </c>
      <c r="D48" s="13">
        <v>1400000</v>
      </c>
      <c r="E48" s="13"/>
      <c r="F48" s="13">
        <f t="shared" si="3"/>
        <v>7440000</v>
      </c>
    </row>
    <row r="49" spans="1:6" ht="15.75" customHeight="1" x14ac:dyDescent="0.2">
      <c r="A49" s="8" t="s">
        <v>49</v>
      </c>
      <c r="B49" s="8">
        <v>53100</v>
      </c>
      <c r="C49" s="9">
        <f>July_2025!F49</f>
        <v>272000</v>
      </c>
      <c r="D49" s="10">
        <v>42000</v>
      </c>
      <c r="E49" s="10"/>
      <c r="F49" s="10">
        <f t="shared" si="3"/>
        <v>314000</v>
      </c>
    </row>
    <row r="50" spans="1:6" ht="15.75" customHeight="1" x14ac:dyDescent="0.2">
      <c r="A50" s="11" t="s">
        <v>50</v>
      </c>
      <c r="B50" s="11">
        <v>53200</v>
      </c>
      <c r="C50" s="12">
        <f>July_2025!F50</f>
        <v>759300</v>
      </c>
      <c r="D50" s="13"/>
      <c r="E50" s="13"/>
      <c r="F50" s="13">
        <f t="shared" si="3"/>
        <v>759300</v>
      </c>
    </row>
    <row r="51" spans="1:6" ht="15.75" customHeight="1" x14ac:dyDescent="0.2">
      <c r="A51" s="8" t="s">
        <v>51</v>
      </c>
      <c r="B51" s="8">
        <v>53300</v>
      </c>
      <c r="C51" s="9">
        <f>July_2025!F51</f>
        <v>6955030</v>
      </c>
      <c r="D51" s="10">
        <v>1596316</v>
      </c>
      <c r="E51" s="10"/>
      <c r="F51" s="10">
        <f t="shared" si="3"/>
        <v>8551346</v>
      </c>
    </row>
    <row r="52" spans="1:6" ht="15.75" customHeight="1" x14ac:dyDescent="0.2">
      <c r="A52" s="11" t="s">
        <v>52</v>
      </c>
      <c r="B52" s="11">
        <v>60000</v>
      </c>
      <c r="C52" s="12">
        <f>July_2025!F52</f>
        <v>0</v>
      </c>
      <c r="D52" s="13"/>
      <c r="E52" s="13"/>
      <c r="F52" s="13">
        <f t="shared" si="3"/>
        <v>0</v>
      </c>
    </row>
    <row r="53" spans="1:6" ht="15.75" customHeight="1" x14ac:dyDescent="0.2">
      <c r="A53" s="8" t="s">
        <v>53</v>
      </c>
      <c r="B53" s="8">
        <v>61000</v>
      </c>
      <c r="C53" s="9">
        <f>July_2025!F53</f>
        <v>0</v>
      </c>
      <c r="D53" s="10"/>
      <c r="E53" s="10"/>
      <c r="F53" s="10">
        <f t="shared" si="3"/>
        <v>0</v>
      </c>
    </row>
    <row r="54" spans="1:6" ht="15.75" customHeight="1" x14ac:dyDescent="0.2">
      <c r="A54" s="11" t="s">
        <v>54</v>
      </c>
      <c r="B54" s="11">
        <v>62000</v>
      </c>
      <c r="C54" s="12">
        <f>July_2025!F54</f>
        <v>0</v>
      </c>
      <c r="D54" s="13"/>
      <c r="E54" s="13"/>
      <c r="F54" s="13">
        <f t="shared" si="3"/>
        <v>0</v>
      </c>
    </row>
    <row r="55" spans="1:6" ht="15.75" customHeight="1" x14ac:dyDescent="0.2">
      <c r="A55" s="8" t="s">
        <v>55</v>
      </c>
      <c r="B55" s="8">
        <v>63000</v>
      </c>
      <c r="C55" s="9">
        <f>July_2025!F55</f>
        <v>0</v>
      </c>
      <c r="D55" s="10"/>
      <c r="E55" s="10"/>
      <c r="F55" s="10">
        <f t="shared" si="3"/>
        <v>0</v>
      </c>
    </row>
    <row r="56" spans="1:6" ht="15.75" customHeight="1" x14ac:dyDescent="0.2">
      <c r="A56" s="11" t="s">
        <v>56</v>
      </c>
      <c r="B56" s="11">
        <v>64000</v>
      </c>
      <c r="C56" s="12">
        <f>July_2025!F56</f>
        <v>0</v>
      </c>
      <c r="D56" s="13"/>
      <c r="E56" s="13"/>
      <c r="F56" s="13">
        <f t="shared" si="3"/>
        <v>0</v>
      </c>
    </row>
    <row r="57" spans="1:6" ht="15.75" customHeight="1" x14ac:dyDescent="0.2">
      <c r="A57" s="8" t="s">
        <v>57</v>
      </c>
      <c r="B57" s="8">
        <v>65000</v>
      </c>
      <c r="C57" s="9">
        <f>July_2025!F57</f>
        <v>1739150</v>
      </c>
      <c r="D57" s="10"/>
      <c r="E57" s="10"/>
      <c r="F57" s="10">
        <f t="shared" si="3"/>
        <v>1739150</v>
      </c>
    </row>
    <row r="58" spans="1:6" ht="15.75" customHeight="1" x14ac:dyDescent="0.2">
      <c r="A58" s="11" t="s">
        <v>58</v>
      </c>
      <c r="B58" s="11">
        <v>66000</v>
      </c>
      <c r="C58" s="12">
        <f>July_2025!F58</f>
        <v>3763014.34</v>
      </c>
      <c r="D58" s="13">
        <v>909084</v>
      </c>
      <c r="E58" s="13"/>
      <c r="F58" s="13">
        <f t="shared" si="3"/>
        <v>4672098.34</v>
      </c>
    </row>
    <row r="59" spans="1:6" ht="15.75" customHeight="1" x14ac:dyDescent="0.2">
      <c r="A59" s="8" t="s">
        <v>59</v>
      </c>
      <c r="B59" s="8">
        <v>67000</v>
      </c>
      <c r="C59" s="9">
        <f>July_2025!F59</f>
        <v>0</v>
      </c>
      <c r="D59" s="10">
        <v>1729738.5</v>
      </c>
      <c r="E59" s="10"/>
      <c r="F59" s="10">
        <f t="shared" si="3"/>
        <v>1729738.5</v>
      </c>
    </row>
    <row r="60" spans="1:6" ht="15.75" customHeight="1" x14ac:dyDescent="0.2">
      <c r="A60" s="11" t="s">
        <v>60</v>
      </c>
      <c r="B60" s="11">
        <v>68000</v>
      </c>
      <c r="C60" s="12">
        <f>July_2025!F60</f>
        <v>200000</v>
      </c>
      <c r="D60" s="13"/>
      <c r="E60" s="13"/>
      <c r="F60" s="13">
        <f t="shared" si="3"/>
        <v>200000</v>
      </c>
    </row>
    <row r="61" spans="1:6" ht="15.75" customHeight="1" x14ac:dyDescent="0.2">
      <c r="A61" s="8" t="s">
        <v>61</v>
      </c>
      <c r="B61" s="8">
        <v>69000</v>
      </c>
      <c r="C61" s="9">
        <f>July_2025!F61</f>
        <v>0</v>
      </c>
      <c r="D61" s="10"/>
      <c r="E61" s="10"/>
      <c r="F61" s="10">
        <f t="shared" si="3"/>
        <v>0</v>
      </c>
    </row>
    <row r="62" spans="1:6" ht="15.75" customHeight="1" x14ac:dyDescent="0.2">
      <c r="A62" s="11" t="s">
        <v>62</v>
      </c>
      <c r="B62" s="11">
        <v>70000</v>
      </c>
      <c r="C62" s="12">
        <f>July_2025!F62</f>
        <v>348030</v>
      </c>
      <c r="D62" s="13"/>
      <c r="E62" s="13"/>
      <c r="F62" s="13">
        <f>C62+E62-D62</f>
        <v>348030</v>
      </c>
    </row>
    <row r="63" spans="1:6" ht="15.75" customHeight="1" x14ac:dyDescent="0.2">
      <c r="A63" s="8" t="s">
        <v>63</v>
      </c>
      <c r="B63" s="8">
        <v>80000</v>
      </c>
      <c r="C63" s="9">
        <f>July_2025!F63</f>
        <v>0</v>
      </c>
      <c r="D63" s="10"/>
      <c r="E63" s="10"/>
      <c r="F63" s="10">
        <f>C63+D63-E63</f>
        <v>0</v>
      </c>
    </row>
    <row r="64" spans="1:6" ht="15.75" customHeight="1" x14ac:dyDescent="0.2">
      <c r="A64" s="11" t="s">
        <v>64</v>
      </c>
      <c r="B64" s="11">
        <v>81000</v>
      </c>
      <c r="C64" s="12">
        <f>July_2025!F64</f>
        <v>0</v>
      </c>
      <c r="D64" s="13"/>
      <c r="E64" s="13"/>
      <c r="F64" s="13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M1001"/>
  <sheetViews>
    <sheetView showGridLines="0" topLeftCell="A26" workbookViewId="0">
      <selection activeCell="A7" sqref="A7:F63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September-2025</v>
      </c>
    </row>
    <row r="2" spans="1:9" ht="15.75" customHeight="1" x14ac:dyDescent="0.2">
      <c r="A2" s="3"/>
      <c r="B2" s="1" t="s">
        <v>1</v>
      </c>
      <c r="C2" s="3">
        <v>45901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45930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144253747.87</v>
      </c>
      <c r="E5" s="5">
        <f t="shared" si="0"/>
        <v>144253747.87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14" t="s">
        <v>11</v>
      </c>
      <c r="B8" s="15">
        <v>10000</v>
      </c>
      <c r="C8" s="15">
        <f>Aug_2025!F8</f>
        <v>0</v>
      </c>
      <c r="D8" s="14"/>
      <c r="E8" s="14"/>
      <c r="F8" s="15">
        <f t="shared" ref="F8:F22" si="1">C8+D8-E8</f>
        <v>0</v>
      </c>
    </row>
    <row r="9" spans="1:9" ht="15.75" customHeight="1" x14ac:dyDescent="0.2">
      <c r="A9" s="16" t="s">
        <v>12</v>
      </c>
      <c r="B9" s="17">
        <v>10100</v>
      </c>
      <c r="C9" s="19">
        <f>Aug_2025!F9</f>
        <v>44008441.970000029</v>
      </c>
      <c r="D9" s="19">
        <v>25669100</v>
      </c>
      <c r="E9" s="19">
        <v>22620550</v>
      </c>
      <c r="F9" s="19">
        <f t="shared" si="1"/>
        <v>47056991.970000029</v>
      </c>
    </row>
    <row r="10" spans="1:9" ht="15.75" customHeight="1" x14ac:dyDescent="0.2">
      <c r="A10" s="14" t="s">
        <v>13</v>
      </c>
      <c r="B10" s="15">
        <v>11000</v>
      </c>
      <c r="C10" s="15">
        <f>Aug_2025!F10</f>
        <v>0</v>
      </c>
      <c r="D10" s="14"/>
      <c r="E10" s="14"/>
      <c r="F10" s="15">
        <f t="shared" si="1"/>
        <v>0</v>
      </c>
    </row>
    <row r="11" spans="1:9" ht="15.75" customHeight="1" x14ac:dyDescent="0.2">
      <c r="A11" s="16" t="s">
        <v>14</v>
      </c>
      <c r="B11" s="17">
        <v>12000</v>
      </c>
      <c r="C11" s="19">
        <f>Aug_2025!F11</f>
        <v>7190700.7000000048</v>
      </c>
      <c r="D11" s="19">
        <v>6515831.7999999998</v>
      </c>
      <c r="E11" s="19">
        <v>7190701</v>
      </c>
      <c r="F11" s="19">
        <f t="shared" si="1"/>
        <v>6515831.5000000037</v>
      </c>
    </row>
    <row r="12" spans="1:9" ht="15.75" customHeight="1" x14ac:dyDescent="0.2">
      <c r="A12" s="14" t="s">
        <v>15</v>
      </c>
      <c r="B12" s="15">
        <v>12100</v>
      </c>
      <c r="C12" s="20">
        <f>Aug_2025!F12</f>
        <v>12692758.719999999</v>
      </c>
      <c r="D12" s="20">
        <v>15343618.15</v>
      </c>
      <c r="E12" s="20">
        <v>12692758.27</v>
      </c>
      <c r="F12" s="20">
        <f t="shared" si="1"/>
        <v>15343618.599999998</v>
      </c>
    </row>
    <row r="13" spans="1:9" ht="15.75" customHeight="1" x14ac:dyDescent="0.2">
      <c r="A13" s="16" t="s">
        <v>16</v>
      </c>
      <c r="B13" s="17">
        <v>12200</v>
      </c>
      <c r="C13" s="19">
        <f>Aug_2025!F13</f>
        <v>32444704.710000001</v>
      </c>
      <c r="D13" s="19">
        <v>17720747.460000001</v>
      </c>
      <c r="E13" s="19">
        <v>32444705.190000001</v>
      </c>
      <c r="F13" s="19">
        <f t="shared" si="1"/>
        <v>17720746.98</v>
      </c>
      <c r="I13" s="2"/>
    </row>
    <row r="14" spans="1:9" ht="15.75" customHeight="1" x14ac:dyDescent="0.2">
      <c r="A14" s="14" t="s">
        <v>17</v>
      </c>
      <c r="B14" s="15">
        <v>12300</v>
      </c>
      <c r="C14" s="15">
        <f>Aug_2025!F14</f>
        <v>0</v>
      </c>
      <c r="D14" s="14"/>
      <c r="E14" s="14"/>
      <c r="F14" s="15">
        <f t="shared" si="1"/>
        <v>0</v>
      </c>
    </row>
    <row r="15" spans="1:9" ht="15.75" customHeight="1" x14ac:dyDescent="0.2">
      <c r="A15" s="16" t="s">
        <v>18</v>
      </c>
      <c r="B15" s="17">
        <v>13000</v>
      </c>
      <c r="C15" s="19">
        <f>Aug_2025!F15</f>
        <v>261063780</v>
      </c>
      <c r="D15" s="19">
        <v>6970000</v>
      </c>
      <c r="E15" s="19">
        <v>274898</v>
      </c>
      <c r="F15" s="19">
        <f t="shared" si="1"/>
        <v>267758882</v>
      </c>
    </row>
    <row r="16" spans="1:9" ht="15.75" customHeight="1" x14ac:dyDescent="0.2">
      <c r="A16" s="14" t="s">
        <v>19</v>
      </c>
      <c r="B16" s="15">
        <v>15000</v>
      </c>
      <c r="C16" s="20">
        <f>Aug_2025!F16</f>
        <v>429290000</v>
      </c>
      <c r="D16" s="14"/>
      <c r="E16" s="14"/>
      <c r="F16" s="20">
        <f t="shared" si="1"/>
        <v>429290000</v>
      </c>
    </row>
    <row r="17" spans="1:13" ht="15.75" customHeight="1" x14ac:dyDescent="0.2">
      <c r="A17" s="16" t="s">
        <v>20</v>
      </c>
      <c r="B17" s="17">
        <v>15100</v>
      </c>
      <c r="C17" s="19">
        <f>Aug_2025!F17</f>
        <v>449445000</v>
      </c>
      <c r="D17" s="16"/>
      <c r="E17" s="16"/>
      <c r="F17" s="19">
        <f t="shared" si="1"/>
        <v>449445000</v>
      </c>
    </row>
    <row r="18" spans="1:13" ht="15.75" customHeight="1" x14ac:dyDescent="0.2">
      <c r="A18" s="14" t="s">
        <v>21</v>
      </c>
      <c r="B18" s="15">
        <v>15200</v>
      </c>
      <c r="C18" s="20">
        <f>Aug_2025!F18</f>
        <v>135920000</v>
      </c>
      <c r="D18" s="20">
        <v>2054300</v>
      </c>
      <c r="E18" s="14"/>
      <c r="F18" s="20">
        <f t="shared" si="1"/>
        <v>137974300</v>
      </c>
    </row>
    <row r="19" spans="1:13" ht="15.75" customHeight="1" x14ac:dyDescent="0.2">
      <c r="A19" s="16" t="s">
        <v>22</v>
      </c>
      <c r="B19" s="17">
        <v>15300</v>
      </c>
      <c r="C19" s="17">
        <f>Aug_2025!F19</f>
        <v>0</v>
      </c>
      <c r="D19" s="16"/>
      <c r="E19" s="16"/>
      <c r="F19" s="17">
        <f t="shared" si="1"/>
        <v>0</v>
      </c>
    </row>
    <row r="20" spans="1:13" ht="15.75" customHeight="1" x14ac:dyDescent="0.2">
      <c r="A20" s="14" t="s">
        <v>23</v>
      </c>
      <c r="B20" s="15">
        <v>15400</v>
      </c>
      <c r="C20" s="20">
        <f>Aug_2025!F20</f>
        <v>106081000</v>
      </c>
      <c r="D20" s="14"/>
      <c r="E20" s="14"/>
      <c r="F20" s="20">
        <f t="shared" si="1"/>
        <v>106081000</v>
      </c>
    </row>
    <row r="21" spans="1:13" ht="15.75" customHeight="1" x14ac:dyDescent="0.2">
      <c r="A21" s="16" t="s">
        <v>24</v>
      </c>
      <c r="B21" s="17">
        <v>15500</v>
      </c>
      <c r="C21" s="19">
        <f>Aug_2025!F21</f>
        <v>24847800</v>
      </c>
      <c r="D21" s="16"/>
      <c r="E21" s="16"/>
      <c r="F21" s="19">
        <f t="shared" si="1"/>
        <v>24847800</v>
      </c>
      <c r="M21" s="5"/>
    </row>
    <row r="22" spans="1:13" ht="15.75" customHeight="1" x14ac:dyDescent="0.2">
      <c r="A22" s="14" t="s">
        <v>25</v>
      </c>
      <c r="B22" s="15">
        <v>15600</v>
      </c>
      <c r="C22" s="15">
        <f>Aug_2025!F22</f>
        <v>0</v>
      </c>
      <c r="D22" s="14"/>
      <c r="E22" s="14"/>
      <c r="F22" s="15">
        <f t="shared" si="1"/>
        <v>0</v>
      </c>
      <c r="M22" s="5"/>
    </row>
    <row r="23" spans="1:13" ht="15.75" customHeight="1" x14ac:dyDescent="0.2">
      <c r="A23" s="16" t="s">
        <v>26</v>
      </c>
      <c r="B23" s="17">
        <v>15110</v>
      </c>
      <c r="C23" s="19">
        <f>Aug_2025!F23</f>
        <v>23829167.680000007</v>
      </c>
      <c r="D23" s="16"/>
      <c r="E23" s="19">
        <v>554167</v>
      </c>
      <c r="F23" s="19">
        <f>C23+E23-D23</f>
        <v>24383334.680000007</v>
      </c>
      <c r="M23" s="5"/>
    </row>
    <row r="24" spans="1:13" ht="15.75" customHeight="1" x14ac:dyDescent="0.2">
      <c r="A24" s="14" t="s">
        <v>27</v>
      </c>
      <c r="B24" s="15">
        <v>15210</v>
      </c>
      <c r="C24" s="20">
        <f>Aug_2025!F24</f>
        <v>21626829.329999998</v>
      </c>
      <c r="D24" s="14"/>
      <c r="E24" s="20">
        <v>1543106</v>
      </c>
      <c r="F24" s="20">
        <f>C24+E24-D24</f>
        <v>23169935.329999998</v>
      </c>
      <c r="M24" s="5"/>
    </row>
    <row r="25" spans="1:13" ht="15.75" customHeight="1" x14ac:dyDescent="0.2">
      <c r="A25" s="16" t="s">
        <v>28</v>
      </c>
      <c r="B25" s="17">
        <v>15310</v>
      </c>
      <c r="C25" s="17">
        <f>Aug_2025!F25</f>
        <v>0</v>
      </c>
      <c r="D25" s="16"/>
      <c r="E25" s="16"/>
      <c r="F25" s="17">
        <f>C25+E25-D25</f>
        <v>0</v>
      </c>
    </row>
    <row r="26" spans="1:13" ht="15.75" customHeight="1" x14ac:dyDescent="0.2">
      <c r="A26" s="14" t="s">
        <v>29</v>
      </c>
      <c r="B26" s="15">
        <v>15410</v>
      </c>
      <c r="C26" s="20">
        <f>Aug_2025!F26</f>
        <v>3763397.33</v>
      </c>
      <c r="D26" s="14"/>
      <c r="E26" s="20">
        <v>343087</v>
      </c>
      <c r="F26" s="20">
        <f>C26+E26-D26</f>
        <v>4106484.33</v>
      </c>
    </row>
    <row r="27" spans="1:13" ht="15.75" customHeight="1" x14ac:dyDescent="0.2">
      <c r="A27" s="16" t="s">
        <v>30</v>
      </c>
      <c r="B27" s="17">
        <v>15610</v>
      </c>
      <c r="C27" s="17">
        <f>Aug_2025!F27</f>
        <v>0</v>
      </c>
      <c r="D27" s="16"/>
      <c r="E27" s="16"/>
      <c r="F27" s="17">
        <f>C27+E27-D27</f>
        <v>0</v>
      </c>
    </row>
    <row r="28" spans="1:13" ht="15.75" customHeight="1" x14ac:dyDescent="0.2">
      <c r="A28" s="14" t="s">
        <v>31</v>
      </c>
      <c r="B28" s="15">
        <v>14000</v>
      </c>
      <c r="C28" s="15">
        <f>Aug_2025!F28</f>
        <v>0</v>
      </c>
      <c r="D28" s="14"/>
      <c r="E28" s="14"/>
      <c r="F28" s="15">
        <f>C28+D28-E28</f>
        <v>0</v>
      </c>
    </row>
    <row r="29" spans="1:13" ht="15.75" customHeight="1" x14ac:dyDescent="0.2">
      <c r="A29" s="16" t="s">
        <v>32</v>
      </c>
      <c r="B29" s="17">
        <v>20000</v>
      </c>
      <c r="C29" s="17">
        <f>Aug_2025!F29</f>
        <v>0</v>
      </c>
      <c r="D29" s="16"/>
      <c r="E29" s="16"/>
      <c r="F29" s="17">
        <f t="shared" ref="F29:F37" si="2">C29+E29-D29</f>
        <v>0</v>
      </c>
    </row>
    <row r="30" spans="1:13" ht="15.75" customHeight="1" x14ac:dyDescent="0.2">
      <c r="A30" s="14" t="s">
        <v>33</v>
      </c>
      <c r="B30" s="15">
        <v>21000</v>
      </c>
      <c r="C30" s="15">
        <f>Aug_2025!F30</f>
        <v>0</v>
      </c>
      <c r="D30" s="14"/>
      <c r="E30" s="14"/>
      <c r="F30" s="15">
        <f t="shared" si="2"/>
        <v>0</v>
      </c>
    </row>
    <row r="31" spans="1:13" ht="15.75" customHeight="1" x14ac:dyDescent="0.2">
      <c r="A31" s="16" t="s">
        <v>34</v>
      </c>
      <c r="B31" s="17">
        <v>22000</v>
      </c>
      <c r="C31" s="17">
        <f>Aug_2025!F31</f>
        <v>0</v>
      </c>
      <c r="D31" s="16"/>
      <c r="E31" s="16"/>
      <c r="F31" s="17">
        <f t="shared" si="2"/>
        <v>0</v>
      </c>
    </row>
    <row r="32" spans="1:13" ht="15.75" customHeight="1" x14ac:dyDescent="0.2">
      <c r="A32" s="14" t="s">
        <v>35</v>
      </c>
      <c r="B32" s="15">
        <v>22100</v>
      </c>
      <c r="C32" s="15">
        <f>Aug_2025!F32</f>
        <v>0</v>
      </c>
      <c r="D32" s="14"/>
      <c r="E32" s="14"/>
      <c r="F32" s="15">
        <f t="shared" si="2"/>
        <v>0</v>
      </c>
    </row>
    <row r="33" spans="1:9" ht="15.75" customHeight="1" x14ac:dyDescent="0.2">
      <c r="A33" s="16" t="s">
        <v>36</v>
      </c>
      <c r="B33" s="17">
        <v>22200</v>
      </c>
      <c r="C33" s="17">
        <f>Aug_2025!F33</f>
        <v>0</v>
      </c>
      <c r="D33" s="16"/>
      <c r="E33" s="16"/>
      <c r="F33" s="17">
        <f t="shared" si="2"/>
        <v>0</v>
      </c>
    </row>
    <row r="34" spans="1:9" ht="15.75" customHeight="1" x14ac:dyDescent="0.2">
      <c r="A34" s="14" t="s">
        <v>37</v>
      </c>
      <c r="B34" s="15">
        <v>25000</v>
      </c>
      <c r="C34" s="15">
        <f>Aug_2025!F34</f>
        <v>0</v>
      </c>
      <c r="D34" s="14"/>
      <c r="E34" s="14"/>
      <c r="F34" s="15">
        <f t="shared" si="2"/>
        <v>0</v>
      </c>
    </row>
    <row r="35" spans="1:9" ht="15.75" customHeight="1" x14ac:dyDescent="0.2">
      <c r="A35" s="16" t="s">
        <v>38</v>
      </c>
      <c r="B35" s="17">
        <v>31000</v>
      </c>
      <c r="C35" s="19">
        <f>Aug_2025!F35</f>
        <v>1439530823</v>
      </c>
      <c r="D35" s="16"/>
      <c r="E35" s="16"/>
      <c r="F35" s="19">
        <f t="shared" si="2"/>
        <v>1439530823</v>
      </c>
    </row>
    <row r="36" spans="1:9" ht="15.75" customHeight="1" x14ac:dyDescent="0.2">
      <c r="A36" s="14" t="s">
        <v>39</v>
      </c>
      <c r="B36" s="15">
        <v>32000</v>
      </c>
      <c r="C36" s="14">
        <f>Aug_2025!F36</f>
        <v>0</v>
      </c>
      <c r="D36" s="14"/>
      <c r="E36" s="14"/>
      <c r="F36" s="15">
        <f t="shared" si="2"/>
        <v>0</v>
      </c>
    </row>
    <row r="37" spans="1:9" ht="15.75" customHeight="1" x14ac:dyDescent="0.2">
      <c r="A37" s="16" t="s">
        <v>65</v>
      </c>
      <c r="B37" s="17">
        <v>40000</v>
      </c>
      <c r="C37" s="21">
        <f>Aug_2025!F37</f>
        <v>182653000</v>
      </c>
      <c r="D37" s="22">
        <v>0</v>
      </c>
      <c r="E37" s="19">
        <v>25669100</v>
      </c>
      <c r="F37" s="19">
        <f t="shared" si="2"/>
        <v>208322100</v>
      </c>
    </row>
    <row r="38" spans="1:9" ht="15.75" customHeight="1" x14ac:dyDescent="0.2">
      <c r="A38" s="16" t="s">
        <v>40</v>
      </c>
      <c r="B38" s="17">
        <v>50000</v>
      </c>
      <c r="C38" s="17">
        <f>Aug_2025!F38</f>
        <v>32650868.379999999</v>
      </c>
      <c r="D38" s="19">
        <v>7190701</v>
      </c>
      <c r="E38" s="16"/>
      <c r="F38" s="19">
        <f t="shared" ref="F38:F61" si="3">C38+D38-E38</f>
        <v>39841569.379999995</v>
      </c>
    </row>
    <row r="39" spans="1:9" ht="15.75" customHeight="1" x14ac:dyDescent="0.2">
      <c r="A39" s="14" t="s">
        <v>41</v>
      </c>
      <c r="B39" s="15">
        <v>50100</v>
      </c>
      <c r="C39" s="15">
        <f>Aug_2025!F39</f>
        <v>87635593.500000015</v>
      </c>
      <c r="D39" s="20">
        <v>12692758.27</v>
      </c>
      <c r="E39" s="14"/>
      <c r="F39" s="20">
        <f t="shared" si="3"/>
        <v>100328351.77000001</v>
      </c>
    </row>
    <row r="40" spans="1:9" ht="15.75" customHeight="1" x14ac:dyDescent="0.2">
      <c r="A40" s="16" t="s">
        <v>42</v>
      </c>
      <c r="B40" s="17">
        <v>50200</v>
      </c>
      <c r="C40" s="17">
        <f>Aug_2025!F40</f>
        <v>187613819.85000002</v>
      </c>
      <c r="D40" s="19">
        <v>32444705.190000001</v>
      </c>
      <c r="E40" s="16"/>
      <c r="F40" s="19">
        <f t="shared" si="3"/>
        <v>220058525.04000002</v>
      </c>
    </row>
    <row r="41" spans="1:9" ht="15.75" customHeight="1" x14ac:dyDescent="0.2">
      <c r="A41" s="14" t="s">
        <v>43</v>
      </c>
      <c r="B41" s="15">
        <v>50010</v>
      </c>
      <c r="C41" s="15">
        <f>Aug_2025!F41</f>
        <v>24580110</v>
      </c>
      <c r="D41" s="20">
        <v>318000</v>
      </c>
      <c r="E41" s="14"/>
      <c r="F41" s="20">
        <f t="shared" si="3"/>
        <v>24898110</v>
      </c>
    </row>
    <row r="42" spans="1:9" ht="15.75" customHeight="1" x14ac:dyDescent="0.2">
      <c r="A42" s="16" t="s">
        <v>44</v>
      </c>
      <c r="B42" s="17">
        <v>50110</v>
      </c>
      <c r="C42" s="17">
        <f>Aug_2025!F42</f>
        <v>88310840</v>
      </c>
      <c r="D42" s="19">
        <v>9574250</v>
      </c>
      <c r="E42" s="16"/>
      <c r="F42" s="19">
        <f t="shared" si="3"/>
        <v>97885090</v>
      </c>
    </row>
    <row r="43" spans="1:9" ht="15.75" customHeight="1" x14ac:dyDescent="0.2">
      <c r="A43" s="14" t="s">
        <v>45</v>
      </c>
      <c r="B43" s="15">
        <v>50020</v>
      </c>
      <c r="C43" s="15">
        <f>Aug_2025!F43</f>
        <v>-31704628.690000001</v>
      </c>
      <c r="D43" s="14"/>
      <c r="E43" s="20">
        <v>6515831.7999999998</v>
      </c>
      <c r="F43" s="20">
        <f t="shared" si="3"/>
        <v>-38220460.490000002</v>
      </c>
    </row>
    <row r="44" spans="1:9" ht="15.75" customHeight="1" x14ac:dyDescent="0.2">
      <c r="A44" s="16" t="s">
        <v>46</v>
      </c>
      <c r="B44" s="17">
        <v>50120</v>
      </c>
      <c r="C44" s="17">
        <f>Aug_2025!F44</f>
        <v>-77181719.719999999</v>
      </c>
      <c r="D44" s="16"/>
      <c r="E44" s="19">
        <v>16684096.15</v>
      </c>
      <c r="F44" s="19">
        <f t="shared" si="3"/>
        <v>-93865815.870000005</v>
      </c>
    </row>
    <row r="45" spans="1:9" ht="15.75" customHeight="1" x14ac:dyDescent="0.2">
      <c r="A45" s="14" t="s">
        <v>47</v>
      </c>
      <c r="B45" s="15">
        <v>50220</v>
      </c>
      <c r="C45" s="15">
        <f>Aug_2025!F45</f>
        <v>-167577911.61000001</v>
      </c>
      <c r="D45" s="14"/>
      <c r="E45" s="20">
        <v>17720747.460000001</v>
      </c>
      <c r="F45" s="20">
        <f t="shared" si="3"/>
        <v>-185298659.07000002</v>
      </c>
    </row>
    <row r="46" spans="1:9" ht="15.75" customHeight="1" x14ac:dyDescent="0.2">
      <c r="A46" s="14" t="s">
        <v>66</v>
      </c>
      <c r="B46" s="15">
        <v>50300</v>
      </c>
      <c r="C46" s="23">
        <f>Aug_2025!F46</f>
        <v>0</v>
      </c>
      <c r="D46" s="24">
        <v>0</v>
      </c>
      <c r="E46" s="20">
        <v>0</v>
      </c>
      <c r="F46" s="20">
        <f t="shared" si="3"/>
        <v>0</v>
      </c>
    </row>
    <row r="47" spans="1:9" ht="15.75" customHeight="1" x14ac:dyDescent="0.2">
      <c r="A47" s="14" t="s">
        <v>67</v>
      </c>
      <c r="B47" s="15">
        <v>50320</v>
      </c>
      <c r="C47" s="23">
        <f>Aug_2025!F47</f>
        <v>0</v>
      </c>
      <c r="D47" s="24">
        <v>0</v>
      </c>
      <c r="E47" s="20">
        <v>0</v>
      </c>
      <c r="F47" s="20">
        <f t="shared" si="3"/>
        <v>0</v>
      </c>
    </row>
    <row r="48" spans="1:9" ht="15.75" customHeight="1" x14ac:dyDescent="0.2">
      <c r="A48" s="16" t="s">
        <v>48</v>
      </c>
      <c r="B48" s="17">
        <v>53000</v>
      </c>
      <c r="C48" s="17">
        <f>Aug_2025!F48</f>
        <v>7440000</v>
      </c>
      <c r="D48" s="19">
        <v>1710000</v>
      </c>
      <c r="E48" s="16"/>
      <c r="F48" s="19">
        <f t="shared" si="3"/>
        <v>9150000</v>
      </c>
      <c r="I48" s="5">
        <f>SUM(D43:D48)</f>
        <v>1710000</v>
      </c>
    </row>
    <row r="49" spans="1:6" ht="15.75" customHeight="1" x14ac:dyDescent="0.2">
      <c r="A49" s="14" t="s">
        <v>49</v>
      </c>
      <c r="B49" s="15">
        <v>53100</v>
      </c>
      <c r="C49" s="15">
        <f>Aug_2025!F49</f>
        <v>314000</v>
      </c>
      <c r="D49" s="20">
        <v>1994000</v>
      </c>
      <c r="E49" s="14"/>
      <c r="F49" s="20">
        <f t="shared" si="3"/>
        <v>2308000</v>
      </c>
    </row>
    <row r="50" spans="1:6" ht="15.75" customHeight="1" x14ac:dyDescent="0.2">
      <c r="A50" s="16" t="s">
        <v>50</v>
      </c>
      <c r="B50" s="17">
        <v>53200</v>
      </c>
      <c r="C50" s="17">
        <f>Aug_2025!F50</f>
        <v>759300</v>
      </c>
      <c r="D50" s="16"/>
      <c r="E50" s="16"/>
      <c r="F50" s="17">
        <f t="shared" si="3"/>
        <v>759300</v>
      </c>
    </row>
    <row r="51" spans="1:6" ht="15.75" customHeight="1" x14ac:dyDescent="0.2">
      <c r="A51" s="14" t="s">
        <v>51</v>
      </c>
      <c r="B51" s="15">
        <v>53300</v>
      </c>
      <c r="C51" s="15">
        <f>Aug_2025!F51</f>
        <v>8551346</v>
      </c>
      <c r="D51" s="20">
        <v>1543106</v>
      </c>
      <c r="E51" s="14"/>
      <c r="F51" s="20">
        <f t="shared" si="3"/>
        <v>10094452</v>
      </c>
    </row>
    <row r="52" spans="1:6" ht="15.75" customHeight="1" x14ac:dyDescent="0.2">
      <c r="A52" s="16" t="s">
        <v>52</v>
      </c>
      <c r="B52" s="17">
        <v>60000</v>
      </c>
      <c r="C52" s="17">
        <f>Aug_2025!F52</f>
        <v>0</v>
      </c>
      <c r="D52" s="16"/>
      <c r="E52" s="16"/>
      <c r="F52" s="17">
        <f t="shared" si="3"/>
        <v>0</v>
      </c>
    </row>
    <row r="53" spans="1:6" ht="15.75" customHeight="1" x14ac:dyDescent="0.2">
      <c r="A53" s="14" t="s">
        <v>53</v>
      </c>
      <c r="B53" s="15">
        <v>61000</v>
      </c>
      <c r="C53" s="15">
        <f>Aug_2025!F53</f>
        <v>0</v>
      </c>
      <c r="D53" s="14"/>
      <c r="E53" s="14"/>
      <c r="F53" s="15">
        <f t="shared" si="3"/>
        <v>0</v>
      </c>
    </row>
    <row r="54" spans="1:6" ht="15.75" customHeight="1" x14ac:dyDescent="0.2">
      <c r="A54" s="16" t="s">
        <v>54</v>
      </c>
      <c r="B54" s="17">
        <v>62000</v>
      </c>
      <c r="C54" s="17">
        <f>Aug_2025!F54</f>
        <v>0</v>
      </c>
      <c r="D54" s="16"/>
      <c r="E54" s="16"/>
      <c r="F54" s="17">
        <f t="shared" si="3"/>
        <v>0</v>
      </c>
    </row>
    <row r="55" spans="1:6" ht="15.75" customHeight="1" x14ac:dyDescent="0.2">
      <c r="A55" s="14" t="s">
        <v>55</v>
      </c>
      <c r="B55" s="15">
        <v>63000</v>
      </c>
      <c r="C55" s="15">
        <f>Aug_2025!F55</f>
        <v>0</v>
      </c>
      <c r="D55" s="14"/>
      <c r="E55" s="14"/>
      <c r="F55" s="15">
        <f t="shared" si="3"/>
        <v>0</v>
      </c>
    </row>
    <row r="56" spans="1:6" ht="15.75" customHeight="1" x14ac:dyDescent="0.2">
      <c r="A56" s="16" t="s">
        <v>56</v>
      </c>
      <c r="B56" s="17">
        <v>64000</v>
      </c>
      <c r="C56" s="17">
        <f>Aug_2025!F56</f>
        <v>0</v>
      </c>
      <c r="D56" s="16"/>
      <c r="E56" s="16"/>
      <c r="F56" s="17">
        <f t="shared" si="3"/>
        <v>0</v>
      </c>
    </row>
    <row r="57" spans="1:6" ht="15.75" customHeight="1" x14ac:dyDescent="0.2">
      <c r="A57" s="14" t="s">
        <v>57</v>
      </c>
      <c r="B57" s="15">
        <v>65000</v>
      </c>
      <c r="C57" s="15">
        <f>Aug_2025!F57</f>
        <v>1739150</v>
      </c>
      <c r="D57" s="20">
        <v>274898</v>
      </c>
      <c r="E57" s="14"/>
      <c r="F57" s="20">
        <f t="shared" si="3"/>
        <v>2014048</v>
      </c>
    </row>
    <row r="58" spans="1:6" ht="15.75" customHeight="1" x14ac:dyDescent="0.2">
      <c r="A58" s="16" t="s">
        <v>58</v>
      </c>
      <c r="B58" s="17">
        <v>66000</v>
      </c>
      <c r="C58" s="17">
        <f>Aug_2025!F58</f>
        <v>4672098.34</v>
      </c>
      <c r="D58" s="19">
        <v>897254</v>
      </c>
      <c r="E58" s="16"/>
      <c r="F58" s="19">
        <f t="shared" si="3"/>
        <v>5569352.3399999999</v>
      </c>
    </row>
    <row r="59" spans="1:6" ht="15.75" customHeight="1" x14ac:dyDescent="0.2">
      <c r="A59" s="14" t="s">
        <v>59</v>
      </c>
      <c r="B59" s="15">
        <v>67000</v>
      </c>
      <c r="C59" s="15">
        <f>Aug_2025!F59</f>
        <v>1729738.5</v>
      </c>
      <c r="D59" s="20">
        <v>1340478</v>
      </c>
      <c r="E59" s="14"/>
      <c r="F59" s="20">
        <f t="shared" si="3"/>
        <v>3070216.5</v>
      </c>
    </row>
    <row r="60" spans="1:6" ht="15.75" customHeight="1" x14ac:dyDescent="0.2">
      <c r="A60" s="16" t="s">
        <v>60</v>
      </c>
      <c r="B60" s="17">
        <v>68000</v>
      </c>
      <c r="C60" s="17">
        <f>Aug_2025!F60</f>
        <v>200000</v>
      </c>
      <c r="D60" s="16"/>
      <c r="E60" s="16"/>
      <c r="F60" s="17">
        <f t="shared" si="3"/>
        <v>200000</v>
      </c>
    </row>
    <row r="61" spans="1:6" ht="15.75" customHeight="1" x14ac:dyDescent="0.2">
      <c r="A61" s="14" t="s">
        <v>61</v>
      </c>
      <c r="B61" s="15">
        <v>69000</v>
      </c>
      <c r="C61" s="15">
        <f>Aug_2025!F61</f>
        <v>0</v>
      </c>
      <c r="D61" s="14"/>
      <c r="E61" s="14"/>
      <c r="F61" s="15">
        <f t="shared" si="3"/>
        <v>0</v>
      </c>
    </row>
    <row r="62" spans="1:6" ht="15.75" customHeight="1" x14ac:dyDescent="0.2">
      <c r="A62" s="16" t="s">
        <v>62</v>
      </c>
      <c r="B62" s="17">
        <v>70000</v>
      </c>
      <c r="C62" s="17">
        <f>Aug_2025!F62</f>
        <v>348030</v>
      </c>
      <c r="D62" s="16"/>
      <c r="E62" s="16"/>
      <c r="F62" s="17">
        <f>C62+E62-D62</f>
        <v>348030</v>
      </c>
    </row>
    <row r="63" spans="1:6" ht="15.75" customHeight="1" x14ac:dyDescent="0.2">
      <c r="A63" s="14" t="s">
        <v>63</v>
      </c>
      <c r="B63" s="15">
        <v>80000</v>
      </c>
      <c r="C63" s="15">
        <f>Aug_2025!F63</f>
        <v>0</v>
      </c>
      <c r="D63" s="14"/>
      <c r="E63" s="14"/>
      <c r="F63" s="15">
        <f>C63+D63-E63</f>
        <v>0</v>
      </c>
    </row>
    <row r="64" spans="1:6" ht="15.75" customHeight="1" x14ac:dyDescent="0.2">
      <c r="A64" s="16" t="s">
        <v>64</v>
      </c>
      <c r="B64" s="17">
        <v>81000</v>
      </c>
      <c r="C64" s="17">
        <f>Aug_2025!F64</f>
        <v>0</v>
      </c>
      <c r="D64" s="16"/>
      <c r="E64" s="16"/>
      <c r="F64" s="17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M1001"/>
  <sheetViews>
    <sheetView showGridLines="0" workbookViewId="0">
      <selection activeCell="B13" sqref="B13"/>
    </sheetView>
  </sheetViews>
  <sheetFormatPr defaultColWidth="12.5703125" defaultRowHeight="15" customHeight="1" x14ac:dyDescent="0.2"/>
  <cols>
    <col min="1" max="1" width="41.85546875" customWidth="1"/>
    <col min="2" max="2" width="17.42578125" customWidth="1"/>
    <col min="3" max="3" width="19.28515625" customWidth="1"/>
    <col min="4" max="4" width="18.42578125" customWidth="1"/>
    <col min="5" max="5" width="17.5703125" customWidth="1"/>
    <col min="6" max="6" width="18.140625" customWidth="1"/>
    <col min="11" max="11" width="16.85546875" customWidth="1"/>
    <col min="12" max="12" width="20" customWidth="1"/>
  </cols>
  <sheetData>
    <row r="1" spans="1:9" ht="15.75" customHeight="1" x14ac:dyDescent="0.2">
      <c r="B1" s="1" t="s">
        <v>0</v>
      </c>
      <c r="C1" s="1" t="str">
        <f>TEXT(C3,"MMMM-YYY")</f>
        <v>October-2025</v>
      </c>
    </row>
    <row r="2" spans="1:9" ht="15.75" customHeight="1" x14ac:dyDescent="0.2">
      <c r="A2" s="3"/>
      <c r="B2" s="1" t="s">
        <v>1</v>
      </c>
      <c r="C2" s="3">
        <v>45931</v>
      </c>
      <c r="E2" s="4" t="s">
        <v>2</v>
      </c>
      <c r="F2" s="1" t="str">
        <f>IF(SUM(D:D) = SUM(E:E), "✅ Balanced", "⚠️ Unbalanced")</f>
        <v>✅ Balanced</v>
      </c>
    </row>
    <row r="3" spans="1:9" ht="15.75" customHeight="1" x14ac:dyDescent="0.2">
      <c r="B3" s="1" t="s">
        <v>3</v>
      </c>
      <c r="C3" s="3">
        <f>EOMONTH(C2,0)</f>
        <v>45961</v>
      </c>
      <c r="E3" s="4"/>
    </row>
    <row r="4" spans="1:9" ht="15.75" customHeight="1" x14ac:dyDescent="0.2"/>
    <row r="5" spans="1:9" ht="15.75" customHeight="1" x14ac:dyDescent="0.2">
      <c r="D5" s="5">
        <f t="shared" ref="D5:E5" si="0">SUM(D8:D1001)</f>
        <v>817611890.68999994</v>
      </c>
      <c r="E5" s="5">
        <f t="shared" si="0"/>
        <v>817611890.68999994</v>
      </c>
      <c r="F5" s="5">
        <f>D5-E5</f>
        <v>0</v>
      </c>
    </row>
    <row r="6" spans="1:9" ht="15.75" customHeight="1" x14ac:dyDescent="0.2"/>
    <row r="7" spans="1:9" ht="15.75" customHeight="1" x14ac:dyDescent="0.2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spans="1:9" ht="15.75" customHeight="1" x14ac:dyDescent="0.2">
      <c r="A8" s="14" t="s">
        <v>11</v>
      </c>
      <c r="B8" s="15">
        <v>10000</v>
      </c>
      <c r="C8" s="15">
        <f>Sep_2025!F8</f>
        <v>0</v>
      </c>
      <c r="D8" s="14"/>
      <c r="E8" s="14"/>
      <c r="F8" s="15">
        <f t="shared" ref="F8:F22" si="1">C8+D8-E8</f>
        <v>0</v>
      </c>
    </row>
    <row r="9" spans="1:9" ht="15.75" customHeight="1" x14ac:dyDescent="0.2">
      <c r="A9" s="16" t="s">
        <v>12</v>
      </c>
      <c r="B9" s="17">
        <v>10100</v>
      </c>
      <c r="C9" s="19">
        <f>Sep_2025!F9</f>
        <v>47056991.970000029</v>
      </c>
      <c r="D9" s="19">
        <v>472712728.93000001</v>
      </c>
      <c r="E9" s="19">
        <v>261851550</v>
      </c>
      <c r="F9" s="19">
        <f t="shared" si="1"/>
        <v>257918170.90000004</v>
      </c>
    </row>
    <row r="10" spans="1:9" ht="15.75" customHeight="1" x14ac:dyDescent="0.2">
      <c r="A10" s="14" t="s">
        <v>13</v>
      </c>
      <c r="B10" s="15">
        <v>11000</v>
      </c>
      <c r="C10" s="15">
        <f>Sep_2025!F10</f>
        <v>0</v>
      </c>
      <c r="D10" s="14"/>
      <c r="E10" s="14"/>
      <c r="F10" s="15">
        <f t="shared" si="1"/>
        <v>0</v>
      </c>
    </row>
    <row r="11" spans="1:9" ht="15.75" customHeight="1" x14ac:dyDescent="0.2">
      <c r="A11" s="16" t="s">
        <v>14</v>
      </c>
      <c r="B11" s="17">
        <v>12000</v>
      </c>
      <c r="C11" s="19">
        <f>Sep_2025!F11</f>
        <v>6515831.5000000037</v>
      </c>
      <c r="D11" s="19">
        <v>8507511.7599999998</v>
      </c>
      <c r="E11" s="19">
        <v>6515831.7999999998</v>
      </c>
      <c r="F11" s="19">
        <f t="shared" si="1"/>
        <v>8507511.4600000046</v>
      </c>
    </row>
    <row r="12" spans="1:9" ht="15.75" customHeight="1" x14ac:dyDescent="0.2">
      <c r="A12" s="14" t="s">
        <v>15</v>
      </c>
      <c r="B12" s="15">
        <v>12100</v>
      </c>
      <c r="C12" s="20">
        <f>Sep_2025!F12</f>
        <v>15343618.599999998</v>
      </c>
      <c r="D12" s="20">
        <v>8810565.5099999998</v>
      </c>
      <c r="E12" s="20">
        <v>15343618</v>
      </c>
      <c r="F12" s="20">
        <f t="shared" si="1"/>
        <v>8810566.1099999994</v>
      </c>
    </row>
    <row r="13" spans="1:9" ht="15.75" customHeight="1" x14ac:dyDescent="0.2">
      <c r="A13" s="16" t="s">
        <v>16</v>
      </c>
      <c r="B13" s="17">
        <v>12200</v>
      </c>
      <c r="C13" s="19">
        <f>Sep_2025!F13</f>
        <v>17720746.98</v>
      </c>
      <c r="D13" s="19">
        <v>23496953.690000001</v>
      </c>
      <c r="E13" s="19">
        <v>17720747</v>
      </c>
      <c r="F13" s="19">
        <f t="shared" si="1"/>
        <v>23496953.670000002</v>
      </c>
      <c r="I13" s="2"/>
    </row>
    <row r="14" spans="1:9" ht="15.75" customHeight="1" x14ac:dyDescent="0.2">
      <c r="A14" s="14" t="s">
        <v>17</v>
      </c>
      <c r="B14" s="15">
        <v>12300</v>
      </c>
      <c r="C14" s="15">
        <f>Sep_2025!F14</f>
        <v>0</v>
      </c>
      <c r="D14" s="14"/>
      <c r="E14" s="14"/>
      <c r="F14" s="15">
        <f t="shared" si="1"/>
        <v>0</v>
      </c>
    </row>
    <row r="15" spans="1:9" ht="15.75" customHeight="1" x14ac:dyDescent="0.2">
      <c r="A15" s="16" t="s">
        <v>18</v>
      </c>
      <c r="B15" s="17">
        <v>13000</v>
      </c>
      <c r="C15" s="19">
        <f>Sep_2025!F15</f>
        <v>267758882</v>
      </c>
      <c r="D15" s="19">
        <v>186900000</v>
      </c>
      <c r="E15" s="19">
        <v>274898</v>
      </c>
      <c r="F15" s="19">
        <f t="shared" si="1"/>
        <v>454383984</v>
      </c>
    </row>
    <row r="16" spans="1:9" ht="15.75" customHeight="1" x14ac:dyDescent="0.2">
      <c r="A16" s="14" t="s">
        <v>19</v>
      </c>
      <c r="B16" s="15">
        <v>15000</v>
      </c>
      <c r="C16" s="20">
        <f>Sep_2025!F16</f>
        <v>429290000</v>
      </c>
      <c r="D16" s="14"/>
      <c r="E16" s="14"/>
      <c r="F16" s="20">
        <f t="shared" si="1"/>
        <v>429290000</v>
      </c>
    </row>
    <row r="17" spans="1:13" ht="15.75" customHeight="1" x14ac:dyDescent="0.2">
      <c r="A17" s="16" t="s">
        <v>20</v>
      </c>
      <c r="B17" s="17">
        <v>15100</v>
      </c>
      <c r="C17" s="19">
        <f>Sep_2025!F17</f>
        <v>449445000</v>
      </c>
      <c r="D17" s="16"/>
      <c r="E17" s="16"/>
      <c r="F17" s="19">
        <f t="shared" si="1"/>
        <v>449445000</v>
      </c>
    </row>
    <row r="18" spans="1:13" ht="15.75" customHeight="1" x14ac:dyDescent="0.2">
      <c r="A18" s="14" t="s">
        <v>21</v>
      </c>
      <c r="B18" s="15">
        <v>15200</v>
      </c>
      <c r="C18" s="20">
        <f>Sep_2025!F18</f>
        <v>137974300</v>
      </c>
      <c r="D18" s="20">
        <v>128000</v>
      </c>
      <c r="E18" s="14"/>
      <c r="F18" s="20">
        <f t="shared" si="1"/>
        <v>138102300</v>
      </c>
    </row>
    <row r="19" spans="1:13" ht="15.75" customHeight="1" x14ac:dyDescent="0.2">
      <c r="A19" s="16" t="s">
        <v>22</v>
      </c>
      <c r="B19" s="17">
        <v>15300</v>
      </c>
      <c r="C19" s="17">
        <f>Sep_2025!F19</f>
        <v>0</v>
      </c>
      <c r="D19" s="16"/>
      <c r="E19" s="16"/>
      <c r="F19" s="17">
        <f t="shared" si="1"/>
        <v>0</v>
      </c>
    </row>
    <row r="20" spans="1:13" ht="15.75" customHeight="1" x14ac:dyDescent="0.2">
      <c r="A20" s="14" t="s">
        <v>23</v>
      </c>
      <c r="B20" s="15">
        <v>15400</v>
      </c>
      <c r="C20" s="20">
        <f>Sep_2025!F20</f>
        <v>106081000</v>
      </c>
      <c r="D20" s="14"/>
      <c r="E20" s="14"/>
      <c r="F20" s="20">
        <f t="shared" si="1"/>
        <v>106081000</v>
      </c>
    </row>
    <row r="21" spans="1:13" ht="15.75" customHeight="1" x14ac:dyDescent="0.2">
      <c r="A21" s="16" t="s">
        <v>24</v>
      </c>
      <c r="B21" s="17">
        <v>15500</v>
      </c>
      <c r="C21" s="19">
        <f>Sep_2025!F21</f>
        <v>24847800</v>
      </c>
      <c r="D21" s="19">
        <v>50945000</v>
      </c>
      <c r="E21" s="16"/>
      <c r="F21" s="19">
        <f t="shared" si="1"/>
        <v>75792800</v>
      </c>
      <c r="M21" s="5"/>
    </row>
    <row r="22" spans="1:13" ht="15.75" customHeight="1" x14ac:dyDescent="0.2">
      <c r="A22" s="14" t="s">
        <v>25</v>
      </c>
      <c r="B22" s="15">
        <v>15600</v>
      </c>
      <c r="C22" s="15">
        <f>Sep_2025!F22</f>
        <v>0</v>
      </c>
      <c r="D22" s="14"/>
      <c r="E22" s="14"/>
      <c r="F22" s="15">
        <f t="shared" si="1"/>
        <v>0</v>
      </c>
      <c r="M22" s="5"/>
    </row>
    <row r="23" spans="1:13" ht="15.75" customHeight="1" x14ac:dyDescent="0.2">
      <c r="A23" s="16" t="s">
        <v>26</v>
      </c>
      <c r="B23" s="17">
        <v>15110</v>
      </c>
      <c r="C23" s="19">
        <f>Sep_2025!F23</f>
        <v>24383334.680000007</v>
      </c>
      <c r="D23" s="16"/>
      <c r="E23" s="19">
        <v>554167</v>
      </c>
      <c r="F23" s="19">
        <f>C23+E23-D23</f>
        <v>24937501.680000007</v>
      </c>
      <c r="M23" s="5"/>
    </row>
    <row r="24" spans="1:13" ht="15.75" customHeight="1" x14ac:dyDescent="0.2">
      <c r="A24" s="14" t="s">
        <v>27</v>
      </c>
      <c r="B24" s="15">
        <v>15210</v>
      </c>
      <c r="C24" s="20">
        <f>Sep_2025!F24</f>
        <v>23169935.329999998</v>
      </c>
      <c r="D24" s="14"/>
      <c r="E24" s="20">
        <v>1491669</v>
      </c>
      <c r="F24" s="20">
        <f>C24+E24-D24</f>
        <v>24661604.329999998</v>
      </c>
      <c r="M24" s="5"/>
    </row>
    <row r="25" spans="1:13" ht="15.75" customHeight="1" x14ac:dyDescent="0.2">
      <c r="A25" s="16" t="s">
        <v>28</v>
      </c>
      <c r="B25" s="17">
        <v>15310</v>
      </c>
      <c r="C25" s="17">
        <f>Sep_2025!F25</f>
        <v>0</v>
      </c>
      <c r="D25" s="16"/>
      <c r="E25" s="16"/>
      <c r="F25" s="17">
        <f>C25+E25-D25</f>
        <v>0</v>
      </c>
    </row>
    <row r="26" spans="1:13" ht="15.75" customHeight="1" x14ac:dyDescent="0.2">
      <c r="A26" s="14" t="s">
        <v>29</v>
      </c>
      <c r="B26" s="15">
        <v>15410</v>
      </c>
      <c r="C26" s="20">
        <f>Sep_2025!F26</f>
        <v>4106484.33</v>
      </c>
      <c r="D26" s="14"/>
      <c r="E26" s="20">
        <v>331650</v>
      </c>
      <c r="F26" s="20">
        <f>C26+E26-D26</f>
        <v>4438134.33</v>
      </c>
    </row>
    <row r="27" spans="1:13" ht="15.75" customHeight="1" x14ac:dyDescent="0.2">
      <c r="A27" s="16" t="s">
        <v>30</v>
      </c>
      <c r="B27" s="17">
        <v>15610</v>
      </c>
      <c r="C27" s="17">
        <f>Sep_2025!F27</f>
        <v>0</v>
      </c>
      <c r="D27" s="16"/>
      <c r="E27" s="16"/>
      <c r="F27" s="17">
        <f>C27+E27-D27</f>
        <v>0</v>
      </c>
    </row>
    <row r="28" spans="1:13" ht="15.75" customHeight="1" x14ac:dyDescent="0.2">
      <c r="A28" s="14" t="s">
        <v>31</v>
      </c>
      <c r="B28" s="15">
        <v>14000</v>
      </c>
      <c r="C28" s="15">
        <f>Sep_2025!F28</f>
        <v>0</v>
      </c>
      <c r="D28" s="20">
        <v>2034100</v>
      </c>
      <c r="E28" s="14"/>
      <c r="F28" s="20">
        <f>C28+D28-E28</f>
        <v>2034100</v>
      </c>
    </row>
    <row r="29" spans="1:13" ht="15.75" customHeight="1" x14ac:dyDescent="0.2">
      <c r="A29" s="16" t="s">
        <v>32</v>
      </c>
      <c r="B29" s="17">
        <v>20000</v>
      </c>
      <c r="C29" s="17">
        <f>Sep_2025!F29</f>
        <v>0</v>
      </c>
      <c r="D29" s="16"/>
      <c r="E29" s="16"/>
      <c r="F29" s="17">
        <f t="shared" ref="F29:F37" si="2">C29+E29-D29</f>
        <v>0</v>
      </c>
    </row>
    <row r="30" spans="1:13" ht="15.75" customHeight="1" x14ac:dyDescent="0.2">
      <c r="A30" s="14" t="s">
        <v>33</v>
      </c>
      <c r="B30" s="15">
        <v>21000</v>
      </c>
      <c r="C30" s="15">
        <f>Sep_2025!F30</f>
        <v>0</v>
      </c>
      <c r="D30" s="14"/>
      <c r="E30" s="14"/>
      <c r="F30" s="15">
        <f t="shared" si="2"/>
        <v>0</v>
      </c>
    </row>
    <row r="31" spans="1:13" ht="15.75" customHeight="1" x14ac:dyDescent="0.2">
      <c r="A31" s="16" t="s">
        <v>34</v>
      </c>
      <c r="B31" s="17">
        <v>22000</v>
      </c>
      <c r="C31" s="17">
        <f>Sep_2025!F31</f>
        <v>0</v>
      </c>
      <c r="D31" s="16"/>
      <c r="E31" s="16"/>
      <c r="F31" s="17">
        <f t="shared" si="2"/>
        <v>0</v>
      </c>
    </row>
    <row r="32" spans="1:13" ht="15.75" customHeight="1" x14ac:dyDescent="0.2">
      <c r="A32" s="14" t="s">
        <v>35</v>
      </c>
      <c r="B32" s="15">
        <v>22100</v>
      </c>
      <c r="C32" s="15">
        <f>Sep_2025!F32</f>
        <v>0</v>
      </c>
      <c r="D32" s="14"/>
      <c r="E32" s="14"/>
      <c r="F32" s="15">
        <f t="shared" si="2"/>
        <v>0</v>
      </c>
    </row>
    <row r="33" spans="1:9" ht="15.75" customHeight="1" x14ac:dyDescent="0.2">
      <c r="A33" s="16" t="s">
        <v>36</v>
      </c>
      <c r="B33" s="17">
        <v>22200</v>
      </c>
      <c r="C33" s="17">
        <f>Sep_2025!F33</f>
        <v>0</v>
      </c>
      <c r="D33" s="16"/>
      <c r="E33" s="16"/>
      <c r="F33" s="17">
        <f t="shared" si="2"/>
        <v>0</v>
      </c>
    </row>
    <row r="34" spans="1:9" ht="15.75" customHeight="1" x14ac:dyDescent="0.2">
      <c r="A34" s="14" t="s">
        <v>37</v>
      </c>
      <c r="B34" s="15">
        <v>25000</v>
      </c>
      <c r="C34" s="15">
        <f>Sep_2025!F34</f>
        <v>0</v>
      </c>
      <c r="D34" s="14"/>
      <c r="E34" s="14"/>
      <c r="F34" s="15">
        <f t="shared" si="2"/>
        <v>0</v>
      </c>
    </row>
    <row r="35" spans="1:9" ht="15.75" customHeight="1" x14ac:dyDescent="0.2">
      <c r="A35" s="16" t="s">
        <v>38</v>
      </c>
      <c r="B35" s="17">
        <v>31000</v>
      </c>
      <c r="C35" s="19">
        <f>Sep_2025!F35</f>
        <v>1439530823</v>
      </c>
      <c r="D35" s="16"/>
      <c r="E35" s="19">
        <v>450000000</v>
      </c>
      <c r="F35" s="19">
        <f t="shared" si="2"/>
        <v>1889530823</v>
      </c>
    </row>
    <row r="36" spans="1:9" ht="15.75" customHeight="1" x14ac:dyDescent="0.2">
      <c r="A36" s="14" t="s">
        <v>39</v>
      </c>
      <c r="B36" s="15">
        <v>32000</v>
      </c>
      <c r="C36" s="14">
        <f>Sep_2025!F36</f>
        <v>0</v>
      </c>
      <c r="D36" s="14"/>
      <c r="E36" s="14"/>
      <c r="F36" s="15">
        <f t="shared" si="2"/>
        <v>0</v>
      </c>
    </row>
    <row r="37" spans="1:9" ht="15.75" customHeight="1" x14ac:dyDescent="0.2">
      <c r="A37" s="16" t="s">
        <v>65</v>
      </c>
      <c r="B37" s="17">
        <v>40000</v>
      </c>
      <c r="C37" s="21">
        <f>Sep_2025!F37</f>
        <v>208322100</v>
      </c>
      <c r="D37" s="22">
        <v>0</v>
      </c>
      <c r="E37" s="19">
        <v>21894000</v>
      </c>
      <c r="F37" s="19">
        <f t="shared" si="2"/>
        <v>230216100</v>
      </c>
    </row>
    <row r="38" spans="1:9" ht="15.75" customHeight="1" x14ac:dyDescent="0.2">
      <c r="A38" s="16" t="s">
        <v>40</v>
      </c>
      <c r="B38" s="17">
        <v>50000</v>
      </c>
      <c r="C38" s="17">
        <f>Sep_2025!F38</f>
        <v>39841569.379999995</v>
      </c>
      <c r="D38" s="19">
        <v>6515831.7999999998</v>
      </c>
      <c r="E38" s="16"/>
      <c r="F38" s="19">
        <f t="shared" ref="F38:F61" si="3">C38+D38-E38</f>
        <v>46357401.179999992</v>
      </c>
    </row>
    <row r="39" spans="1:9" ht="15.75" customHeight="1" x14ac:dyDescent="0.2">
      <c r="A39" s="14" t="s">
        <v>41</v>
      </c>
      <c r="B39" s="15">
        <v>50100</v>
      </c>
      <c r="C39" s="15">
        <f>Sep_2025!F39</f>
        <v>100328351.77000001</v>
      </c>
      <c r="D39" s="20">
        <v>15343618</v>
      </c>
      <c r="E39" s="14"/>
      <c r="F39" s="20">
        <f t="shared" si="3"/>
        <v>115671969.77000001</v>
      </c>
    </row>
    <row r="40" spans="1:9" ht="15.75" customHeight="1" x14ac:dyDescent="0.2">
      <c r="A40" s="16" t="s">
        <v>42</v>
      </c>
      <c r="B40" s="17">
        <v>50200</v>
      </c>
      <c r="C40" s="17">
        <f>Sep_2025!F40</f>
        <v>220058525.04000002</v>
      </c>
      <c r="D40" s="19">
        <v>17720747</v>
      </c>
      <c r="E40" s="16"/>
      <c r="F40" s="19">
        <f t="shared" si="3"/>
        <v>237779272.04000002</v>
      </c>
    </row>
    <row r="41" spans="1:9" ht="15.75" customHeight="1" x14ac:dyDescent="0.2">
      <c r="A41" s="14" t="s">
        <v>43</v>
      </c>
      <c r="B41" s="15">
        <v>50010</v>
      </c>
      <c r="C41" s="15">
        <f>Sep_2025!F41</f>
        <v>24898110</v>
      </c>
      <c r="D41" s="20">
        <v>6671900</v>
      </c>
      <c r="E41" s="14"/>
      <c r="F41" s="20">
        <f t="shared" si="3"/>
        <v>31570010</v>
      </c>
    </row>
    <row r="42" spans="1:9" ht="15.75" customHeight="1" x14ac:dyDescent="0.2">
      <c r="A42" s="16" t="s">
        <v>44</v>
      </c>
      <c r="B42" s="17">
        <v>50110</v>
      </c>
      <c r="C42" s="17">
        <f>Sep_2025!F42</f>
        <v>97885090</v>
      </c>
      <c r="D42" s="19">
        <v>11393950</v>
      </c>
      <c r="E42" s="16"/>
      <c r="F42" s="19">
        <f t="shared" si="3"/>
        <v>109279040</v>
      </c>
    </row>
    <row r="43" spans="1:9" ht="15.75" customHeight="1" x14ac:dyDescent="0.2">
      <c r="A43" s="14" t="s">
        <v>45</v>
      </c>
      <c r="B43" s="15">
        <v>50020</v>
      </c>
      <c r="C43" s="15">
        <f>Sep_2025!F43</f>
        <v>-38220460.490000002</v>
      </c>
      <c r="D43" s="14"/>
      <c r="E43" s="20">
        <v>8507511.7599999998</v>
      </c>
      <c r="F43" s="20">
        <f t="shared" si="3"/>
        <v>-46727972.25</v>
      </c>
    </row>
    <row r="44" spans="1:9" ht="15.75" customHeight="1" x14ac:dyDescent="0.2">
      <c r="A44" s="16" t="s">
        <v>46</v>
      </c>
      <c r="B44" s="17">
        <v>50120</v>
      </c>
      <c r="C44" s="17">
        <f>Sep_2025!F44</f>
        <v>-93865815.870000005</v>
      </c>
      <c r="D44" s="16"/>
      <c r="E44" s="19">
        <v>8810565.5099999998</v>
      </c>
      <c r="F44" s="19">
        <f t="shared" si="3"/>
        <v>-102676381.38000001</v>
      </c>
    </row>
    <row r="45" spans="1:9" ht="15.75" customHeight="1" x14ac:dyDescent="0.2">
      <c r="A45" s="14" t="s">
        <v>47</v>
      </c>
      <c r="B45" s="15">
        <v>50220</v>
      </c>
      <c r="C45" s="15">
        <f>Sep_2025!F45</f>
        <v>-185298659.07000002</v>
      </c>
      <c r="D45" s="14"/>
      <c r="E45" s="20">
        <v>23496953.690000001</v>
      </c>
      <c r="F45" s="20">
        <f t="shared" si="3"/>
        <v>-208795612.76000002</v>
      </c>
    </row>
    <row r="46" spans="1:9" ht="15.75" customHeight="1" x14ac:dyDescent="0.2">
      <c r="A46" s="14" t="s">
        <v>66</v>
      </c>
      <c r="B46" s="15">
        <v>50300</v>
      </c>
      <c r="C46" s="23">
        <f>Sep_2025!F46</f>
        <v>0</v>
      </c>
      <c r="D46" s="24">
        <v>0</v>
      </c>
      <c r="E46" s="20">
        <v>0</v>
      </c>
      <c r="F46" s="20">
        <f t="shared" si="3"/>
        <v>0</v>
      </c>
    </row>
    <row r="47" spans="1:9" ht="15.75" customHeight="1" x14ac:dyDescent="0.2">
      <c r="A47" s="14" t="s">
        <v>67</v>
      </c>
      <c r="B47" s="15">
        <v>50320</v>
      </c>
      <c r="C47" s="23">
        <f>Sep_2025!F47</f>
        <v>0</v>
      </c>
      <c r="D47" s="24">
        <v>0</v>
      </c>
      <c r="E47" s="20">
        <v>0</v>
      </c>
      <c r="F47" s="20">
        <f t="shared" si="3"/>
        <v>0</v>
      </c>
    </row>
    <row r="48" spans="1:9" ht="15.75" customHeight="1" x14ac:dyDescent="0.2">
      <c r="A48" s="16" t="s">
        <v>48</v>
      </c>
      <c r="B48" s="17">
        <v>53000</v>
      </c>
      <c r="C48" s="17">
        <f>Sep_2025!F48</f>
        <v>9150000</v>
      </c>
      <c r="D48" s="19">
        <v>2240000</v>
      </c>
      <c r="E48" s="16"/>
      <c r="F48" s="19">
        <f t="shared" si="3"/>
        <v>11390000</v>
      </c>
      <c r="I48" s="5">
        <f>SUM(D44:D49)</f>
        <v>2681000</v>
      </c>
    </row>
    <row r="49" spans="1:6" ht="15.75" customHeight="1" x14ac:dyDescent="0.2">
      <c r="A49" s="14" t="s">
        <v>49</v>
      </c>
      <c r="B49" s="15">
        <v>53100</v>
      </c>
      <c r="C49" s="15">
        <f>Sep_2025!F49</f>
        <v>2308000</v>
      </c>
      <c r="D49" s="20">
        <v>441000</v>
      </c>
      <c r="E49" s="14"/>
      <c r="F49" s="20">
        <f t="shared" si="3"/>
        <v>2749000</v>
      </c>
    </row>
    <row r="50" spans="1:6" ht="15.75" customHeight="1" x14ac:dyDescent="0.2">
      <c r="A50" s="16" t="s">
        <v>50</v>
      </c>
      <c r="B50" s="17">
        <v>53200</v>
      </c>
      <c r="C50" s="17">
        <f>Sep_2025!F50</f>
        <v>759300</v>
      </c>
      <c r="D50" s="19">
        <v>977600</v>
      </c>
      <c r="E50" s="16"/>
      <c r="F50" s="19">
        <f t="shared" si="3"/>
        <v>1736900</v>
      </c>
    </row>
    <row r="51" spans="1:6" ht="15.75" customHeight="1" x14ac:dyDescent="0.2">
      <c r="A51" s="14" t="s">
        <v>51</v>
      </c>
      <c r="B51" s="15">
        <v>53300</v>
      </c>
      <c r="C51" s="15">
        <f>Sep_2025!F51</f>
        <v>10094452</v>
      </c>
      <c r="D51" s="20">
        <v>1491669</v>
      </c>
      <c r="E51" s="14"/>
      <c r="F51" s="20">
        <f t="shared" si="3"/>
        <v>11586121</v>
      </c>
    </row>
    <row r="52" spans="1:6" ht="15.75" customHeight="1" x14ac:dyDescent="0.2">
      <c r="A52" s="16" t="s">
        <v>52</v>
      </c>
      <c r="B52" s="17">
        <v>60000</v>
      </c>
      <c r="C52" s="17">
        <f>Sep_2025!F52</f>
        <v>0</v>
      </c>
      <c r="D52" s="16"/>
      <c r="E52" s="16"/>
      <c r="F52" s="17">
        <f t="shared" si="3"/>
        <v>0</v>
      </c>
    </row>
    <row r="53" spans="1:6" ht="15.75" customHeight="1" x14ac:dyDescent="0.2">
      <c r="A53" s="14" t="s">
        <v>53</v>
      </c>
      <c r="B53" s="15">
        <v>61000</v>
      </c>
      <c r="C53" s="15">
        <f>Sep_2025!F53</f>
        <v>0</v>
      </c>
      <c r="D53" s="14"/>
      <c r="E53" s="14"/>
      <c r="F53" s="15">
        <f t="shared" si="3"/>
        <v>0</v>
      </c>
    </row>
    <row r="54" spans="1:6" ht="15.75" customHeight="1" x14ac:dyDescent="0.2">
      <c r="A54" s="16" t="s">
        <v>54</v>
      </c>
      <c r="B54" s="17">
        <v>62000</v>
      </c>
      <c r="C54" s="17">
        <f>Sep_2025!F54</f>
        <v>0</v>
      </c>
      <c r="D54" s="16"/>
      <c r="E54" s="16"/>
      <c r="F54" s="17">
        <f t="shared" si="3"/>
        <v>0</v>
      </c>
    </row>
    <row r="55" spans="1:6" ht="15.75" customHeight="1" x14ac:dyDescent="0.2">
      <c r="A55" s="14" t="s">
        <v>55</v>
      </c>
      <c r="B55" s="15">
        <v>63000</v>
      </c>
      <c r="C55" s="15">
        <f>Sep_2025!F55</f>
        <v>0</v>
      </c>
      <c r="D55" s="14"/>
      <c r="E55" s="14"/>
      <c r="F55" s="15">
        <f t="shared" si="3"/>
        <v>0</v>
      </c>
    </row>
    <row r="56" spans="1:6" ht="15.75" customHeight="1" x14ac:dyDescent="0.2">
      <c r="A56" s="16" t="s">
        <v>56</v>
      </c>
      <c r="B56" s="17">
        <v>64000</v>
      </c>
      <c r="C56" s="17">
        <f>Sep_2025!F56</f>
        <v>0</v>
      </c>
      <c r="D56" s="16"/>
      <c r="E56" s="16"/>
      <c r="F56" s="17">
        <f t="shared" si="3"/>
        <v>0</v>
      </c>
    </row>
    <row r="57" spans="1:6" ht="15.75" customHeight="1" x14ac:dyDescent="0.2">
      <c r="A57" s="14" t="s">
        <v>57</v>
      </c>
      <c r="B57" s="15">
        <v>65000</v>
      </c>
      <c r="C57" s="15">
        <f>Sep_2025!F57</f>
        <v>2014048</v>
      </c>
      <c r="D57" s="20">
        <v>394898</v>
      </c>
      <c r="E57" s="14"/>
      <c r="F57" s="20">
        <f t="shared" si="3"/>
        <v>2408946</v>
      </c>
    </row>
    <row r="58" spans="1:6" ht="15.75" customHeight="1" x14ac:dyDescent="0.2">
      <c r="A58" s="16" t="s">
        <v>58</v>
      </c>
      <c r="B58" s="17">
        <v>66000</v>
      </c>
      <c r="C58" s="17">
        <f>Sep_2025!F58</f>
        <v>5569352.3399999999</v>
      </c>
      <c r="D58" s="19">
        <v>885817</v>
      </c>
      <c r="E58" s="16"/>
      <c r="F58" s="19">
        <f t="shared" si="3"/>
        <v>6455169.3399999999</v>
      </c>
    </row>
    <row r="59" spans="1:6" ht="15.75" customHeight="1" x14ac:dyDescent="0.2">
      <c r="A59" s="14" t="s">
        <v>59</v>
      </c>
      <c r="B59" s="15">
        <v>67000</v>
      </c>
      <c r="C59" s="15">
        <f>Sep_2025!F59</f>
        <v>3070216.5</v>
      </c>
      <c r="D59" s="14"/>
      <c r="E59" s="14"/>
      <c r="F59" s="15">
        <f t="shared" si="3"/>
        <v>3070216.5</v>
      </c>
    </row>
    <row r="60" spans="1:6" ht="15.75" customHeight="1" x14ac:dyDescent="0.2">
      <c r="A60" s="16" t="s">
        <v>60</v>
      </c>
      <c r="B60" s="17">
        <v>68000</v>
      </c>
      <c r="C60" s="17">
        <f>Sep_2025!F60</f>
        <v>200000</v>
      </c>
      <c r="D60" s="16"/>
      <c r="E60" s="16"/>
      <c r="F60" s="17">
        <f t="shared" si="3"/>
        <v>200000</v>
      </c>
    </row>
    <row r="61" spans="1:6" ht="15.75" customHeight="1" x14ac:dyDescent="0.2">
      <c r="A61" s="14" t="s">
        <v>61</v>
      </c>
      <c r="B61" s="15">
        <v>69000</v>
      </c>
      <c r="C61" s="15">
        <f>Sep_2025!F61</f>
        <v>0</v>
      </c>
      <c r="D61" s="14"/>
      <c r="E61" s="14"/>
      <c r="F61" s="15">
        <f t="shared" si="3"/>
        <v>0</v>
      </c>
    </row>
    <row r="62" spans="1:6" ht="15.75" customHeight="1" x14ac:dyDescent="0.2">
      <c r="A62" s="16" t="s">
        <v>62</v>
      </c>
      <c r="B62" s="17">
        <v>70000</v>
      </c>
      <c r="C62" s="17">
        <f>Sep_2025!F62</f>
        <v>348030</v>
      </c>
      <c r="D62" s="16"/>
      <c r="E62" s="19">
        <v>818728.93</v>
      </c>
      <c r="F62" s="19">
        <f>C62+E62-D62</f>
        <v>1166758.9300000002</v>
      </c>
    </row>
    <row r="63" spans="1:6" ht="15.75" customHeight="1" x14ac:dyDescent="0.2">
      <c r="A63" s="14" t="s">
        <v>63</v>
      </c>
      <c r="B63" s="15">
        <v>80000</v>
      </c>
      <c r="C63" s="15">
        <f>Sep_2025!F63</f>
        <v>0</v>
      </c>
      <c r="D63" s="14"/>
      <c r="E63" s="14"/>
      <c r="F63" s="15">
        <f>C63+D63-E63</f>
        <v>0</v>
      </c>
    </row>
    <row r="64" spans="1:6" ht="15.75" customHeight="1" x14ac:dyDescent="0.2">
      <c r="A64" s="16" t="s">
        <v>64</v>
      </c>
      <c r="B64" s="17">
        <v>81000</v>
      </c>
      <c r="C64" s="17">
        <f>Sep_2025!F64</f>
        <v>0</v>
      </c>
      <c r="D64" s="16"/>
      <c r="E64" s="16"/>
      <c r="F64" s="17">
        <f>C64+D64-E64</f>
        <v>0</v>
      </c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6"/>
      <c r="B265" s="6"/>
    </row>
    <row r="266" spans="1:2" ht="15.75" customHeight="1" x14ac:dyDescent="0.2">
      <c r="A266" s="6"/>
      <c r="B266" s="6"/>
    </row>
    <row r="267" spans="1:2" ht="15.75" customHeight="1" x14ac:dyDescent="0.2">
      <c r="A267" s="6"/>
      <c r="B267" s="6"/>
    </row>
    <row r="268" spans="1:2" ht="15.75" customHeight="1" x14ac:dyDescent="0.2">
      <c r="A268" s="6"/>
      <c r="B268" s="6"/>
    </row>
    <row r="269" spans="1:2" ht="15.75" customHeight="1" x14ac:dyDescent="0.2">
      <c r="A269" s="6"/>
      <c r="B269" s="6"/>
    </row>
    <row r="270" spans="1:2" ht="15.75" customHeight="1" x14ac:dyDescent="0.2">
      <c r="A270" s="6"/>
      <c r="B270" s="6"/>
    </row>
    <row r="271" spans="1:2" ht="15.75" customHeight="1" x14ac:dyDescent="0.2">
      <c r="A271" s="6"/>
      <c r="B271" s="6"/>
    </row>
    <row r="272" spans="1:2" ht="15.75" customHeight="1" x14ac:dyDescent="0.2">
      <c r="A272" s="6"/>
      <c r="B272" s="6"/>
    </row>
    <row r="273" spans="1:2" ht="15.75" customHeight="1" x14ac:dyDescent="0.2">
      <c r="A273" s="6"/>
      <c r="B273" s="6"/>
    </row>
    <row r="274" spans="1:2" ht="15.75" customHeight="1" x14ac:dyDescent="0.2">
      <c r="A274" s="6"/>
      <c r="B274" s="6"/>
    </row>
    <row r="275" spans="1:2" ht="15.75" customHeight="1" x14ac:dyDescent="0.2">
      <c r="A275" s="6"/>
      <c r="B275" s="6"/>
    </row>
    <row r="276" spans="1:2" ht="15.75" customHeight="1" x14ac:dyDescent="0.2">
      <c r="A276" s="6"/>
      <c r="B276" s="6"/>
    </row>
    <row r="277" spans="1:2" ht="15.75" customHeight="1" x14ac:dyDescent="0.2">
      <c r="A277" s="6"/>
      <c r="B277" s="6"/>
    </row>
    <row r="278" spans="1:2" ht="15.75" customHeight="1" x14ac:dyDescent="0.2">
      <c r="A278" s="6"/>
      <c r="B278" s="6"/>
    </row>
    <row r="279" spans="1:2" ht="15.75" customHeight="1" x14ac:dyDescent="0.2">
      <c r="A279" s="6"/>
      <c r="B279" s="6"/>
    </row>
    <row r="280" spans="1:2" ht="15.75" customHeight="1" x14ac:dyDescent="0.2">
      <c r="A280" s="6"/>
      <c r="B280" s="6"/>
    </row>
    <row r="281" spans="1:2" ht="15.75" customHeight="1" x14ac:dyDescent="0.2">
      <c r="A281" s="6"/>
      <c r="B281" s="6"/>
    </row>
    <row r="282" spans="1:2" ht="15.75" customHeight="1" x14ac:dyDescent="0.2">
      <c r="A282" s="6"/>
      <c r="B282" s="6"/>
    </row>
    <row r="283" spans="1:2" ht="15.75" customHeight="1" x14ac:dyDescent="0.2">
      <c r="A283" s="6"/>
      <c r="B283" s="6"/>
    </row>
    <row r="284" spans="1:2" ht="15.75" customHeight="1" x14ac:dyDescent="0.2">
      <c r="A284" s="6"/>
      <c r="B284" s="6"/>
    </row>
    <row r="285" spans="1:2" ht="15.75" customHeight="1" x14ac:dyDescent="0.2">
      <c r="A285" s="6"/>
      <c r="B285" s="6"/>
    </row>
    <row r="286" spans="1:2" ht="15.75" customHeight="1" x14ac:dyDescent="0.2">
      <c r="A286" s="6"/>
      <c r="B286" s="6"/>
    </row>
    <row r="287" spans="1:2" ht="15.75" customHeight="1" x14ac:dyDescent="0.2">
      <c r="A287" s="6"/>
      <c r="B287" s="6"/>
    </row>
    <row r="288" spans="1:2" ht="15.75" customHeight="1" x14ac:dyDescent="0.2">
      <c r="A288" s="6"/>
      <c r="B288" s="6"/>
    </row>
    <row r="289" spans="1:2" ht="15.75" customHeight="1" x14ac:dyDescent="0.2">
      <c r="A289" s="6"/>
      <c r="B289" s="6"/>
    </row>
    <row r="290" spans="1:2" ht="15.75" customHeight="1" x14ac:dyDescent="0.2">
      <c r="A290" s="6"/>
      <c r="B290" s="6"/>
    </row>
    <row r="291" spans="1:2" ht="15.75" customHeight="1" x14ac:dyDescent="0.2">
      <c r="A291" s="6"/>
      <c r="B291" s="6"/>
    </row>
    <row r="292" spans="1:2" ht="15.75" customHeight="1" x14ac:dyDescent="0.2">
      <c r="A292" s="6"/>
      <c r="B292" s="6"/>
    </row>
    <row r="293" spans="1:2" ht="15.75" customHeight="1" x14ac:dyDescent="0.2">
      <c r="A293" s="6"/>
      <c r="B293" s="6"/>
    </row>
    <row r="294" spans="1:2" ht="15.75" customHeight="1" x14ac:dyDescent="0.2">
      <c r="A294" s="6"/>
      <c r="B294" s="6"/>
    </row>
    <row r="295" spans="1:2" ht="15.75" customHeight="1" x14ac:dyDescent="0.2">
      <c r="A295" s="6"/>
      <c r="B295" s="6"/>
    </row>
    <row r="296" spans="1:2" ht="15.75" customHeight="1" x14ac:dyDescent="0.2">
      <c r="A296" s="6"/>
      <c r="B296" s="6"/>
    </row>
    <row r="297" spans="1:2" ht="15.75" customHeight="1" x14ac:dyDescent="0.2">
      <c r="A297" s="6"/>
      <c r="B297" s="6"/>
    </row>
    <row r="298" spans="1:2" ht="15.75" customHeight="1" x14ac:dyDescent="0.2">
      <c r="A298" s="6"/>
      <c r="B298" s="6"/>
    </row>
    <row r="299" spans="1:2" ht="15.75" customHeight="1" x14ac:dyDescent="0.2">
      <c r="A299" s="6"/>
      <c r="B299" s="6"/>
    </row>
    <row r="300" spans="1:2" ht="15.75" customHeight="1" x14ac:dyDescent="0.2">
      <c r="A300" s="6"/>
      <c r="B300" s="6"/>
    </row>
    <row r="301" spans="1:2" ht="15.75" customHeight="1" x14ac:dyDescent="0.2">
      <c r="A301" s="6"/>
      <c r="B301" s="6"/>
    </row>
    <row r="302" spans="1:2" ht="15.75" customHeight="1" x14ac:dyDescent="0.2">
      <c r="A302" s="6"/>
      <c r="B302" s="6"/>
    </row>
    <row r="303" spans="1:2" ht="15.75" customHeight="1" x14ac:dyDescent="0.2">
      <c r="A303" s="6"/>
      <c r="B303" s="6"/>
    </row>
    <row r="304" spans="1:2" ht="15.75" customHeight="1" x14ac:dyDescent="0.2">
      <c r="A304" s="6"/>
      <c r="B304" s="6"/>
    </row>
    <row r="305" spans="1:2" ht="15.75" customHeight="1" x14ac:dyDescent="0.2">
      <c r="A305" s="6"/>
      <c r="B305" s="6"/>
    </row>
    <row r="306" spans="1:2" ht="15.75" customHeight="1" x14ac:dyDescent="0.2">
      <c r="A306" s="6"/>
      <c r="B306" s="6"/>
    </row>
    <row r="307" spans="1:2" ht="15.75" customHeight="1" x14ac:dyDescent="0.2">
      <c r="A307" s="6"/>
      <c r="B307" s="6"/>
    </row>
    <row r="308" spans="1:2" ht="15.75" customHeight="1" x14ac:dyDescent="0.2">
      <c r="A308" s="6"/>
      <c r="B308" s="6"/>
    </row>
    <row r="309" spans="1:2" ht="15.75" customHeight="1" x14ac:dyDescent="0.2">
      <c r="A309" s="6"/>
      <c r="B309" s="6"/>
    </row>
    <row r="310" spans="1:2" ht="15.75" customHeight="1" x14ac:dyDescent="0.2">
      <c r="A310" s="6"/>
      <c r="B310" s="6"/>
    </row>
    <row r="311" spans="1:2" ht="15.75" customHeight="1" x14ac:dyDescent="0.2">
      <c r="A311" s="6"/>
      <c r="B311" s="6"/>
    </row>
    <row r="312" spans="1:2" ht="15.75" customHeight="1" x14ac:dyDescent="0.2">
      <c r="A312" s="6"/>
      <c r="B312" s="6"/>
    </row>
    <row r="313" spans="1:2" ht="15.75" customHeight="1" x14ac:dyDescent="0.2">
      <c r="A313" s="6"/>
      <c r="B313" s="6"/>
    </row>
    <row r="314" spans="1:2" ht="15.75" customHeight="1" x14ac:dyDescent="0.2">
      <c r="A314" s="6"/>
      <c r="B314" s="6"/>
    </row>
    <row r="315" spans="1:2" ht="15.75" customHeight="1" x14ac:dyDescent="0.2">
      <c r="A315" s="6"/>
      <c r="B315" s="6"/>
    </row>
    <row r="316" spans="1:2" ht="15.75" customHeight="1" x14ac:dyDescent="0.2">
      <c r="A316" s="6"/>
      <c r="B316" s="6"/>
    </row>
    <row r="317" spans="1:2" ht="15.75" customHeight="1" x14ac:dyDescent="0.2">
      <c r="A317" s="6"/>
      <c r="B317" s="6"/>
    </row>
    <row r="318" spans="1:2" ht="15.75" customHeight="1" x14ac:dyDescent="0.2">
      <c r="A318" s="6"/>
      <c r="B318" s="6"/>
    </row>
    <row r="319" spans="1:2" ht="15.75" customHeight="1" x14ac:dyDescent="0.2">
      <c r="A319" s="6"/>
      <c r="B319" s="6"/>
    </row>
    <row r="320" spans="1:2" ht="15.75" customHeight="1" x14ac:dyDescent="0.2">
      <c r="A320" s="6"/>
      <c r="B320" s="6"/>
    </row>
    <row r="321" spans="1:2" ht="15.75" customHeight="1" x14ac:dyDescent="0.2">
      <c r="A321" s="6"/>
      <c r="B321" s="6"/>
    </row>
    <row r="322" spans="1:2" ht="15.75" customHeight="1" x14ac:dyDescent="0.2">
      <c r="A322" s="6"/>
      <c r="B322" s="6"/>
    </row>
    <row r="323" spans="1:2" ht="15.75" customHeight="1" x14ac:dyDescent="0.2">
      <c r="A323" s="6"/>
      <c r="B323" s="6"/>
    </row>
    <row r="324" spans="1:2" ht="15.75" customHeight="1" x14ac:dyDescent="0.2">
      <c r="A324" s="6"/>
      <c r="B324" s="6"/>
    </row>
    <row r="325" spans="1:2" ht="15.75" customHeight="1" x14ac:dyDescent="0.2">
      <c r="A325" s="6"/>
      <c r="B325" s="6"/>
    </row>
    <row r="326" spans="1:2" ht="15.75" customHeight="1" x14ac:dyDescent="0.2">
      <c r="A326" s="6"/>
      <c r="B326" s="6"/>
    </row>
    <row r="327" spans="1:2" ht="15.75" customHeight="1" x14ac:dyDescent="0.2">
      <c r="A327" s="6"/>
      <c r="B327" s="6"/>
    </row>
    <row r="328" spans="1:2" ht="15.75" customHeight="1" x14ac:dyDescent="0.2">
      <c r="A328" s="6"/>
      <c r="B328" s="6"/>
    </row>
    <row r="329" spans="1:2" ht="15.75" customHeight="1" x14ac:dyDescent="0.2">
      <c r="A329" s="6"/>
      <c r="B329" s="6"/>
    </row>
    <row r="330" spans="1:2" ht="15.75" customHeight="1" x14ac:dyDescent="0.2">
      <c r="A330" s="6"/>
      <c r="B330" s="6"/>
    </row>
    <row r="331" spans="1:2" ht="15.75" customHeight="1" x14ac:dyDescent="0.2">
      <c r="A331" s="6"/>
      <c r="B331" s="6"/>
    </row>
    <row r="332" spans="1:2" ht="15.75" customHeight="1" x14ac:dyDescent="0.2">
      <c r="A332" s="6"/>
      <c r="B332" s="6"/>
    </row>
    <row r="333" spans="1:2" ht="15.75" customHeight="1" x14ac:dyDescent="0.2">
      <c r="A333" s="6"/>
      <c r="B333" s="6"/>
    </row>
    <row r="334" spans="1:2" ht="15.75" customHeight="1" x14ac:dyDescent="0.2">
      <c r="A334" s="6"/>
      <c r="B334" s="6"/>
    </row>
    <row r="335" spans="1:2" ht="15.75" customHeight="1" x14ac:dyDescent="0.2">
      <c r="A335" s="6"/>
      <c r="B335" s="6"/>
    </row>
    <row r="336" spans="1:2" ht="15.75" customHeight="1" x14ac:dyDescent="0.2">
      <c r="A336" s="6"/>
      <c r="B336" s="6"/>
    </row>
    <row r="337" spans="1:2" ht="15.75" customHeight="1" x14ac:dyDescent="0.2">
      <c r="A337" s="6"/>
      <c r="B337" s="6"/>
    </row>
    <row r="338" spans="1:2" ht="15.75" customHeight="1" x14ac:dyDescent="0.2">
      <c r="A338" s="6"/>
      <c r="B338" s="6"/>
    </row>
    <row r="339" spans="1:2" ht="15.75" customHeight="1" x14ac:dyDescent="0.2">
      <c r="A339" s="6"/>
      <c r="B339" s="6"/>
    </row>
    <row r="340" spans="1:2" ht="15.75" customHeight="1" x14ac:dyDescent="0.2">
      <c r="A340" s="6"/>
      <c r="B340" s="6"/>
    </row>
    <row r="341" spans="1:2" ht="15.75" customHeight="1" x14ac:dyDescent="0.2">
      <c r="A341" s="6"/>
      <c r="B341" s="6"/>
    </row>
    <row r="342" spans="1:2" ht="15.75" customHeight="1" x14ac:dyDescent="0.2">
      <c r="A342" s="6"/>
      <c r="B342" s="6"/>
    </row>
    <row r="343" spans="1:2" ht="15.75" customHeight="1" x14ac:dyDescent="0.2">
      <c r="A343" s="6"/>
      <c r="B343" s="6"/>
    </row>
    <row r="344" spans="1:2" ht="15.75" customHeight="1" x14ac:dyDescent="0.2">
      <c r="A344" s="6"/>
      <c r="B344" s="6"/>
    </row>
    <row r="345" spans="1:2" ht="15.75" customHeight="1" x14ac:dyDescent="0.2">
      <c r="A345" s="6"/>
      <c r="B345" s="6"/>
    </row>
    <row r="346" spans="1:2" ht="15.75" customHeight="1" x14ac:dyDescent="0.2">
      <c r="A346" s="6"/>
      <c r="B346" s="6"/>
    </row>
    <row r="347" spans="1:2" ht="15.75" customHeight="1" x14ac:dyDescent="0.2">
      <c r="A347" s="6"/>
      <c r="B347" s="6"/>
    </row>
    <row r="348" spans="1:2" ht="15.75" customHeight="1" x14ac:dyDescent="0.2">
      <c r="A348" s="6"/>
      <c r="B348" s="6"/>
    </row>
    <row r="349" spans="1:2" ht="15.75" customHeight="1" x14ac:dyDescent="0.2">
      <c r="A349" s="6"/>
      <c r="B349" s="6"/>
    </row>
    <row r="350" spans="1:2" ht="15.75" customHeight="1" x14ac:dyDescent="0.2">
      <c r="A350" s="6"/>
      <c r="B350" s="6"/>
    </row>
    <row r="351" spans="1:2" ht="15.75" customHeight="1" x14ac:dyDescent="0.2">
      <c r="A351" s="6"/>
      <c r="B351" s="6"/>
    </row>
    <row r="352" spans="1:2" ht="15.75" customHeight="1" x14ac:dyDescent="0.2">
      <c r="A352" s="6"/>
      <c r="B352" s="6"/>
    </row>
    <row r="353" spans="1:2" ht="15.75" customHeight="1" x14ac:dyDescent="0.2">
      <c r="A353" s="6"/>
      <c r="B353" s="6"/>
    </row>
    <row r="354" spans="1:2" ht="15.75" customHeight="1" x14ac:dyDescent="0.2">
      <c r="A354" s="6"/>
      <c r="B354" s="6"/>
    </row>
    <row r="355" spans="1:2" ht="15.75" customHeight="1" x14ac:dyDescent="0.2">
      <c r="A355" s="6"/>
      <c r="B355" s="6"/>
    </row>
    <row r="356" spans="1:2" ht="15.75" customHeight="1" x14ac:dyDescent="0.2">
      <c r="A356" s="6"/>
      <c r="B356" s="6"/>
    </row>
    <row r="357" spans="1:2" ht="15.75" customHeight="1" x14ac:dyDescent="0.2">
      <c r="A357" s="6"/>
      <c r="B357" s="6"/>
    </row>
    <row r="358" spans="1:2" ht="15.75" customHeight="1" x14ac:dyDescent="0.2">
      <c r="A358" s="6"/>
      <c r="B358" s="6"/>
    </row>
    <row r="359" spans="1:2" ht="15.75" customHeight="1" x14ac:dyDescent="0.2">
      <c r="A359" s="6"/>
      <c r="B359" s="6"/>
    </row>
    <row r="360" spans="1:2" ht="15.75" customHeight="1" x14ac:dyDescent="0.2">
      <c r="A360" s="6"/>
      <c r="B360" s="6"/>
    </row>
    <row r="361" spans="1:2" ht="15.75" customHeight="1" x14ac:dyDescent="0.2">
      <c r="A361" s="6"/>
      <c r="B361" s="6"/>
    </row>
    <row r="362" spans="1:2" ht="15.75" customHeight="1" x14ac:dyDescent="0.2">
      <c r="A362" s="6"/>
      <c r="B362" s="6"/>
    </row>
    <row r="363" spans="1:2" ht="15.75" customHeight="1" x14ac:dyDescent="0.2">
      <c r="A363" s="6"/>
      <c r="B363" s="6"/>
    </row>
    <row r="364" spans="1:2" ht="15.75" customHeight="1" x14ac:dyDescent="0.2">
      <c r="A364" s="6"/>
      <c r="B364" s="6"/>
    </row>
    <row r="365" spans="1:2" ht="15.75" customHeight="1" x14ac:dyDescent="0.2">
      <c r="A365" s="6"/>
      <c r="B365" s="6"/>
    </row>
    <row r="366" spans="1:2" ht="15.75" customHeight="1" x14ac:dyDescent="0.2">
      <c r="A366" s="6"/>
      <c r="B366" s="6"/>
    </row>
    <row r="367" spans="1:2" ht="15.75" customHeight="1" x14ac:dyDescent="0.2">
      <c r="A367" s="6"/>
      <c r="B367" s="6"/>
    </row>
    <row r="368" spans="1:2" ht="15.75" customHeight="1" x14ac:dyDescent="0.2">
      <c r="A368" s="6"/>
      <c r="B368" s="6"/>
    </row>
    <row r="369" spans="1:2" ht="15.75" customHeight="1" x14ac:dyDescent="0.2">
      <c r="A369" s="6"/>
      <c r="B369" s="6"/>
    </row>
    <row r="370" spans="1:2" ht="15.75" customHeight="1" x14ac:dyDescent="0.2">
      <c r="A370" s="6"/>
      <c r="B370" s="6"/>
    </row>
    <row r="371" spans="1:2" ht="15.75" customHeight="1" x14ac:dyDescent="0.2">
      <c r="A371" s="6"/>
      <c r="B371" s="6"/>
    </row>
    <row r="372" spans="1:2" ht="15.75" customHeight="1" x14ac:dyDescent="0.2">
      <c r="A372" s="6"/>
      <c r="B372" s="6"/>
    </row>
    <row r="373" spans="1:2" ht="15.75" customHeight="1" x14ac:dyDescent="0.2">
      <c r="A373" s="6"/>
      <c r="B373" s="6"/>
    </row>
    <row r="374" spans="1:2" ht="15.75" customHeight="1" x14ac:dyDescent="0.2">
      <c r="A374" s="6"/>
      <c r="B374" s="6"/>
    </row>
    <row r="375" spans="1:2" ht="15.75" customHeight="1" x14ac:dyDescent="0.2">
      <c r="A375" s="6"/>
      <c r="B375" s="6"/>
    </row>
    <row r="376" spans="1:2" ht="15.75" customHeight="1" x14ac:dyDescent="0.2">
      <c r="A376" s="6"/>
      <c r="B376" s="6"/>
    </row>
    <row r="377" spans="1:2" ht="15.75" customHeight="1" x14ac:dyDescent="0.2">
      <c r="A377" s="6"/>
      <c r="B377" s="6"/>
    </row>
    <row r="378" spans="1:2" ht="15.75" customHeight="1" x14ac:dyDescent="0.2">
      <c r="A378" s="6"/>
      <c r="B378" s="6"/>
    </row>
    <row r="379" spans="1:2" ht="15.75" customHeight="1" x14ac:dyDescent="0.2">
      <c r="A379" s="6"/>
      <c r="B379" s="6"/>
    </row>
    <row r="380" spans="1:2" ht="15.75" customHeight="1" x14ac:dyDescent="0.2">
      <c r="A380" s="6"/>
      <c r="B380" s="6"/>
    </row>
    <row r="381" spans="1:2" ht="15.75" customHeight="1" x14ac:dyDescent="0.2">
      <c r="A381" s="6"/>
      <c r="B381" s="6"/>
    </row>
    <row r="382" spans="1:2" ht="15.75" customHeight="1" x14ac:dyDescent="0.2">
      <c r="A382" s="6"/>
      <c r="B382" s="6"/>
    </row>
    <row r="383" spans="1:2" ht="15.75" customHeight="1" x14ac:dyDescent="0.2">
      <c r="A383" s="6"/>
      <c r="B383" s="6"/>
    </row>
    <row r="384" spans="1:2" ht="15.75" customHeight="1" x14ac:dyDescent="0.2">
      <c r="A384" s="6"/>
      <c r="B384" s="6"/>
    </row>
    <row r="385" spans="1:2" ht="15.75" customHeight="1" x14ac:dyDescent="0.2">
      <c r="A385" s="6"/>
      <c r="B385" s="6"/>
    </row>
    <row r="386" spans="1:2" ht="15.75" customHeight="1" x14ac:dyDescent="0.2">
      <c r="A386" s="6"/>
      <c r="B386" s="6"/>
    </row>
    <row r="387" spans="1:2" ht="15.75" customHeight="1" x14ac:dyDescent="0.2">
      <c r="A387" s="6"/>
      <c r="B387" s="6"/>
    </row>
    <row r="388" spans="1:2" ht="15.75" customHeight="1" x14ac:dyDescent="0.2">
      <c r="A388" s="6"/>
      <c r="B388" s="6"/>
    </row>
    <row r="389" spans="1:2" ht="15.75" customHeight="1" x14ac:dyDescent="0.2">
      <c r="A389" s="6"/>
      <c r="B389" s="6"/>
    </row>
    <row r="390" spans="1:2" ht="15.75" customHeight="1" x14ac:dyDescent="0.2">
      <c r="A390" s="6"/>
      <c r="B390" s="6"/>
    </row>
    <row r="391" spans="1:2" ht="15.75" customHeight="1" x14ac:dyDescent="0.2">
      <c r="A391" s="6"/>
      <c r="B391" s="6"/>
    </row>
    <row r="392" spans="1:2" ht="15.75" customHeight="1" x14ac:dyDescent="0.2">
      <c r="A392" s="6"/>
      <c r="B392" s="6"/>
    </row>
    <row r="393" spans="1:2" ht="15.75" customHeight="1" x14ac:dyDescent="0.2">
      <c r="A393" s="6"/>
      <c r="B393" s="6"/>
    </row>
    <row r="394" spans="1:2" ht="15.75" customHeight="1" x14ac:dyDescent="0.2">
      <c r="A394" s="6"/>
      <c r="B394" s="6"/>
    </row>
    <row r="395" spans="1:2" ht="15.75" customHeight="1" x14ac:dyDescent="0.2">
      <c r="A395" s="6"/>
      <c r="B395" s="6"/>
    </row>
    <row r="396" spans="1:2" ht="15.75" customHeight="1" x14ac:dyDescent="0.2">
      <c r="A396" s="6"/>
      <c r="B396" s="6"/>
    </row>
    <row r="397" spans="1:2" ht="15.75" customHeight="1" x14ac:dyDescent="0.2">
      <c r="A397" s="6"/>
      <c r="B397" s="6"/>
    </row>
    <row r="398" spans="1:2" ht="15.75" customHeight="1" x14ac:dyDescent="0.2">
      <c r="A398" s="6"/>
      <c r="B398" s="6"/>
    </row>
    <row r="399" spans="1:2" ht="15.75" customHeight="1" x14ac:dyDescent="0.2">
      <c r="A399" s="6"/>
      <c r="B399" s="6"/>
    </row>
    <row r="400" spans="1:2" ht="15.75" customHeight="1" x14ac:dyDescent="0.2">
      <c r="A400" s="6"/>
      <c r="B400" s="6"/>
    </row>
    <row r="401" spans="1:2" ht="15.75" customHeight="1" x14ac:dyDescent="0.2">
      <c r="A401" s="6"/>
      <c r="B401" s="6"/>
    </row>
    <row r="402" spans="1:2" ht="15.75" customHeight="1" x14ac:dyDescent="0.2">
      <c r="A402" s="6"/>
      <c r="B402" s="6"/>
    </row>
    <row r="403" spans="1:2" ht="15.75" customHeight="1" x14ac:dyDescent="0.2">
      <c r="A403" s="6"/>
      <c r="B403" s="6"/>
    </row>
    <row r="404" spans="1:2" ht="15.75" customHeight="1" x14ac:dyDescent="0.2">
      <c r="A404" s="6"/>
      <c r="B404" s="6"/>
    </row>
    <row r="405" spans="1:2" ht="15.75" customHeight="1" x14ac:dyDescent="0.2">
      <c r="A405" s="6"/>
      <c r="B405" s="6"/>
    </row>
    <row r="406" spans="1:2" ht="15.75" customHeight="1" x14ac:dyDescent="0.2">
      <c r="A406" s="6"/>
      <c r="B406" s="6"/>
    </row>
    <row r="407" spans="1:2" ht="15.75" customHeight="1" x14ac:dyDescent="0.2">
      <c r="A407" s="6"/>
      <c r="B407" s="6"/>
    </row>
    <row r="408" spans="1:2" ht="15.75" customHeight="1" x14ac:dyDescent="0.2">
      <c r="A408" s="6"/>
      <c r="B408" s="6"/>
    </row>
    <row r="409" spans="1:2" ht="15.75" customHeight="1" x14ac:dyDescent="0.2">
      <c r="A409" s="6"/>
      <c r="B409" s="6"/>
    </row>
    <row r="410" spans="1:2" ht="15.75" customHeight="1" x14ac:dyDescent="0.2">
      <c r="A410" s="6"/>
      <c r="B410" s="6"/>
    </row>
    <row r="411" spans="1:2" ht="15.75" customHeight="1" x14ac:dyDescent="0.2">
      <c r="A411" s="6"/>
      <c r="B411" s="6"/>
    </row>
    <row r="412" spans="1:2" ht="15.75" customHeight="1" x14ac:dyDescent="0.2">
      <c r="A412" s="6"/>
      <c r="B412" s="6"/>
    </row>
    <row r="413" spans="1:2" ht="15.75" customHeight="1" x14ac:dyDescent="0.2">
      <c r="A413" s="6"/>
      <c r="B413" s="6"/>
    </row>
    <row r="414" spans="1:2" ht="15.75" customHeight="1" x14ac:dyDescent="0.2">
      <c r="A414" s="6"/>
      <c r="B414" s="6"/>
    </row>
    <row r="415" spans="1:2" ht="15.75" customHeight="1" x14ac:dyDescent="0.2">
      <c r="A415" s="6"/>
      <c r="B415" s="6"/>
    </row>
    <row r="416" spans="1:2" ht="15.75" customHeight="1" x14ac:dyDescent="0.2">
      <c r="A416" s="6"/>
      <c r="B416" s="6"/>
    </row>
    <row r="417" spans="1:2" ht="15.75" customHeight="1" x14ac:dyDescent="0.2">
      <c r="A417" s="6"/>
      <c r="B417" s="6"/>
    </row>
    <row r="418" spans="1:2" ht="15.75" customHeight="1" x14ac:dyDescent="0.2">
      <c r="A418" s="6"/>
      <c r="B418" s="6"/>
    </row>
    <row r="419" spans="1:2" ht="15.75" customHeight="1" x14ac:dyDescent="0.2">
      <c r="A419" s="6"/>
      <c r="B419" s="6"/>
    </row>
    <row r="420" spans="1:2" ht="15.75" customHeight="1" x14ac:dyDescent="0.2">
      <c r="A420" s="6"/>
      <c r="B420" s="6"/>
    </row>
    <row r="421" spans="1:2" ht="15.75" customHeight="1" x14ac:dyDescent="0.2">
      <c r="A421" s="6"/>
      <c r="B421" s="6"/>
    </row>
    <row r="422" spans="1:2" ht="15.75" customHeight="1" x14ac:dyDescent="0.2">
      <c r="A422" s="6"/>
      <c r="B422" s="6"/>
    </row>
    <row r="423" spans="1:2" ht="15.75" customHeight="1" x14ac:dyDescent="0.2">
      <c r="A423" s="6"/>
      <c r="B423" s="6"/>
    </row>
    <row r="424" spans="1:2" ht="15.75" customHeight="1" x14ac:dyDescent="0.2">
      <c r="A424" s="6"/>
      <c r="B424" s="6"/>
    </row>
    <row r="425" spans="1:2" ht="15.75" customHeight="1" x14ac:dyDescent="0.2">
      <c r="A425" s="6"/>
      <c r="B425" s="6"/>
    </row>
    <row r="426" spans="1:2" ht="15.75" customHeight="1" x14ac:dyDescent="0.2">
      <c r="A426" s="6"/>
      <c r="B426" s="6"/>
    </row>
    <row r="427" spans="1:2" ht="15.75" customHeight="1" x14ac:dyDescent="0.2">
      <c r="A427" s="6"/>
      <c r="B427" s="6"/>
    </row>
    <row r="428" spans="1:2" ht="15.75" customHeight="1" x14ac:dyDescent="0.2">
      <c r="A428" s="6"/>
      <c r="B428" s="6"/>
    </row>
    <row r="429" spans="1:2" ht="15.75" customHeight="1" x14ac:dyDescent="0.2">
      <c r="A429" s="6"/>
      <c r="B429" s="6"/>
    </row>
    <row r="430" spans="1:2" ht="15.75" customHeight="1" x14ac:dyDescent="0.2">
      <c r="A430" s="6"/>
      <c r="B430" s="6"/>
    </row>
    <row r="431" spans="1:2" ht="15.75" customHeight="1" x14ac:dyDescent="0.2">
      <c r="A431" s="6"/>
      <c r="B431" s="6"/>
    </row>
    <row r="432" spans="1:2" ht="15.75" customHeight="1" x14ac:dyDescent="0.2">
      <c r="A432" s="6"/>
      <c r="B432" s="6"/>
    </row>
    <row r="433" spans="1:2" ht="15.75" customHeight="1" x14ac:dyDescent="0.2">
      <c r="A433" s="6"/>
      <c r="B433" s="6"/>
    </row>
    <row r="434" spans="1:2" ht="15.75" customHeight="1" x14ac:dyDescent="0.2">
      <c r="A434" s="6"/>
      <c r="B434" s="6"/>
    </row>
    <row r="435" spans="1:2" ht="15.75" customHeight="1" x14ac:dyDescent="0.2">
      <c r="A435" s="6"/>
      <c r="B435" s="6"/>
    </row>
    <row r="436" spans="1:2" ht="15.75" customHeight="1" x14ac:dyDescent="0.2">
      <c r="A436" s="6"/>
      <c r="B436" s="6"/>
    </row>
    <row r="437" spans="1:2" ht="15.75" customHeight="1" x14ac:dyDescent="0.2">
      <c r="A437" s="6"/>
      <c r="B437" s="6"/>
    </row>
    <row r="438" spans="1:2" ht="15.75" customHeight="1" x14ac:dyDescent="0.2">
      <c r="A438" s="6"/>
      <c r="B438" s="6"/>
    </row>
    <row r="439" spans="1:2" ht="15.75" customHeight="1" x14ac:dyDescent="0.2">
      <c r="A439" s="6"/>
      <c r="B439" s="6"/>
    </row>
    <row r="440" spans="1:2" ht="15.75" customHeight="1" x14ac:dyDescent="0.2">
      <c r="A440" s="6"/>
      <c r="B440" s="6"/>
    </row>
    <row r="441" spans="1:2" ht="15.75" customHeight="1" x14ac:dyDescent="0.2">
      <c r="A441" s="6"/>
      <c r="B441" s="6"/>
    </row>
    <row r="442" spans="1:2" ht="15.75" customHeight="1" x14ac:dyDescent="0.2">
      <c r="A442" s="6"/>
      <c r="B442" s="6"/>
    </row>
    <row r="443" spans="1:2" ht="15.75" customHeight="1" x14ac:dyDescent="0.2">
      <c r="A443" s="6"/>
      <c r="B443" s="6"/>
    </row>
    <row r="444" spans="1:2" ht="15.75" customHeight="1" x14ac:dyDescent="0.2">
      <c r="A444" s="6"/>
      <c r="B444" s="6"/>
    </row>
    <row r="445" spans="1:2" ht="15.75" customHeight="1" x14ac:dyDescent="0.2">
      <c r="A445" s="6"/>
      <c r="B445" s="6"/>
    </row>
    <row r="446" spans="1:2" ht="15.75" customHeight="1" x14ac:dyDescent="0.2">
      <c r="A446" s="6"/>
      <c r="B446" s="6"/>
    </row>
    <row r="447" spans="1:2" ht="15.75" customHeight="1" x14ac:dyDescent="0.2">
      <c r="A447" s="6"/>
      <c r="B447" s="6"/>
    </row>
    <row r="448" spans="1:2" ht="15.75" customHeight="1" x14ac:dyDescent="0.2">
      <c r="A448" s="6"/>
      <c r="B448" s="6"/>
    </row>
    <row r="449" spans="1:2" ht="15.75" customHeight="1" x14ac:dyDescent="0.2">
      <c r="A449" s="6"/>
      <c r="B449" s="6"/>
    </row>
    <row r="450" spans="1:2" ht="15.75" customHeight="1" x14ac:dyDescent="0.2">
      <c r="A450" s="6"/>
      <c r="B450" s="6"/>
    </row>
    <row r="451" spans="1:2" ht="15.75" customHeight="1" x14ac:dyDescent="0.2">
      <c r="A451" s="6"/>
      <c r="B451" s="6"/>
    </row>
    <row r="452" spans="1:2" ht="15.75" customHeight="1" x14ac:dyDescent="0.2">
      <c r="A452" s="6"/>
      <c r="B452" s="6"/>
    </row>
    <row r="453" spans="1:2" ht="15.75" customHeight="1" x14ac:dyDescent="0.2">
      <c r="A453" s="6"/>
      <c r="B453" s="6"/>
    </row>
    <row r="454" spans="1:2" ht="15.75" customHeight="1" x14ac:dyDescent="0.2">
      <c r="A454" s="6"/>
      <c r="B454" s="6"/>
    </row>
    <row r="455" spans="1:2" ht="15.75" customHeight="1" x14ac:dyDescent="0.2">
      <c r="A455" s="6"/>
      <c r="B455" s="6"/>
    </row>
    <row r="456" spans="1:2" ht="15.75" customHeight="1" x14ac:dyDescent="0.2">
      <c r="A456" s="6"/>
      <c r="B456" s="6"/>
    </row>
    <row r="457" spans="1:2" ht="15.75" customHeight="1" x14ac:dyDescent="0.2">
      <c r="A457" s="6"/>
      <c r="B457" s="6"/>
    </row>
    <row r="458" spans="1:2" ht="15.75" customHeight="1" x14ac:dyDescent="0.2">
      <c r="A458" s="6"/>
      <c r="B458" s="6"/>
    </row>
    <row r="459" spans="1:2" ht="15.75" customHeight="1" x14ac:dyDescent="0.2">
      <c r="A459" s="6"/>
      <c r="B459" s="6"/>
    </row>
    <row r="460" spans="1:2" ht="15.75" customHeight="1" x14ac:dyDescent="0.2">
      <c r="A460" s="6"/>
      <c r="B460" s="6"/>
    </row>
    <row r="461" spans="1:2" ht="15.75" customHeight="1" x14ac:dyDescent="0.2">
      <c r="A461" s="6"/>
      <c r="B461" s="6"/>
    </row>
    <row r="462" spans="1:2" ht="15.75" customHeight="1" x14ac:dyDescent="0.2">
      <c r="A462" s="6"/>
      <c r="B462" s="6"/>
    </row>
    <row r="463" spans="1:2" ht="15.75" customHeight="1" x14ac:dyDescent="0.2">
      <c r="A463" s="6"/>
      <c r="B463" s="6"/>
    </row>
    <row r="464" spans="1:2" ht="15.75" customHeight="1" x14ac:dyDescent="0.2">
      <c r="A464" s="6"/>
      <c r="B464" s="6"/>
    </row>
    <row r="465" spans="1:2" ht="15.75" customHeight="1" x14ac:dyDescent="0.2">
      <c r="A465" s="6"/>
      <c r="B465" s="6"/>
    </row>
    <row r="466" spans="1:2" ht="15.75" customHeight="1" x14ac:dyDescent="0.2">
      <c r="A466" s="6"/>
      <c r="B466" s="6"/>
    </row>
    <row r="467" spans="1:2" ht="15.75" customHeight="1" x14ac:dyDescent="0.2">
      <c r="A467" s="6"/>
      <c r="B467" s="6"/>
    </row>
    <row r="468" spans="1:2" ht="15.75" customHeight="1" x14ac:dyDescent="0.2">
      <c r="A468" s="6"/>
      <c r="B468" s="6"/>
    </row>
    <row r="469" spans="1:2" ht="15.75" customHeight="1" x14ac:dyDescent="0.2">
      <c r="A469" s="6"/>
      <c r="B469" s="6"/>
    </row>
    <row r="470" spans="1:2" ht="15.75" customHeight="1" x14ac:dyDescent="0.2">
      <c r="A470" s="6"/>
      <c r="B470" s="6"/>
    </row>
    <row r="471" spans="1:2" ht="15.75" customHeight="1" x14ac:dyDescent="0.2">
      <c r="A471" s="6"/>
      <c r="B471" s="6"/>
    </row>
    <row r="472" spans="1:2" ht="15.75" customHeight="1" x14ac:dyDescent="0.2">
      <c r="A472" s="6"/>
      <c r="B472" s="6"/>
    </row>
    <row r="473" spans="1:2" ht="15.75" customHeight="1" x14ac:dyDescent="0.2">
      <c r="A473" s="6"/>
      <c r="B473" s="6"/>
    </row>
    <row r="474" spans="1:2" ht="15.75" customHeight="1" x14ac:dyDescent="0.2">
      <c r="A474" s="6"/>
      <c r="B474" s="6"/>
    </row>
    <row r="475" spans="1:2" ht="15.75" customHeight="1" x14ac:dyDescent="0.2">
      <c r="A475" s="6"/>
      <c r="B475" s="6"/>
    </row>
    <row r="476" spans="1:2" ht="15.75" customHeight="1" x14ac:dyDescent="0.2">
      <c r="A476" s="6"/>
      <c r="B476" s="6"/>
    </row>
    <row r="477" spans="1:2" ht="15.75" customHeight="1" x14ac:dyDescent="0.2">
      <c r="A477" s="6"/>
      <c r="B477" s="6"/>
    </row>
    <row r="478" spans="1:2" ht="15.75" customHeight="1" x14ac:dyDescent="0.2">
      <c r="A478" s="6"/>
      <c r="B478" s="6"/>
    </row>
    <row r="479" spans="1:2" ht="15.75" customHeight="1" x14ac:dyDescent="0.2">
      <c r="A479" s="6"/>
      <c r="B479" s="6"/>
    </row>
    <row r="480" spans="1:2" ht="15.75" customHeight="1" x14ac:dyDescent="0.2">
      <c r="A480" s="6"/>
      <c r="B480" s="6"/>
    </row>
    <row r="481" spans="1:2" ht="15.75" customHeight="1" x14ac:dyDescent="0.2">
      <c r="A481" s="6"/>
      <c r="B481" s="6"/>
    </row>
    <row r="482" spans="1:2" ht="15.75" customHeight="1" x14ac:dyDescent="0.2">
      <c r="A482" s="6"/>
      <c r="B482" s="6"/>
    </row>
    <row r="483" spans="1:2" ht="15.75" customHeight="1" x14ac:dyDescent="0.2">
      <c r="A483" s="6"/>
      <c r="B483" s="6"/>
    </row>
    <row r="484" spans="1:2" ht="15.75" customHeight="1" x14ac:dyDescent="0.2">
      <c r="A484" s="6"/>
      <c r="B484" s="6"/>
    </row>
    <row r="485" spans="1:2" ht="15.75" customHeight="1" x14ac:dyDescent="0.2">
      <c r="A485" s="6"/>
      <c r="B485" s="6"/>
    </row>
    <row r="486" spans="1:2" ht="15.75" customHeight="1" x14ac:dyDescent="0.2">
      <c r="A486" s="6"/>
      <c r="B486" s="6"/>
    </row>
    <row r="487" spans="1:2" ht="15.75" customHeight="1" x14ac:dyDescent="0.2">
      <c r="A487" s="6"/>
      <c r="B487" s="6"/>
    </row>
    <row r="488" spans="1:2" ht="15.75" customHeight="1" x14ac:dyDescent="0.2">
      <c r="A488" s="6"/>
      <c r="B488" s="6"/>
    </row>
    <row r="489" spans="1:2" ht="15.75" customHeight="1" x14ac:dyDescent="0.2">
      <c r="A489" s="6"/>
      <c r="B489" s="6"/>
    </row>
    <row r="490" spans="1:2" ht="15.75" customHeight="1" x14ac:dyDescent="0.2">
      <c r="A490" s="6"/>
      <c r="B490" s="6"/>
    </row>
    <row r="491" spans="1:2" ht="15.75" customHeight="1" x14ac:dyDescent="0.2">
      <c r="A491" s="6"/>
      <c r="B491" s="6"/>
    </row>
    <row r="492" spans="1:2" ht="15.75" customHeight="1" x14ac:dyDescent="0.2">
      <c r="A492" s="6"/>
      <c r="B492" s="6"/>
    </row>
    <row r="493" spans="1:2" ht="15.75" customHeight="1" x14ac:dyDescent="0.2">
      <c r="A493" s="6"/>
      <c r="B493" s="6"/>
    </row>
    <row r="494" spans="1:2" ht="15.75" customHeight="1" x14ac:dyDescent="0.2">
      <c r="A494" s="6"/>
      <c r="B494" s="6"/>
    </row>
    <row r="495" spans="1:2" ht="15.75" customHeight="1" x14ac:dyDescent="0.2">
      <c r="A495" s="6"/>
      <c r="B495" s="6"/>
    </row>
    <row r="496" spans="1:2" ht="15.75" customHeight="1" x14ac:dyDescent="0.2">
      <c r="A496" s="6"/>
      <c r="B496" s="6"/>
    </row>
    <row r="497" spans="1:2" ht="15.75" customHeight="1" x14ac:dyDescent="0.2">
      <c r="A497" s="6"/>
      <c r="B497" s="6"/>
    </row>
    <row r="498" spans="1:2" ht="15.75" customHeight="1" x14ac:dyDescent="0.2">
      <c r="A498" s="6"/>
      <c r="B498" s="6"/>
    </row>
    <row r="499" spans="1:2" ht="15.75" customHeight="1" x14ac:dyDescent="0.2">
      <c r="A499" s="6"/>
      <c r="B499" s="6"/>
    </row>
    <row r="500" spans="1:2" ht="15.75" customHeight="1" x14ac:dyDescent="0.2">
      <c r="A500" s="6"/>
      <c r="B500" s="6"/>
    </row>
    <row r="501" spans="1:2" ht="15.75" customHeight="1" x14ac:dyDescent="0.2">
      <c r="A501" s="6"/>
      <c r="B501" s="6"/>
    </row>
    <row r="502" spans="1:2" ht="15.75" customHeight="1" x14ac:dyDescent="0.2">
      <c r="A502" s="6"/>
      <c r="B502" s="6"/>
    </row>
    <row r="503" spans="1:2" ht="15.75" customHeight="1" x14ac:dyDescent="0.2">
      <c r="A503" s="6"/>
      <c r="B503" s="6"/>
    </row>
    <row r="504" spans="1:2" ht="15.75" customHeight="1" x14ac:dyDescent="0.2">
      <c r="A504" s="6"/>
      <c r="B504" s="6"/>
    </row>
    <row r="505" spans="1:2" ht="15.75" customHeight="1" x14ac:dyDescent="0.2">
      <c r="A505" s="6"/>
      <c r="B505" s="6"/>
    </row>
    <row r="506" spans="1:2" ht="15.75" customHeight="1" x14ac:dyDescent="0.2">
      <c r="A506" s="6"/>
      <c r="B506" s="6"/>
    </row>
    <row r="507" spans="1:2" ht="15.75" customHeight="1" x14ac:dyDescent="0.2">
      <c r="A507" s="6"/>
      <c r="B507" s="6"/>
    </row>
    <row r="508" spans="1:2" ht="15.75" customHeight="1" x14ac:dyDescent="0.2">
      <c r="A508" s="6"/>
      <c r="B508" s="6"/>
    </row>
    <row r="509" spans="1:2" ht="15.75" customHeight="1" x14ac:dyDescent="0.2">
      <c r="A509" s="6"/>
      <c r="B509" s="6"/>
    </row>
    <row r="510" spans="1:2" ht="15.75" customHeight="1" x14ac:dyDescent="0.2">
      <c r="A510" s="6"/>
      <c r="B510" s="6"/>
    </row>
    <row r="511" spans="1:2" ht="15.75" customHeight="1" x14ac:dyDescent="0.2">
      <c r="A511" s="6"/>
      <c r="B511" s="6"/>
    </row>
    <row r="512" spans="1:2" ht="15.75" customHeight="1" x14ac:dyDescent="0.2">
      <c r="A512" s="6"/>
      <c r="B512" s="6"/>
    </row>
    <row r="513" spans="1:2" ht="15.75" customHeight="1" x14ac:dyDescent="0.2">
      <c r="A513" s="6"/>
      <c r="B513" s="6"/>
    </row>
    <row r="514" spans="1:2" ht="15.75" customHeight="1" x14ac:dyDescent="0.2">
      <c r="A514" s="6"/>
      <c r="B514" s="6"/>
    </row>
    <row r="515" spans="1:2" ht="15.75" customHeight="1" x14ac:dyDescent="0.2">
      <c r="A515" s="6"/>
      <c r="B515" s="6"/>
    </row>
    <row r="516" spans="1:2" ht="15.75" customHeight="1" x14ac:dyDescent="0.2">
      <c r="A516" s="6"/>
      <c r="B516" s="6"/>
    </row>
    <row r="517" spans="1:2" ht="15.75" customHeight="1" x14ac:dyDescent="0.2">
      <c r="A517" s="6"/>
      <c r="B517" s="6"/>
    </row>
    <row r="518" spans="1:2" ht="15.75" customHeight="1" x14ac:dyDescent="0.2">
      <c r="A518" s="6"/>
      <c r="B518" s="6"/>
    </row>
    <row r="519" spans="1:2" ht="15.75" customHeight="1" x14ac:dyDescent="0.2">
      <c r="A519" s="6"/>
      <c r="B519" s="6"/>
    </row>
    <row r="520" spans="1:2" ht="15.75" customHeight="1" x14ac:dyDescent="0.2">
      <c r="A520" s="6"/>
      <c r="B520" s="6"/>
    </row>
    <row r="521" spans="1:2" ht="15.75" customHeight="1" x14ac:dyDescent="0.2">
      <c r="A521" s="6"/>
      <c r="B521" s="6"/>
    </row>
    <row r="522" spans="1:2" ht="15.75" customHeight="1" x14ac:dyDescent="0.2">
      <c r="A522" s="6"/>
      <c r="B522" s="6"/>
    </row>
    <row r="523" spans="1:2" ht="15.75" customHeight="1" x14ac:dyDescent="0.2">
      <c r="A523" s="6"/>
      <c r="B523" s="6"/>
    </row>
    <row r="524" spans="1:2" ht="15.75" customHeight="1" x14ac:dyDescent="0.2">
      <c r="A524" s="6"/>
      <c r="B524" s="6"/>
    </row>
    <row r="525" spans="1:2" ht="15.75" customHeight="1" x14ac:dyDescent="0.2">
      <c r="A525" s="6"/>
      <c r="B525" s="6"/>
    </row>
    <row r="526" spans="1:2" ht="15.75" customHeight="1" x14ac:dyDescent="0.2">
      <c r="A526" s="6"/>
      <c r="B526" s="6"/>
    </row>
    <row r="527" spans="1:2" ht="15.75" customHeight="1" x14ac:dyDescent="0.2">
      <c r="A527" s="6"/>
      <c r="B527" s="6"/>
    </row>
    <row r="528" spans="1:2" ht="15.75" customHeight="1" x14ac:dyDescent="0.2">
      <c r="A528" s="6"/>
      <c r="B528" s="6"/>
    </row>
    <row r="529" spans="1:2" ht="15.75" customHeight="1" x14ac:dyDescent="0.2">
      <c r="A529" s="6"/>
      <c r="B529" s="6"/>
    </row>
    <row r="530" spans="1:2" ht="15.75" customHeight="1" x14ac:dyDescent="0.2">
      <c r="A530" s="6"/>
      <c r="B530" s="6"/>
    </row>
    <row r="531" spans="1:2" ht="15.75" customHeight="1" x14ac:dyDescent="0.2">
      <c r="A531" s="6"/>
      <c r="B531" s="6"/>
    </row>
    <row r="532" spans="1:2" ht="15.75" customHeight="1" x14ac:dyDescent="0.2">
      <c r="A532" s="6"/>
      <c r="B532" s="6"/>
    </row>
    <row r="533" spans="1:2" ht="15.75" customHeight="1" x14ac:dyDescent="0.2">
      <c r="A533" s="6"/>
      <c r="B533" s="6"/>
    </row>
    <row r="534" spans="1:2" ht="15.75" customHeight="1" x14ac:dyDescent="0.2">
      <c r="A534" s="6"/>
      <c r="B534" s="6"/>
    </row>
    <row r="535" spans="1:2" ht="15.75" customHeight="1" x14ac:dyDescent="0.2">
      <c r="A535" s="6"/>
      <c r="B535" s="6"/>
    </row>
    <row r="536" spans="1:2" ht="15.75" customHeight="1" x14ac:dyDescent="0.2">
      <c r="A536" s="6"/>
      <c r="B536" s="6"/>
    </row>
    <row r="537" spans="1:2" ht="15.75" customHeight="1" x14ac:dyDescent="0.2">
      <c r="A537" s="6"/>
      <c r="B537" s="6"/>
    </row>
    <row r="538" spans="1:2" ht="15.75" customHeight="1" x14ac:dyDescent="0.2">
      <c r="A538" s="6"/>
      <c r="B538" s="6"/>
    </row>
    <row r="539" spans="1:2" ht="15.75" customHeight="1" x14ac:dyDescent="0.2">
      <c r="A539" s="6"/>
      <c r="B539" s="6"/>
    </row>
    <row r="540" spans="1:2" ht="15.75" customHeight="1" x14ac:dyDescent="0.2">
      <c r="A540" s="6"/>
      <c r="B540" s="6"/>
    </row>
    <row r="541" spans="1:2" ht="15.75" customHeight="1" x14ac:dyDescent="0.2">
      <c r="A541" s="6"/>
      <c r="B541" s="6"/>
    </row>
    <row r="542" spans="1:2" ht="15.75" customHeight="1" x14ac:dyDescent="0.2">
      <c r="A542" s="6"/>
      <c r="B542" s="6"/>
    </row>
    <row r="543" spans="1:2" ht="15.75" customHeight="1" x14ac:dyDescent="0.2">
      <c r="A543" s="6"/>
      <c r="B543" s="6"/>
    </row>
    <row r="544" spans="1:2" ht="15.75" customHeight="1" x14ac:dyDescent="0.2">
      <c r="A544" s="6"/>
      <c r="B544" s="6"/>
    </row>
    <row r="545" spans="1:2" ht="15.75" customHeight="1" x14ac:dyDescent="0.2">
      <c r="A545" s="6"/>
      <c r="B545" s="6"/>
    </row>
    <row r="546" spans="1:2" ht="15.75" customHeight="1" x14ac:dyDescent="0.2">
      <c r="A546" s="6"/>
      <c r="B546" s="6"/>
    </row>
    <row r="547" spans="1:2" ht="15.75" customHeight="1" x14ac:dyDescent="0.2">
      <c r="A547" s="6"/>
      <c r="B547" s="6"/>
    </row>
    <row r="548" spans="1:2" ht="15.75" customHeight="1" x14ac:dyDescent="0.2">
      <c r="A548" s="6"/>
      <c r="B548" s="6"/>
    </row>
    <row r="549" spans="1:2" ht="15.75" customHeight="1" x14ac:dyDescent="0.2">
      <c r="A549" s="6"/>
      <c r="B549" s="6"/>
    </row>
    <row r="550" spans="1:2" ht="15.75" customHeight="1" x14ac:dyDescent="0.2">
      <c r="A550" s="6"/>
      <c r="B550" s="6"/>
    </row>
    <row r="551" spans="1:2" ht="15.75" customHeight="1" x14ac:dyDescent="0.2">
      <c r="A551" s="6"/>
      <c r="B551" s="6"/>
    </row>
    <row r="552" spans="1:2" ht="15.75" customHeight="1" x14ac:dyDescent="0.2">
      <c r="A552" s="6"/>
      <c r="B552" s="6"/>
    </row>
    <row r="553" spans="1:2" ht="15.75" customHeight="1" x14ac:dyDescent="0.2">
      <c r="A553" s="6"/>
      <c r="B553" s="6"/>
    </row>
    <row r="554" spans="1:2" ht="15.75" customHeight="1" x14ac:dyDescent="0.2">
      <c r="A554" s="6"/>
      <c r="B554" s="6"/>
    </row>
    <row r="555" spans="1:2" ht="15.75" customHeight="1" x14ac:dyDescent="0.2">
      <c r="A555" s="6"/>
      <c r="B555" s="6"/>
    </row>
    <row r="556" spans="1:2" ht="15.75" customHeight="1" x14ac:dyDescent="0.2">
      <c r="A556" s="6"/>
      <c r="B556" s="6"/>
    </row>
    <row r="557" spans="1:2" ht="15.75" customHeight="1" x14ac:dyDescent="0.2">
      <c r="A557" s="6"/>
      <c r="B557" s="6"/>
    </row>
    <row r="558" spans="1:2" ht="15.75" customHeight="1" x14ac:dyDescent="0.2">
      <c r="A558" s="6"/>
      <c r="B558" s="6"/>
    </row>
    <row r="559" spans="1:2" ht="15.75" customHeight="1" x14ac:dyDescent="0.2">
      <c r="A559" s="6"/>
      <c r="B559" s="6"/>
    </row>
    <row r="560" spans="1:2" ht="15.75" customHeight="1" x14ac:dyDescent="0.2">
      <c r="A560" s="6"/>
      <c r="B560" s="6"/>
    </row>
    <row r="561" spans="1:2" ht="15.75" customHeight="1" x14ac:dyDescent="0.2">
      <c r="A561" s="6"/>
      <c r="B561" s="6"/>
    </row>
    <row r="562" spans="1:2" ht="15.75" customHeight="1" x14ac:dyDescent="0.2">
      <c r="A562" s="6"/>
      <c r="B562" s="6"/>
    </row>
    <row r="563" spans="1:2" ht="15.75" customHeight="1" x14ac:dyDescent="0.2">
      <c r="A563" s="6"/>
      <c r="B563" s="6"/>
    </row>
    <row r="564" spans="1:2" ht="15.75" customHeight="1" x14ac:dyDescent="0.2">
      <c r="A564" s="6"/>
      <c r="B564" s="6"/>
    </row>
    <row r="565" spans="1:2" ht="15.75" customHeight="1" x14ac:dyDescent="0.2">
      <c r="A565" s="6"/>
      <c r="B565" s="6"/>
    </row>
    <row r="566" spans="1:2" ht="15.75" customHeight="1" x14ac:dyDescent="0.2">
      <c r="A566" s="6"/>
      <c r="B566" s="6"/>
    </row>
    <row r="567" spans="1:2" ht="15.75" customHeight="1" x14ac:dyDescent="0.2">
      <c r="A567" s="6"/>
      <c r="B567" s="6"/>
    </row>
    <row r="568" spans="1:2" ht="15.75" customHeight="1" x14ac:dyDescent="0.2">
      <c r="A568" s="6"/>
      <c r="B568" s="6"/>
    </row>
    <row r="569" spans="1:2" ht="15.75" customHeight="1" x14ac:dyDescent="0.2">
      <c r="A569" s="6"/>
      <c r="B569" s="6"/>
    </row>
    <row r="570" spans="1:2" ht="15.75" customHeight="1" x14ac:dyDescent="0.2">
      <c r="A570" s="6"/>
      <c r="B570" s="6"/>
    </row>
    <row r="571" spans="1:2" ht="15.75" customHeight="1" x14ac:dyDescent="0.2">
      <c r="A571" s="6"/>
      <c r="B571" s="6"/>
    </row>
    <row r="572" spans="1:2" ht="15.75" customHeight="1" x14ac:dyDescent="0.2">
      <c r="A572" s="6"/>
      <c r="B572" s="6"/>
    </row>
    <row r="573" spans="1:2" ht="15.75" customHeight="1" x14ac:dyDescent="0.2">
      <c r="A573" s="6"/>
      <c r="B573" s="6"/>
    </row>
    <row r="574" spans="1:2" ht="15.75" customHeight="1" x14ac:dyDescent="0.2">
      <c r="A574" s="6"/>
      <c r="B574" s="6"/>
    </row>
    <row r="575" spans="1:2" ht="15.75" customHeight="1" x14ac:dyDescent="0.2">
      <c r="A575" s="6"/>
      <c r="B575" s="6"/>
    </row>
    <row r="576" spans="1:2" ht="15.75" customHeight="1" x14ac:dyDescent="0.2">
      <c r="A576" s="6"/>
      <c r="B576" s="6"/>
    </row>
    <row r="577" spans="1:2" ht="15.75" customHeight="1" x14ac:dyDescent="0.2">
      <c r="A577" s="6"/>
      <c r="B577" s="6"/>
    </row>
    <row r="578" spans="1:2" ht="15.75" customHeight="1" x14ac:dyDescent="0.2">
      <c r="A578" s="6"/>
      <c r="B578" s="6"/>
    </row>
    <row r="579" spans="1:2" ht="15.75" customHeight="1" x14ac:dyDescent="0.2">
      <c r="A579" s="6"/>
      <c r="B579" s="6"/>
    </row>
    <row r="580" spans="1:2" ht="15.75" customHeight="1" x14ac:dyDescent="0.2">
      <c r="A580" s="6"/>
      <c r="B580" s="6"/>
    </row>
    <row r="581" spans="1:2" ht="15.75" customHeight="1" x14ac:dyDescent="0.2">
      <c r="A581" s="6"/>
      <c r="B581" s="6"/>
    </row>
    <row r="582" spans="1:2" ht="15.75" customHeight="1" x14ac:dyDescent="0.2">
      <c r="A582" s="6"/>
      <c r="B582" s="6"/>
    </row>
    <row r="583" spans="1:2" ht="15.75" customHeight="1" x14ac:dyDescent="0.2">
      <c r="A583" s="6"/>
      <c r="B583" s="6"/>
    </row>
    <row r="584" spans="1:2" ht="15.75" customHeight="1" x14ac:dyDescent="0.2">
      <c r="A584" s="6"/>
      <c r="B584" s="6"/>
    </row>
    <row r="585" spans="1:2" ht="15.75" customHeight="1" x14ac:dyDescent="0.2">
      <c r="A585" s="6"/>
      <c r="B585" s="6"/>
    </row>
    <row r="586" spans="1:2" ht="15.75" customHeight="1" x14ac:dyDescent="0.2">
      <c r="A586" s="6"/>
      <c r="B586" s="6"/>
    </row>
    <row r="587" spans="1:2" ht="15.75" customHeight="1" x14ac:dyDescent="0.2">
      <c r="A587" s="6"/>
      <c r="B587" s="6"/>
    </row>
    <row r="588" spans="1:2" ht="15.75" customHeight="1" x14ac:dyDescent="0.2">
      <c r="A588" s="6"/>
      <c r="B588" s="6"/>
    </row>
    <row r="589" spans="1:2" ht="15.75" customHeight="1" x14ac:dyDescent="0.2">
      <c r="A589" s="6"/>
      <c r="B589" s="6"/>
    </row>
    <row r="590" spans="1:2" ht="15.75" customHeight="1" x14ac:dyDescent="0.2">
      <c r="A590" s="6"/>
      <c r="B590" s="6"/>
    </row>
    <row r="591" spans="1:2" ht="15.75" customHeight="1" x14ac:dyDescent="0.2">
      <c r="A591" s="6"/>
      <c r="B591" s="6"/>
    </row>
    <row r="592" spans="1:2" ht="15.75" customHeight="1" x14ac:dyDescent="0.2">
      <c r="A592" s="6"/>
      <c r="B592" s="6"/>
    </row>
    <row r="593" spans="1:2" ht="15.75" customHeight="1" x14ac:dyDescent="0.2">
      <c r="A593" s="6"/>
      <c r="B593" s="6"/>
    </row>
    <row r="594" spans="1:2" ht="15.75" customHeight="1" x14ac:dyDescent="0.2">
      <c r="A594" s="6"/>
      <c r="B594" s="6"/>
    </row>
    <row r="595" spans="1:2" ht="15.75" customHeight="1" x14ac:dyDescent="0.2">
      <c r="A595" s="6"/>
      <c r="B595" s="6"/>
    </row>
    <row r="596" spans="1:2" ht="15.75" customHeight="1" x14ac:dyDescent="0.2">
      <c r="A596" s="6"/>
      <c r="B596" s="6"/>
    </row>
    <row r="597" spans="1:2" ht="15.75" customHeight="1" x14ac:dyDescent="0.2">
      <c r="A597" s="6"/>
      <c r="B597" s="6"/>
    </row>
    <row r="598" spans="1:2" ht="15.75" customHeight="1" x14ac:dyDescent="0.2">
      <c r="A598" s="6"/>
      <c r="B598" s="6"/>
    </row>
    <row r="599" spans="1:2" ht="15.75" customHeight="1" x14ac:dyDescent="0.2">
      <c r="A599" s="6"/>
      <c r="B599" s="6"/>
    </row>
    <row r="600" spans="1:2" ht="15.75" customHeight="1" x14ac:dyDescent="0.2">
      <c r="A600" s="6"/>
      <c r="B600" s="6"/>
    </row>
    <row r="601" spans="1:2" ht="15.75" customHeight="1" x14ac:dyDescent="0.2">
      <c r="A601" s="6"/>
      <c r="B601" s="6"/>
    </row>
    <row r="602" spans="1:2" ht="15.75" customHeight="1" x14ac:dyDescent="0.2">
      <c r="A602" s="6"/>
      <c r="B602" s="6"/>
    </row>
    <row r="603" spans="1:2" ht="15.75" customHeight="1" x14ac:dyDescent="0.2">
      <c r="A603" s="6"/>
      <c r="B603" s="6"/>
    </row>
    <row r="604" spans="1:2" ht="15.75" customHeight="1" x14ac:dyDescent="0.2">
      <c r="A604" s="6"/>
      <c r="B604" s="6"/>
    </row>
    <row r="605" spans="1:2" ht="15.75" customHeight="1" x14ac:dyDescent="0.2">
      <c r="A605" s="6"/>
      <c r="B605" s="6"/>
    </row>
    <row r="606" spans="1:2" ht="15.75" customHeight="1" x14ac:dyDescent="0.2">
      <c r="A606" s="6"/>
      <c r="B606" s="6"/>
    </row>
    <row r="607" spans="1:2" ht="15.75" customHeight="1" x14ac:dyDescent="0.2">
      <c r="A607" s="6"/>
      <c r="B607" s="6"/>
    </row>
    <row r="608" spans="1:2" ht="15.75" customHeight="1" x14ac:dyDescent="0.2">
      <c r="A608" s="6"/>
      <c r="B608" s="6"/>
    </row>
    <row r="609" spans="1:2" ht="15.75" customHeight="1" x14ac:dyDescent="0.2">
      <c r="A609" s="6"/>
      <c r="B609" s="6"/>
    </row>
    <row r="610" spans="1:2" ht="15.75" customHeight="1" x14ac:dyDescent="0.2">
      <c r="A610" s="6"/>
      <c r="B610" s="6"/>
    </row>
    <row r="611" spans="1:2" ht="15.75" customHeight="1" x14ac:dyDescent="0.2">
      <c r="A611" s="6"/>
      <c r="B611" s="6"/>
    </row>
    <row r="612" spans="1:2" ht="15.75" customHeight="1" x14ac:dyDescent="0.2">
      <c r="A612" s="6"/>
      <c r="B612" s="6"/>
    </row>
    <row r="613" spans="1:2" ht="15.75" customHeight="1" x14ac:dyDescent="0.2">
      <c r="A613" s="6"/>
      <c r="B613" s="6"/>
    </row>
    <row r="614" spans="1:2" ht="15.75" customHeight="1" x14ac:dyDescent="0.2">
      <c r="A614" s="6"/>
      <c r="B614" s="6"/>
    </row>
    <row r="615" spans="1:2" ht="15.75" customHeight="1" x14ac:dyDescent="0.2">
      <c r="A615" s="6"/>
      <c r="B615" s="6"/>
    </row>
    <row r="616" spans="1:2" ht="15.75" customHeight="1" x14ac:dyDescent="0.2">
      <c r="A616" s="6"/>
      <c r="B616" s="6"/>
    </row>
    <row r="617" spans="1:2" ht="15.75" customHeight="1" x14ac:dyDescent="0.2">
      <c r="A617" s="6"/>
      <c r="B617" s="6"/>
    </row>
    <row r="618" spans="1:2" ht="15.75" customHeight="1" x14ac:dyDescent="0.2">
      <c r="A618" s="6"/>
      <c r="B618" s="6"/>
    </row>
    <row r="619" spans="1:2" ht="15.75" customHeight="1" x14ac:dyDescent="0.2">
      <c r="A619" s="6"/>
      <c r="B619" s="6"/>
    </row>
    <row r="620" spans="1:2" ht="15.75" customHeight="1" x14ac:dyDescent="0.2">
      <c r="A620" s="6"/>
      <c r="B620" s="6"/>
    </row>
    <row r="621" spans="1:2" ht="15.75" customHeight="1" x14ac:dyDescent="0.2">
      <c r="A621" s="6"/>
      <c r="B621" s="6"/>
    </row>
    <row r="622" spans="1:2" ht="15.75" customHeight="1" x14ac:dyDescent="0.2">
      <c r="A622" s="6"/>
      <c r="B622" s="6"/>
    </row>
    <row r="623" spans="1:2" ht="15.75" customHeight="1" x14ac:dyDescent="0.2">
      <c r="A623" s="6"/>
      <c r="B623" s="6"/>
    </row>
    <row r="624" spans="1:2" ht="15.75" customHeight="1" x14ac:dyDescent="0.2">
      <c r="A624" s="6"/>
      <c r="B624" s="6"/>
    </row>
    <row r="625" spans="1:2" ht="15.75" customHeight="1" x14ac:dyDescent="0.2">
      <c r="A625" s="6"/>
      <c r="B625" s="6"/>
    </row>
    <row r="626" spans="1:2" ht="15.75" customHeight="1" x14ac:dyDescent="0.2">
      <c r="A626" s="6"/>
      <c r="B626" s="6"/>
    </row>
    <row r="627" spans="1:2" ht="15.75" customHeight="1" x14ac:dyDescent="0.2">
      <c r="A627" s="6"/>
      <c r="B627" s="6"/>
    </row>
    <row r="628" spans="1:2" ht="15.75" customHeight="1" x14ac:dyDescent="0.2">
      <c r="A628" s="6"/>
      <c r="B628" s="6"/>
    </row>
    <row r="629" spans="1:2" ht="15.75" customHeight="1" x14ac:dyDescent="0.2">
      <c r="A629" s="6"/>
      <c r="B629" s="6"/>
    </row>
    <row r="630" spans="1:2" ht="15.75" customHeight="1" x14ac:dyDescent="0.2">
      <c r="A630" s="6"/>
      <c r="B630" s="6"/>
    </row>
    <row r="631" spans="1:2" ht="15.75" customHeight="1" x14ac:dyDescent="0.2">
      <c r="A631" s="6"/>
      <c r="B631" s="6"/>
    </row>
    <row r="632" spans="1:2" ht="15.75" customHeight="1" x14ac:dyDescent="0.2">
      <c r="A632" s="6"/>
      <c r="B632" s="6"/>
    </row>
    <row r="633" spans="1:2" ht="15.75" customHeight="1" x14ac:dyDescent="0.2">
      <c r="A633" s="6"/>
      <c r="B633" s="6"/>
    </row>
    <row r="634" spans="1:2" ht="15.75" customHeight="1" x14ac:dyDescent="0.2">
      <c r="A634" s="6"/>
      <c r="B634" s="6"/>
    </row>
    <row r="635" spans="1:2" ht="15.75" customHeight="1" x14ac:dyDescent="0.2">
      <c r="A635" s="6"/>
      <c r="B635" s="6"/>
    </row>
    <row r="636" spans="1:2" ht="15.75" customHeight="1" x14ac:dyDescent="0.2">
      <c r="A636" s="6"/>
      <c r="B636" s="6"/>
    </row>
    <row r="637" spans="1:2" ht="15.75" customHeight="1" x14ac:dyDescent="0.2">
      <c r="A637" s="6"/>
      <c r="B637" s="6"/>
    </row>
    <row r="638" spans="1:2" ht="15.75" customHeight="1" x14ac:dyDescent="0.2">
      <c r="A638" s="6"/>
      <c r="B638" s="6"/>
    </row>
    <row r="639" spans="1:2" ht="15.75" customHeight="1" x14ac:dyDescent="0.2">
      <c r="A639" s="6"/>
      <c r="B639" s="6"/>
    </row>
    <row r="640" spans="1:2" ht="15.75" customHeight="1" x14ac:dyDescent="0.2">
      <c r="A640" s="6"/>
      <c r="B640" s="6"/>
    </row>
    <row r="641" spans="1:2" ht="15.75" customHeight="1" x14ac:dyDescent="0.2">
      <c r="A641" s="6"/>
      <c r="B641" s="6"/>
    </row>
    <row r="642" spans="1:2" ht="15.75" customHeight="1" x14ac:dyDescent="0.2">
      <c r="A642" s="6"/>
      <c r="B642" s="6"/>
    </row>
    <row r="643" spans="1:2" ht="15.75" customHeight="1" x14ac:dyDescent="0.2">
      <c r="A643" s="6"/>
      <c r="B643" s="6"/>
    </row>
    <row r="644" spans="1:2" ht="15.75" customHeight="1" x14ac:dyDescent="0.2">
      <c r="A644" s="6"/>
      <c r="B644" s="6"/>
    </row>
    <row r="645" spans="1:2" ht="15.75" customHeight="1" x14ac:dyDescent="0.2">
      <c r="A645" s="6"/>
      <c r="B645" s="6"/>
    </row>
    <row r="646" spans="1:2" ht="15.75" customHeight="1" x14ac:dyDescent="0.2">
      <c r="A646" s="6"/>
      <c r="B646" s="6"/>
    </row>
    <row r="647" spans="1:2" ht="15.75" customHeight="1" x14ac:dyDescent="0.2">
      <c r="A647" s="6"/>
      <c r="B647" s="6"/>
    </row>
    <row r="648" spans="1:2" ht="15.75" customHeight="1" x14ac:dyDescent="0.2">
      <c r="A648" s="6"/>
      <c r="B648" s="6"/>
    </row>
    <row r="649" spans="1:2" ht="15.75" customHeight="1" x14ac:dyDescent="0.2">
      <c r="A649" s="6"/>
      <c r="B649" s="6"/>
    </row>
    <row r="650" spans="1:2" ht="15.75" customHeight="1" x14ac:dyDescent="0.2">
      <c r="A650" s="6"/>
      <c r="B650" s="6"/>
    </row>
    <row r="651" spans="1:2" ht="15.75" customHeight="1" x14ac:dyDescent="0.2">
      <c r="A651" s="6"/>
      <c r="B651" s="6"/>
    </row>
    <row r="652" spans="1:2" ht="15.75" customHeight="1" x14ac:dyDescent="0.2">
      <c r="A652" s="6"/>
      <c r="B652" s="6"/>
    </row>
    <row r="653" spans="1:2" ht="15.75" customHeight="1" x14ac:dyDescent="0.2">
      <c r="A653" s="6"/>
      <c r="B653" s="6"/>
    </row>
    <row r="654" spans="1:2" ht="15.75" customHeight="1" x14ac:dyDescent="0.2">
      <c r="A654" s="6"/>
      <c r="B654" s="6"/>
    </row>
    <row r="655" spans="1:2" ht="15.75" customHeight="1" x14ac:dyDescent="0.2">
      <c r="A655" s="6"/>
      <c r="B655" s="6"/>
    </row>
    <row r="656" spans="1:2" ht="15.75" customHeight="1" x14ac:dyDescent="0.2">
      <c r="A656" s="6"/>
      <c r="B656" s="6"/>
    </row>
    <row r="657" spans="1:2" ht="15.75" customHeight="1" x14ac:dyDescent="0.2">
      <c r="A657" s="6"/>
      <c r="B657" s="6"/>
    </row>
    <row r="658" spans="1:2" ht="15.75" customHeight="1" x14ac:dyDescent="0.2">
      <c r="A658" s="6"/>
      <c r="B658" s="6"/>
    </row>
    <row r="659" spans="1:2" ht="15.75" customHeight="1" x14ac:dyDescent="0.2">
      <c r="A659" s="6"/>
      <c r="B659" s="6"/>
    </row>
    <row r="660" spans="1:2" ht="15.75" customHeight="1" x14ac:dyDescent="0.2">
      <c r="A660" s="6"/>
      <c r="B660" s="6"/>
    </row>
    <row r="661" spans="1:2" ht="15.75" customHeight="1" x14ac:dyDescent="0.2">
      <c r="A661" s="6"/>
      <c r="B661" s="6"/>
    </row>
    <row r="662" spans="1:2" ht="15.75" customHeight="1" x14ac:dyDescent="0.2">
      <c r="A662" s="6"/>
      <c r="B662" s="6"/>
    </row>
    <row r="663" spans="1:2" ht="15.75" customHeight="1" x14ac:dyDescent="0.2">
      <c r="A663" s="6"/>
      <c r="B663" s="6"/>
    </row>
    <row r="664" spans="1:2" ht="15.75" customHeight="1" x14ac:dyDescent="0.2">
      <c r="A664" s="6"/>
      <c r="B664" s="6"/>
    </row>
    <row r="665" spans="1:2" ht="15.75" customHeight="1" x14ac:dyDescent="0.2">
      <c r="A665" s="6"/>
      <c r="B665" s="6"/>
    </row>
    <row r="666" spans="1:2" ht="15.75" customHeight="1" x14ac:dyDescent="0.2">
      <c r="A666" s="6"/>
      <c r="B666" s="6"/>
    </row>
    <row r="667" spans="1:2" ht="15.75" customHeight="1" x14ac:dyDescent="0.2">
      <c r="A667" s="6"/>
      <c r="B667" s="6"/>
    </row>
    <row r="668" spans="1:2" ht="15.75" customHeight="1" x14ac:dyDescent="0.2">
      <c r="A668" s="6"/>
      <c r="B668" s="6"/>
    </row>
    <row r="669" spans="1:2" ht="15.75" customHeight="1" x14ac:dyDescent="0.2">
      <c r="A669" s="6"/>
      <c r="B669" s="6"/>
    </row>
    <row r="670" spans="1:2" ht="15.75" customHeight="1" x14ac:dyDescent="0.2">
      <c r="A670" s="6"/>
      <c r="B670" s="6"/>
    </row>
    <row r="671" spans="1:2" ht="15.75" customHeight="1" x14ac:dyDescent="0.2">
      <c r="A671" s="6"/>
      <c r="B671" s="6"/>
    </row>
    <row r="672" spans="1:2" ht="15.75" customHeight="1" x14ac:dyDescent="0.2">
      <c r="A672" s="6"/>
      <c r="B672" s="6"/>
    </row>
    <row r="673" spans="1:2" ht="15.75" customHeight="1" x14ac:dyDescent="0.2">
      <c r="A673" s="6"/>
      <c r="B673" s="6"/>
    </row>
    <row r="674" spans="1:2" ht="15.75" customHeight="1" x14ac:dyDescent="0.2">
      <c r="A674" s="6"/>
      <c r="B674" s="6"/>
    </row>
    <row r="675" spans="1:2" ht="15.75" customHeight="1" x14ac:dyDescent="0.2">
      <c r="A675" s="6"/>
      <c r="B675" s="6"/>
    </row>
    <row r="676" spans="1:2" ht="15.75" customHeight="1" x14ac:dyDescent="0.2">
      <c r="A676" s="6"/>
      <c r="B676" s="6"/>
    </row>
    <row r="677" spans="1:2" ht="15.75" customHeight="1" x14ac:dyDescent="0.2">
      <c r="A677" s="6"/>
      <c r="B677" s="6"/>
    </row>
    <row r="678" spans="1:2" ht="15.75" customHeight="1" x14ac:dyDescent="0.2">
      <c r="A678" s="6"/>
      <c r="B678" s="6"/>
    </row>
    <row r="679" spans="1:2" ht="15.75" customHeight="1" x14ac:dyDescent="0.2">
      <c r="A679" s="6"/>
      <c r="B679" s="6"/>
    </row>
    <row r="680" spans="1:2" ht="15.75" customHeight="1" x14ac:dyDescent="0.2">
      <c r="A680" s="6"/>
      <c r="B680" s="6"/>
    </row>
    <row r="681" spans="1:2" ht="15.75" customHeight="1" x14ac:dyDescent="0.2">
      <c r="A681" s="6"/>
      <c r="B681" s="6"/>
    </row>
    <row r="682" spans="1:2" ht="15.75" customHeight="1" x14ac:dyDescent="0.2">
      <c r="A682" s="6"/>
      <c r="B682" s="6"/>
    </row>
    <row r="683" spans="1:2" ht="15.75" customHeight="1" x14ac:dyDescent="0.2">
      <c r="A683" s="6"/>
      <c r="B683" s="6"/>
    </row>
    <row r="684" spans="1:2" ht="15.75" customHeight="1" x14ac:dyDescent="0.2">
      <c r="A684" s="6"/>
      <c r="B684" s="6"/>
    </row>
    <row r="685" spans="1:2" ht="15.75" customHeight="1" x14ac:dyDescent="0.2">
      <c r="A685" s="6"/>
      <c r="B685" s="6"/>
    </row>
    <row r="686" spans="1:2" ht="15.75" customHeight="1" x14ac:dyDescent="0.2">
      <c r="A686" s="6"/>
      <c r="B686" s="6"/>
    </row>
    <row r="687" spans="1:2" ht="15.75" customHeight="1" x14ac:dyDescent="0.2">
      <c r="A687" s="6"/>
      <c r="B687" s="6"/>
    </row>
    <row r="688" spans="1:2" ht="15.75" customHeight="1" x14ac:dyDescent="0.2">
      <c r="A688" s="6"/>
      <c r="B688" s="6"/>
    </row>
    <row r="689" spans="1:2" ht="15.75" customHeight="1" x14ac:dyDescent="0.2">
      <c r="A689" s="6"/>
      <c r="B689" s="6"/>
    </row>
    <row r="690" spans="1:2" ht="15.75" customHeight="1" x14ac:dyDescent="0.2">
      <c r="A690" s="6"/>
      <c r="B690" s="6"/>
    </row>
    <row r="691" spans="1:2" ht="15.75" customHeight="1" x14ac:dyDescent="0.2">
      <c r="A691" s="6"/>
      <c r="B691" s="6"/>
    </row>
    <row r="692" spans="1:2" ht="15.75" customHeight="1" x14ac:dyDescent="0.2">
      <c r="A692" s="6"/>
      <c r="B692" s="6"/>
    </row>
    <row r="693" spans="1:2" ht="15.75" customHeight="1" x14ac:dyDescent="0.2">
      <c r="A693" s="6"/>
      <c r="B693" s="6"/>
    </row>
    <row r="694" spans="1:2" ht="15.75" customHeight="1" x14ac:dyDescent="0.2">
      <c r="A694" s="6"/>
      <c r="B694" s="6"/>
    </row>
    <row r="695" spans="1:2" ht="15.75" customHeight="1" x14ac:dyDescent="0.2">
      <c r="A695" s="6"/>
      <c r="B695" s="6"/>
    </row>
    <row r="696" spans="1:2" ht="15.75" customHeight="1" x14ac:dyDescent="0.2">
      <c r="A696" s="6"/>
      <c r="B696" s="6"/>
    </row>
    <row r="697" spans="1:2" ht="15.75" customHeight="1" x14ac:dyDescent="0.2">
      <c r="A697" s="6"/>
      <c r="B697" s="6"/>
    </row>
    <row r="698" spans="1:2" ht="15.75" customHeight="1" x14ac:dyDescent="0.2">
      <c r="A698" s="6"/>
      <c r="B698" s="6"/>
    </row>
    <row r="699" spans="1:2" ht="15.75" customHeight="1" x14ac:dyDescent="0.2">
      <c r="A699" s="6"/>
      <c r="B699" s="6"/>
    </row>
    <row r="700" spans="1:2" ht="15.75" customHeight="1" x14ac:dyDescent="0.2">
      <c r="A700" s="6"/>
      <c r="B700" s="6"/>
    </row>
    <row r="701" spans="1:2" ht="15.75" customHeight="1" x14ac:dyDescent="0.2">
      <c r="A701" s="6"/>
      <c r="B701" s="6"/>
    </row>
    <row r="702" spans="1:2" ht="15.75" customHeight="1" x14ac:dyDescent="0.2">
      <c r="A702" s="6"/>
      <c r="B702" s="6"/>
    </row>
    <row r="703" spans="1:2" ht="15.75" customHeight="1" x14ac:dyDescent="0.2">
      <c r="A703" s="6"/>
      <c r="B703" s="6"/>
    </row>
    <row r="704" spans="1:2" ht="15.75" customHeight="1" x14ac:dyDescent="0.2">
      <c r="A704" s="6"/>
      <c r="B704" s="6"/>
    </row>
    <row r="705" spans="1:2" ht="15.75" customHeight="1" x14ac:dyDescent="0.2">
      <c r="A705" s="6"/>
      <c r="B705" s="6"/>
    </row>
    <row r="706" spans="1:2" ht="15.75" customHeight="1" x14ac:dyDescent="0.2">
      <c r="A706" s="6"/>
      <c r="B706" s="6"/>
    </row>
    <row r="707" spans="1:2" ht="15.75" customHeight="1" x14ac:dyDescent="0.2">
      <c r="A707" s="6"/>
      <c r="B707" s="6"/>
    </row>
    <row r="708" spans="1:2" ht="15.75" customHeight="1" x14ac:dyDescent="0.2">
      <c r="A708" s="6"/>
      <c r="B708" s="6"/>
    </row>
    <row r="709" spans="1:2" ht="15.75" customHeight="1" x14ac:dyDescent="0.2">
      <c r="A709" s="6"/>
      <c r="B709" s="6"/>
    </row>
    <row r="710" spans="1:2" ht="15.75" customHeight="1" x14ac:dyDescent="0.2">
      <c r="A710" s="6"/>
      <c r="B710" s="6"/>
    </row>
    <row r="711" spans="1:2" ht="15.75" customHeight="1" x14ac:dyDescent="0.2">
      <c r="A711" s="6"/>
      <c r="B711" s="6"/>
    </row>
    <row r="712" spans="1:2" ht="15.75" customHeight="1" x14ac:dyDescent="0.2">
      <c r="A712" s="6"/>
      <c r="B712" s="6"/>
    </row>
    <row r="713" spans="1:2" ht="15.75" customHeight="1" x14ac:dyDescent="0.2">
      <c r="A713" s="6"/>
      <c r="B713" s="6"/>
    </row>
    <row r="714" spans="1:2" ht="15.75" customHeight="1" x14ac:dyDescent="0.2">
      <c r="A714" s="6"/>
      <c r="B714" s="6"/>
    </row>
    <row r="715" spans="1:2" ht="15.75" customHeight="1" x14ac:dyDescent="0.2">
      <c r="A715" s="6"/>
      <c r="B715" s="6"/>
    </row>
    <row r="716" spans="1:2" ht="15.75" customHeight="1" x14ac:dyDescent="0.2">
      <c r="A716" s="6"/>
      <c r="B716" s="6"/>
    </row>
    <row r="717" spans="1:2" ht="15.75" customHeight="1" x14ac:dyDescent="0.2">
      <c r="A717" s="6"/>
      <c r="B717" s="6"/>
    </row>
    <row r="718" spans="1:2" ht="15.75" customHeight="1" x14ac:dyDescent="0.2">
      <c r="A718" s="6"/>
      <c r="B718" s="6"/>
    </row>
    <row r="719" spans="1:2" ht="15.75" customHeight="1" x14ac:dyDescent="0.2">
      <c r="A719" s="6"/>
      <c r="B719" s="6"/>
    </row>
    <row r="720" spans="1:2" ht="15.75" customHeight="1" x14ac:dyDescent="0.2">
      <c r="A720" s="6"/>
      <c r="B720" s="6"/>
    </row>
    <row r="721" spans="1:2" ht="15.75" customHeight="1" x14ac:dyDescent="0.2">
      <c r="A721" s="6"/>
      <c r="B721" s="6"/>
    </row>
    <row r="722" spans="1:2" ht="15.75" customHeight="1" x14ac:dyDescent="0.2">
      <c r="A722" s="6"/>
      <c r="B722" s="6"/>
    </row>
    <row r="723" spans="1:2" ht="15.75" customHeight="1" x14ac:dyDescent="0.2">
      <c r="A723" s="6"/>
      <c r="B723" s="6"/>
    </row>
    <row r="724" spans="1:2" ht="15.75" customHeight="1" x14ac:dyDescent="0.2">
      <c r="A724" s="6"/>
      <c r="B724" s="6"/>
    </row>
    <row r="725" spans="1:2" ht="15.75" customHeight="1" x14ac:dyDescent="0.2">
      <c r="A725" s="6"/>
      <c r="B725" s="6"/>
    </row>
    <row r="726" spans="1:2" ht="15.75" customHeight="1" x14ac:dyDescent="0.2">
      <c r="A726" s="6"/>
      <c r="B726" s="6"/>
    </row>
    <row r="727" spans="1:2" ht="15.75" customHeight="1" x14ac:dyDescent="0.2">
      <c r="A727" s="6"/>
      <c r="B727" s="6"/>
    </row>
    <row r="728" spans="1:2" ht="15.75" customHeight="1" x14ac:dyDescent="0.2">
      <c r="A728" s="6"/>
      <c r="B728" s="6"/>
    </row>
    <row r="729" spans="1:2" ht="15.75" customHeight="1" x14ac:dyDescent="0.2">
      <c r="A729" s="6"/>
      <c r="B729" s="6"/>
    </row>
    <row r="730" spans="1:2" ht="15.75" customHeight="1" x14ac:dyDescent="0.2">
      <c r="A730" s="6"/>
      <c r="B730" s="6"/>
    </row>
    <row r="731" spans="1:2" ht="15.75" customHeight="1" x14ac:dyDescent="0.2">
      <c r="A731" s="6"/>
      <c r="B731" s="6"/>
    </row>
    <row r="732" spans="1:2" ht="15.75" customHeight="1" x14ac:dyDescent="0.2">
      <c r="A732" s="6"/>
      <c r="B732" s="6"/>
    </row>
    <row r="733" spans="1:2" ht="15.75" customHeight="1" x14ac:dyDescent="0.2">
      <c r="A733" s="6"/>
      <c r="B733" s="6"/>
    </row>
    <row r="734" spans="1:2" ht="15.75" customHeight="1" x14ac:dyDescent="0.2">
      <c r="A734" s="6"/>
      <c r="B734" s="6"/>
    </row>
    <row r="735" spans="1:2" ht="15.75" customHeight="1" x14ac:dyDescent="0.2">
      <c r="A735" s="6"/>
      <c r="B735" s="6"/>
    </row>
    <row r="736" spans="1:2" ht="15.75" customHeight="1" x14ac:dyDescent="0.2">
      <c r="A736" s="6"/>
      <c r="B736" s="6"/>
    </row>
    <row r="737" spans="1:2" ht="15.75" customHeight="1" x14ac:dyDescent="0.2">
      <c r="A737" s="6"/>
      <c r="B737" s="6"/>
    </row>
    <row r="738" spans="1:2" ht="15.75" customHeight="1" x14ac:dyDescent="0.2">
      <c r="A738" s="6"/>
      <c r="B738" s="6"/>
    </row>
    <row r="739" spans="1:2" ht="15.75" customHeight="1" x14ac:dyDescent="0.2">
      <c r="A739" s="6"/>
      <c r="B739" s="6"/>
    </row>
    <row r="740" spans="1:2" ht="15.75" customHeight="1" x14ac:dyDescent="0.2">
      <c r="A740" s="6"/>
      <c r="B740" s="6"/>
    </row>
    <row r="741" spans="1:2" ht="15.75" customHeight="1" x14ac:dyDescent="0.2">
      <c r="A741" s="6"/>
      <c r="B741" s="6"/>
    </row>
    <row r="742" spans="1:2" ht="15.75" customHeight="1" x14ac:dyDescent="0.2">
      <c r="A742" s="6"/>
      <c r="B742" s="6"/>
    </row>
    <row r="743" spans="1:2" ht="15.75" customHeight="1" x14ac:dyDescent="0.2">
      <c r="A743" s="6"/>
      <c r="B743" s="6"/>
    </row>
    <row r="744" spans="1:2" ht="15.75" customHeight="1" x14ac:dyDescent="0.2">
      <c r="A744" s="6"/>
      <c r="B744" s="6"/>
    </row>
    <row r="745" spans="1:2" ht="15.75" customHeight="1" x14ac:dyDescent="0.2">
      <c r="A745" s="6"/>
      <c r="B745" s="6"/>
    </row>
    <row r="746" spans="1:2" ht="15.75" customHeight="1" x14ac:dyDescent="0.2">
      <c r="A746" s="6"/>
      <c r="B746" s="6"/>
    </row>
    <row r="747" spans="1:2" ht="15.75" customHeight="1" x14ac:dyDescent="0.2">
      <c r="A747" s="6"/>
      <c r="B747" s="6"/>
    </row>
    <row r="748" spans="1:2" ht="15.75" customHeight="1" x14ac:dyDescent="0.2">
      <c r="A748" s="6"/>
      <c r="B748" s="6"/>
    </row>
    <row r="749" spans="1:2" ht="15.75" customHeight="1" x14ac:dyDescent="0.2">
      <c r="A749" s="6"/>
      <c r="B749" s="6"/>
    </row>
    <row r="750" spans="1:2" ht="15.75" customHeight="1" x14ac:dyDescent="0.2">
      <c r="A750" s="6"/>
      <c r="B750" s="6"/>
    </row>
    <row r="751" spans="1:2" ht="15.75" customHeight="1" x14ac:dyDescent="0.2">
      <c r="A751" s="6"/>
      <c r="B751" s="6"/>
    </row>
    <row r="752" spans="1:2" ht="15.75" customHeight="1" x14ac:dyDescent="0.2">
      <c r="A752" s="6"/>
      <c r="B752" s="6"/>
    </row>
    <row r="753" spans="1:2" ht="15.75" customHeight="1" x14ac:dyDescent="0.2">
      <c r="A753" s="6"/>
      <c r="B753" s="6"/>
    </row>
    <row r="754" spans="1:2" ht="15.75" customHeight="1" x14ac:dyDescent="0.2">
      <c r="A754" s="6"/>
      <c r="B754" s="6"/>
    </row>
    <row r="755" spans="1:2" ht="15.75" customHeight="1" x14ac:dyDescent="0.2">
      <c r="A755" s="6"/>
      <c r="B755" s="6"/>
    </row>
    <row r="756" spans="1:2" ht="15.75" customHeight="1" x14ac:dyDescent="0.2">
      <c r="A756" s="6"/>
      <c r="B756" s="6"/>
    </row>
    <row r="757" spans="1:2" ht="15.75" customHeight="1" x14ac:dyDescent="0.2">
      <c r="A757" s="6"/>
      <c r="B757" s="6"/>
    </row>
    <row r="758" spans="1:2" ht="15.75" customHeight="1" x14ac:dyDescent="0.2">
      <c r="A758" s="6"/>
      <c r="B758" s="6"/>
    </row>
    <row r="759" spans="1:2" ht="15.75" customHeight="1" x14ac:dyDescent="0.2">
      <c r="A759" s="6"/>
      <c r="B759" s="6"/>
    </row>
    <row r="760" spans="1:2" ht="15.75" customHeight="1" x14ac:dyDescent="0.2">
      <c r="A760" s="6"/>
      <c r="B760" s="6"/>
    </row>
    <row r="761" spans="1:2" ht="15.75" customHeight="1" x14ac:dyDescent="0.2">
      <c r="A761" s="6"/>
      <c r="B761" s="6"/>
    </row>
    <row r="762" spans="1:2" ht="15.75" customHeight="1" x14ac:dyDescent="0.2">
      <c r="A762" s="6"/>
      <c r="B762" s="6"/>
    </row>
    <row r="763" spans="1:2" ht="15.75" customHeight="1" x14ac:dyDescent="0.2">
      <c r="A763" s="6"/>
      <c r="B763" s="6"/>
    </row>
    <row r="764" spans="1:2" ht="15.75" customHeight="1" x14ac:dyDescent="0.2">
      <c r="A764" s="6"/>
      <c r="B764" s="6"/>
    </row>
    <row r="765" spans="1:2" ht="15.75" customHeight="1" x14ac:dyDescent="0.2">
      <c r="A765" s="6"/>
      <c r="B765" s="6"/>
    </row>
    <row r="766" spans="1:2" ht="15.75" customHeight="1" x14ac:dyDescent="0.2">
      <c r="A766" s="6"/>
      <c r="B766" s="6"/>
    </row>
    <row r="767" spans="1:2" ht="15.75" customHeight="1" x14ac:dyDescent="0.2">
      <c r="A767" s="6"/>
      <c r="B767" s="6"/>
    </row>
    <row r="768" spans="1:2" ht="15.75" customHeight="1" x14ac:dyDescent="0.2">
      <c r="A768" s="6"/>
      <c r="B768" s="6"/>
    </row>
    <row r="769" spans="1:2" ht="15.75" customHeight="1" x14ac:dyDescent="0.2">
      <c r="A769" s="6"/>
      <c r="B769" s="6"/>
    </row>
    <row r="770" spans="1:2" ht="15.75" customHeight="1" x14ac:dyDescent="0.2">
      <c r="A770" s="6"/>
      <c r="B770" s="6"/>
    </row>
    <row r="771" spans="1:2" ht="15.75" customHeight="1" x14ac:dyDescent="0.2">
      <c r="A771" s="6"/>
      <c r="B771" s="6"/>
    </row>
    <row r="772" spans="1:2" ht="15.75" customHeight="1" x14ac:dyDescent="0.2">
      <c r="A772" s="6"/>
      <c r="B772" s="6"/>
    </row>
    <row r="773" spans="1:2" ht="15.75" customHeight="1" x14ac:dyDescent="0.2">
      <c r="A773" s="6"/>
      <c r="B773" s="6"/>
    </row>
    <row r="774" spans="1:2" ht="15.75" customHeight="1" x14ac:dyDescent="0.2">
      <c r="A774" s="6"/>
      <c r="B774" s="6"/>
    </row>
    <row r="775" spans="1:2" ht="15.75" customHeight="1" x14ac:dyDescent="0.2">
      <c r="A775" s="6"/>
      <c r="B775" s="6"/>
    </row>
    <row r="776" spans="1:2" ht="15.75" customHeight="1" x14ac:dyDescent="0.2">
      <c r="A776" s="6"/>
      <c r="B776" s="6"/>
    </row>
    <row r="777" spans="1:2" ht="15.75" customHeight="1" x14ac:dyDescent="0.2">
      <c r="A777" s="6"/>
      <c r="B777" s="6"/>
    </row>
    <row r="778" spans="1:2" ht="15.75" customHeight="1" x14ac:dyDescent="0.2">
      <c r="A778" s="6"/>
      <c r="B778" s="6"/>
    </row>
    <row r="779" spans="1:2" ht="15.75" customHeight="1" x14ac:dyDescent="0.2">
      <c r="A779" s="6"/>
      <c r="B779" s="6"/>
    </row>
    <row r="780" spans="1:2" ht="15.75" customHeight="1" x14ac:dyDescent="0.2">
      <c r="A780" s="6"/>
      <c r="B780" s="6"/>
    </row>
    <row r="781" spans="1:2" ht="15.75" customHeight="1" x14ac:dyDescent="0.2">
      <c r="A781" s="6"/>
      <c r="B781" s="6"/>
    </row>
    <row r="782" spans="1:2" ht="15.75" customHeight="1" x14ac:dyDescent="0.2">
      <c r="A782" s="6"/>
      <c r="B782" s="6"/>
    </row>
    <row r="783" spans="1:2" ht="15.75" customHeight="1" x14ac:dyDescent="0.2">
      <c r="A783" s="6"/>
      <c r="B783" s="6"/>
    </row>
    <row r="784" spans="1:2" ht="15.75" customHeight="1" x14ac:dyDescent="0.2">
      <c r="A784" s="6"/>
      <c r="B784" s="6"/>
    </row>
    <row r="785" spans="1:2" ht="15.75" customHeight="1" x14ac:dyDescent="0.2">
      <c r="A785" s="6"/>
      <c r="B785" s="6"/>
    </row>
    <row r="786" spans="1:2" ht="15.75" customHeight="1" x14ac:dyDescent="0.2">
      <c r="A786" s="6"/>
      <c r="B786" s="6"/>
    </row>
    <row r="787" spans="1:2" ht="15.75" customHeight="1" x14ac:dyDescent="0.2">
      <c r="A787" s="6"/>
      <c r="B787" s="6"/>
    </row>
    <row r="788" spans="1:2" ht="15.75" customHeight="1" x14ac:dyDescent="0.2">
      <c r="A788" s="6"/>
      <c r="B788" s="6"/>
    </row>
    <row r="789" spans="1:2" ht="15.75" customHeight="1" x14ac:dyDescent="0.2">
      <c r="A789" s="6"/>
      <c r="B789" s="6"/>
    </row>
    <row r="790" spans="1:2" ht="15.75" customHeight="1" x14ac:dyDescent="0.2">
      <c r="A790" s="6"/>
      <c r="B790" s="6"/>
    </row>
    <row r="791" spans="1:2" ht="15.75" customHeight="1" x14ac:dyDescent="0.2">
      <c r="A791" s="6"/>
      <c r="B791" s="6"/>
    </row>
    <row r="792" spans="1:2" ht="15.75" customHeight="1" x14ac:dyDescent="0.2">
      <c r="A792" s="6"/>
      <c r="B792" s="6"/>
    </row>
    <row r="793" spans="1:2" ht="15.75" customHeight="1" x14ac:dyDescent="0.2">
      <c r="A793" s="6"/>
      <c r="B793" s="6"/>
    </row>
    <row r="794" spans="1:2" ht="15.75" customHeight="1" x14ac:dyDescent="0.2">
      <c r="A794" s="6"/>
      <c r="B794" s="6"/>
    </row>
    <row r="795" spans="1:2" ht="15.75" customHeight="1" x14ac:dyDescent="0.2">
      <c r="A795" s="6"/>
      <c r="B795" s="6"/>
    </row>
    <row r="796" spans="1:2" ht="15.75" customHeight="1" x14ac:dyDescent="0.2">
      <c r="A796" s="6"/>
      <c r="B796" s="6"/>
    </row>
    <row r="797" spans="1:2" ht="15.75" customHeight="1" x14ac:dyDescent="0.2">
      <c r="A797" s="6"/>
      <c r="B797" s="6"/>
    </row>
    <row r="798" spans="1:2" ht="15.75" customHeight="1" x14ac:dyDescent="0.2">
      <c r="A798" s="6"/>
      <c r="B798" s="6"/>
    </row>
    <row r="799" spans="1:2" ht="15.75" customHeight="1" x14ac:dyDescent="0.2">
      <c r="A799" s="6"/>
      <c r="B799" s="6"/>
    </row>
    <row r="800" spans="1:2" ht="15.75" customHeight="1" x14ac:dyDescent="0.2">
      <c r="A800" s="6"/>
      <c r="B800" s="6"/>
    </row>
    <row r="801" spans="1:2" ht="15.75" customHeight="1" x14ac:dyDescent="0.2">
      <c r="A801" s="6"/>
      <c r="B801" s="6"/>
    </row>
    <row r="802" spans="1:2" ht="15.75" customHeight="1" x14ac:dyDescent="0.2">
      <c r="A802" s="6"/>
      <c r="B802" s="6"/>
    </row>
    <row r="803" spans="1:2" ht="15.75" customHeight="1" x14ac:dyDescent="0.2">
      <c r="A803" s="6"/>
      <c r="B803" s="6"/>
    </row>
    <row r="804" spans="1:2" ht="15.75" customHeight="1" x14ac:dyDescent="0.2">
      <c r="A804" s="6"/>
      <c r="B804" s="6"/>
    </row>
    <row r="805" spans="1:2" ht="15.75" customHeight="1" x14ac:dyDescent="0.2">
      <c r="A805" s="6"/>
      <c r="B805" s="6"/>
    </row>
    <row r="806" spans="1:2" ht="15.75" customHeight="1" x14ac:dyDescent="0.2">
      <c r="A806" s="6"/>
      <c r="B806" s="6"/>
    </row>
    <row r="807" spans="1:2" ht="15.75" customHeight="1" x14ac:dyDescent="0.2">
      <c r="A807" s="6"/>
      <c r="B807" s="6"/>
    </row>
    <row r="808" spans="1:2" ht="15.75" customHeight="1" x14ac:dyDescent="0.2">
      <c r="A808" s="6"/>
      <c r="B808" s="6"/>
    </row>
    <row r="809" spans="1:2" ht="15.75" customHeight="1" x14ac:dyDescent="0.2">
      <c r="A809" s="6"/>
      <c r="B809" s="6"/>
    </row>
    <row r="810" spans="1:2" ht="15.75" customHeight="1" x14ac:dyDescent="0.2">
      <c r="A810" s="6"/>
      <c r="B810" s="6"/>
    </row>
    <row r="811" spans="1:2" ht="15.75" customHeight="1" x14ac:dyDescent="0.2">
      <c r="A811" s="6"/>
      <c r="B811" s="6"/>
    </row>
    <row r="812" spans="1:2" ht="15.75" customHeight="1" x14ac:dyDescent="0.2">
      <c r="A812" s="6"/>
      <c r="B812" s="6"/>
    </row>
    <row r="813" spans="1:2" ht="15.75" customHeight="1" x14ac:dyDescent="0.2">
      <c r="A813" s="6"/>
      <c r="B813" s="6"/>
    </row>
    <row r="814" spans="1:2" ht="15.75" customHeight="1" x14ac:dyDescent="0.2">
      <c r="A814" s="6"/>
      <c r="B814" s="6"/>
    </row>
    <row r="815" spans="1:2" ht="15.75" customHeight="1" x14ac:dyDescent="0.2">
      <c r="A815" s="6"/>
      <c r="B815" s="6"/>
    </row>
    <row r="816" spans="1:2" ht="15.75" customHeight="1" x14ac:dyDescent="0.2">
      <c r="A816" s="6"/>
      <c r="B816" s="6"/>
    </row>
    <row r="817" spans="1:2" ht="15.75" customHeight="1" x14ac:dyDescent="0.2">
      <c r="A817" s="6"/>
      <c r="B817" s="6"/>
    </row>
    <row r="818" spans="1:2" ht="15.75" customHeight="1" x14ac:dyDescent="0.2">
      <c r="A818" s="6"/>
      <c r="B818" s="6"/>
    </row>
    <row r="819" spans="1:2" ht="15.75" customHeight="1" x14ac:dyDescent="0.2">
      <c r="A819" s="6"/>
      <c r="B819" s="6"/>
    </row>
    <row r="820" spans="1:2" ht="15.75" customHeight="1" x14ac:dyDescent="0.2">
      <c r="A820" s="6"/>
      <c r="B820" s="6"/>
    </row>
    <row r="821" spans="1:2" ht="15.75" customHeight="1" x14ac:dyDescent="0.2">
      <c r="A821" s="6"/>
      <c r="B821" s="6"/>
    </row>
    <row r="822" spans="1:2" ht="15.75" customHeight="1" x14ac:dyDescent="0.2">
      <c r="A822" s="6"/>
      <c r="B822" s="6"/>
    </row>
    <row r="823" spans="1:2" ht="15.75" customHeight="1" x14ac:dyDescent="0.2">
      <c r="A823" s="6"/>
      <c r="B823" s="6"/>
    </row>
    <row r="824" spans="1:2" ht="15.75" customHeight="1" x14ac:dyDescent="0.2">
      <c r="A824" s="6"/>
      <c r="B824" s="6"/>
    </row>
    <row r="825" spans="1:2" ht="15.75" customHeight="1" x14ac:dyDescent="0.2">
      <c r="A825" s="6"/>
      <c r="B825" s="6"/>
    </row>
    <row r="826" spans="1:2" ht="15.75" customHeight="1" x14ac:dyDescent="0.2">
      <c r="A826" s="6"/>
      <c r="B826" s="6"/>
    </row>
    <row r="827" spans="1:2" ht="15.75" customHeight="1" x14ac:dyDescent="0.2">
      <c r="A827" s="6"/>
      <c r="B827" s="6"/>
    </row>
    <row r="828" spans="1:2" ht="15.75" customHeight="1" x14ac:dyDescent="0.2">
      <c r="A828" s="6"/>
      <c r="B828" s="6"/>
    </row>
    <row r="829" spans="1:2" ht="15.75" customHeight="1" x14ac:dyDescent="0.2">
      <c r="A829" s="6"/>
      <c r="B829" s="6"/>
    </row>
    <row r="830" spans="1:2" ht="15.75" customHeight="1" x14ac:dyDescent="0.2">
      <c r="A830" s="6"/>
      <c r="B830" s="6"/>
    </row>
    <row r="831" spans="1:2" ht="15.75" customHeight="1" x14ac:dyDescent="0.2">
      <c r="A831" s="6"/>
      <c r="B831" s="6"/>
    </row>
    <row r="832" spans="1:2" ht="15.75" customHeight="1" x14ac:dyDescent="0.2">
      <c r="A832" s="6"/>
      <c r="B832" s="6"/>
    </row>
    <row r="833" spans="1:2" ht="15.75" customHeight="1" x14ac:dyDescent="0.2">
      <c r="A833" s="6"/>
      <c r="B833" s="6"/>
    </row>
    <row r="834" spans="1:2" ht="15.75" customHeight="1" x14ac:dyDescent="0.2">
      <c r="A834" s="6"/>
      <c r="B834" s="6"/>
    </row>
    <row r="835" spans="1:2" ht="15.75" customHeight="1" x14ac:dyDescent="0.2">
      <c r="A835" s="6"/>
      <c r="B835" s="6"/>
    </row>
    <row r="836" spans="1:2" ht="15.75" customHeight="1" x14ac:dyDescent="0.2">
      <c r="A836" s="6"/>
      <c r="B836" s="6"/>
    </row>
    <row r="837" spans="1:2" ht="15.75" customHeight="1" x14ac:dyDescent="0.2">
      <c r="A837" s="6"/>
      <c r="B837" s="6"/>
    </row>
    <row r="838" spans="1:2" ht="15.75" customHeight="1" x14ac:dyDescent="0.2">
      <c r="A838" s="6"/>
      <c r="B838" s="6"/>
    </row>
    <row r="839" spans="1:2" ht="15.75" customHeight="1" x14ac:dyDescent="0.2">
      <c r="A839" s="6"/>
      <c r="B839" s="6"/>
    </row>
    <row r="840" spans="1:2" ht="15.75" customHeight="1" x14ac:dyDescent="0.2">
      <c r="A840" s="6"/>
      <c r="B840" s="6"/>
    </row>
    <row r="841" spans="1:2" ht="15.75" customHeight="1" x14ac:dyDescent="0.2">
      <c r="A841" s="6"/>
      <c r="B841" s="6"/>
    </row>
    <row r="842" spans="1:2" ht="15.75" customHeight="1" x14ac:dyDescent="0.2">
      <c r="A842" s="6"/>
      <c r="B842" s="6"/>
    </row>
    <row r="843" spans="1:2" ht="15.75" customHeight="1" x14ac:dyDescent="0.2">
      <c r="A843" s="6"/>
      <c r="B843" s="6"/>
    </row>
    <row r="844" spans="1:2" ht="15.75" customHeight="1" x14ac:dyDescent="0.2">
      <c r="A844" s="6"/>
      <c r="B844" s="6"/>
    </row>
    <row r="845" spans="1:2" ht="15.75" customHeight="1" x14ac:dyDescent="0.2">
      <c r="A845" s="6"/>
      <c r="B845" s="6"/>
    </row>
    <row r="846" spans="1:2" ht="15.75" customHeight="1" x14ac:dyDescent="0.2">
      <c r="A846" s="6"/>
      <c r="B846" s="6"/>
    </row>
    <row r="847" spans="1:2" ht="15.75" customHeight="1" x14ac:dyDescent="0.2">
      <c r="A847" s="6"/>
      <c r="B847" s="6"/>
    </row>
    <row r="848" spans="1:2" ht="15.75" customHeight="1" x14ac:dyDescent="0.2">
      <c r="A848" s="6"/>
      <c r="B848" s="6"/>
    </row>
    <row r="849" spans="1:2" ht="15.75" customHeight="1" x14ac:dyDescent="0.2">
      <c r="A849" s="6"/>
      <c r="B849" s="6"/>
    </row>
    <row r="850" spans="1:2" ht="15.75" customHeight="1" x14ac:dyDescent="0.2">
      <c r="A850" s="6"/>
      <c r="B850" s="6"/>
    </row>
    <row r="851" spans="1:2" ht="15.75" customHeight="1" x14ac:dyDescent="0.2">
      <c r="A851" s="6"/>
      <c r="B851" s="6"/>
    </row>
    <row r="852" spans="1:2" ht="15.75" customHeight="1" x14ac:dyDescent="0.2">
      <c r="A852" s="6"/>
      <c r="B852" s="6"/>
    </row>
    <row r="853" spans="1:2" ht="15.75" customHeight="1" x14ac:dyDescent="0.2">
      <c r="A853" s="6"/>
      <c r="B853" s="6"/>
    </row>
    <row r="854" spans="1:2" ht="15.75" customHeight="1" x14ac:dyDescent="0.2">
      <c r="A854" s="6"/>
      <c r="B854" s="6"/>
    </row>
    <row r="855" spans="1:2" ht="15.75" customHeight="1" x14ac:dyDescent="0.2">
      <c r="A855" s="6"/>
      <c r="B855" s="6"/>
    </row>
    <row r="856" spans="1:2" ht="15.75" customHeight="1" x14ac:dyDescent="0.2">
      <c r="A856" s="6"/>
      <c r="B856" s="6"/>
    </row>
    <row r="857" spans="1:2" ht="15.75" customHeight="1" x14ac:dyDescent="0.2">
      <c r="A857" s="6"/>
      <c r="B857" s="6"/>
    </row>
    <row r="858" spans="1:2" ht="15.75" customHeight="1" x14ac:dyDescent="0.2">
      <c r="A858" s="6"/>
      <c r="B858" s="6"/>
    </row>
    <row r="859" spans="1:2" ht="15.75" customHeight="1" x14ac:dyDescent="0.2">
      <c r="A859" s="6"/>
      <c r="B859" s="6"/>
    </row>
    <row r="860" spans="1:2" ht="15.75" customHeight="1" x14ac:dyDescent="0.2">
      <c r="A860" s="6"/>
      <c r="B860" s="6"/>
    </row>
    <row r="861" spans="1:2" ht="15.75" customHeight="1" x14ac:dyDescent="0.2">
      <c r="A861" s="6"/>
      <c r="B861" s="6"/>
    </row>
    <row r="862" spans="1:2" ht="15.75" customHeight="1" x14ac:dyDescent="0.2">
      <c r="A862" s="6"/>
      <c r="B862" s="6"/>
    </row>
    <row r="863" spans="1:2" ht="15.75" customHeight="1" x14ac:dyDescent="0.2">
      <c r="A863" s="6"/>
      <c r="B863" s="6"/>
    </row>
    <row r="864" spans="1:2" ht="15.75" customHeight="1" x14ac:dyDescent="0.2">
      <c r="A864" s="6"/>
      <c r="B864" s="6"/>
    </row>
    <row r="865" spans="1:2" ht="15.75" customHeight="1" x14ac:dyDescent="0.2">
      <c r="A865" s="6"/>
      <c r="B865" s="6"/>
    </row>
    <row r="866" spans="1:2" ht="15.75" customHeight="1" x14ac:dyDescent="0.2">
      <c r="A866" s="6"/>
      <c r="B866" s="6"/>
    </row>
    <row r="867" spans="1:2" ht="15.75" customHeight="1" x14ac:dyDescent="0.2">
      <c r="A867" s="6"/>
      <c r="B867" s="6"/>
    </row>
    <row r="868" spans="1:2" ht="15.75" customHeight="1" x14ac:dyDescent="0.2">
      <c r="A868" s="6"/>
      <c r="B868" s="6"/>
    </row>
    <row r="869" spans="1:2" ht="15.75" customHeight="1" x14ac:dyDescent="0.2">
      <c r="A869" s="6"/>
      <c r="B869" s="6"/>
    </row>
    <row r="870" spans="1:2" ht="15.75" customHeight="1" x14ac:dyDescent="0.2">
      <c r="A870" s="6"/>
      <c r="B870" s="6"/>
    </row>
    <row r="871" spans="1:2" ht="15.75" customHeight="1" x14ac:dyDescent="0.2">
      <c r="A871" s="6"/>
      <c r="B871" s="6"/>
    </row>
    <row r="872" spans="1:2" ht="15.75" customHeight="1" x14ac:dyDescent="0.2">
      <c r="A872" s="6"/>
      <c r="B872" s="6"/>
    </row>
    <row r="873" spans="1:2" ht="15.75" customHeight="1" x14ac:dyDescent="0.2">
      <c r="A873" s="6"/>
      <c r="B873" s="6"/>
    </row>
    <row r="874" spans="1:2" ht="15.75" customHeight="1" x14ac:dyDescent="0.2">
      <c r="A874" s="6"/>
      <c r="B874" s="6"/>
    </row>
    <row r="875" spans="1:2" ht="15.75" customHeight="1" x14ac:dyDescent="0.2">
      <c r="A875" s="6"/>
      <c r="B875" s="6"/>
    </row>
    <row r="876" spans="1:2" ht="15.75" customHeight="1" x14ac:dyDescent="0.2">
      <c r="A876" s="6"/>
      <c r="B876" s="6"/>
    </row>
    <row r="877" spans="1:2" ht="15.75" customHeight="1" x14ac:dyDescent="0.2">
      <c r="A877" s="6"/>
      <c r="B877" s="6"/>
    </row>
    <row r="878" spans="1:2" ht="15.75" customHeight="1" x14ac:dyDescent="0.2">
      <c r="A878" s="6"/>
      <c r="B878" s="6"/>
    </row>
    <row r="879" spans="1:2" ht="15.75" customHeight="1" x14ac:dyDescent="0.2">
      <c r="A879" s="6"/>
      <c r="B879" s="6"/>
    </row>
    <row r="880" spans="1:2" ht="15.75" customHeight="1" x14ac:dyDescent="0.2">
      <c r="A880" s="6"/>
      <c r="B880" s="6"/>
    </row>
    <row r="881" spans="1:2" ht="15.75" customHeight="1" x14ac:dyDescent="0.2">
      <c r="A881" s="6"/>
      <c r="B881" s="6"/>
    </row>
    <row r="882" spans="1:2" ht="15.75" customHeight="1" x14ac:dyDescent="0.2">
      <c r="A882" s="6"/>
      <c r="B882" s="6"/>
    </row>
    <row r="883" spans="1:2" ht="15.75" customHeight="1" x14ac:dyDescent="0.2">
      <c r="A883" s="6"/>
      <c r="B883" s="6"/>
    </row>
    <row r="884" spans="1:2" ht="15.75" customHeight="1" x14ac:dyDescent="0.2">
      <c r="A884" s="6"/>
      <c r="B884" s="6"/>
    </row>
    <row r="885" spans="1:2" ht="15.75" customHeight="1" x14ac:dyDescent="0.2">
      <c r="A885" s="6"/>
      <c r="B885" s="6"/>
    </row>
    <row r="886" spans="1:2" ht="15.75" customHeight="1" x14ac:dyDescent="0.2">
      <c r="A886" s="6"/>
      <c r="B886" s="6"/>
    </row>
    <row r="887" spans="1:2" ht="15.75" customHeight="1" x14ac:dyDescent="0.2">
      <c r="A887" s="6"/>
      <c r="B887" s="6"/>
    </row>
    <row r="888" spans="1:2" ht="15.75" customHeight="1" x14ac:dyDescent="0.2">
      <c r="A888" s="6"/>
      <c r="B888" s="6"/>
    </row>
    <row r="889" spans="1:2" ht="15.75" customHeight="1" x14ac:dyDescent="0.2">
      <c r="A889" s="6"/>
      <c r="B889" s="6"/>
    </row>
    <row r="890" spans="1:2" ht="15.75" customHeight="1" x14ac:dyDescent="0.2">
      <c r="A890" s="6"/>
      <c r="B890" s="6"/>
    </row>
    <row r="891" spans="1:2" ht="15.75" customHeight="1" x14ac:dyDescent="0.2">
      <c r="A891" s="6"/>
      <c r="B891" s="6"/>
    </row>
    <row r="892" spans="1:2" ht="15.75" customHeight="1" x14ac:dyDescent="0.2">
      <c r="A892" s="6"/>
      <c r="B892" s="6"/>
    </row>
    <row r="893" spans="1:2" ht="15.75" customHeight="1" x14ac:dyDescent="0.2">
      <c r="A893" s="6"/>
      <c r="B893" s="6"/>
    </row>
    <row r="894" spans="1:2" ht="15.75" customHeight="1" x14ac:dyDescent="0.2">
      <c r="A894" s="6"/>
      <c r="B894" s="6"/>
    </row>
    <row r="895" spans="1:2" ht="15.75" customHeight="1" x14ac:dyDescent="0.2">
      <c r="A895" s="6"/>
      <c r="B895" s="6"/>
    </row>
    <row r="896" spans="1:2" ht="15.75" customHeight="1" x14ac:dyDescent="0.2">
      <c r="A896" s="6"/>
      <c r="B896" s="6"/>
    </row>
    <row r="897" spans="1:2" ht="15.75" customHeight="1" x14ac:dyDescent="0.2">
      <c r="A897" s="6"/>
      <c r="B897" s="6"/>
    </row>
    <row r="898" spans="1:2" ht="15.75" customHeight="1" x14ac:dyDescent="0.2">
      <c r="A898" s="6"/>
      <c r="B898" s="6"/>
    </row>
    <row r="899" spans="1:2" ht="15.75" customHeight="1" x14ac:dyDescent="0.2">
      <c r="A899" s="6"/>
      <c r="B899" s="6"/>
    </row>
    <row r="900" spans="1:2" ht="15.75" customHeight="1" x14ac:dyDescent="0.2">
      <c r="A900" s="6"/>
      <c r="B900" s="6"/>
    </row>
    <row r="901" spans="1:2" ht="15.75" customHeight="1" x14ac:dyDescent="0.2">
      <c r="A901" s="6"/>
      <c r="B901" s="6"/>
    </row>
    <row r="902" spans="1:2" ht="15.75" customHeight="1" x14ac:dyDescent="0.2">
      <c r="A902" s="6"/>
      <c r="B902" s="6"/>
    </row>
    <row r="903" spans="1:2" ht="15.75" customHeight="1" x14ac:dyDescent="0.2">
      <c r="A903" s="6"/>
      <c r="B903" s="6"/>
    </row>
    <row r="904" spans="1:2" ht="15.75" customHeight="1" x14ac:dyDescent="0.2">
      <c r="A904" s="6"/>
      <c r="B904" s="6"/>
    </row>
    <row r="905" spans="1:2" ht="15.75" customHeight="1" x14ac:dyDescent="0.2">
      <c r="A905" s="6"/>
      <c r="B905" s="6"/>
    </row>
    <row r="906" spans="1:2" ht="15.75" customHeight="1" x14ac:dyDescent="0.2">
      <c r="A906" s="6"/>
      <c r="B906" s="6"/>
    </row>
    <row r="907" spans="1:2" ht="15.75" customHeight="1" x14ac:dyDescent="0.2">
      <c r="A907" s="6"/>
      <c r="B907" s="6"/>
    </row>
    <row r="908" spans="1:2" ht="15.75" customHeight="1" x14ac:dyDescent="0.2">
      <c r="A908" s="6"/>
      <c r="B908" s="6"/>
    </row>
    <row r="909" spans="1:2" ht="15.75" customHeight="1" x14ac:dyDescent="0.2">
      <c r="A909" s="6"/>
      <c r="B909" s="6"/>
    </row>
    <row r="910" spans="1:2" ht="15.75" customHeight="1" x14ac:dyDescent="0.2">
      <c r="A910" s="6"/>
      <c r="B910" s="6"/>
    </row>
    <row r="911" spans="1:2" ht="15.75" customHeight="1" x14ac:dyDescent="0.2"/>
    <row r="912" spans="1: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rintOptions horizontalCentered="1"/>
  <pageMargins left="0.7" right="0.7" top="0.75" bottom="0.75" header="0" footer="0"/>
  <pageSetup paperSize="9" fitToWidth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Feb_2025</vt:lpstr>
      <vt:lpstr>Mar_2025</vt:lpstr>
      <vt:lpstr>April_2025</vt:lpstr>
      <vt:lpstr>May_2025</vt:lpstr>
      <vt:lpstr>June_2025</vt:lpstr>
      <vt:lpstr>July_2025</vt:lpstr>
      <vt:lpstr>Aug_2025</vt:lpstr>
      <vt:lpstr>Sep_2025</vt:lpstr>
      <vt:lpstr>Oct_2025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2026-03-11T08:05:20Z</dcterms:created>
  <dcterms:modified xsi:type="dcterms:W3CDTF">2026-03-16T04:49:09Z</dcterms:modified>
</cp:coreProperties>
</file>