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elper" sheetId="1" r:id="rId4"/>
    <sheet state="visible" name="Feb_2025" sheetId="2" r:id="rId5"/>
    <sheet state="visible" name="Mar_2025" sheetId="3" r:id="rId6"/>
    <sheet state="visible" name="April_2025" sheetId="4" r:id="rId7"/>
    <sheet state="visible" name="May_2025" sheetId="5" r:id="rId8"/>
    <sheet state="visible" name="June_2025" sheetId="6" r:id="rId9"/>
    <sheet state="visible" name="July_2025" sheetId="7" r:id="rId10"/>
    <sheet state="visible" name="Aug_2025" sheetId="8" r:id="rId11"/>
    <sheet state="visible" name="Sep_2025" sheetId="9" r:id="rId12"/>
    <sheet state="visible" name="Oct_2025" sheetId="10" r:id="rId13"/>
  </sheets>
  <definedNames/>
  <calcPr/>
  <extLst>
    <ext uri="GoogleSheetsCustomDataVersion2">
      <go:sheetsCustomData xmlns:go="http://customooxmlschemas.google.com/" r:id="rId14" roundtripDataChecksum="UxZhKLsaYRtqYUS0KPCI09fv+oxlFcqUQV0Vgjr/M2k="/>
    </ext>
  </extLst>
</workbook>
</file>

<file path=xl/sharedStrings.xml><?xml version="1.0" encoding="utf-8"?>
<sst xmlns="http://schemas.openxmlformats.org/spreadsheetml/2006/main" count="91" uniqueCount="11">
  <si>
    <t>Period</t>
  </si>
  <si>
    <t xml:space="preserve">Start </t>
  </si>
  <si>
    <t>Balance Check</t>
  </si>
  <si>
    <t>End</t>
  </si>
  <si>
    <t>Account Name</t>
  </si>
  <si>
    <t>COA Account Number</t>
  </si>
  <si>
    <t>Opening Balance (MMK)</t>
  </si>
  <si>
    <t>Debits (MMK)</t>
  </si>
  <si>
    <t>Credits (MMK)</t>
  </si>
  <si>
    <t>Ending Balance (MMK)</t>
  </si>
  <si>
    <t>COGS per box - 6593 MMK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</si>
</sst>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"/>
    <numFmt numFmtId="165" formatCode="dd/MM/yyyy"/>
  </numFmts>
  <fonts count="4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7CB4D"/>
        <bgColor rgb="FFF7CB4D"/>
      </patternFill>
    </fill>
  </fills>
  <borders count="1">
    <border/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3" xfId="0" applyFont="1" applyNumberFormat="1"/>
    <xf borderId="0" fillId="0" fontId="1" numFmtId="0" xfId="0" applyFont="1"/>
    <xf borderId="0" fillId="0" fontId="1" numFmtId="3" xfId="0" applyFont="1" applyNumberFormat="1"/>
    <xf borderId="0" fillId="2" fontId="2" numFmtId="0" xfId="0" applyAlignment="1" applyFill="1" applyFont="1">
      <alignment vertical="bottom"/>
    </xf>
    <xf borderId="0" fillId="2" fontId="2" numFmtId="3" xfId="0" applyAlignment="1" applyFont="1" applyNumberFormat="1">
      <alignment vertical="bottom"/>
    </xf>
    <xf borderId="0" fillId="0" fontId="1" numFmtId="164" xfId="0" applyFont="1" applyNumberFormat="1"/>
    <xf borderId="0" fillId="0" fontId="1" numFmtId="165" xfId="0" applyFont="1" applyNumberFormat="1"/>
    <xf borderId="0" fillId="0" fontId="1" numFmtId="49" xfId="0" applyAlignment="1" applyFont="1" applyNumberFormat="1">
      <alignment vertical="bottom"/>
    </xf>
    <xf borderId="0" fillId="0" fontId="1" numFmtId="0" xfId="0" applyAlignment="1" applyFont="1">
      <alignment vertical="bottom"/>
    </xf>
    <xf borderId="0" fillId="0" fontId="1" numFmtId="49" xfId="0" applyFont="1" applyNumberFormat="1"/>
    <xf borderId="0" fillId="0" fontId="1" numFmtId="4" xfId="0" applyFont="1" applyNumberFormat="1"/>
    <xf borderId="0" fillId="0" fontId="1" numFmtId="4" xfId="0" applyFont="1" applyNumberFormat="1"/>
    <xf borderId="0" fillId="0" fontId="3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F7CB4D"/>
          <bgColor rgb="FFF7CB4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EF8E3"/>
          <bgColor rgb="FFFEF8E3"/>
        </patternFill>
      </fill>
      <border/>
    </dxf>
  </dxfs>
  <tableStyles count="11">
    <tableStyle count="3" pivot="0" name="Helper-style">
      <tableStyleElement dxfId="1" type="headerRow"/>
      <tableStyleElement dxfId="2" type="firstRowStripe"/>
      <tableStyleElement dxfId="3" type="secondRowStripe"/>
    </tableStyle>
    <tableStyle count="3" pivot="0" name="Helper-style 2">
      <tableStyleElement dxfId="1" type="headerRow"/>
      <tableStyleElement dxfId="2" type="firstRowStripe"/>
      <tableStyleElement dxfId="3" type="secondRowStripe"/>
    </tableStyle>
    <tableStyle count="3" pivot="0" name="Feb_2025-style">
      <tableStyleElement dxfId="1" type="headerRow"/>
      <tableStyleElement dxfId="2" type="firstRowStripe"/>
      <tableStyleElement dxfId="3" type="secondRowStripe"/>
    </tableStyle>
    <tableStyle count="3" pivot="0" name="Mar_2025-style">
      <tableStyleElement dxfId="1" type="headerRow"/>
      <tableStyleElement dxfId="2" type="firstRowStripe"/>
      <tableStyleElement dxfId="3" type="secondRowStripe"/>
    </tableStyle>
    <tableStyle count="3" pivot="0" name="April_2025-style">
      <tableStyleElement dxfId="1" type="headerRow"/>
      <tableStyleElement dxfId="2" type="firstRowStripe"/>
      <tableStyleElement dxfId="3" type="secondRowStripe"/>
    </tableStyle>
    <tableStyle count="3" pivot="0" name="May_2025-style">
      <tableStyleElement dxfId="1" type="headerRow"/>
      <tableStyleElement dxfId="2" type="firstRowStripe"/>
      <tableStyleElement dxfId="3" type="secondRowStripe"/>
    </tableStyle>
    <tableStyle count="3" pivot="0" name="June_2025-style">
      <tableStyleElement dxfId="1" type="headerRow"/>
      <tableStyleElement dxfId="2" type="firstRowStripe"/>
      <tableStyleElement dxfId="3" type="secondRowStripe"/>
    </tableStyle>
    <tableStyle count="3" pivot="0" name="July_2025-style">
      <tableStyleElement dxfId="1" type="headerRow"/>
      <tableStyleElement dxfId="2" type="firstRowStripe"/>
      <tableStyleElement dxfId="3" type="secondRowStripe"/>
    </tableStyle>
    <tableStyle count="3" pivot="0" name="Aug_2025-style">
      <tableStyleElement dxfId="1" type="headerRow"/>
      <tableStyleElement dxfId="2" type="firstRowStripe"/>
      <tableStyleElement dxfId="3" type="secondRowStripe"/>
    </tableStyle>
    <tableStyle count="3" pivot="0" name="Sep_2025-style">
      <tableStyleElement dxfId="1" type="headerRow"/>
      <tableStyleElement dxfId="2" type="firstRowStripe"/>
      <tableStyleElement dxfId="3" type="secondRowStripe"/>
    </tableStyle>
    <tableStyle count="3" pivot="0" name="Oct_2025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4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B4:G60" displayName="Table_1" name="Table_1" id="1">
  <tableColumns count="6">
    <tableColumn name="Column1" id="1"/>
    <tableColumn name="Column2" id="2"/>
    <tableColumn name="Column3" id="3"/>
    <tableColumn name="Column4" id="4"/>
    <tableColumn name="Column5" id="5"/>
    <tableColumn name="Column6" id="6"/>
  </tableColumns>
  <tableStyleInfo name="Helper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ref="B98:G147" displayName="Table_2" name="Table_2" id="2">
  <tableColumns count="6">
    <tableColumn name="#REF!" id="1"/>
    <tableColumn name="" id="2"/>
    <tableColumn name=" 2" id="3"/>
    <tableColumn name=" 3" id="4"/>
    <tableColumn name=" 4" id="5"/>
    <tableColumn name=" 5" id="6"/>
  </tableColumns>
  <tableStyleInfo name="Helper-style 2" showColumnStripes="0" showFirstColumn="1" showLastColumn="1" showRowStripes="1"/>
</table>
</file>

<file path=xl/tables/table3.xml><?xml version="1.0" encoding="utf-8"?>
<table xmlns="http://schemas.openxmlformats.org/spreadsheetml/2006/main" ref="A7:F63" displayName="Table_3" name="Table_3" id="3">
  <tableColumns count="6">
    <tableColumn name="Account Name" id="1"/>
    <tableColumn name="COA Account Number" id="2"/>
    <tableColumn name="Opening Balance (MMK)" id="3"/>
    <tableColumn name="Debits (MMK)" id="4"/>
    <tableColumn name="Credits (MMK)" id="5"/>
    <tableColumn name="Ending Balance (MMK)" id="6"/>
  </tableColumns>
  <tableStyleInfo name="Feb_2025-style" showColumnStripes="0" showFirstColumn="1" showLastColumn="1" showRowStripes="1"/>
</table>
</file>

<file path=xl/tables/table4.xml><?xml version="1.0" encoding="utf-8"?>
<table xmlns="http://schemas.openxmlformats.org/spreadsheetml/2006/main" ref="A7:F63" displayName="Table_4" name="Table_4" id="4">
  <tableColumns count="6">
    <tableColumn name="Account Name" id="1"/>
    <tableColumn name="COA Account Number" id="2"/>
    <tableColumn name="Opening Balance (MMK)" id="3"/>
    <tableColumn name="Debits (MMK)" id="4"/>
    <tableColumn name="Credits (MMK)" id="5"/>
    <tableColumn name="Ending Balance (MMK)" id="6"/>
  </tableColumns>
  <tableStyleInfo name="Mar_2025-style" showColumnStripes="0" showFirstColumn="1" showLastColumn="1" showRowStripes="1"/>
</table>
</file>

<file path=xl/tables/table5.xml><?xml version="1.0" encoding="utf-8"?>
<table xmlns="http://schemas.openxmlformats.org/spreadsheetml/2006/main" ref="A7:F63" displayName="Table_5" name="Table_5" id="5">
  <tableColumns count="6">
    <tableColumn name="Account Name" id="1"/>
    <tableColumn name="COA Account Number" id="2"/>
    <tableColumn name="Opening Balance (MMK)" id="3"/>
    <tableColumn name="Debits (MMK)" id="4"/>
    <tableColumn name="Credits (MMK)" id="5"/>
    <tableColumn name="Ending Balance (MMK)" id="6"/>
  </tableColumns>
  <tableStyleInfo name="April_2025-style" showColumnStripes="0" showFirstColumn="1" showLastColumn="1" showRowStripes="1"/>
</table>
</file>

<file path=xl/tables/table6.xml><?xml version="1.0" encoding="utf-8"?>
<table xmlns="http://schemas.openxmlformats.org/spreadsheetml/2006/main" ref="A7:F63" displayName="Table_6" name="Table_6" id="6">
  <tableColumns count="6">
    <tableColumn name="Account Name" id="1"/>
    <tableColumn name="COA Account Number" id="2"/>
    <tableColumn name="Opening Balance (MMK)" id="3"/>
    <tableColumn name="Debits (MMK)" id="4"/>
    <tableColumn name="Credits (MMK)" id="5"/>
    <tableColumn name="Ending Balance (MMK)" id="6"/>
  </tableColumns>
  <tableStyleInfo name="May_2025-style" showColumnStripes="0" showFirstColumn="1" showLastColumn="1" showRowStripes="1"/>
</table>
</file>

<file path=xl/tables/table7.xml><?xml version="1.0" encoding="utf-8"?>
<table xmlns="http://schemas.openxmlformats.org/spreadsheetml/2006/main" ref="A7:F61" displayName="Table_7" name="Table_7" id="7">
  <tableColumns count="6">
    <tableColumn name="Account Name" id="1"/>
    <tableColumn name="COA Account Number" id="2"/>
    <tableColumn name="Opening Balance (MMK)" id="3"/>
    <tableColumn name="Debits (MMK)" id="4"/>
    <tableColumn name="Credits (MMK)" id="5"/>
    <tableColumn name="Ending Balance (MMK)" id="6"/>
  </tableColumns>
  <tableStyleInfo name="June_2025-style" showColumnStripes="0" showFirstColumn="1" showLastColumn="1" showRowStripes="1"/>
</table>
</file>

<file path=xl/tables/table8.xml><?xml version="1.0" encoding="utf-8"?>
<table xmlns="http://schemas.openxmlformats.org/spreadsheetml/2006/main" ref="A7:F61" displayName="Table_8" name="Table_8" id="8">
  <tableColumns count="6">
    <tableColumn name="Account Name" id="1"/>
    <tableColumn name="COA Account Number" id="2"/>
    <tableColumn name="Opening Balance (MMK)" id="3"/>
    <tableColumn name="Debits (MMK)" id="4"/>
    <tableColumn name="Credits (MMK)" id="5"/>
    <tableColumn name="Ending Balance (MMK)" id="6"/>
  </tableColumns>
  <tableStyleInfo name="July_2025-style" showColumnStripes="0" showFirstColumn="1" showLastColumn="1" showRowStripes="1"/>
</table>
</file>

<file path=xl/tables/table9.xml><?xml version="1.0" encoding="utf-8"?>
<table xmlns="http://schemas.openxmlformats.org/spreadsheetml/2006/main" ref="A7:F63" displayName="Table_9" name="Table_9" id="9">
  <tableColumns count="6">
    <tableColumn name="Account Name" id="1"/>
    <tableColumn name="COA Account Number" id="2"/>
    <tableColumn name="Opening Balance (MMK)" id="3"/>
    <tableColumn name="Debits (MMK)" id="4"/>
    <tableColumn name="Credits (MMK)" id="5"/>
    <tableColumn name="Ending Balance (MMK)" id="6"/>
  </tableColumns>
  <tableStyleInfo name="Aug_2025-style" showColumnStripes="0" showFirstColumn="1" showLastColumn="1" showRowStripes="1"/>
</table>
</file>

<file path=xl/tables/table10.xml><?xml version="1.0" encoding="utf-8"?>
<table xmlns="http://schemas.openxmlformats.org/spreadsheetml/2006/main" ref="A7:F63" displayName="Table_10" name="Table_10" id="10">
  <tableColumns count="6">
    <tableColumn name="Account Name" id="1"/>
    <tableColumn name="COA Account Number" id="2"/>
    <tableColumn name="Opening Balance (MMK)" id="3"/>
    <tableColumn name="Debits (MMK)" id="4"/>
    <tableColumn name="Credits (MMK)" id="5"/>
    <tableColumn name="Ending Balance (MMK)" id="6"/>
  </tableColumns>
  <tableStyleInfo name="Sep_2025-style" showColumnStripes="0" showFirstColumn="1" showLastColumn="1" showRowStripes="1"/>
</table>
</file>

<file path=xl/tables/table11.xml><?xml version="1.0" encoding="utf-8"?>
<table xmlns="http://schemas.openxmlformats.org/spreadsheetml/2006/main" ref="A7:F63" displayName="Table_11" name="Table_11" id="11">
  <tableColumns count="6">
    <tableColumn name="Account Name" id="1"/>
    <tableColumn name="COA Account Number" id="2"/>
    <tableColumn name="Opening Balance (MMK)" id="3"/>
    <tableColumn name="Debits (MMK)" id="4"/>
    <tableColumn name="Credits (MMK)" id="5"/>
    <tableColumn name="Ending Balance (MMK)" id="6"/>
  </tableColumns>
  <tableStyleInfo name="Oct_2025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3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4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5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6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7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8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9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0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0"/>
  <cols>
    <col customWidth="1" min="1" max="1" width="12.63"/>
    <col customWidth="1" min="2" max="2" width="15.5"/>
    <col customWidth="1" min="3" max="3" width="23.13"/>
    <col customWidth="1" min="4" max="4" width="13.38"/>
    <col customWidth="1" min="5" max="5" width="41.88"/>
    <col customWidth="1" min="6" max="6" width="11.38"/>
    <col customWidth="1" min="7" max="7" width="94.88"/>
    <col customWidth="1" min="11" max="11" width="23.75"/>
  </cols>
  <sheetData>
    <row r="1" ht="15.75" customHeight="1"/>
    <row r="2" ht="15.75" customHeight="1"/>
    <row r="3" ht="15.75" customHeight="1"/>
    <row r="4" ht="15.75" customHeight="1">
      <c r="B4" s="1" t="str">
        <f>IFERROR(__xludf.DUMMYFUNCTION("QUERY(IMPORTRANGE(""https://docs.google.com/spreadsheets/d/1adF9kzeJwHB6KqrhtfLpmr0dQ6S8IrjnRL_EJ2WG2X8/edit?gid=0#gid=0"",""COA!B20:G100""),""SELECT *"",1)"),"#REF!")</f>
        <v>#REF!</v>
      </c>
      <c r="C4" s="1"/>
      <c r="D4" s="1"/>
      <c r="E4" s="1"/>
      <c r="F4" s="1"/>
      <c r="G4" s="1"/>
    </row>
    <row r="5" ht="15.75" customHeight="1">
      <c r="B5" s="1"/>
      <c r="C5" s="1"/>
      <c r="D5" s="1"/>
      <c r="E5" s="1"/>
      <c r="F5" s="2"/>
      <c r="G5" s="1"/>
    </row>
    <row r="6" ht="15.75" customHeight="1">
      <c r="B6" s="1"/>
      <c r="C6" s="1"/>
      <c r="D6" s="1"/>
      <c r="E6" s="1"/>
      <c r="F6" s="2"/>
      <c r="G6" s="1"/>
    </row>
    <row r="7" ht="15.75" customHeight="1">
      <c r="B7" s="1"/>
      <c r="C7" s="1"/>
      <c r="D7" s="1"/>
      <c r="E7" s="1"/>
      <c r="F7" s="2"/>
      <c r="G7" s="1"/>
    </row>
    <row r="8" ht="15.75" customHeight="1">
      <c r="B8" s="1"/>
      <c r="C8" s="1"/>
      <c r="D8" s="1"/>
      <c r="E8" s="1"/>
      <c r="F8" s="2"/>
      <c r="G8" s="1"/>
    </row>
    <row r="9" ht="15.75" customHeight="1">
      <c r="B9" s="1"/>
      <c r="C9" s="1"/>
      <c r="D9" s="1"/>
      <c r="E9" s="1"/>
      <c r="F9" s="2"/>
      <c r="G9" s="1"/>
    </row>
    <row r="10" ht="15.75" customHeight="1">
      <c r="B10" s="1"/>
      <c r="C10" s="1"/>
      <c r="D10" s="1"/>
      <c r="E10" s="1"/>
      <c r="F10" s="2"/>
      <c r="G10" s="1"/>
    </row>
    <row r="11" ht="15.75" customHeight="1">
      <c r="B11" s="1"/>
      <c r="C11" s="1"/>
      <c r="D11" s="1"/>
      <c r="E11" s="1"/>
      <c r="F11" s="2"/>
      <c r="G11" s="1"/>
    </row>
    <row r="12" ht="15.75" customHeight="1">
      <c r="B12" s="1"/>
      <c r="C12" s="1"/>
      <c r="D12" s="1"/>
      <c r="E12" s="1"/>
      <c r="F12" s="2"/>
      <c r="G12" s="1"/>
    </row>
    <row r="13" ht="15.75" customHeight="1">
      <c r="B13" s="1"/>
      <c r="C13" s="1"/>
      <c r="D13" s="1"/>
      <c r="E13" s="1"/>
      <c r="F13" s="2"/>
      <c r="G13" s="1"/>
    </row>
    <row r="14" ht="15.75" customHeight="1">
      <c r="B14" s="1"/>
      <c r="C14" s="1"/>
      <c r="D14" s="1"/>
      <c r="E14" s="1"/>
      <c r="F14" s="2"/>
      <c r="G14" s="1"/>
    </row>
    <row r="15" ht="15.75" customHeight="1">
      <c r="B15" s="1"/>
      <c r="C15" s="1"/>
      <c r="D15" s="1"/>
      <c r="E15" s="1"/>
      <c r="F15" s="2"/>
      <c r="G15" s="1"/>
    </row>
    <row r="16" ht="15.75" customHeight="1">
      <c r="B16" s="1"/>
      <c r="C16" s="1"/>
      <c r="D16" s="1"/>
      <c r="E16" s="1"/>
      <c r="F16" s="2"/>
      <c r="G16" s="1"/>
    </row>
    <row r="17" ht="15.75" customHeight="1">
      <c r="B17" s="1"/>
      <c r="C17" s="1"/>
      <c r="D17" s="1"/>
      <c r="E17" s="1"/>
      <c r="F17" s="2"/>
      <c r="G17" s="1"/>
    </row>
    <row r="18" ht="15.75" customHeight="1">
      <c r="B18" s="1"/>
      <c r="C18" s="1"/>
      <c r="D18" s="1"/>
      <c r="E18" s="1"/>
      <c r="F18" s="2"/>
      <c r="G18" s="1"/>
    </row>
    <row r="19" ht="15.75" customHeight="1">
      <c r="B19" s="1"/>
      <c r="C19" s="1"/>
      <c r="D19" s="1"/>
      <c r="E19" s="1"/>
      <c r="F19" s="2"/>
      <c r="G19" s="1"/>
    </row>
    <row r="20" ht="15.75" customHeight="1">
      <c r="B20" s="1"/>
      <c r="C20" s="1"/>
      <c r="D20" s="1"/>
      <c r="E20" s="1"/>
      <c r="F20" s="2"/>
      <c r="G20" s="1"/>
    </row>
    <row r="21" ht="15.75" customHeight="1">
      <c r="B21" s="1"/>
      <c r="C21" s="1"/>
      <c r="D21" s="1"/>
      <c r="E21" s="1"/>
      <c r="F21" s="2"/>
      <c r="G21" s="1"/>
    </row>
    <row r="22" ht="15.75" customHeight="1">
      <c r="B22" s="1"/>
      <c r="C22" s="1"/>
      <c r="D22" s="1"/>
      <c r="E22" s="1"/>
      <c r="F22" s="2"/>
      <c r="G22" s="1"/>
    </row>
    <row r="23" ht="15.75" customHeight="1">
      <c r="B23" s="1"/>
      <c r="C23" s="1"/>
      <c r="D23" s="1"/>
      <c r="E23" s="1"/>
      <c r="F23" s="2"/>
      <c r="G23" s="1"/>
    </row>
    <row r="24" ht="15.75" customHeight="1">
      <c r="B24" s="1"/>
      <c r="C24" s="1"/>
      <c r="D24" s="1"/>
      <c r="E24" s="1"/>
      <c r="F24" s="2"/>
      <c r="G24" s="1"/>
    </row>
    <row r="25" ht="15.75" customHeight="1">
      <c r="B25" s="1"/>
      <c r="C25" s="1"/>
      <c r="D25" s="1"/>
      <c r="E25" s="1"/>
      <c r="F25" s="2"/>
      <c r="G25" s="1"/>
    </row>
    <row r="26" ht="15.75" customHeight="1">
      <c r="B26" s="1"/>
      <c r="C26" s="1"/>
      <c r="D26" s="1"/>
      <c r="E26" s="1"/>
      <c r="F26" s="2"/>
      <c r="G26" s="1"/>
    </row>
    <row r="27" ht="15.75" customHeight="1">
      <c r="B27" s="1"/>
      <c r="C27" s="1"/>
      <c r="D27" s="1"/>
      <c r="E27" s="1"/>
      <c r="F27" s="2"/>
      <c r="G27" s="1"/>
    </row>
    <row r="28" ht="15.75" customHeight="1">
      <c r="B28" s="1"/>
      <c r="C28" s="1"/>
      <c r="D28" s="1"/>
      <c r="E28" s="1"/>
      <c r="F28" s="2"/>
      <c r="G28" s="1"/>
    </row>
    <row r="29" ht="15.75" customHeight="1">
      <c r="B29" s="1"/>
      <c r="C29" s="1"/>
      <c r="D29" s="1"/>
      <c r="E29" s="1"/>
      <c r="F29" s="2"/>
      <c r="G29" s="1"/>
    </row>
    <row r="30" ht="15.75" customHeight="1">
      <c r="B30" s="1"/>
      <c r="C30" s="1"/>
      <c r="D30" s="1"/>
      <c r="E30" s="1"/>
      <c r="F30" s="2"/>
      <c r="G30" s="1"/>
    </row>
    <row r="31" ht="15.75" customHeight="1">
      <c r="B31" s="1"/>
      <c r="C31" s="1"/>
      <c r="D31" s="1"/>
      <c r="E31" s="1"/>
      <c r="F31" s="2"/>
      <c r="G31" s="1"/>
    </row>
    <row r="32" ht="15.75" customHeight="1">
      <c r="B32" s="1"/>
      <c r="C32" s="1"/>
      <c r="D32" s="1"/>
      <c r="E32" s="1"/>
      <c r="F32" s="2"/>
      <c r="G32" s="1"/>
    </row>
    <row r="33" ht="15.75" customHeight="1">
      <c r="B33" s="1"/>
      <c r="C33" s="1"/>
      <c r="D33" s="1"/>
      <c r="E33" s="1"/>
      <c r="F33" s="2"/>
      <c r="G33" s="1"/>
    </row>
    <row r="34" ht="15.75" customHeight="1">
      <c r="B34" s="1"/>
      <c r="C34" s="1"/>
      <c r="D34" s="1"/>
      <c r="E34" s="1"/>
      <c r="F34" s="2"/>
      <c r="G34" s="1"/>
    </row>
    <row r="35" ht="15.75" customHeight="1">
      <c r="B35" s="1"/>
      <c r="C35" s="1"/>
      <c r="D35" s="1"/>
      <c r="E35" s="1"/>
      <c r="F35" s="2"/>
      <c r="G35" s="1"/>
    </row>
    <row r="36" ht="15.75" customHeight="1">
      <c r="B36" s="1"/>
      <c r="C36" s="1"/>
      <c r="D36" s="1"/>
      <c r="E36" s="1"/>
      <c r="F36" s="2"/>
      <c r="G36" s="1"/>
    </row>
    <row r="37" ht="15.75" customHeight="1">
      <c r="B37" s="1"/>
      <c r="C37" s="1"/>
      <c r="D37" s="1"/>
      <c r="E37" s="1"/>
      <c r="F37" s="2"/>
      <c r="G37" s="1"/>
    </row>
    <row r="38" ht="15.75" customHeight="1">
      <c r="B38" s="1"/>
      <c r="C38" s="1"/>
      <c r="D38" s="1"/>
      <c r="E38" s="1"/>
      <c r="F38" s="2"/>
      <c r="G38" s="1"/>
    </row>
    <row r="39" ht="15.75" customHeight="1">
      <c r="B39" s="1"/>
      <c r="C39" s="1"/>
      <c r="D39" s="1"/>
      <c r="E39" s="1"/>
      <c r="F39" s="2"/>
      <c r="G39" s="1"/>
    </row>
    <row r="40" ht="15.75" customHeight="1">
      <c r="B40" s="1"/>
      <c r="C40" s="1"/>
      <c r="D40" s="1"/>
      <c r="E40" s="1"/>
      <c r="F40" s="2"/>
      <c r="G40" s="1"/>
    </row>
    <row r="41" ht="15.75" customHeight="1">
      <c r="B41" s="1"/>
      <c r="C41" s="1"/>
      <c r="D41" s="1"/>
      <c r="E41" s="1"/>
      <c r="F41" s="2"/>
      <c r="G41" s="1"/>
    </row>
    <row r="42" ht="15.75" customHeight="1">
      <c r="B42" s="1"/>
      <c r="C42" s="1"/>
      <c r="D42" s="1"/>
      <c r="E42" s="1"/>
      <c r="F42" s="2"/>
      <c r="G42" s="1"/>
    </row>
    <row r="43" ht="15.75" customHeight="1">
      <c r="B43" s="1"/>
      <c r="C43" s="1"/>
      <c r="D43" s="1"/>
      <c r="E43" s="1"/>
      <c r="F43" s="2"/>
      <c r="G43" s="1"/>
    </row>
    <row r="44" ht="15.75" customHeight="1">
      <c r="B44" s="1"/>
      <c r="C44" s="1"/>
      <c r="D44" s="1"/>
      <c r="E44" s="1"/>
      <c r="F44" s="2"/>
      <c r="G44" s="1"/>
    </row>
    <row r="45" ht="15.75" customHeight="1">
      <c r="B45" s="1"/>
      <c r="C45" s="1"/>
      <c r="D45" s="1"/>
      <c r="E45" s="1"/>
      <c r="F45" s="2"/>
      <c r="G45" s="1"/>
    </row>
    <row r="46" ht="15.75" customHeight="1">
      <c r="B46" s="1"/>
      <c r="C46" s="1"/>
      <c r="D46" s="1"/>
      <c r="E46" s="1"/>
      <c r="F46" s="2"/>
      <c r="G46" s="1"/>
    </row>
    <row r="47" ht="15.75" customHeight="1">
      <c r="B47" s="1"/>
      <c r="C47" s="1"/>
      <c r="D47" s="1"/>
      <c r="E47" s="1"/>
      <c r="F47" s="2"/>
      <c r="G47" s="1"/>
    </row>
    <row r="48" ht="15.75" customHeight="1">
      <c r="B48" s="1"/>
      <c r="C48" s="1"/>
      <c r="D48" s="1"/>
      <c r="E48" s="1"/>
      <c r="F48" s="2"/>
      <c r="G48" s="1"/>
    </row>
    <row r="49" ht="15.75" customHeight="1">
      <c r="B49" s="1"/>
      <c r="C49" s="1"/>
      <c r="D49" s="1"/>
      <c r="E49" s="1"/>
      <c r="F49" s="2"/>
      <c r="G49" s="1"/>
    </row>
    <row r="50" ht="15.75" customHeight="1">
      <c r="B50" s="1"/>
      <c r="C50" s="1"/>
      <c r="D50" s="1"/>
      <c r="E50" s="1"/>
      <c r="F50" s="2"/>
      <c r="G50" s="1"/>
    </row>
    <row r="51" ht="15.75" customHeight="1">
      <c r="B51" s="1"/>
      <c r="C51" s="1"/>
      <c r="D51" s="1"/>
      <c r="E51" s="1"/>
      <c r="F51" s="2"/>
      <c r="G51" s="1"/>
    </row>
    <row r="52" ht="15.75" customHeight="1">
      <c r="B52" s="1"/>
      <c r="C52" s="1"/>
      <c r="D52" s="1"/>
      <c r="E52" s="1"/>
      <c r="F52" s="2"/>
      <c r="G52" s="1"/>
    </row>
    <row r="53" ht="15.75" customHeight="1">
      <c r="B53" s="1"/>
      <c r="C53" s="1"/>
      <c r="D53" s="1"/>
      <c r="E53" s="1"/>
      <c r="F53" s="2"/>
      <c r="G53" s="1"/>
    </row>
    <row r="54" ht="15.75" customHeight="1">
      <c r="B54" s="1"/>
      <c r="C54" s="1"/>
      <c r="D54" s="1"/>
      <c r="E54" s="1"/>
      <c r="F54" s="2"/>
      <c r="G54" s="1"/>
    </row>
    <row r="55" ht="15.75" customHeight="1">
      <c r="B55" s="1"/>
      <c r="C55" s="1"/>
      <c r="D55" s="1"/>
      <c r="E55" s="1"/>
      <c r="F55" s="2"/>
      <c r="G55" s="1"/>
    </row>
    <row r="56" ht="15.75" customHeight="1">
      <c r="B56" s="1"/>
      <c r="C56" s="1"/>
      <c r="D56" s="1"/>
      <c r="E56" s="1"/>
      <c r="F56" s="2"/>
      <c r="G56" s="1"/>
    </row>
    <row r="57" ht="15.75" customHeight="1">
      <c r="B57" s="1"/>
      <c r="C57" s="1"/>
      <c r="D57" s="1"/>
      <c r="E57" s="1"/>
      <c r="F57" s="2"/>
      <c r="G57" s="1"/>
    </row>
    <row r="58" ht="15.75" customHeight="1">
      <c r="B58" s="1"/>
      <c r="C58" s="1"/>
      <c r="D58" s="1"/>
      <c r="E58" s="1"/>
      <c r="F58" s="2"/>
      <c r="G58" s="1"/>
    </row>
    <row r="59" ht="15.75" customHeight="1">
      <c r="B59" s="1"/>
      <c r="C59" s="1"/>
      <c r="D59" s="1"/>
      <c r="E59" s="1"/>
      <c r="F59" s="2"/>
      <c r="G59" s="1"/>
    </row>
    <row r="60" ht="15.75" customHeight="1">
      <c r="B60" s="1"/>
      <c r="C60" s="1"/>
      <c r="D60" s="1"/>
      <c r="E60" s="1"/>
      <c r="F60" s="2"/>
      <c r="G60" s="1"/>
    </row>
    <row r="61" ht="15.75" customHeight="1">
      <c r="B61" s="3"/>
      <c r="C61" s="3"/>
      <c r="D61" s="3"/>
      <c r="E61" s="3"/>
      <c r="F61" s="4"/>
      <c r="G61" s="3"/>
    </row>
    <row r="62" ht="15.75" customHeight="1">
      <c r="B62" s="3"/>
      <c r="C62" s="3"/>
      <c r="D62" s="3"/>
      <c r="E62" s="3"/>
      <c r="F62" s="4"/>
      <c r="G62" s="3"/>
    </row>
    <row r="63" ht="15.75" customHeight="1">
      <c r="B63" s="3"/>
      <c r="C63" s="3"/>
      <c r="D63" s="3"/>
      <c r="E63" s="3"/>
      <c r="F63" s="4"/>
      <c r="G63" s="3"/>
    </row>
    <row r="64" ht="15.75" customHeight="1">
      <c r="B64" s="3"/>
      <c r="C64" s="3"/>
      <c r="D64" s="3"/>
      <c r="E64" s="3"/>
      <c r="F64" s="4"/>
      <c r="G64" s="3"/>
    </row>
    <row r="65" ht="15.75" customHeight="1">
      <c r="B65" s="3"/>
      <c r="C65" s="3"/>
      <c r="D65" s="3"/>
      <c r="E65" s="3"/>
      <c r="F65" s="4"/>
      <c r="G65" s="3"/>
    </row>
    <row r="66" ht="15.75" customHeight="1">
      <c r="B66" s="3"/>
      <c r="C66" s="3"/>
      <c r="D66" s="3"/>
      <c r="E66" s="3"/>
      <c r="F66" s="4"/>
      <c r="G66" s="3"/>
    </row>
    <row r="67" ht="15.75" customHeight="1">
      <c r="B67" s="3"/>
      <c r="C67" s="3"/>
      <c r="D67" s="3"/>
      <c r="E67" s="3"/>
      <c r="F67" s="4"/>
      <c r="G67" s="3"/>
    </row>
    <row r="68" ht="15.75" customHeight="1">
      <c r="B68" s="3"/>
      <c r="C68" s="3"/>
      <c r="D68" s="3"/>
      <c r="E68" s="3"/>
      <c r="F68" s="4"/>
      <c r="G68" s="3"/>
    </row>
    <row r="69" ht="15.75" customHeight="1">
      <c r="B69" s="3"/>
      <c r="C69" s="3"/>
      <c r="D69" s="3"/>
      <c r="E69" s="3"/>
      <c r="F69" s="4"/>
      <c r="G69" s="3"/>
    </row>
    <row r="70" ht="15.75" customHeight="1">
      <c r="B70" s="3"/>
      <c r="C70" s="3"/>
      <c r="D70" s="3"/>
      <c r="E70" s="3"/>
      <c r="F70" s="4"/>
      <c r="G70" s="3"/>
    </row>
    <row r="71" ht="15.75" customHeight="1">
      <c r="B71" s="3"/>
      <c r="C71" s="3"/>
      <c r="D71" s="3"/>
      <c r="E71" s="3"/>
      <c r="F71" s="4"/>
      <c r="G71" s="3"/>
    </row>
    <row r="72" ht="15.75" customHeight="1">
      <c r="B72" s="3"/>
      <c r="C72" s="3"/>
      <c r="D72" s="3"/>
      <c r="E72" s="3"/>
      <c r="F72" s="4"/>
      <c r="G72" s="3"/>
    </row>
    <row r="73" ht="15.75" customHeight="1">
      <c r="B73" s="3"/>
      <c r="C73" s="3"/>
      <c r="D73" s="3"/>
      <c r="E73" s="3"/>
      <c r="F73" s="4"/>
      <c r="G73" s="3"/>
    </row>
    <row r="74" ht="15.75" customHeight="1">
      <c r="B74" s="3"/>
      <c r="C74" s="3"/>
      <c r="D74" s="3"/>
      <c r="E74" s="3"/>
      <c r="F74" s="4"/>
      <c r="G74" s="3"/>
    </row>
    <row r="75" ht="15.75" customHeight="1">
      <c r="B75" s="3"/>
      <c r="C75" s="3"/>
      <c r="D75" s="3"/>
      <c r="E75" s="3"/>
      <c r="F75" s="4"/>
      <c r="G75" s="3"/>
    </row>
    <row r="76" ht="15.75" customHeight="1">
      <c r="B76" s="3"/>
      <c r="C76" s="3"/>
      <c r="D76" s="3"/>
      <c r="E76" s="3"/>
      <c r="F76" s="4"/>
      <c r="G76" s="3"/>
    </row>
    <row r="77" ht="15.75" customHeight="1">
      <c r="B77" s="3"/>
      <c r="C77" s="3"/>
      <c r="D77" s="3"/>
      <c r="E77" s="3"/>
      <c r="F77" s="4"/>
      <c r="G77" s="3"/>
    </row>
    <row r="78" ht="15.75" customHeight="1">
      <c r="B78" s="3"/>
      <c r="C78" s="3"/>
      <c r="D78" s="3"/>
      <c r="E78" s="3"/>
      <c r="F78" s="4"/>
      <c r="G78" s="3"/>
    </row>
    <row r="79" ht="15.75" customHeight="1">
      <c r="B79" s="3"/>
      <c r="C79" s="3"/>
      <c r="D79" s="3"/>
      <c r="E79" s="3"/>
      <c r="F79" s="4"/>
      <c r="G79" s="3"/>
    </row>
    <row r="80" ht="15.75" customHeight="1">
      <c r="B80" s="3"/>
      <c r="C80" s="3"/>
      <c r="D80" s="3"/>
      <c r="E80" s="3"/>
      <c r="F80" s="4"/>
      <c r="G80" s="3"/>
    </row>
    <row r="81" ht="15.75" customHeight="1">
      <c r="B81" s="3"/>
      <c r="C81" s="3"/>
      <c r="D81" s="3"/>
      <c r="E81" s="3"/>
      <c r="F81" s="4"/>
      <c r="G81" s="3"/>
    </row>
    <row r="82" ht="15.75" customHeight="1">
      <c r="B82" s="3"/>
      <c r="C82" s="3"/>
      <c r="D82" s="3"/>
      <c r="E82" s="3"/>
      <c r="F82" s="4"/>
      <c r="G82" s="3"/>
    </row>
    <row r="83" ht="15.75" customHeight="1">
      <c r="B83" s="3"/>
      <c r="C83" s="3"/>
      <c r="D83" s="3"/>
      <c r="E83" s="3"/>
      <c r="F83" s="4"/>
      <c r="G83" s="3"/>
    </row>
    <row r="84" ht="15.75" customHeight="1">
      <c r="B84" s="3"/>
      <c r="C84" s="3"/>
      <c r="D84" s="3"/>
      <c r="E84" s="3"/>
      <c r="F84" s="4"/>
      <c r="G84" s="3"/>
    </row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>
      <c r="B98" s="5" t="str">
        <f>IFERROR(__xludf.DUMMYFUNCTION("QUERY(B4:G97, ""SELECT B, C, D, E, F, G WHERE B IS NOT NULL"", 1)"),"#REF!")</f>
        <v>#REF!</v>
      </c>
      <c r="C98" s="5" t="str">
        <f>IFERROR(__xludf.DUMMYFUNCTION("""COMPUTED_VALUE"""),"")</f>
        <v/>
      </c>
      <c r="D98" s="5" t="str">
        <f>IFERROR(__xludf.DUMMYFUNCTION("""COMPUTED_VALUE"""),"")</f>
        <v/>
      </c>
      <c r="E98" s="5" t="str">
        <f>IFERROR(__xludf.DUMMYFUNCTION("""COMPUTED_VALUE"""),"")</f>
        <v/>
      </c>
      <c r="F98" s="5" t="str">
        <f>IFERROR(__xludf.DUMMYFUNCTION("""COMPUTED_VALUE"""),"")</f>
        <v/>
      </c>
      <c r="G98" s="5" t="str">
        <f>IFERROR(__xludf.DUMMYFUNCTION("""COMPUTED_VALUE"""),"")</f>
        <v/>
      </c>
      <c r="I98" s="3" t="str">
        <f>IFERROR(__xludf.DUMMYFUNCTION("QUERY(B4:G97, ""SELECT B, C, D, E, F, G WHERE B IS NOT NULL"", 1)"),"#REF!")</f>
        <v>#REF!</v>
      </c>
      <c r="J98" s="3" t="str">
        <f>IFERROR(__xludf.DUMMYFUNCTION("""COMPUTED_VALUE"""),"")</f>
        <v/>
      </c>
      <c r="K98" s="3" t="str">
        <f>IFERROR(__xludf.DUMMYFUNCTION("""COMPUTED_VALUE"""),"")</f>
        <v/>
      </c>
      <c r="L98" s="3" t="str">
        <f>IFERROR(__xludf.DUMMYFUNCTION("""COMPUTED_VALUE"""),"")</f>
        <v/>
      </c>
      <c r="M98" s="3" t="str">
        <f>IFERROR(__xludf.DUMMYFUNCTION("""COMPUTED_VALUE"""),"")</f>
        <v/>
      </c>
      <c r="N98" s="3" t="str">
        <f>IFERROR(__xludf.DUMMYFUNCTION("""COMPUTED_VALUE"""),"")</f>
        <v/>
      </c>
    </row>
    <row r="99" ht="15.75" customHeight="1">
      <c r="B99" s="5"/>
      <c r="C99" s="5"/>
      <c r="D99" s="1"/>
      <c r="E99" s="5"/>
      <c r="F99" s="6"/>
      <c r="G99" s="5"/>
      <c r="I99" s="3"/>
      <c r="J99" s="3"/>
      <c r="K99" s="3"/>
      <c r="L99" s="3"/>
      <c r="M99" s="4"/>
      <c r="N99" s="3"/>
    </row>
    <row r="100" ht="15.75" customHeight="1">
      <c r="B100" s="5"/>
      <c r="C100" s="5"/>
      <c r="D100" s="1"/>
      <c r="E100" s="5"/>
      <c r="F100" s="2"/>
      <c r="G100" s="5"/>
      <c r="I100" s="3"/>
      <c r="J100" s="3"/>
      <c r="K100" s="3"/>
      <c r="L100" s="3"/>
      <c r="M100" s="4"/>
      <c r="N100" s="3"/>
    </row>
    <row r="101" ht="15.75" customHeight="1">
      <c r="B101" s="5"/>
      <c r="C101" s="5"/>
      <c r="D101" s="1"/>
      <c r="E101" s="5"/>
      <c r="F101" s="2"/>
      <c r="G101" s="5"/>
      <c r="I101" s="3"/>
      <c r="J101" s="3"/>
      <c r="K101" s="3"/>
      <c r="L101" s="3"/>
      <c r="M101" s="4"/>
      <c r="N101" s="3"/>
    </row>
    <row r="102" ht="15.75" customHeight="1">
      <c r="B102" s="5"/>
      <c r="C102" s="5"/>
      <c r="D102" s="1"/>
      <c r="E102" s="5"/>
      <c r="F102" s="2"/>
      <c r="G102" s="5"/>
      <c r="I102" s="3"/>
      <c r="J102" s="3"/>
      <c r="K102" s="3"/>
      <c r="L102" s="3"/>
      <c r="M102" s="4"/>
      <c r="N102" s="3"/>
    </row>
    <row r="103" ht="15.75" customHeight="1">
      <c r="B103" s="5"/>
      <c r="C103" s="5"/>
      <c r="D103" s="1"/>
      <c r="E103" s="5"/>
      <c r="F103" s="2"/>
      <c r="G103" s="5"/>
      <c r="I103" s="3"/>
      <c r="J103" s="3"/>
      <c r="K103" s="3"/>
      <c r="L103" s="3"/>
      <c r="M103" s="4"/>
      <c r="N103" s="3"/>
    </row>
    <row r="104" ht="15.75" customHeight="1">
      <c r="B104" s="5"/>
      <c r="C104" s="5"/>
      <c r="D104" s="1"/>
      <c r="E104" s="5"/>
      <c r="F104" s="2"/>
      <c r="G104" s="5"/>
      <c r="I104" s="3"/>
      <c r="J104" s="3"/>
      <c r="K104" s="3"/>
      <c r="L104" s="3"/>
      <c r="M104" s="4"/>
      <c r="N104" s="3"/>
    </row>
    <row r="105" ht="15.75" customHeight="1">
      <c r="B105" s="5"/>
      <c r="C105" s="5"/>
      <c r="D105" s="1"/>
      <c r="E105" s="5"/>
      <c r="F105" s="2"/>
      <c r="G105" s="5"/>
      <c r="I105" s="3"/>
      <c r="J105" s="3"/>
      <c r="K105" s="3"/>
      <c r="L105" s="3"/>
      <c r="M105" s="4"/>
      <c r="N105" s="3"/>
    </row>
    <row r="106" ht="15.75" customHeight="1">
      <c r="B106" s="5"/>
      <c r="C106" s="5"/>
      <c r="D106" s="1"/>
      <c r="E106" s="5"/>
      <c r="F106" s="2"/>
      <c r="G106" s="5"/>
      <c r="I106" s="3"/>
      <c r="J106" s="3"/>
      <c r="K106" s="3"/>
      <c r="L106" s="3"/>
      <c r="M106" s="4"/>
      <c r="N106" s="3"/>
    </row>
    <row r="107" ht="15.75" customHeight="1">
      <c r="B107" s="5"/>
      <c r="C107" s="5"/>
      <c r="D107" s="1"/>
      <c r="E107" s="5"/>
      <c r="F107" s="2"/>
      <c r="G107" s="5"/>
      <c r="I107" s="3"/>
      <c r="J107" s="3"/>
      <c r="K107" s="3"/>
      <c r="L107" s="3"/>
      <c r="M107" s="4"/>
      <c r="N107" s="3"/>
    </row>
    <row r="108" ht="15.75" customHeight="1">
      <c r="B108" s="5"/>
      <c r="C108" s="5"/>
      <c r="D108" s="1"/>
      <c r="E108" s="5"/>
      <c r="F108" s="2"/>
      <c r="G108" s="5"/>
      <c r="I108" s="3"/>
      <c r="J108" s="3"/>
      <c r="K108" s="3"/>
      <c r="L108" s="3"/>
      <c r="M108" s="4"/>
      <c r="N108" s="3"/>
    </row>
    <row r="109" ht="15.75" customHeight="1">
      <c r="B109" s="5"/>
      <c r="C109" s="5"/>
      <c r="D109" s="1"/>
      <c r="E109" s="5"/>
      <c r="F109" s="2"/>
      <c r="G109" s="5"/>
      <c r="I109" s="3"/>
      <c r="J109" s="3"/>
      <c r="K109" s="3"/>
      <c r="L109" s="3"/>
      <c r="M109" s="4"/>
      <c r="N109" s="3"/>
    </row>
    <row r="110" ht="15.75" customHeight="1">
      <c r="B110" s="5"/>
      <c r="C110" s="5"/>
      <c r="D110" s="1"/>
      <c r="E110" s="5"/>
      <c r="F110" s="2"/>
      <c r="G110" s="5"/>
      <c r="I110" s="3"/>
      <c r="J110" s="3"/>
      <c r="K110" s="3"/>
      <c r="L110" s="3"/>
      <c r="M110" s="4"/>
      <c r="N110" s="3"/>
    </row>
    <row r="111" ht="15.75" customHeight="1">
      <c r="B111" s="5"/>
      <c r="C111" s="5"/>
      <c r="D111" s="1"/>
      <c r="E111" s="5"/>
      <c r="F111" s="2"/>
      <c r="G111" s="5"/>
      <c r="I111" s="3"/>
      <c r="J111" s="3"/>
      <c r="K111" s="3"/>
      <c r="L111" s="3"/>
      <c r="M111" s="4"/>
      <c r="N111" s="3"/>
    </row>
    <row r="112" ht="15.75" customHeight="1">
      <c r="B112" s="5"/>
      <c r="C112" s="5"/>
      <c r="D112" s="1"/>
      <c r="E112" s="5"/>
      <c r="F112" s="2"/>
      <c r="G112" s="5"/>
      <c r="I112" s="3"/>
      <c r="J112" s="3"/>
      <c r="K112" s="3"/>
      <c r="L112" s="3"/>
      <c r="M112" s="4"/>
      <c r="N112" s="3"/>
    </row>
    <row r="113" ht="15.75" customHeight="1">
      <c r="B113" s="5"/>
      <c r="C113" s="5"/>
      <c r="D113" s="1"/>
      <c r="E113" s="5"/>
      <c r="F113" s="2"/>
      <c r="G113" s="5"/>
      <c r="I113" s="3"/>
      <c r="J113" s="3"/>
      <c r="K113" s="3"/>
      <c r="L113" s="3"/>
      <c r="M113" s="4"/>
      <c r="N113" s="3"/>
    </row>
    <row r="114" ht="15.75" customHeight="1">
      <c r="B114" s="5"/>
      <c r="C114" s="5"/>
      <c r="D114" s="1"/>
      <c r="E114" s="5"/>
      <c r="F114" s="2"/>
      <c r="G114" s="5"/>
      <c r="I114" s="3"/>
      <c r="J114" s="3"/>
      <c r="K114" s="3"/>
      <c r="L114" s="3"/>
      <c r="M114" s="4"/>
      <c r="N114" s="3"/>
    </row>
    <row r="115" ht="15.75" customHeight="1">
      <c r="B115" s="5"/>
      <c r="C115" s="5"/>
      <c r="D115" s="1"/>
      <c r="E115" s="5"/>
      <c r="F115" s="2"/>
      <c r="G115" s="5"/>
      <c r="I115" s="3"/>
      <c r="J115" s="3"/>
      <c r="K115" s="3"/>
      <c r="L115" s="3"/>
      <c r="M115" s="4"/>
      <c r="N115" s="3"/>
    </row>
    <row r="116" ht="15.75" customHeight="1">
      <c r="B116" s="5"/>
      <c r="C116" s="5"/>
      <c r="D116" s="1"/>
      <c r="E116" s="5"/>
      <c r="F116" s="2"/>
      <c r="G116" s="5"/>
      <c r="I116" s="3"/>
      <c r="J116" s="3"/>
      <c r="K116" s="3"/>
      <c r="L116" s="3"/>
      <c r="M116" s="4"/>
      <c r="N116" s="3"/>
    </row>
    <row r="117" ht="15.75" customHeight="1">
      <c r="B117" s="5"/>
      <c r="C117" s="5"/>
      <c r="D117" s="1"/>
      <c r="E117" s="5"/>
      <c r="F117" s="2"/>
      <c r="G117" s="5"/>
      <c r="I117" s="3"/>
      <c r="J117" s="3"/>
      <c r="K117" s="3"/>
      <c r="L117" s="3"/>
      <c r="M117" s="4"/>
      <c r="N117" s="3"/>
    </row>
    <row r="118" ht="15.75" customHeight="1">
      <c r="B118" s="5"/>
      <c r="C118" s="5"/>
      <c r="D118" s="1"/>
      <c r="E118" s="5"/>
      <c r="F118" s="2"/>
      <c r="G118" s="5"/>
      <c r="I118" s="3"/>
      <c r="J118" s="3"/>
      <c r="K118" s="3"/>
      <c r="L118" s="3"/>
      <c r="M118" s="4"/>
      <c r="N118" s="3"/>
    </row>
    <row r="119" ht="15.75" customHeight="1">
      <c r="B119" s="5"/>
      <c r="C119" s="5"/>
      <c r="D119" s="1"/>
      <c r="E119" s="5"/>
      <c r="F119" s="2"/>
      <c r="G119" s="5"/>
      <c r="I119" s="3"/>
      <c r="J119" s="3"/>
      <c r="K119" s="3"/>
      <c r="L119" s="3"/>
      <c r="M119" s="4"/>
      <c r="N119" s="3"/>
    </row>
    <row r="120" ht="15.75" customHeight="1">
      <c r="B120" s="5"/>
      <c r="C120" s="5"/>
      <c r="D120" s="1"/>
      <c r="E120" s="5"/>
      <c r="F120" s="2"/>
      <c r="G120" s="5"/>
      <c r="I120" s="3"/>
      <c r="J120" s="3"/>
      <c r="K120" s="3"/>
      <c r="L120" s="3"/>
      <c r="M120" s="4"/>
      <c r="N120" s="3"/>
    </row>
    <row r="121" ht="15.75" customHeight="1">
      <c r="B121" s="5"/>
      <c r="C121" s="5"/>
      <c r="D121" s="1"/>
      <c r="E121" s="5"/>
      <c r="F121" s="2"/>
      <c r="G121" s="5"/>
      <c r="I121" s="3"/>
      <c r="J121" s="3"/>
      <c r="K121" s="3"/>
      <c r="L121" s="3"/>
      <c r="M121" s="4"/>
      <c r="N121" s="3"/>
    </row>
    <row r="122" ht="15.75" customHeight="1">
      <c r="B122" s="5"/>
      <c r="C122" s="5"/>
      <c r="D122" s="1"/>
      <c r="E122" s="5"/>
      <c r="F122" s="2"/>
      <c r="G122" s="5"/>
      <c r="I122" s="3"/>
      <c r="J122" s="3"/>
      <c r="K122" s="3"/>
      <c r="L122" s="3"/>
      <c r="M122" s="4"/>
      <c r="N122" s="3"/>
    </row>
    <row r="123" ht="15.75" customHeight="1">
      <c r="B123" s="5"/>
      <c r="C123" s="5"/>
      <c r="D123" s="1"/>
      <c r="E123" s="5"/>
      <c r="F123" s="2"/>
      <c r="G123" s="5"/>
      <c r="I123" s="3"/>
      <c r="J123" s="3"/>
      <c r="K123" s="3"/>
      <c r="L123" s="3"/>
      <c r="M123" s="4"/>
      <c r="N123" s="3"/>
    </row>
    <row r="124" ht="15.75" customHeight="1">
      <c r="B124" s="5"/>
      <c r="C124" s="5"/>
      <c r="D124" s="1"/>
      <c r="E124" s="5"/>
      <c r="F124" s="2"/>
      <c r="G124" s="5"/>
      <c r="I124" s="3"/>
      <c r="J124" s="3"/>
      <c r="K124" s="3"/>
      <c r="L124" s="3"/>
      <c r="M124" s="4"/>
      <c r="N124" s="3"/>
    </row>
    <row r="125" ht="15.75" customHeight="1">
      <c r="B125" s="5"/>
      <c r="C125" s="5"/>
      <c r="D125" s="1"/>
      <c r="E125" s="5"/>
      <c r="F125" s="2"/>
      <c r="G125" s="5"/>
      <c r="I125" s="3"/>
      <c r="J125" s="3"/>
      <c r="K125" s="3"/>
      <c r="L125" s="3"/>
      <c r="M125" s="4"/>
      <c r="N125" s="3"/>
    </row>
    <row r="126" ht="15.75" customHeight="1">
      <c r="B126" s="5"/>
      <c r="C126" s="5"/>
      <c r="D126" s="1"/>
      <c r="E126" s="5"/>
      <c r="F126" s="2"/>
      <c r="G126" s="5"/>
      <c r="I126" s="3"/>
      <c r="J126" s="3"/>
      <c r="K126" s="3"/>
      <c r="L126" s="3"/>
      <c r="M126" s="4"/>
      <c r="N126" s="3"/>
    </row>
    <row r="127" ht="15.75" customHeight="1">
      <c r="B127" s="5"/>
      <c r="C127" s="5"/>
      <c r="D127" s="1"/>
      <c r="E127" s="5"/>
      <c r="F127" s="2"/>
      <c r="G127" s="5"/>
      <c r="I127" s="3"/>
      <c r="J127" s="3"/>
      <c r="K127" s="3"/>
      <c r="L127" s="3"/>
      <c r="M127" s="4"/>
      <c r="N127" s="3"/>
    </row>
    <row r="128" ht="15.75" customHeight="1">
      <c r="B128" s="5"/>
      <c r="C128" s="5"/>
      <c r="D128" s="1"/>
      <c r="E128" s="5"/>
      <c r="F128" s="2"/>
      <c r="G128" s="5"/>
      <c r="I128" s="3"/>
      <c r="J128" s="3"/>
      <c r="K128" s="3"/>
      <c r="L128" s="3"/>
      <c r="M128" s="4"/>
      <c r="N128" s="3"/>
    </row>
    <row r="129" ht="15.75" customHeight="1">
      <c r="B129" s="5"/>
      <c r="C129" s="5"/>
      <c r="D129" s="1"/>
      <c r="E129" s="5"/>
      <c r="F129" s="2"/>
      <c r="G129" s="5"/>
      <c r="I129" s="3"/>
      <c r="J129" s="3"/>
      <c r="K129" s="3"/>
      <c r="L129" s="3"/>
      <c r="M129" s="4"/>
      <c r="N129" s="3"/>
    </row>
    <row r="130" ht="15.75" customHeight="1">
      <c r="B130" s="5"/>
      <c r="C130" s="5"/>
      <c r="D130" s="1"/>
      <c r="E130" s="5"/>
      <c r="F130" s="2"/>
      <c r="G130" s="5"/>
      <c r="I130" s="3"/>
      <c r="J130" s="3"/>
      <c r="K130" s="3"/>
      <c r="L130" s="3"/>
      <c r="M130" s="4"/>
      <c r="N130" s="3"/>
    </row>
    <row r="131" ht="15.75" customHeight="1">
      <c r="B131" s="5"/>
      <c r="C131" s="5"/>
      <c r="D131" s="1"/>
      <c r="E131" s="5"/>
      <c r="F131" s="2"/>
      <c r="G131" s="5"/>
      <c r="I131" s="3"/>
      <c r="J131" s="3"/>
      <c r="K131" s="3"/>
      <c r="L131" s="3"/>
      <c r="M131" s="4"/>
      <c r="N131" s="3"/>
    </row>
    <row r="132" ht="15.75" customHeight="1">
      <c r="B132" s="5"/>
      <c r="C132" s="5"/>
      <c r="D132" s="1"/>
      <c r="E132" s="5"/>
      <c r="F132" s="2"/>
      <c r="G132" s="5"/>
      <c r="I132" s="3"/>
      <c r="J132" s="3"/>
      <c r="K132" s="3"/>
      <c r="L132" s="3"/>
      <c r="M132" s="4"/>
      <c r="N132" s="3"/>
    </row>
    <row r="133" ht="15.75" customHeight="1">
      <c r="B133" s="5"/>
      <c r="C133" s="5"/>
      <c r="D133" s="1"/>
      <c r="E133" s="5"/>
      <c r="F133" s="2"/>
      <c r="G133" s="5"/>
      <c r="I133" s="3"/>
      <c r="J133" s="3"/>
      <c r="K133" s="3"/>
      <c r="L133" s="3"/>
      <c r="M133" s="4"/>
      <c r="N133" s="3"/>
    </row>
    <row r="134" ht="15.75" customHeight="1">
      <c r="B134" s="5"/>
      <c r="C134" s="5"/>
      <c r="D134" s="1"/>
      <c r="E134" s="5"/>
      <c r="F134" s="2"/>
      <c r="G134" s="5"/>
      <c r="I134" s="3"/>
      <c r="J134" s="3"/>
      <c r="K134" s="3"/>
      <c r="L134" s="3"/>
      <c r="M134" s="4"/>
      <c r="N134" s="3"/>
    </row>
    <row r="135" ht="15.75" customHeight="1">
      <c r="B135" s="5"/>
      <c r="C135" s="5"/>
      <c r="D135" s="1"/>
      <c r="E135" s="5"/>
      <c r="F135" s="2"/>
      <c r="G135" s="5"/>
      <c r="I135" s="3"/>
      <c r="J135" s="3"/>
      <c r="K135" s="3"/>
      <c r="L135" s="3"/>
      <c r="M135" s="4"/>
      <c r="N135" s="3"/>
    </row>
    <row r="136" ht="15.75" customHeight="1">
      <c r="B136" s="5"/>
      <c r="C136" s="5"/>
      <c r="D136" s="1"/>
      <c r="E136" s="5"/>
      <c r="F136" s="2"/>
      <c r="G136" s="5"/>
      <c r="I136" s="3"/>
      <c r="J136" s="3"/>
      <c r="K136" s="3"/>
      <c r="L136" s="3"/>
      <c r="M136" s="4"/>
      <c r="N136" s="3"/>
    </row>
    <row r="137" ht="15.75" customHeight="1">
      <c r="B137" s="5"/>
      <c r="C137" s="5"/>
      <c r="D137" s="1"/>
      <c r="E137" s="5"/>
      <c r="F137" s="2"/>
      <c r="G137" s="5"/>
      <c r="I137" s="3"/>
      <c r="J137" s="3"/>
      <c r="K137" s="3"/>
      <c r="L137" s="3"/>
      <c r="M137" s="4"/>
      <c r="N137" s="3"/>
    </row>
    <row r="138" ht="15.75" customHeight="1">
      <c r="B138" s="5"/>
      <c r="C138" s="5"/>
      <c r="D138" s="1"/>
      <c r="E138" s="5"/>
      <c r="F138" s="2"/>
      <c r="G138" s="5"/>
      <c r="I138" s="3"/>
      <c r="J138" s="3"/>
      <c r="K138" s="3"/>
      <c r="L138" s="3"/>
      <c r="M138" s="4"/>
      <c r="N138" s="3"/>
    </row>
    <row r="139" ht="15.75" customHeight="1">
      <c r="B139" s="5"/>
      <c r="C139" s="5"/>
      <c r="D139" s="1"/>
      <c r="E139" s="5"/>
      <c r="F139" s="2"/>
      <c r="G139" s="5"/>
      <c r="I139" s="3"/>
      <c r="J139" s="3"/>
      <c r="K139" s="3"/>
      <c r="L139" s="3"/>
      <c r="M139" s="4"/>
      <c r="N139" s="3"/>
    </row>
    <row r="140" ht="15.75" customHeight="1">
      <c r="B140" s="5"/>
      <c r="C140" s="5"/>
      <c r="D140" s="1"/>
      <c r="E140" s="5"/>
      <c r="F140" s="2"/>
      <c r="G140" s="5"/>
      <c r="I140" s="3"/>
      <c r="J140" s="3"/>
      <c r="K140" s="3"/>
      <c r="L140" s="3"/>
      <c r="M140" s="4"/>
      <c r="N140" s="3"/>
    </row>
    <row r="141" ht="15.75" customHeight="1">
      <c r="B141" s="5"/>
      <c r="C141" s="5"/>
      <c r="D141" s="1"/>
      <c r="E141" s="5"/>
      <c r="F141" s="2"/>
      <c r="G141" s="5"/>
      <c r="I141" s="3"/>
      <c r="J141" s="3"/>
      <c r="K141" s="3"/>
      <c r="L141" s="3"/>
      <c r="M141" s="4"/>
      <c r="N141" s="3"/>
    </row>
    <row r="142" ht="15.75" customHeight="1">
      <c r="B142" s="5"/>
      <c r="C142" s="5"/>
      <c r="D142" s="1"/>
      <c r="E142" s="5"/>
      <c r="F142" s="2"/>
      <c r="G142" s="5"/>
      <c r="I142" s="3"/>
      <c r="J142" s="3"/>
      <c r="K142" s="3"/>
      <c r="L142" s="3"/>
      <c r="M142" s="4"/>
      <c r="N142" s="3"/>
    </row>
    <row r="143" ht="15.75" customHeight="1">
      <c r="B143" s="5"/>
      <c r="C143" s="5"/>
      <c r="D143" s="1"/>
      <c r="E143" s="5"/>
      <c r="F143" s="2"/>
      <c r="G143" s="5"/>
      <c r="I143" s="3"/>
      <c r="J143" s="3"/>
      <c r="K143" s="3"/>
      <c r="L143" s="3"/>
      <c r="M143" s="4"/>
      <c r="N143" s="3"/>
    </row>
    <row r="144" ht="15.75" customHeight="1">
      <c r="B144" s="5"/>
      <c r="C144" s="5"/>
      <c r="D144" s="1"/>
      <c r="E144" s="5"/>
      <c r="F144" s="6"/>
      <c r="G144" s="5"/>
      <c r="I144" s="3"/>
      <c r="J144" s="3"/>
      <c r="K144" s="3"/>
      <c r="L144" s="3"/>
      <c r="M144" s="4"/>
      <c r="N144" s="3"/>
    </row>
    <row r="145" ht="15.75" customHeight="1">
      <c r="B145" s="5"/>
      <c r="C145" s="5"/>
      <c r="D145" s="1"/>
      <c r="E145" s="5"/>
      <c r="F145" s="6"/>
      <c r="G145" s="5"/>
      <c r="I145" s="3"/>
      <c r="J145" s="3"/>
      <c r="K145" s="3"/>
      <c r="L145" s="3"/>
      <c r="M145" s="4"/>
      <c r="N145" s="3"/>
    </row>
    <row r="146" ht="15.75" customHeight="1">
      <c r="B146" s="5"/>
      <c r="C146" s="5"/>
      <c r="D146" s="1"/>
      <c r="E146" s="5"/>
      <c r="F146" s="6"/>
      <c r="G146" s="5"/>
      <c r="I146" s="3"/>
      <c r="J146" s="3"/>
      <c r="K146" s="3"/>
      <c r="L146" s="3"/>
      <c r="M146" s="4"/>
      <c r="N146" s="3"/>
    </row>
    <row r="147" ht="15.75" customHeight="1">
      <c r="B147" s="5"/>
      <c r="C147" s="5"/>
      <c r="D147" s="1"/>
      <c r="E147" s="5"/>
      <c r="F147" s="6"/>
      <c r="G147" s="5"/>
      <c r="I147" s="3"/>
      <c r="J147" s="3"/>
      <c r="K147" s="3"/>
      <c r="L147" s="3"/>
      <c r="M147" s="4"/>
      <c r="N147" s="3"/>
    </row>
    <row r="148" ht="15.75" customHeight="1">
      <c r="B148" s="3"/>
      <c r="C148" s="3"/>
      <c r="D148" s="3"/>
      <c r="E148" s="3"/>
      <c r="F148" s="4"/>
      <c r="G148" s="3"/>
      <c r="I148" s="3"/>
      <c r="J148" s="3"/>
      <c r="K148" s="3"/>
      <c r="L148" s="3"/>
      <c r="M148" s="4"/>
      <c r="N148" s="3"/>
    </row>
    <row r="149" ht="15.75" customHeight="1">
      <c r="B149" s="3"/>
      <c r="C149" s="3"/>
      <c r="D149" s="3"/>
      <c r="E149" s="3"/>
      <c r="F149" s="4"/>
      <c r="G149" s="3"/>
      <c r="I149" s="3"/>
      <c r="J149" s="3"/>
      <c r="K149" s="3"/>
      <c r="L149" s="3"/>
      <c r="M149" s="4"/>
      <c r="N149" s="3"/>
    </row>
    <row r="150" ht="15.75" customHeight="1">
      <c r="B150" s="3"/>
      <c r="C150" s="3"/>
      <c r="D150" s="3"/>
      <c r="E150" s="3"/>
      <c r="F150" s="4"/>
      <c r="G150" s="3"/>
      <c r="I150" s="3"/>
      <c r="J150" s="3"/>
      <c r="K150" s="3"/>
      <c r="L150" s="3"/>
      <c r="M150" s="4"/>
      <c r="N150" s="3"/>
    </row>
    <row r="151" ht="15.75" customHeight="1">
      <c r="B151" s="3"/>
      <c r="C151" s="3"/>
      <c r="D151" s="3"/>
      <c r="E151" s="3"/>
      <c r="F151" s="4"/>
      <c r="G151" s="3"/>
      <c r="I151" s="3"/>
      <c r="J151" s="3"/>
      <c r="K151" s="3"/>
      <c r="L151" s="3"/>
      <c r="M151" s="4"/>
      <c r="N151" s="3"/>
    </row>
    <row r="152" ht="15.75" customHeight="1">
      <c r="B152" s="3"/>
      <c r="C152" s="3"/>
      <c r="D152" s="3"/>
      <c r="E152" s="3"/>
      <c r="F152" s="4"/>
      <c r="G152" s="3"/>
      <c r="I152" s="3"/>
      <c r="J152" s="3"/>
      <c r="K152" s="3"/>
      <c r="L152" s="3"/>
      <c r="M152" s="4"/>
      <c r="N152" s="3"/>
    </row>
    <row r="153" ht="15.75" customHeight="1">
      <c r="B153" s="3"/>
      <c r="C153" s="3"/>
      <c r="D153" s="3"/>
      <c r="E153" s="3"/>
      <c r="F153" s="4"/>
      <c r="G153" s="3"/>
      <c r="I153" s="3"/>
      <c r="J153" s="3"/>
      <c r="K153" s="3"/>
      <c r="L153" s="3"/>
      <c r="M153" s="4"/>
      <c r="N153" s="3"/>
    </row>
    <row r="154" ht="15.75" customHeight="1">
      <c r="B154" s="3"/>
      <c r="C154" s="3"/>
      <c r="D154" s="3"/>
      <c r="E154" s="3"/>
      <c r="F154" s="4"/>
      <c r="G154" s="3"/>
      <c r="I154" s="3"/>
      <c r="J154" s="3"/>
      <c r="K154" s="3"/>
      <c r="L154" s="3"/>
      <c r="M154" s="4"/>
      <c r="N154" s="3"/>
    </row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1" max="1" width="41.88"/>
    <col customWidth="1" min="2" max="2" width="17.5"/>
    <col customWidth="1" min="3" max="3" width="19.25"/>
    <col customWidth="1" min="4" max="4" width="18.5"/>
    <col customWidth="1" min="5" max="5" width="17.63"/>
    <col customWidth="1" min="6" max="6" width="18.13"/>
    <col customWidth="1" min="11" max="11" width="16.88"/>
    <col customWidth="1" min="12" max="12" width="20.0"/>
  </cols>
  <sheetData>
    <row r="1" ht="15.75" customHeight="1">
      <c r="B1" s="3" t="s">
        <v>0</v>
      </c>
      <c r="C1" s="3" t="str">
        <f>TEXT(C3,"MMMM-YYY")</f>
        <v>February-2025</v>
      </c>
    </row>
    <row r="2" ht="15.75" customHeight="1">
      <c r="A2" s="7"/>
      <c r="B2" s="3" t="s">
        <v>1</v>
      </c>
      <c r="C2" s="8">
        <v>45689.0</v>
      </c>
      <c r="E2" s="9" t="s">
        <v>2</v>
      </c>
      <c r="F2" s="10" t="str">
        <f>IF(SUM(D:D) = SUM(E:E), "✅ Balanced", "⚠️ Unbalanced")</f>
        <v>#REF!</v>
      </c>
    </row>
    <row r="3" ht="15.75" customHeight="1">
      <c r="B3" s="3" t="s">
        <v>3</v>
      </c>
      <c r="C3" s="8">
        <f>EOMONTH(C2,0)</f>
        <v>45716</v>
      </c>
      <c r="E3" s="11"/>
    </row>
    <row r="4" ht="15.75" customHeight="1"/>
    <row r="5" ht="15.75" customHeight="1">
      <c r="D5" s="12" t="str">
        <f t="shared" ref="D5:E5" si="1">SUM(D8:D1000)</f>
        <v>#REF!</v>
      </c>
      <c r="E5" s="12" t="str">
        <f t="shared" si="1"/>
        <v>#REF!</v>
      </c>
      <c r="F5" s="12" t="str">
        <f>D5-E5</f>
        <v>#REF!</v>
      </c>
    </row>
    <row r="6" ht="15.75" customHeight="1">
      <c r="I6" s="3" t="str">
        <f>IFERROR(__xludf.DUMMYFUNCTION("IFNA(QUERY(IMPORTRANGE(""https://docs.google.com/spreadsheets/d/1EHL-jm_NiShR1a2JqKbpaJGazYH90DJO150spY6io4k/edit?gid=0#gid=0"",""Gen_Ledger!A:J""), 
""SELECT SUM(Col5) WHERE Col4 = ""&amp;B9&amp;"" AND Col1 &gt;= ""&amp;C2&amp;"" AND Col1 &lt;= ""&amp;C3&amp;"" LABEL SUM(Col5) ''"", "&amp;"0),"""")"),"#REF!")</f>
        <v>#REF!</v>
      </c>
    </row>
    <row r="7" ht="15.75" customHeight="1">
      <c r="A7" s="1" t="s">
        <v>4</v>
      </c>
      <c r="B7" s="1" t="s">
        <v>5</v>
      </c>
      <c r="C7" s="1" t="s">
        <v>6</v>
      </c>
      <c r="D7" s="1" t="s">
        <v>7</v>
      </c>
      <c r="E7" s="1" t="s">
        <v>8</v>
      </c>
      <c r="F7" s="1" t="s">
        <v>9</v>
      </c>
    </row>
    <row r="8" ht="15.75" customHeight="1">
      <c r="A8" s="1" t="str">
        <f t="array" ref="A8:A909">Helper!E99:E1000</f>
        <v/>
      </c>
      <c r="B8" s="1" t="str">
        <f t="array" ref="B8:B909">Helper!D99:D1000</f>
        <v/>
      </c>
      <c r="C8" s="2" t="str">
        <f>VLOOKUP(B8,Helper!$D$99:$F1000,3,FALSE)</f>
        <v>#N/A</v>
      </c>
      <c r="D8" s="13" t="str">
        <f>IFERROR(__xludf.DUMMYFUNCTION("IFNA(QUERY(IMPORTRANGE(""https://docs.google.com/spreadsheets/d/1EHL-jm_NiShR1a2JqKbpaJGazYH90DJO150spY6io4k/edit?gid=0#gid=0"", 
""Gen_Ledger!A:N""), 
""SELECT SUM(Col10) WHERE Col7 = ""&amp;B8&amp;"" AND Col1 &gt;= DATE '"" &amp; TEXT($C$2, ""YYYY-MM-DD"") &amp; ""' AND C"&amp;"ol1 &lt;= DATE '"" &amp; TEXT($C$3, ""YYYY-MM-DD"") &amp; ""' LABEL SUM(Col10) ''"", 0), """")"),"#REF!")</f>
        <v>#REF!</v>
      </c>
      <c r="E8" s="13" t="str">
        <f>IFERROR(__xludf.DUMMYFUNCTION("IFNA(QUERY(IMPORTRANGE(""https://docs.google.com/spreadsheets/d/1EHL-jm_NiShR1a2JqKbpaJGazYH90DJO150spY6io4k/edit?gid=0#gid=0"", 
""Gen_Ledger!A:N""), 
""SELECT SUM(Col11) WHERE Col7 = ""&amp;B8&amp;"" AND Col1 &gt;= DATE '"" &amp; TEXT($C$2, ""YYYY-MM-DD"") &amp; ""' AND C"&amp;"ol1 &lt;= DATE '"" &amp; TEXT($C$3, ""YYYY-MM-DD"") &amp; ""' LABEL SUM(Col11) ''"", 0), """")"),"#REF!")</f>
        <v>#REF!</v>
      </c>
      <c r="F8" s="13" t="str">
        <f t="shared" ref="F8:F21" si="2">C8+D8-E8</f>
        <v>#N/A</v>
      </c>
    </row>
    <row r="9" ht="15.75" customHeight="1">
      <c r="A9" s="1"/>
      <c r="B9" s="1"/>
      <c r="C9" s="2" t="str">
        <f>VLOOKUP(B9,Helper!$D$99:$F1000,3,FALSE)</f>
        <v>#N/A</v>
      </c>
      <c r="D9" s="13" t="str">
        <f>IFERROR(__xludf.DUMMYFUNCTION("IFNA(QUERY(IMPORTRANGE(""https://docs.google.com/spreadsheets/d/1EHL-jm_NiShR1a2JqKbpaJGazYH90DJO150spY6io4k/edit?gid=0#gid=0"", 
""Gen_Ledger!A:N""), 
""SELECT SUM(Col10) WHERE Col7 = ""&amp;B9&amp;"" AND Col1 &gt;= DATE '"" &amp; TEXT($C$2, ""YYYY-MM-DD"") &amp; ""' AND C"&amp;"ol1 &lt;= DATE '"" &amp; TEXT($C$3, ""YYYY-MM-DD"") &amp; ""' LABEL SUM(Col10) ''"", 0), """")"),"#REF!")</f>
        <v>#REF!</v>
      </c>
      <c r="E9" s="13" t="str">
        <f>IFERROR(__xludf.DUMMYFUNCTION("IFNA(QUERY(IMPORTRANGE(""https://docs.google.com/spreadsheets/d/1EHL-jm_NiShR1a2JqKbpaJGazYH90DJO150spY6io4k/edit?gid=0#gid=0"", 
""Gen_Ledger!A:N""), 
""SELECT SUM(Col11) WHERE Col7 = ""&amp;B9&amp;"" AND Col1 &gt;= DATE '"" &amp; TEXT($C$2, ""YYYY-MM-DD"") &amp; ""' AND C"&amp;"ol1 &lt;= DATE '"" &amp; TEXT($C$3, ""YYYY-MM-DD"") &amp; ""' LABEL SUM(Col11) ''"", 0), """")"),"#REF!")</f>
        <v>#REF!</v>
      </c>
      <c r="F9" s="13" t="str">
        <f t="shared" si="2"/>
        <v>#N/A</v>
      </c>
    </row>
    <row r="10" ht="15.75" customHeight="1">
      <c r="A10" s="1"/>
      <c r="B10" s="1"/>
      <c r="C10" s="2" t="str">
        <f>VLOOKUP(B10,Helper!$D$99:$F1000,3,FALSE)</f>
        <v>#N/A</v>
      </c>
      <c r="D10" s="13" t="str">
        <f>IFERROR(__xludf.DUMMYFUNCTION("IFNA(QUERY(IMPORTRANGE(""https://docs.google.com/spreadsheets/d/1EHL-jm_NiShR1a2JqKbpaJGazYH90DJO150spY6io4k/edit?gid=0#gid=0"", 
""Gen_Ledger!A:N""), 
""SELECT SUM(Col10) WHERE Col7 = ""&amp;B10&amp;"" AND Col1 &gt;= DATE '"" &amp; TEXT($C$2, ""YYYY-MM-DD"") &amp; ""' AND "&amp;"Col1 &lt;= DATE '"" &amp; TEXT($C$3, ""YYYY-MM-DD"") &amp; ""' LABEL SUM(Col10) ''"", 0), """")"),"#REF!")</f>
        <v>#REF!</v>
      </c>
      <c r="E10" s="13" t="str">
        <f>IFERROR(__xludf.DUMMYFUNCTION("IFNA(QUERY(IMPORTRANGE(""https://docs.google.com/spreadsheets/d/1EHL-jm_NiShR1a2JqKbpaJGazYH90DJO150spY6io4k/edit?gid=0#gid=0"", 
""Gen_Ledger!A:N""), 
""SELECT SUM(Col11) WHERE Col7 = ""&amp;B10&amp;"" AND Col1 &gt;= DATE '"" &amp; TEXT($C$2, ""YYYY-MM-DD"") &amp; ""' AND "&amp;"Col1 &lt;= DATE '"" &amp; TEXT($C$3, ""YYYY-MM-DD"") &amp; ""' LABEL SUM(Col11) ''"", 0), """")"),"#REF!")</f>
        <v>#REF!</v>
      </c>
      <c r="F10" s="13" t="str">
        <f t="shared" si="2"/>
        <v>#N/A</v>
      </c>
    </row>
    <row r="11" ht="15.75" customHeight="1">
      <c r="A11" s="1"/>
      <c r="B11" s="1"/>
      <c r="C11" s="2" t="str">
        <f>VLOOKUP(B11,Helper!$D$99:$F1000,3,FALSE)</f>
        <v>#N/A</v>
      </c>
      <c r="D11" s="13" t="str">
        <f>IFERROR(__xludf.DUMMYFUNCTION("IFNA(QUERY(IMPORTRANGE(""https://docs.google.com/spreadsheets/d/1EHL-jm_NiShR1a2JqKbpaJGazYH90DJO150spY6io4k/edit?gid=0#gid=0"", 
""Gen_Ledger!A:N""), 
""SELECT SUM(Col10) WHERE Col7 = ""&amp;B11&amp;"" AND Col1 &gt;= DATE '"" &amp; TEXT($C$2, ""YYYY-MM-DD"") &amp; ""' AND "&amp;"Col1 &lt;= DATE '"" &amp; TEXT($C$3, ""YYYY-MM-DD"") &amp; ""' LABEL SUM(Col10) ''"", 0), """")"),"#REF!")</f>
        <v>#REF!</v>
      </c>
      <c r="E11" s="13" t="str">
        <f>IFERROR(__xludf.DUMMYFUNCTION("IFNA(QUERY(IMPORTRANGE(""https://docs.google.com/spreadsheets/d/1EHL-jm_NiShR1a2JqKbpaJGazYH90DJO150spY6io4k/edit?gid=0#gid=0"", 
""Gen_Ledger!A:N""), 
""SELECT SUM(Col11) WHERE Col7 = ""&amp;B11&amp;"" AND Col1 &gt;= DATE '"" &amp; TEXT($C$2, ""YYYY-MM-DD"") &amp; ""' AND "&amp;"Col1 &lt;= DATE '"" &amp; TEXT($C$3, ""YYYY-MM-DD"") &amp; ""' LABEL SUM(Col11) ''"", 0), """")"),"#REF!")</f>
        <v>#REF!</v>
      </c>
      <c r="F11" s="13" t="str">
        <f t="shared" si="2"/>
        <v>#N/A</v>
      </c>
    </row>
    <row r="12" ht="15.75" customHeight="1">
      <c r="A12" s="1"/>
      <c r="B12" s="1"/>
      <c r="C12" s="2" t="str">
        <f>VLOOKUP(B12,Helper!$D$99:$F1000,3,FALSE)</f>
        <v>#N/A</v>
      </c>
      <c r="D12" s="13" t="str">
        <f>IFERROR(__xludf.DUMMYFUNCTION("IFNA(QUERY(IMPORTRANGE(""https://docs.google.com/spreadsheets/d/1EHL-jm_NiShR1a2JqKbpaJGazYH90DJO150spY6io4k/edit?gid=0#gid=0"", 
""Gen_Ledger!A:N""), 
""SELECT SUM(Col10) WHERE Col7 = ""&amp;B12&amp;"" AND Col1 &gt;= DATE '"" &amp; TEXT($C$2, ""YYYY-MM-DD"") &amp; ""' AND "&amp;"Col1 &lt;= DATE '"" &amp; TEXT($C$3, ""YYYY-MM-DD"") &amp; ""' LABEL SUM(Col10) ''"", 0), """")"),"#REF!")</f>
        <v>#REF!</v>
      </c>
      <c r="E12" s="13" t="str">
        <f>IFERROR(__xludf.DUMMYFUNCTION("IFNA(QUERY(IMPORTRANGE(""https://docs.google.com/spreadsheets/d/1EHL-jm_NiShR1a2JqKbpaJGazYH90DJO150spY6io4k/edit?gid=0#gid=0"", 
""Gen_Ledger!A:N""), 
""SELECT SUM(Col11) WHERE Col7 = ""&amp;B12&amp;"" AND Col1 &gt;= DATE '"" &amp; TEXT($C$2, ""YYYY-MM-DD"") &amp; ""' AND "&amp;"Col1 &lt;= DATE '"" &amp; TEXT($C$3, ""YYYY-MM-DD"") &amp; ""' LABEL SUM(Col11) ''"", 0), """")"),"#REF!")</f>
        <v>#REF!</v>
      </c>
      <c r="F12" s="13" t="str">
        <f t="shared" si="2"/>
        <v>#N/A</v>
      </c>
    </row>
    <row r="13" ht="15.75" customHeight="1">
      <c r="A13" s="1"/>
      <c r="B13" s="1"/>
      <c r="C13" s="2" t="str">
        <f>VLOOKUP(B13,Helper!$D$99:$F1000,3,FALSE)</f>
        <v>#N/A</v>
      </c>
      <c r="D13" s="13" t="str">
        <f>IFERROR(__xludf.DUMMYFUNCTION("IFNA(QUERY(IMPORTRANGE(""https://docs.google.com/spreadsheets/d/1EHL-jm_NiShR1a2JqKbpaJGazYH90DJO150spY6io4k/edit?gid=0#gid=0"", 
""Gen_Ledger!A:N""), 
""SELECT SUM(Col10) WHERE Col7 = ""&amp;B13&amp;"" AND Col1 &gt;= DATE '"" &amp; TEXT($C$2, ""YYYY-MM-DD"") &amp; ""' AND "&amp;"Col1 &lt;= DATE '"" &amp; TEXT($C$3, ""YYYY-MM-DD"") &amp; ""' LABEL SUM(Col10) ''"", 0), """")"),"#REF!")</f>
        <v>#REF!</v>
      </c>
      <c r="E13" s="13" t="str">
        <f>IFERROR(__xludf.DUMMYFUNCTION("IFNA(QUERY(IMPORTRANGE(""https://docs.google.com/spreadsheets/d/1EHL-jm_NiShR1a2JqKbpaJGazYH90DJO150spY6io4k/edit?gid=0#gid=0"", 
""Gen_Ledger!A:N""), 
""SELECT SUM(Col11) WHERE Col7 = ""&amp;B13&amp;"" AND Col1 &gt;= DATE '"" &amp; TEXT($C$2, ""YYYY-MM-DD"") &amp; ""' AND "&amp;"Col1 &lt;= DATE '"" &amp; TEXT($C$3, ""YYYY-MM-DD"") &amp; ""' LABEL SUM(Col11) ''"", 0), """")"),"#REF!")</f>
        <v>#REF!</v>
      </c>
      <c r="F13" s="13" t="str">
        <f t="shared" si="2"/>
        <v>#N/A</v>
      </c>
      <c r="H13" s="3" t="s">
        <v>10</v>
      </c>
      <c r="I13" s="4"/>
    </row>
    <row r="14" ht="15.75" customHeight="1">
      <c r="A14" s="1"/>
      <c r="B14" s="1"/>
      <c r="C14" s="2" t="str">
        <f>VLOOKUP(B14,Helper!$D$99:$F1000,3,FALSE)</f>
        <v>#N/A</v>
      </c>
      <c r="D14" s="13" t="str">
        <f>IFERROR(__xludf.DUMMYFUNCTION("IFNA(QUERY(IMPORTRANGE(""https://docs.google.com/spreadsheets/d/1EHL-jm_NiShR1a2JqKbpaJGazYH90DJO150spY6io4k/edit?gid=0#gid=0"", 
""Gen_Ledger!A:N""), 
""SELECT SUM(Col10) WHERE Col7 = ""&amp;B14&amp;"" AND Col1 &gt;= DATE '"" &amp; TEXT($C$2, ""YYYY-MM-DD"") &amp; ""' AND "&amp;"Col1 &lt;= DATE '"" &amp; TEXT($C$3, ""YYYY-MM-DD"") &amp; ""' LABEL SUM(Col10) ''"", 0), """")"),"#REF!")</f>
        <v>#REF!</v>
      </c>
      <c r="E14" s="13" t="str">
        <f>IFERROR(__xludf.DUMMYFUNCTION("IFNA(QUERY(IMPORTRANGE(""https://docs.google.com/spreadsheets/d/1EHL-jm_NiShR1a2JqKbpaJGazYH90DJO150spY6io4k/edit?gid=0#gid=0"", 
""Gen_Ledger!A:N""), 
""SELECT SUM(Col11) WHERE Col7 = ""&amp;B14&amp;"" AND Col1 &gt;= DATE '"" &amp; TEXT($C$2, ""YYYY-MM-DD"") &amp; ""' AND "&amp;"Col1 &lt;= DATE '"" &amp; TEXT($C$3, ""YYYY-MM-DD"") &amp; ""' LABEL SUM(Col11) ''"", 0), """")"),"#REF!")</f>
        <v>#REF!</v>
      </c>
      <c r="F14" s="13" t="str">
        <f t="shared" si="2"/>
        <v>#N/A</v>
      </c>
    </row>
    <row r="15" ht="15.75" customHeight="1">
      <c r="A15" s="1"/>
      <c r="B15" s="1"/>
      <c r="C15" s="2" t="str">
        <f>VLOOKUP(B15,Helper!$D$99:$F1000,3,FALSE)</f>
        <v>#N/A</v>
      </c>
      <c r="D15" s="13" t="str">
        <f>IFERROR(__xludf.DUMMYFUNCTION("IFNA(QUERY(IMPORTRANGE(""https://docs.google.com/spreadsheets/d/1EHL-jm_NiShR1a2JqKbpaJGazYH90DJO150spY6io4k/edit?gid=0#gid=0"", 
""Gen_Ledger!A:N""), 
""SELECT SUM(Col10) WHERE Col7 = ""&amp;B15&amp;"" AND Col1 &gt;= DATE '"" &amp; TEXT($C$2, ""YYYY-MM-DD"") &amp; ""' AND "&amp;"Col1 &lt;= DATE '"" &amp; TEXT($C$3, ""YYYY-MM-DD"") &amp; ""' LABEL SUM(Col10) ''"", 0), """")"),"#REF!")</f>
        <v>#REF!</v>
      </c>
      <c r="E15" s="13" t="str">
        <f>IFERROR(__xludf.DUMMYFUNCTION("IFNA(QUERY(IMPORTRANGE(""https://docs.google.com/spreadsheets/d/1EHL-jm_NiShR1a2JqKbpaJGazYH90DJO150spY6io4k/edit?gid=0#gid=0"", 
""Gen_Ledger!A:N""), 
""SELECT SUM(Col11) WHERE Col7 = ""&amp;B15&amp;"" AND Col1 &gt;= DATE '"" &amp; TEXT($C$2, ""YYYY-MM-DD"") &amp; ""' AND "&amp;"Col1 &lt;= DATE '"" &amp; TEXT($C$3, ""YYYY-MM-DD"") &amp; ""' LABEL SUM(Col11) ''"", 0), """")"),"#REF!")</f>
        <v>#REF!</v>
      </c>
      <c r="F15" s="13" t="str">
        <f t="shared" si="2"/>
        <v>#N/A</v>
      </c>
    </row>
    <row r="16" ht="15.75" customHeight="1">
      <c r="A16" s="1"/>
      <c r="B16" s="1"/>
      <c r="C16" s="2" t="str">
        <f>VLOOKUP(B16,Helper!$D$99:$F1000,3,FALSE)</f>
        <v>#N/A</v>
      </c>
      <c r="D16" s="13" t="str">
        <f>IFERROR(__xludf.DUMMYFUNCTION("IFNA(QUERY(IMPORTRANGE(""https://docs.google.com/spreadsheets/d/1EHL-jm_NiShR1a2JqKbpaJGazYH90DJO150spY6io4k/edit?gid=0#gid=0"", 
""Gen_Ledger!A:N""), 
""SELECT SUM(Col10) WHERE Col7 = ""&amp;B16&amp;"" AND Col1 &gt;= DATE '"" &amp; TEXT($C$2, ""YYYY-MM-DD"") &amp; ""' AND "&amp;"Col1 &lt;= DATE '"" &amp; TEXT($C$3, ""YYYY-MM-DD"") &amp; ""' LABEL SUM(Col10) ''"", 0), """")"),"#REF!")</f>
        <v>#REF!</v>
      </c>
      <c r="E16" s="13" t="str">
        <f>IFERROR(__xludf.DUMMYFUNCTION("IFNA(QUERY(IMPORTRANGE(""https://docs.google.com/spreadsheets/d/1EHL-jm_NiShR1a2JqKbpaJGazYH90DJO150spY6io4k/edit?gid=0#gid=0"", 
""Gen_Ledger!A:N""), 
""SELECT SUM(Col11) WHERE Col7 = ""&amp;B16&amp;"" AND Col1 &gt;= DATE '"" &amp; TEXT($C$2, ""YYYY-MM-DD"") &amp; ""' AND "&amp;"Col1 &lt;= DATE '"" &amp; TEXT($C$3, ""YYYY-MM-DD"") &amp; ""' LABEL SUM(Col11) ''"", 0), """")"),"#REF!")</f>
        <v>#REF!</v>
      </c>
      <c r="F16" s="13" t="str">
        <f t="shared" si="2"/>
        <v>#N/A</v>
      </c>
    </row>
    <row r="17" ht="15.75" customHeight="1">
      <c r="A17" s="1"/>
      <c r="B17" s="1"/>
      <c r="C17" s="2" t="str">
        <f>VLOOKUP(B17,Helper!$D$99:$F1000,3,FALSE)</f>
        <v>#N/A</v>
      </c>
      <c r="D17" s="13" t="str">
        <f>IFERROR(__xludf.DUMMYFUNCTION("IFNA(QUERY(IMPORTRANGE(""https://docs.google.com/spreadsheets/d/1EHL-jm_NiShR1a2JqKbpaJGazYH90DJO150spY6io4k/edit?gid=0#gid=0"", 
""Gen_Ledger!A:N""), 
""SELECT SUM(Col10) WHERE Col7 = ""&amp;B17&amp;"" AND Col1 &gt;= DATE '"" &amp; TEXT($C$2, ""YYYY-MM-DD"") &amp; ""' AND "&amp;"Col1 &lt;= DATE '"" &amp; TEXT($C$3, ""YYYY-MM-DD"") &amp; ""' LABEL SUM(Col10) ''"", 0), """")"),"#REF!")</f>
        <v>#REF!</v>
      </c>
      <c r="E17" s="13" t="str">
        <f>IFERROR(__xludf.DUMMYFUNCTION("IFNA(QUERY(IMPORTRANGE(""https://docs.google.com/spreadsheets/d/1EHL-jm_NiShR1a2JqKbpaJGazYH90DJO150spY6io4k/edit?gid=0#gid=0"", 
""Gen_Ledger!A:N""), 
""SELECT SUM(Col11) WHERE Col7 = ""&amp;B17&amp;"" AND Col1 &gt;= DATE '"" &amp; TEXT($C$2, ""YYYY-MM-DD"") &amp; ""' AND "&amp;"Col1 &lt;= DATE '"" &amp; TEXT($C$3, ""YYYY-MM-DD"") &amp; ""' LABEL SUM(Col11) ''"", 0), """")"),"#REF!")</f>
        <v>#REF!</v>
      </c>
      <c r="F17" s="13" t="str">
        <f t="shared" si="2"/>
        <v>#N/A</v>
      </c>
    </row>
    <row r="18" ht="15.75" customHeight="1">
      <c r="A18" s="1"/>
      <c r="B18" s="1"/>
      <c r="C18" s="2" t="str">
        <f>VLOOKUP(B18,Helper!$D$99:$F1000,3,FALSE)</f>
        <v>#N/A</v>
      </c>
      <c r="D18" s="13" t="str">
        <f>IFERROR(__xludf.DUMMYFUNCTION("IFNA(QUERY(IMPORTRANGE(""https://docs.google.com/spreadsheets/d/1EHL-jm_NiShR1a2JqKbpaJGazYH90DJO150spY6io4k/edit?gid=0#gid=0"", 
""Gen_Ledger!A:N""), 
""SELECT SUM(Col10) WHERE Col7 = ""&amp;B18&amp;"" AND Col1 &gt;= DATE '"" &amp; TEXT($C$2, ""YYYY-MM-DD"") &amp; ""' AND "&amp;"Col1 &lt;= DATE '"" &amp; TEXT($C$3, ""YYYY-MM-DD"") &amp; ""' LABEL SUM(Col10) ''"", 0), """")"),"#REF!")</f>
        <v>#REF!</v>
      </c>
      <c r="E18" s="13" t="str">
        <f>IFERROR(__xludf.DUMMYFUNCTION("IFNA(QUERY(IMPORTRANGE(""https://docs.google.com/spreadsheets/d/1EHL-jm_NiShR1a2JqKbpaJGazYH90DJO150spY6io4k/edit?gid=0#gid=0"", 
""Gen_Ledger!A:N""), 
""SELECT SUM(Col11) WHERE Col7 = ""&amp;B18&amp;"" AND Col1 &gt;= DATE '"" &amp; TEXT($C$2, ""YYYY-MM-DD"") &amp; ""' AND "&amp;"Col1 &lt;= DATE '"" &amp; TEXT($C$3, ""YYYY-MM-DD"") &amp; ""' LABEL SUM(Col11) ''"", 0), """")"),"#REF!")</f>
        <v>#REF!</v>
      </c>
      <c r="F18" s="13" t="str">
        <f t="shared" si="2"/>
        <v>#N/A</v>
      </c>
    </row>
    <row r="19" ht="15.75" customHeight="1">
      <c r="A19" s="1"/>
      <c r="B19" s="1"/>
      <c r="C19" s="2" t="str">
        <f>VLOOKUP(B19,Helper!$D$99:$F1000,3,FALSE)</f>
        <v>#N/A</v>
      </c>
      <c r="D19" s="13" t="str">
        <f>IFERROR(__xludf.DUMMYFUNCTION("IFNA(QUERY(IMPORTRANGE(""https://docs.google.com/spreadsheets/d/1EHL-jm_NiShR1a2JqKbpaJGazYH90DJO150spY6io4k/edit?gid=0#gid=0"", 
""Gen_Ledger!A:N""), 
""SELECT SUM(Col10) WHERE Col7 = ""&amp;B19&amp;"" AND Col1 &gt;= DATE '"" &amp; TEXT($C$2, ""YYYY-MM-DD"") &amp; ""' AND "&amp;"Col1 &lt;= DATE '"" &amp; TEXT($C$3, ""YYYY-MM-DD"") &amp; ""' LABEL SUM(Col10) ''"", 0), """")"),"#REF!")</f>
        <v>#REF!</v>
      </c>
      <c r="E19" s="13" t="str">
        <f>IFERROR(__xludf.DUMMYFUNCTION("IFNA(QUERY(IMPORTRANGE(""https://docs.google.com/spreadsheets/d/1EHL-jm_NiShR1a2JqKbpaJGazYH90DJO150spY6io4k/edit?gid=0#gid=0"", 
""Gen_Ledger!A:N""), 
""SELECT SUM(Col11) WHERE Col7 = ""&amp;B19&amp;"" AND Col1 &gt;= DATE '"" &amp; TEXT($C$2, ""YYYY-MM-DD"") &amp; ""' AND "&amp;"Col1 &lt;= DATE '"" &amp; TEXT($C$3, ""YYYY-MM-DD"") &amp; ""' LABEL SUM(Col11) ''"", 0), """")"),"#REF!")</f>
        <v>#REF!</v>
      </c>
      <c r="F19" s="13" t="str">
        <f t="shared" si="2"/>
        <v>#N/A</v>
      </c>
    </row>
    <row r="20" ht="15.75" customHeight="1">
      <c r="A20" s="1"/>
      <c r="B20" s="1"/>
      <c r="C20" s="2" t="str">
        <f>VLOOKUP(B20,Helper!$D$99:$F1000,3,FALSE)</f>
        <v>#N/A</v>
      </c>
      <c r="D20" s="13" t="str">
        <f>IFERROR(__xludf.DUMMYFUNCTION("IFNA(QUERY(IMPORTRANGE(""https://docs.google.com/spreadsheets/d/1EHL-jm_NiShR1a2JqKbpaJGazYH90DJO150spY6io4k/edit?gid=0#gid=0"", 
""Gen_Ledger!A:N""), 
""SELECT SUM(Col10) WHERE Col7 = ""&amp;B20&amp;"" AND Col1 &gt;= DATE '"" &amp; TEXT($C$2, ""YYYY-MM-DD"") &amp; ""' AND "&amp;"Col1 &lt;= DATE '"" &amp; TEXT($C$3, ""YYYY-MM-DD"") &amp; ""' LABEL SUM(Col10) ''"", 0), """")"),"#REF!")</f>
        <v>#REF!</v>
      </c>
      <c r="E20" s="13" t="str">
        <f>IFERROR(__xludf.DUMMYFUNCTION("IFNA(QUERY(IMPORTRANGE(""https://docs.google.com/spreadsheets/d/1EHL-jm_NiShR1a2JqKbpaJGazYH90DJO150spY6io4k/edit?gid=0#gid=0"", 
""Gen_Ledger!A:N""), 
""SELECT SUM(Col11) WHERE Col7 = ""&amp;B20&amp;"" AND Col1 &gt;= DATE '"" &amp; TEXT($C$2, ""YYYY-MM-DD"") &amp; ""' AND "&amp;"Col1 &lt;= DATE '"" &amp; TEXT($C$3, ""YYYY-MM-DD"") &amp; ""' LABEL SUM(Col11) ''"", 0), """")"),"#REF!")</f>
        <v>#REF!</v>
      </c>
      <c r="F20" s="13" t="str">
        <f t="shared" si="2"/>
        <v>#N/A</v>
      </c>
    </row>
    <row r="21" ht="15.75" customHeight="1">
      <c r="A21" s="1"/>
      <c r="B21" s="1"/>
      <c r="C21" s="2" t="str">
        <f>VLOOKUP(B21,Helper!$D$99:$F1000,3,FALSE)</f>
        <v>#N/A</v>
      </c>
      <c r="D21" s="13" t="str">
        <f>IFERROR(__xludf.DUMMYFUNCTION("IFNA(QUERY(IMPORTRANGE(""https://docs.google.com/spreadsheets/d/1EHL-jm_NiShR1a2JqKbpaJGazYH90DJO150spY6io4k/edit?gid=0#gid=0"", 
""Gen_Ledger!A:N""), 
""SELECT SUM(Col10) WHERE Col7 = ""&amp;B21&amp;"" AND Col1 &gt;= DATE '"" &amp; TEXT($C$2, ""YYYY-MM-DD"") &amp; ""' AND "&amp;"Col1 &lt;= DATE '"" &amp; TEXT($C$3, ""YYYY-MM-DD"") &amp; ""' LABEL SUM(Col10) ''"", 0), """")"),"#REF!")</f>
        <v>#REF!</v>
      </c>
      <c r="E21" s="13" t="str">
        <f>IFERROR(__xludf.DUMMYFUNCTION("IFNA(QUERY(IMPORTRANGE(""https://docs.google.com/spreadsheets/d/1EHL-jm_NiShR1a2JqKbpaJGazYH90DJO150spY6io4k/edit?gid=0#gid=0"", 
""Gen_Ledger!A:N""), 
""SELECT SUM(Col11) WHERE Col7 = ""&amp;B21&amp;"" AND Col1 &gt;= DATE '"" &amp; TEXT($C$2, ""YYYY-MM-DD"") &amp; ""' AND "&amp;"Col1 &lt;= DATE '"" &amp; TEXT($C$3, ""YYYY-MM-DD"") &amp; ""' LABEL SUM(Col11) ''"", 0), """")"),"#REF!")</f>
        <v>#REF!</v>
      </c>
      <c r="F21" s="13" t="str">
        <f t="shared" si="2"/>
        <v>#N/A</v>
      </c>
      <c r="M21" s="12"/>
    </row>
    <row r="22" ht="15.75" customHeight="1">
      <c r="A22" s="1"/>
      <c r="B22" s="1"/>
      <c r="C22" s="2" t="str">
        <f>VLOOKUP(B22,Helper!$D$99:$F1000,3,FALSE)</f>
        <v>#N/A</v>
      </c>
      <c r="D22" s="13" t="str">
        <f>IFERROR(__xludf.DUMMYFUNCTION("IFNA(QUERY(IMPORTRANGE(""https://docs.google.com/spreadsheets/d/1EHL-jm_NiShR1a2JqKbpaJGazYH90DJO150spY6io4k/edit?gid=0#gid=0"", 
""Gen_Ledger!A:N""), 
""SELECT SUM(Col10) WHERE Col7 = ""&amp;B22&amp;"" AND Col1 &gt;= DATE '"" &amp; TEXT($C$2, ""YYYY-MM-DD"") &amp; ""' AND "&amp;"Col1 &lt;= DATE '"" &amp; TEXT($C$3, ""YYYY-MM-DD"") &amp; ""' LABEL SUM(Col10) ''"", 0), """")"),"#REF!")</f>
        <v>#REF!</v>
      </c>
      <c r="E22" s="13" t="str">
        <f>IFERROR(__xludf.DUMMYFUNCTION("IFNA(QUERY(IMPORTRANGE(""https://docs.google.com/spreadsheets/d/1EHL-jm_NiShR1a2JqKbpaJGazYH90DJO150spY6io4k/edit?gid=0#gid=0"", 
""Gen_Ledger!A:N""), 
""SELECT SUM(Col11) WHERE Col7 = ""&amp;B22&amp;"" AND Col1 &gt;= DATE '"" &amp; TEXT($C$2, ""YYYY-MM-DD"") &amp; ""' AND "&amp;"Col1 &lt;= DATE '"" &amp; TEXT($C$3, ""YYYY-MM-DD"") &amp; ""' LABEL SUM(Col11) ''"", 0), """")"),"#REF!")</f>
        <v>#REF!</v>
      </c>
      <c r="F22" s="13" t="str">
        <f t="shared" ref="F22:F25" si="3">C22+E22</f>
        <v>#N/A</v>
      </c>
      <c r="J22" s="12" t="str">
        <f>SUM(F16:F20)-SUM(F22:F25)</f>
        <v>#N/A</v>
      </c>
      <c r="M22" s="12"/>
    </row>
    <row r="23" ht="15.75" customHeight="1">
      <c r="A23" s="1"/>
      <c r="B23" s="1"/>
      <c r="C23" s="2" t="str">
        <f>VLOOKUP(B23,Helper!$D$99:$F1000,3,FALSE)</f>
        <v>#N/A</v>
      </c>
      <c r="D23" s="13" t="str">
        <f>IFERROR(__xludf.DUMMYFUNCTION("IFNA(QUERY(IMPORTRANGE(""https://docs.google.com/spreadsheets/d/1EHL-jm_NiShR1a2JqKbpaJGazYH90DJO150spY6io4k/edit?gid=0#gid=0"", 
""Gen_Ledger!A:N""), 
""SELECT SUM(Col10) WHERE Col7 = ""&amp;B23&amp;"" AND Col1 &gt;= DATE '"" &amp; TEXT($C$2, ""YYYY-MM-DD"") &amp; ""' AND "&amp;"Col1 &lt;= DATE '"" &amp; TEXT($C$3, ""YYYY-MM-DD"") &amp; ""' LABEL SUM(Col10) ''"", 0), """")"),"#REF!")</f>
        <v>#REF!</v>
      </c>
      <c r="E23" s="13" t="str">
        <f>IFERROR(__xludf.DUMMYFUNCTION("IFNA(QUERY(IMPORTRANGE(""https://docs.google.com/spreadsheets/d/1EHL-jm_NiShR1a2JqKbpaJGazYH90DJO150spY6io4k/edit?gid=0#gid=0"", 
""Gen_Ledger!A:N""), 
""SELECT SUM(Col11) WHERE Col7 = ""&amp;B23&amp;"" AND Col1 &gt;= DATE '"" &amp; TEXT($C$2, ""YYYY-MM-DD"") &amp; ""' AND "&amp;"Col1 &lt;= DATE '"" &amp; TEXT($C$3, ""YYYY-MM-DD"") &amp; ""' LABEL SUM(Col11) ''"", 0), """")"),"#REF!")</f>
        <v>#REF!</v>
      </c>
      <c r="F23" s="13" t="str">
        <f t="shared" si="3"/>
        <v>#N/A</v>
      </c>
      <c r="M23" s="12"/>
    </row>
    <row r="24" ht="15.75" customHeight="1">
      <c r="A24" s="1"/>
      <c r="B24" s="1"/>
      <c r="C24" s="2" t="str">
        <f>VLOOKUP(B24,Helper!$D$99:$F1000,3,FALSE)</f>
        <v>#N/A</v>
      </c>
      <c r="D24" s="13" t="str">
        <f>IFERROR(__xludf.DUMMYFUNCTION("IFNA(QUERY(IMPORTRANGE(""https://docs.google.com/spreadsheets/d/1EHL-jm_NiShR1a2JqKbpaJGazYH90DJO150spY6io4k/edit?gid=0#gid=0"", 
""Gen_Ledger!A:N""), 
""SELECT SUM(Col10) WHERE Col7 = ""&amp;B24&amp;"" AND Col1 &gt;= DATE '"" &amp; TEXT($C$2, ""YYYY-MM-DD"") &amp; ""' AND "&amp;"Col1 &lt;= DATE '"" &amp; TEXT($C$3, ""YYYY-MM-DD"") &amp; ""' LABEL SUM(Col10) ''"", 0), """")"),"#REF!")</f>
        <v>#REF!</v>
      </c>
      <c r="E24" s="13" t="str">
        <f>IFERROR(__xludf.DUMMYFUNCTION("IFNA(QUERY(IMPORTRANGE(""https://docs.google.com/spreadsheets/d/1EHL-jm_NiShR1a2JqKbpaJGazYH90DJO150spY6io4k/edit?gid=0#gid=0"", 
""Gen_Ledger!A:N""), 
""SELECT SUM(Col11) WHERE Col7 = ""&amp;B24&amp;"" AND Col1 &gt;= DATE '"" &amp; TEXT($C$2, ""YYYY-MM-DD"") &amp; ""' AND "&amp;"Col1 &lt;= DATE '"" &amp; TEXT($C$3, ""YYYY-MM-DD"") &amp; ""' LABEL SUM(Col11) ''"", 0), """")"),"#REF!")</f>
        <v>#REF!</v>
      </c>
      <c r="F24" s="13" t="str">
        <f t="shared" si="3"/>
        <v>#N/A</v>
      </c>
      <c r="M24" s="12"/>
    </row>
    <row r="25" ht="15.75" customHeight="1">
      <c r="A25" s="1"/>
      <c r="B25" s="1"/>
      <c r="C25" s="2" t="str">
        <f>VLOOKUP(B25,Helper!$D$99:$F1000,3,FALSE)</f>
        <v>#N/A</v>
      </c>
      <c r="D25" s="13" t="str">
        <f>IFERROR(__xludf.DUMMYFUNCTION("IFNA(QUERY(IMPORTRANGE(""https://docs.google.com/spreadsheets/d/1EHL-jm_NiShR1a2JqKbpaJGazYH90DJO150spY6io4k/edit?gid=0#gid=0"", 
""Gen_Ledger!A:N""), 
""SELECT SUM(Col10) WHERE Col7 = ""&amp;B25&amp;"" AND Col1 &gt;= DATE '"" &amp; TEXT($C$2, ""YYYY-MM-DD"") &amp; ""' AND "&amp;"Col1 &lt;= DATE '"" &amp; TEXT($C$3, ""YYYY-MM-DD"") &amp; ""' LABEL SUM(Col10) ''"", 0), """")"),"#REF!")</f>
        <v>#REF!</v>
      </c>
      <c r="E25" s="13" t="str">
        <f>IFERROR(__xludf.DUMMYFUNCTION("IFNA(QUERY(IMPORTRANGE(""https://docs.google.com/spreadsheets/d/1EHL-jm_NiShR1a2JqKbpaJGazYH90DJO150spY6io4k/edit?gid=0#gid=0"", 
""Gen_Ledger!A:N""), 
""SELECT SUM(Col11) WHERE Col7 = ""&amp;B25&amp;"" AND Col1 &gt;= DATE '"" &amp; TEXT($C$2, ""YYYY-MM-DD"") &amp; ""' AND "&amp;"Col1 &lt;= DATE '"" &amp; TEXT($C$3, ""YYYY-MM-DD"") &amp; ""' LABEL SUM(Col11) ''"", 0), """")"),"#REF!")</f>
        <v>#REF!</v>
      </c>
      <c r="F25" s="13" t="str">
        <f t="shared" si="3"/>
        <v>#N/A</v>
      </c>
    </row>
    <row r="26" ht="15.75" customHeight="1">
      <c r="A26" s="1"/>
      <c r="B26" s="1"/>
      <c r="C26" s="2" t="str">
        <f>VLOOKUP(B26,Helper!$D$99:$F1000,3,FALSE)</f>
        <v>#N/A</v>
      </c>
      <c r="D26" s="13" t="str">
        <f>IFERROR(__xludf.DUMMYFUNCTION("IFNA(QUERY(IMPORTRANGE(""https://docs.google.com/spreadsheets/d/1EHL-jm_NiShR1a2JqKbpaJGazYH90DJO150spY6io4k/edit?gid=0#gid=0"", 
""Gen_Ledger!A:N""), 
""SELECT SUM(Col10) WHERE Col7 = ""&amp;B26&amp;"" AND Col1 &gt;= DATE '"" &amp; TEXT($C$2, ""YYYY-MM-DD"") &amp; ""' AND "&amp;"Col1 &lt;= DATE '"" &amp; TEXT($C$3, ""YYYY-MM-DD"") &amp; ""' LABEL SUM(Col10) ''"", 0), """")"),"#REF!")</f>
        <v>#REF!</v>
      </c>
      <c r="E26" s="13" t="str">
        <f>IFERROR(__xludf.DUMMYFUNCTION("IFNA(QUERY(IMPORTRANGE(""https://docs.google.com/spreadsheets/d/1EHL-jm_NiShR1a2JqKbpaJGazYH90DJO150spY6io4k/edit?gid=0#gid=0"", 
""Gen_Ledger!A:N""), 
""SELECT SUM(Col11) WHERE Col7 = ""&amp;B26&amp;"" AND Col1 &gt;= DATE '"" &amp; TEXT($C$2, ""YYYY-MM-DD"") &amp; ""' AND "&amp;"Col1 &lt;= DATE '"" &amp; TEXT($C$3, ""YYYY-MM-DD"") &amp; ""' LABEL SUM(Col11) ''"", 0), """")"),"#REF!")</f>
        <v>#REF!</v>
      </c>
      <c r="F26" s="13" t="str">
        <f t="shared" ref="F26:F38" si="4">C26+E26-D26</f>
        <v>#N/A</v>
      </c>
    </row>
    <row r="27" ht="15.75" customHeight="1">
      <c r="A27" s="1"/>
      <c r="B27" s="1"/>
      <c r="C27" s="2" t="str">
        <f>VLOOKUP(B27,Helper!$D$99:$F1000,3,FALSE)</f>
        <v>#N/A</v>
      </c>
      <c r="D27" s="13" t="str">
        <f>IFERROR(__xludf.DUMMYFUNCTION("IFNA(QUERY(IMPORTRANGE(""https://docs.google.com/spreadsheets/d/1EHL-jm_NiShR1a2JqKbpaJGazYH90DJO150spY6io4k/edit?gid=0#gid=0"", 
""Gen_Ledger!A:N""), 
""SELECT SUM(Col10) WHERE Col7 = ""&amp;B27&amp;"" AND Col1 &gt;= DATE '"" &amp; TEXT($C$2, ""YYYY-MM-DD"") &amp; ""' AND "&amp;"Col1 &lt;= DATE '"" &amp; TEXT($C$3, ""YYYY-MM-DD"") &amp; ""' LABEL SUM(Col10) ''"", 0), """")"),"#REF!")</f>
        <v>#REF!</v>
      </c>
      <c r="E27" s="13" t="str">
        <f>IFERROR(__xludf.DUMMYFUNCTION("IFNA(QUERY(IMPORTRANGE(""https://docs.google.com/spreadsheets/d/1EHL-jm_NiShR1a2JqKbpaJGazYH90DJO150spY6io4k/edit?gid=0#gid=0"", 
""Gen_Ledger!A:N""), 
""SELECT SUM(Col11) WHERE Col7 = ""&amp;B27&amp;"" AND Col1 &gt;= DATE '"" &amp; TEXT($C$2, ""YYYY-MM-DD"") &amp; ""' AND "&amp;"Col1 &lt;= DATE '"" &amp; TEXT($C$3, ""YYYY-MM-DD"") &amp; ""' LABEL SUM(Col11) ''"", 0), """")"),"#REF!")</f>
        <v>#REF!</v>
      </c>
      <c r="F27" s="13" t="str">
        <f t="shared" si="4"/>
        <v>#N/A</v>
      </c>
    </row>
    <row r="28" ht="15.75" customHeight="1">
      <c r="A28" s="1"/>
      <c r="B28" s="1"/>
      <c r="C28" s="2" t="str">
        <f>VLOOKUP(B28,Helper!$D$99:$F1000,3,FALSE)</f>
        <v>#N/A</v>
      </c>
      <c r="D28" s="13" t="str">
        <f>IFERROR(__xludf.DUMMYFUNCTION("IFNA(QUERY(IMPORTRANGE(""https://docs.google.com/spreadsheets/d/1EHL-jm_NiShR1a2JqKbpaJGazYH90DJO150spY6io4k/edit?gid=0#gid=0"", 
""Gen_Ledger!A:N""), 
""SELECT SUM(Col10) WHERE Col7 = ""&amp;B28&amp;"" AND Col1 &gt;= DATE '"" &amp; TEXT($C$2, ""YYYY-MM-DD"") &amp; ""' AND "&amp;"Col1 &lt;= DATE '"" &amp; TEXT($C$3, ""YYYY-MM-DD"") &amp; ""' LABEL SUM(Col10) ''"", 0), """")"),"#REF!")</f>
        <v>#REF!</v>
      </c>
      <c r="E28" s="13" t="str">
        <f>IFERROR(__xludf.DUMMYFUNCTION("IFNA(QUERY(IMPORTRANGE(""https://docs.google.com/spreadsheets/d/1EHL-jm_NiShR1a2JqKbpaJGazYH90DJO150spY6io4k/edit?gid=0#gid=0"", 
""Gen_Ledger!A:N""), 
""SELECT SUM(Col11) WHERE Col7 = ""&amp;B28&amp;"" AND Col1 &gt;= DATE '"" &amp; TEXT($C$2, ""YYYY-MM-DD"") &amp; ""' AND "&amp;"Col1 &lt;= DATE '"" &amp; TEXT($C$3, ""YYYY-MM-DD"") &amp; ""' LABEL SUM(Col11) ''"", 0), """")"),"#REF!")</f>
        <v>#REF!</v>
      </c>
      <c r="F28" s="13" t="str">
        <f t="shared" si="4"/>
        <v>#N/A</v>
      </c>
    </row>
    <row r="29" ht="15.75" customHeight="1">
      <c r="A29" s="1"/>
      <c r="B29" s="1"/>
      <c r="C29" s="2" t="str">
        <f>VLOOKUP(B29,Helper!$D$99:$F1000,3,FALSE)</f>
        <v>#N/A</v>
      </c>
      <c r="D29" s="13" t="str">
        <f>IFERROR(__xludf.DUMMYFUNCTION("IFNA(QUERY(IMPORTRANGE(""https://docs.google.com/spreadsheets/d/1EHL-jm_NiShR1a2JqKbpaJGazYH90DJO150spY6io4k/edit?gid=0#gid=0"", 
""Gen_Ledger!A:N""), 
""SELECT SUM(Col10) WHERE Col7 = ""&amp;B29&amp;"" AND Col1 &gt;= DATE '"" &amp; TEXT($C$2, ""YYYY-MM-DD"") &amp; ""' AND "&amp;"Col1 &lt;= DATE '"" &amp; TEXT($C$3, ""YYYY-MM-DD"") &amp; ""' LABEL SUM(Col10) ''"", 0), """")"),"#REF!")</f>
        <v>#REF!</v>
      </c>
      <c r="E29" s="13" t="str">
        <f>IFERROR(__xludf.DUMMYFUNCTION("IFNA(QUERY(IMPORTRANGE(""https://docs.google.com/spreadsheets/d/1EHL-jm_NiShR1a2JqKbpaJGazYH90DJO150spY6io4k/edit?gid=0#gid=0"", 
""Gen_Ledger!A:N""), 
""SELECT SUM(Col11) WHERE Col7 = ""&amp;B29&amp;"" AND Col1 &gt;= DATE '"" &amp; TEXT($C$2, ""YYYY-MM-DD"") &amp; ""' AND "&amp;"Col1 &lt;= DATE '"" &amp; TEXT($C$3, ""YYYY-MM-DD"") &amp; ""' LABEL SUM(Col11) ''"", 0), """")"),"#REF!")</f>
        <v>#REF!</v>
      </c>
      <c r="F29" s="13" t="str">
        <f t="shared" si="4"/>
        <v>#N/A</v>
      </c>
    </row>
    <row r="30" ht="15.75" customHeight="1">
      <c r="A30" s="1"/>
      <c r="B30" s="1"/>
      <c r="C30" s="2" t="str">
        <f>VLOOKUP(B30,Helper!$D$99:$F1000,3,FALSE)</f>
        <v>#N/A</v>
      </c>
      <c r="D30" s="13" t="str">
        <f>IFERROR(__xludf.DUMMYFUNCTION("IFNA(QUERY(IMPORTRANGE(""https://docs.google.com/spreadsheets/d/1EHL-jm_NiShR1a2JqKbpaJGazYH90DJO150spY6io4k/edit?gid=0#gid=0"", 
""Gen_Ledger!A:N""), 
""SELECT SUM(Col10) WHERE Col7 = ""&amp;B30&amp;"" AND Col1 &gt;= DATE '"" &amp; TEXT($C$2, ""YYYY-MM-DD"") &amp; ""' AND "&amp;"Col1 &lt;= DATE '"" &amp; TEXT($C$3, ""YYYY-MM-DD"") &amp; ""' LABEL SUM(Col10) ''"", 0), """")"),"#REF!")</f>
        <v>#REF!</v>
      </c>
      <c r="E30" s="13" t="str">
        <f>IFERROR(__xludf.DUMMYFUNCTION("IFNA(QUERY(IMPORTRANGE(""https://docs.google.com/spreadsheets/d/1EHL-jm_NiShR1a2JqKbpaJGazYH90DJO150spY6io4k/edit?gid=0#gid=0"", 
""Gen_Ledger!A:N""), 
""SELECT SUM(Col11) WHERE Col7 = ""&amp;B30&amp;"" AND Col1 &gt;= DATE '"" &amp; TEXT($C$2, ""YYYY-MM-DD"") &amp; ""' AND "&amp;"Col1 &lt;= DATE '"" &amp; TEXT($C$3, ""YYYY-MM-DD"") &amp; ""' LABEL SUM(Col11) ''"", 0), """")"),"#REF!")</f>
        <v>#REF!</v>
      </c>
      <c r="F30" s="13" t="str">
        <f t="shared" si="4"/>
        <v>#N/A</v>
      </c>
    </row>
    <row r="31" ht="15.75" customHeight="1">
      <c r="A31" s="1"/>
      <c r="B31" s="1"/>
      <c r="C31" s="2" t="str">
        <f>VLOOKUP(B31,Helper!$D$99:$F1000,3,FALSE)</f>
        <v>#N/A</v>
      </c>
      <c r="D31" s="13" t="str">
        <f>IFERROR(__xludf.DUMMYFUNCTION("IFNA(QUERY(IMPORTRANGE(""https://docs.google.com/spreadsheets/d/1EHL-jm_NiShR1a2JqKbpaJGazYH90DJO150spY6io4k/edit?gid=0#gid=0"", 
""Gen_Ledger!A:N""), 
""SELECT SUM(Col10) WHERE Col7 = ""&amp;B31&amp;"" AND Col1 &gt;= DATE '"" &amp; TEXT($C$2, ""YYYY-MM-DD"") &amp; ""' AND "&amp;"Col1 &lt;= DATE '"" &amp; TEXT($C$3, ""YYYY-MM-DD"") &amp; ""' LABEL SUM(Col10) ''"", 0), """")"),"#REF!")</f>
        <v>#REF!</v>
      </c>
      <c r="E31" s="13" t="str">
        <f>IFERROR(__xludf.DUMMYFUNCTION("IFNA(QUERY(IMPORTRANGE(""https://docs.google.com/spreadsheets/d/1EHL-jm_NiShR1a2JqKbpaJGazYH90DJO150spY6io4k/edit?gid=0#gid=0"", 
""Gen_Ledger!A:N""), 
""SELECT SUM(Col11) WHERE Col7 = ""&amp;B31&amp;"" AND Col1 &gt;= DATE '"" &amp; TEXT($C$2, ""YYYY-MM-DD"") &amp; ""' AND "&amp;"Col1 &lt;= DATE '"" &amp; TEXT($C$3, ""YYYY-MM-DD"") &amp; ""' LABEL SUM(Col11) ''"", 0), """")"),"#REF!")</f>
        <v>#REF!</v>
      </c>
      <c r="F31" s="13" t="str">
        <f t="shared" si="4"/>
        <v>#N/A</v>
      </c>
    </row>
    <row r="32" ht="15.75" customHeight="1">
      <c r="A32" s="1"/>
      <c r="B32" s="1"/>
      <c r="C32" s="2" t="str">
        <f>VLOOKUP(B32,Helper!$D$99:$F1000,3,FALSE)</f>
        <v>#N/A</v>
      </c>
      <c r="D32" s="13" t="str">
        <f>IFERROR(__xludf.DUMMYFUNCTION("IFNA(QUERY(IMPORTRANGE(""https://docs.google.com/spreadsheets/d/1EHL-jm_NiShR1a2JqKbpaJGazYH90DJO150spY6io4k/edit?gid=0#gid=0"", 
""Gen_Ledger!A:N""), 
""SELECT SUM(Col10) WHERE Col7 = ""&amp;B32&amp;"" AND Col1 &gt;= DATE '"" &amp; TEXT($C$2, ""YYYY-MM-DD"") &amp; ""' AND "&amp;"Col1 &lt;= DATE '"" &amp; TEXT($C$3, ""YYYY-MM-DD"") &amp; ""' LABEL SUM(Col10) ''"", 0), """")"),"#REF!")</f>
        <v>#REF!</v>
      </c>
      <c r="E32" s="13" t="str">
        <f>IFERROR(__xludf.DUMMYFUNCTION("IFNA(QUERY(IMPORTRANGE(""https://docs.google.com/spreadsheets/d/1EHL-jm_NiShR1a2JqKbpaJGazYH90DJO150spY6io4k/edit?gid=0#gid=0"", 
""Gen_Ledger!A:N""), 
""SELECT SUM(Col11) WHERE Col7 = ""&amp;B32&amp;"" AND Col1 &gt;= DATE '"" &amp; TEXT($C$2, ""YYYY-MM-DD"") &amp; ""' AND "&amp;"Col1 &lt;= DATE '"" &amp; TEXT($C$3, ""YYYY-MM-DD"") &amp; ""' LABEL SUM(Col11) ''"", 0), """")"),"#REF!")</f>
        <v>#REF!</v>
      </c>
      <c r="F32" s="13" t="str">
        <f t="shared" si="4"/>
        <v>#N/A</v>
      </c>
    </row>
    <row r="33" ht="15.75" customHeight="1">
      <c r="A33" s="1"/>
      <c r="B33" s="1"/>
      <c r="C33" s="2" t="str">
        <f>VLOOKUP(B33,Helper!$D$99:$F1000,3,FALSE)</f>
        <v>#N/A</v>
      </c>
      <c r="D33" s="13" t="str">
        <f>IFERROR(__xludf.DUMMYFUNCTION("IFNA(QUERY(IMPORTRANGE(""https://docs.google.com/spreadsheets/d/1EHL-jm_NiShR1a2JqKbpaJGazYH90DJO150spY6io4k/edit?gid=0#gid=0"", 
""Gen_Ledger!A:N""), 
""SELECT SUM(Col10) WHERE Col7 = ""&amp;B33&amp;"" AND Col1 &gt;= DATE '"" &amp; TEXT($C$2, ""YYYY-MM-DD"") &amp; ""' AND "&amp;"Col1 &lt;= DATE '"" &amp; TEXT($C$3, ""YYYY-MM-DD"") &amp; ""' LABEL SUM(Col10) ''"", 0), """")"),"#REF!")</f>
        <v>#REF!</v>
      </c>
      <c r="E33" s="13" t="str">
        <f>IFERROR(__xludf.DUMMYFUNCTION("IFNA(QUERY(IMPORTRANGE(""https://docs.google.com/spreadsheets/d/1EHL-jm_NiShR1a2JqKbpaJGazYH90DJO150spY6io4k/edit?gid=0#gid=0"", 
""Gen_Ledger!A:N""), 
""SELECT SUM(Col11) WHERE Col7 = ""&amp;B33&amp;"" AND Col1 &gt;= DATE '"" &amp; TEXT($C$2, ""YYYY-MM-DD"") &amp; ""' AND "&amp;"Col1 &lt;= DATE '"" &amp; TEXT($C$3, ""YYYY-MM-DD"") &amp; ""' LABEL SUM(Col11) ''"", 0), """")"),"#REF!")</f>
        <v>#REF!</v>
      </c>
      <c r="F33" s="13" t="str">
        <f t="shared" si="4"/>
        <v>#N/A</v>
      </c>
    </row>
    <row r="34" ht="15.75" customHeight="1">
      <c r="A34" s="1"/>
      <c r="B34" s="1"/>
      <c r="C34" s="2" t="str">
        <f>VLOOKUP(B34,Helper!$D$99:$F1000,3,FALSE)</f>
        <v>#N/A</v>
      </c>
      <c r="D34" s="13" t="str">
        <f>IFERROR(__xludf.DUMMYFUNCTION("IFNA(QUERY(IMPORTRANGE(""https://docs.google.com/spreadsheets/d/1EHL-jm_NiShR1a2JqKbpaJGazYH90DJO150spY6io4k/edit?gid=0#gid=0"", 
""Gen_Ledger!A:N""), 
""SELECT SUM(Col10) WHERE Col7 = ""&amp;B34&amp;"" AND Col1 &gt;= DATE '"" &amp; TEXT($C$2, ""YYYY-MM-DD"") &amp; ""' AND "&amp;"Col1 &lt;= DATE '"" &amp; TEXT($C$3, ""YYYY-MM-DD"") &amp; ""' LABEL SUM(Col10) ''"", 0), """")"),"#REF!")</f>
        <v>#REF!</v>
      </c>
      <c r="E34" s="13" t="str">
        <f>IFERROR(__xludf.DUMMYFUNCTION("IFNA(QUERY(IMPORTRANGE(""https://docs.google.com/spreadsheets/d/1EHL-jm_NiShR1a2JqKbpaJGazYH90DJO150spY6io4k/edit?gid=0#gid=0"", 
""Gen_Ledger!A:N""), 
""SELECT SUM(Col11) WHERE Col7 = ""&amp;B34&amp;"" AND Col1 &gt;= DATE '"" &amp; TEXT($C$2, ""YYYY-MM-DD"") &amp; ""' AND "&amp;"Col1 &lt;= DATE '"" &amp; TEXT($C$3, ""YYYY-MM-DD"") &amp; ""' LABEL SUM(Col11) ''"", 0), """")"),"#REF!")</f>
        <v>#REF!</v>
      </c>
      <c r="F34" s="13" t="str">
        <f t="shared" si="4"/>
        <v>#N/A</v>
      </c>
    </row>
    <row r="35" ht="15.75" customHeight="1">
      <c r="A35" s="1"/>
      <c r="B35" s="1"/>
      <c r="C35" s="2" t="str">
        <f>VLOOKUP(B35,Helper!$D$99:$F1000,3,FALSE)</f>
        <v>#N/A</v>
      </c>
      <c r="D35" s="13" t="str">
        <f>IFERROR(__xludf.DUMMYFUNCTION("IFNA(QUERY(IMPORTRANGE(""https://docs.google.com/spreadsheets/d/1EHL-jm_NiShR1a2JqKbpaJGazYH90DJO150spY6io4k/edit?gid=0#gid=0"", 
""Gen_Ledger!A:N""), 
""SELECT SUM(Col10) WHERE Col7 = ""&amp;B35&amp;"" AND Col1 &gt;= DATE '"" &amp; TEXT($C$2, ""YYYY-MM-DD"") &amp; ""' AND "&amp;"Col1 &lt;= DATE '"" &amp; TEXT($C$3, ""YYYY-MM-DD"") &amp; ""' LABEL SUM(Col10) ''"", 0), """")"),"#REF!")</f>
        <v>#REF!</v>
      </c>
      <c r="E35" s="13" t="str">
        <f>IFERROR(__xludf.DUMMYFUNCTION("IFNA(QUERY(IMPORTRANGE(""https://docs.google.com/spreadsheets/d/1EHL-jm_NiShR1a2JqKbpaJGazYH90DJO150spY6io4k/edit?gid=0#gid=0"", 
""Gen_Ledger!A:N""), 
""SELECT SUM(Col11) WHERE Col7 = ""&amp;B35&amp;"" AND Col1 &gt;= DATE '"" &amp; TEXT($C$2, ""YYYY-MM-DD"") &amp; ""' AND "&amp;"Col1 &lt;= DATE '"" &amp; TEXT($C$3, ""YYYY-MM-DD"") &amp; ""' LABEL SUM(Col11) ''"", 0), """")"),"#REF!")</f>
        <v>#REF!</v>
      </c>
      <c r="F35" s="13" t="str">
        <f t="shared" si="4"/>
        <v>#N/A</v>
      </c>
    </row>
    <row r="36" ht="15.75" customHeight="1">
      <c r="A36" s="1"/>
      <c r="B36" s="1"/>
      <c r="C36" s="2" t="str">
        <f>VLOOKUP(B36,Helper!$D$99:$F1000,3,FALSE)</f>
        <v>#N/A</v>
      </c>
      <c r="D36" s="13" t="str">
        <f>IFERROR(__xludf.DUMMYFUNCTION("IFNA(QUERY(IMPORTRANGE(""https://docs.google.com/spreadsheets/d/1EHL-jm_NiShR1a2JqKbpaJGazYH90DJO150spY6io4k/edit?gid=0#gid=0"", 
""Gen_Ledger!A:N""), 
""SELECT SUM(Col10) WHERE Col7 = ""&amp;B36&amp;"" AND Col1 &gt;= DATE '"" &amp; TEXT($C$2, ""YYYY-MM-DD"") &amp; ""' AND "&amp;"Col1 &lt;= DATE '"" &amp; TEXT($C$3, ""YYYY-MM-DD"") &amp; ""' LABEL SUM(Col10) ''"", 0), """")"),"#REF!")</f>
        <v>#REF!</v>
      </c>
      <c r="E36" s="13" t="str">
        <f>IFERROR(__xludf.DUMMYFUNCTION("IFNA(QUERY(IMPORTRANGE(""https://docs.google.com/spreadsheets/d/1EHL-jm_NiShR1a2JqKbpaJGazYH90DJO150spY6io4k/edit?gid=0#gid=0"", 
""Gen_Ledger!A:N""), 
""SELECT SUM(Col11) WHERE Col7 = ""&amp;B36&amp;"" AND Col1 &gt;= DATE '"" &amp; TEXT($C$2, ""YYYY-MM-DD"") &amp; ""' AND "&amp;"Col1 &lt;= DATE '"" &amp; TEXT($C$3, ""YYYY-MM-DD"") &amp; ""' LABEL SUM(Col11) ''"", 0), """")"),"#REF!")</f>
        <v>#REF!</v>
      </c>
      <c r="F36" s="13" t="str">
        <f t="shared" si="4"/>
        <v>#N/A</v>
      </c>
    </row>
    <row r="37" ht="15.75" customHeight="1">
      <c r="A37" s="1"/>
      <c r="B37" s="1"/>
      <c r="C37" s="2" t="str">
        <f>VLOOKUP(B37,Helper!$D$99:$F1000,3,FALSE)</f>
        <v>#N/A</v>
      </c>
      <c r="D37" s="13" t="str">
        <f>IFERROR(__xludf.DUMMYFUNCTION("IFNA(QUERY(IMPORTRANGE(""https://docs.google.com/spreadsheets/d/1EHL-jm_NiShR1a2JqKbpaJGazYH90DJO150spY6io4k/edit?gid=0#gid=0"", 
""Gen_Ledger!A:N""), 
""SELECT SUM(Col10) WHERE Col7 = ""&amp;B37&amp;"" AND Col1 &gt;= DATE '"" &amp; TEXT($C$2, ""YYYY-MM-DD"") &amp; ""' AND "&amp;"Col1 &lt;= DATE '"" &amp; TEXT($C$3, ""YYYY-MM-DD"") &amp; ""' LABEL SUM(Col10) ''"", 0), """")"),"#REF!")</f>
        <v>#REF!</v>
      </c>
      <c r="E37" s="13" t="str">
        <f>IFERROR(__xludf.DUMMYFUNCTION("IFNA(QUERY(IMPORTRANGE(""https://docs.google.com/spreadsheets/d/1EHL-jm_NiShR1a2JqKbpaJGazYH90DJO150spY6io4k/edit?gid=0#gid=0"", 
""Gen_Ledger!A:N""), 
""SELECT SUM(Col11) WHERE Col7 = ""&amp;B37&amp;"" AND Col1 &gt;= DATE '"" &amp; TEXT($C$2, ""YYYY-MM-DD"") &amp; ""' AND "&amp;"Col1 &lt;= DATE '"" &amp; TEXT($C$3, ""YYYY-MM-DD"") &amp; ""' LABEL SUM(Col11) ''"", 0), """")"),"#REF!")</f>
        <v>#REF!</v>
      </c>
      <c r="F37" s="13" t="str">
        <f t="shared" si="4"/>
        <v>#N/A</v>
      </c>
    </row>
    <row r="38" ht="15.75" customHeight="1">
      <c r="A38" s="1"/>
      <c r="B38" s="1"/>
      <c r="C38" s="2" t="str">
        <f>VLOOKUP(B38,Helper!$D$99:$F1000,3,FALSE)</f>
        <v>#N/A</v>
      </c>
      <c r="D38" s="13" t="str">
        <f>IFERROR(__xludf.DUMMYFUNCTION("IFNA(QUERY(IMPORTRANGE(""https://docs.google.com/spreadsheets/d/1EHL-jm_NiShR1a2JqKbpaJGazYH90DJO150spY6io4k/edit?gid=0#gid=0"", 
""Gen_Ledger!A:N""), 
""SELECT SUM(Col10) WHERE Col7 = ""&amp;B38&amp;"" AND Col1 &gt;= DATE '"" &amp; TEXT($C$2, ""YYYY-MM-DD"") &amp; ""' AND "&amp;"Col1 &lt;= DATE '"" &amp; TEXT($C$3, ""YYYY-MM-DD"") &amp; ""' LABEL SUM(Col10) ''"", 0), """")"),"#REF!")</f>
        <v>#REF!</v>
      </c>
      <c r="E38" s="13" t="str">
        <f>IFERROR(__xludf.DUMMYFUNCTION("IFNA(QUERY(IMPORTRANGE(""https://docs.google.com/spreadsheets/d/1EHL-jm_NiShR1a2JqKbpaJGazYH90DJO150spY6io4k/edit?gid=0#gid=0"", 
""Gen_Ledger!A:N""), 
""SELECT SUM(Col11) WHERE Col7 = ""&amp;B38&amp;"" AND Col1 &gt;= DATE '"" &amp; TEXT($C$2, ""YYYY-MM-DD"") &amp; ""' AND "&amp;"Col1 &lt;= DATE '"" &amp; TEXT($C$3, ""YYYY-MM-DD"") &amp; ""' LABEL SUM(Col11) ''"", 0), """")"),"#REF!")</f>
        <v>#REF!</v>
      </c>
      <c r="F38" s="13" t="str">
        <f t="shared" si="4"/>
        <v>#N/A</v>
      </c>
    </row>
    <row r="39" ht="15.75" customHeight="1">
      <c r="A39" s="1"/>
      <c r="B39" s="1"/>
      <c r="C39" s="2" t="str">
        <f>VLOOKUP(B39,Helper!$D$99:$F1000,3,FALSE)</f>
        <v>#N/A</v>
      </c>
      <c r="D39" s="13" t="str">
        <f>IFERROR(__xludf.DUMMYFUNCTION("IFNA(QUERY(IMPORTRANGE(""https://docs.google.com/spreadsheets/d/1EHL-jm_NiShR1a2JqKbpaJGazYH90DJO150spY6io4k/edit?gid=0#gid=0"", 
""Gen_Ledger!A:N""), 
""SELECT SUM(Col10) WHERE Col7 = ""&amp;B39&amp;"" AND Col1 &gt;= DATE '"" &amp; TEXT($C$2, ""YYYY-MM-DD"") &amp; ""' AND "&amp;"Col1 &lt;= DATE '"" &amp; TEXT($C$3, ""YYYY-MM-DD"") &amp; ""' LABEL SUM(Col10) ''"", 0), """")"),"#REF!")</f>
        <v>#REF!</v>
      </c>
      <c r="E39" s="13" t="str">
        <f>IFERROR(__xludf.DUMMYFUNCTION("IFNA(QUERY(IMPORTRANGE(""https://docs.google.com/spreadsheets/d/1EHL-jm_NiShR1a2JqKbpaJGazYH90DJO150spY6io4k/edit?gid=0#gid=0"", 
""Gen_Ledger!A:N""), 
""SELECT SUM(Col11) WHERE Col7 = ""&amp;B39&amp;"" AND Col1 &gt;= DATE '"" &amp; TEXT($C$2, ""YYYY-MM-DD"") &amp; ""' AND "&amp;"Col1 &lt;= DATE '"" &amp; TEXT($C$3, ""YYYY-MM-DD"") &amp; ""' LABEL SUM(Col11) ''"", 0), """")"),"#REF!")</f>
        <v>#REF!</v>
      </c>
      <c r="F39" s="13" t="str">
        <f t="shared" ref="F39:F63" si="5">C39-E39+D39</f>
        <v>#N/A</v>
      </c>
    </row>
    <row r="40" ht="15.75" customHeight="1">
      <c r="A40" s="1"/>
      <c r="B40" s="1"/>
      <c r="C40" s="2" t="str">
        <f>VLOOKUP(B40,Helper!$D$99:$F1000,3,FALSE)</f>
        <v>#N/A</v>
      </c>
      <c r="D40" s="13" t="str">
        <f>IFERROR(__xludf.DUMMYFUNCTION("IFNA(QUERY(IMPORTRANGE(""https://docs.google.com/spreadsheets/d/1EHL-jm_NiShR1a2JqKbpaJGazYH90DJO150spY6io4k/edit?gid=0#gid=0"", 
""Gen_Ledger!A:N""), 
""SELECT SUM(Col10) WHERE Col7 = ""&amp;B40&amp;"" AND Col1 &gt;= DATE '"" &amp; TEXT($C$2, ""YYYY-MM-DD"") &amp; ""' AND "&amp;"Col1 &lt;= DATE '"" &amp; TEXT($C$3, ""YYYY-MM-DD"") &amp; ""' LABEL SUM(Col10) ''"", 0), """")"),"#REF!")</f>
        <v>#REF!</v>
      </c>
      <c r="E40" s="13" t="str">
        <f>IFERROR(__xludf.DUMMYFUNCTION("IFNA(QUERY(IMPORTRANGE(""https://docs.google.com/spreadsheets/d/1EHL-jm_NiShR1a2JqKbpaJGazYH90DJO150spY6io4k/edit?gid=0#gid=0"", 
""Gen_Ledger!A:N""), 
""SELECT SUM(Col11) WHERE Col7 = ""&amp;B40&amp;"" AND Col1 &gt;= DATE '"" &amp; TEXT($C$2, ""YYYY-MM-DD"") &amp; ""' AND "&amp;"Col1 &lt;= DATE '"" &amp; TEXT($C$3, ""YYYY-MM-DD"") &amp; ""' LABEL SUM(Col11) ''"", 0), """")"),"#REF!")</f>
        <v>#REF!</v>
      </c>
      <c r="F40" s="13" t="str">
        <f t="shared" si="5"/>
        <v>#N/A</v>
      </c>
    </row>
    <row r="41" ht="15.75" customHeight="1">
      <c r="A41" s="1"/>
      <c r="B41" s="1"/>
      <c r="C41" s="2" t="str">
        <f>VLOOKUP(B41,Helper!$D$99:$F1000,3,FALSE)</f>
        <v>#N/A</v>
      </c>
      <c r="D41" s="13" t="str">
        <f>IFERROR(__xludf.DUMMYFUNCTION("IFNA(QUERY(IMPORTRANGE(""https://docs.google.com/spreadsheets/d/1EHL-jm_NiShR1a2JqKbpaJGazYH90DJO150spY6io4k/edit?gid=0#gid=0"", 
""Gen_Ledger!A:N""), 
""SELECT SUM(Col10) WHERE Col7 = ""&amp;B41&amp;"" AND Col1 &gt;= DATE '"" &amp; TEXT($C$2, ""YYYY-MM-DD"") &amp; ""' AND "&amp;"Col1 &lt;= DATE '"" &amp; TEXT($C$3, ""YYYY-MM-DD"") &amp; ""' LABEL SUM(Col10) ''"", 0), """")"),"#REF!")</f>
        <v>#REF!</v>
      </c>
      <c r="E41" s="13" t="str">
        <f>IFERROR(__xludf.DUMMYFUNCTION("IFNA(QUERY(IMPORTRANGE(""https://docs.google.com/spreadsheets/d/1EHL-jm_NiShR1a2JqKbpaJGazYH90DJO150spY6io4k/edit?gid=0#gid=0"", 
""Gen_Ledger!A:N""), 
""SELECT SUM(Col11) WHERE Col7 = ""&amp;B41&amp;"" AND Col1 &gt;= DATE '"" &amp; TEXT($C$2, ""YYYY-MM-DD"") &amp; ""' AND "&amp;"Col1 &lt;= DATE '"" &amp; TEXT($C$3, ""YYYY-MM-DD"") &amp; ""' LABEL SUM(Col11) ''"", 0), """")"),"#REF!")</f>
        <v>#REF!</v>
      </c>
      <c r="F41" s="13" t="str">
        <f t="shared" si="5"/>
        <v>#N/A</v>
      </c>
    </row>
    <row r="42" ht="15.75" customHeight="1">
      <c r="A42" s="1"/>
      <c r="B42" s="1"/>
      <c r="C42" s="2" t="str">
        <f>VLOOKUP(B42,Helper!$D$99:$F1000,3,FALSE)</f>
        <v>#N/A</v>
      </c>
      <c r="D42" s="13" t="str">
        <f>IFERROR(__xludf.DUMMYFUNCTION("IFNA(QUERY(IMPORTRANGE(""https://docs.google.com/spreadsheets/d/1EHL-jm_NiShR1a2JqKbpaJGazYH90DJO150spY6io4k/edit?gid=0#gid=0"", 
""Gen_Ledger!A:N""), 
""SELECT SUM(Col10) WHERE Col7 = ""&amp;B42&amp;"" AND Col1 &gt;= DATE '"" &amp; TEXT($C$2, ""YYYY-MM-DD"") &amp; ""' AND "&amp;"Col1 &lt;= DATE '"" &amp; TEXT($C$3, ""YYYY-MM-DD"") &amp; ""' LABEL SUM(Col10) ''"", 0), """")"),"#REF!")</f>
        <v>#REF!</v>
      </c>
      <c r="E42" s="13" t="str">
        <f>IFERROR(__xludf.DUMMYFUNCTION("IFNA(QUERY(IMPORTRANGE(""https://docs.google.com/spreadsheets/d/1EHL-jm_NiShR1a2JqKbpaJGazYH90DJO150spY6io4k/edit?gid=0#gid=0"", 
""Gen_Ledger!A:N""), 
""SELECT SUM(Col11) WHERE Col7 = ""&amp;B42&amp;"" AND Col1 &gt;= DATE '"" &amp; TEXT($C$2, ""YYYY-MM-DD"") &amp; ""' AND "&amp;"Col1 &lt;= DATE '"" &amp; TEXT($C$3, ""YYYY-MM-DD"") &amp; ""' LABEL SUM(Col11) ''"", 0), """")"),"#REF!")</f>
        <v>#REF!</v>
      </c>
      <c r="F42" s="13" t="str">
        <f t="shared" si="5"/>
        <v>#N/A</v>
      </c>
    </row>
    <row r="43" ht="15.75" customHeight="1">
      <c r="A43" s="1"/>
      <c r="B43" s="1"/>
      <c r="C43" s="2" t="str">
        <f>VLOOKUP(B43,Helper!$D$99:$F1000,3,FALSE)</f>
        <v>#N/A</v>
      </c>
      <c r="D43" s="13" t="str">
        <f>IFERROR(__xludf.DUMMYFUNCTION("IFNA(QUERY(IMPORTRANGE(""https://docs.google.com/spreadsheets/d/1EHL-jm_NiShR1a2JqKbpaJGazYH90DJO150spY6io4k/edit?gid=0#gid=0"", 
""Gen_Ledger!A:N""), 
""SELECT SUM(Col10) WHERE Col7 = ""&amp;B43&amp;"" AND Col1 &gt;= DATE '"" &amp; TEXT($C$2, ""YYYY-MM-DD"") &amp; ""' AND "&amp;"Col1 &lt;= DATE '"" &amp; TEXT($C$3, ""YYYY-MM-DD"") &amp; ""' LABEL SUM(Col10) ''"", 0), """")"),"#REF!")</f>
        <v>#REF!</v>
      </c>
      <c r="E43" s="13" t="str">
        <f>IFERROR(__xludf.DUMMYFUNCTION("IFNA(QUERY(IMPORTRANGE(""https://docs.google.com/spreadsheets/d/1EHL-jm_NiShR1a2JqKbpaJGazYH90DJO150spY6io4k/edit?gid=0#gid=0"", 
""Gen_Ledger!A:N""), 
""SELECT SUM(Col11) WHERE Col7 = ""&amp;B43&amp;"" AND Col1 &gt;= DATE '"" &amp; TEXT($C$2, ""YYYY-MM-DD"") &amp; ""' AND "&amp;"Col1 &lt;= DATE '"" &amp; TEXT($C$3, ""YYYY-MM-DD"") &amp; ""' LABEL SUM(Col11) ''"", 0), """")"),"#REF!")</f>
        <v>#REF!</v>
      </c>
      <c r="F43" s="13" t="str">
        <f t="shared" si="5"/>
        <v>#N/A</v>
      </c>
    </row>
    <row r="44" ht="15.75" customHeight="1">
      <c r="A44" s="1"/>
      <c r="B44" s="1"/>
      <c r="C44" s="2" t="str">
        <f>VLOOKUP(B44,Helper!$D$99:$F1000,3,FALSE)</f>
        <v>#N/A</v>
      </c>
      <c r="D44" s="13" t="str">
        <f>IFERROR(__xludf.DUMMYFUNCTION("IFNA(QUERY(IMPORTRANGE(""https://docs.google.com/spreadsheets/d/1EHL-jm_NiShR1a2JqKbpaJGazYH90DJO150spY6io4k/edit?gid=0#gid=0"", 
""Gen_Ledger!A:N""), 
""SELECT SUM(Col10) WHERE Col7 = ""&amp;B44&amp;"" AND Col1 &gt;= DATE '"" &amp; TEXT($C$2, ""YYYY-MM-DD"") &amp; ""' AND "&amp;"Col1 &lt;= DATE '"" &amp; TEXT($C$3, ""YYYY-MM-DD"") &amp; ""' LABEL SUM(Col10) ''"", 0), """")"),"#REF!")</f>
        <v>#REF!</v>
      </c>
      <c r="E44" s="13" t="str">
        <f>IFERROR(__xludf.DUMMYFUNCTION("IFNA(QUERY(IMPORTRANGE(""https://docs.google.com/spreadsheets/d/1EHL-jm_NiShR1a2JqKbpaJGazYH90DJO150spY6io4k/edit?gid=0#gid=0"", 
""Gen_Ledger!A:N""), 
""SELECT SUM(Col11) WHERE Col7 = ""&amp;B44&amp;"" AND Col1 &gt;= DATE '"" &amp; TEXT($C$2, ""YYYY-MM-DD"") &amp; ""' AND "&amp;"Col1 &lt;= DATE '"" &amp; TEXT($C$3, ""YYYY-MM-DD"") &amp; ""' LABEL SUM(Col11) ''"", 0), """")"),"#REF!")</f>
        <v>#REF!</v>
      </c>
      <c r="F44" s="13" t="str">
        <f t="shared" si="5"/>
        <v>#N/A</v>
      </c>
    </row>
    <row r="45" ht="15.75" customHeight="1">
      <c r="A45" s="1"/>
      <c r="B45" s="1"/>
      <c r="C45" s="2" t="str">
        <f>VLOOKUP(B45,Helper!$D$99:$F1000,3,FALSE)</f>
        <v>#N/A</v>
      </c>
      <c r="D45" s="13" t="str">
        <f>IFERROR(__xludf.DUMMYFUNCTION("IFNA(QUERY(IMPORTRANGE(""https://docs.google.com/spreadsheets/d/1EHL-jm_NiShR1a2JqKbpaJGazYH90DJO150spY6io4k/edit?gid=0#gid=0"", 
""Gen_Ledger!A:N""), 
""SELECT SUM(Col10) WHERE Col7 = ""&amp;B45&amp;"" AND Col1 &gt;= DATE '"" &amp; TEXT($C$2, ""YYYY-MM-DD"") &amp; ""' AND "&amp;"Col1 &lt;= DATE '"" &amp; TEXT($C$3, ""YYYY-MM-DD"") &amp; ""' LABEL SUM(Col10) ''"", 0), """")"),"#REF!")</f>
        <v>#REF!</v>
      </c>
      <c r="E45" s="13" t="str">
        <f>IFERROR(__xludf.DUMMYFUNCTION("IFNA(QUERY(IMPORTRANGE(""https://docs.google.com/spreadsheets/d/1EHL-jm_NiShR1a2JqKbpaJGazYH90DJO150spY6io4k/edit?gid=0#gid=0"", 
""Gen_Ledger!A:N""), 
""SELECT SUM(Col11) WHERE Col7 = ""&amp;B45&amp;"" AND Col1 &gt;= DATE '"" &amp; TEXT($C$2, ""YYYY-MM-DD"") &amp; ""' AND "&amp;"Col1 &lt;= DATE '"" &amp; TEXT($C$3, ""YYYY-MM-DD"") &amp; ""' LABEL SUM(Col11) ''"", 0), """")"),"#REF!")</f>
        <v>#REF!</v>
      </c>
      <c r="F45" s="13" t="str">
        <f t="shared" si="5"/>
        <v>#N/A</v>
      </c>
    </row>
    <row r="46" ht="15.75" customHeight="1">
      <c r="A46" s="1"/>
      <c r="B46" s="1"/>
      <c r="C46" s="2" t="str">
        <f>VLOOKUP(B46,Helper!$D$99:$F1000,3,FALSE)</f>
        <v>#N/A</v>
      </c>
      <c r="D46" s="13" t="str">
        <f>IFERROR(__xludf.DUMMYFUNCTION("IFNA(QUERY(IMPORTRANGE(""https://docs.google.com/spreadsheets/d/1EHL-jm_NiShR1a2JqKbpaJGazYH90DJO150spY6io4k/edit?gid=0#gid=0"", 
""Gen_Ledger!A:N""), 
""SELECT SUM(Col10) WHERE Col7 = ""&amp;B46&amp;"" AND Col1 &gt;= DATE '"" &amp; TEXT($C$2, ""YYYY-MM-DD"") &amp; ""' AND "&amp;"Col1 &lt;= DATE '"" &amp; TEXT($C$3, ""YYYY-MM-DD"") &amp; ""' LABEL SUM(Col10) ''"", 0), """")"),"#REF!")</f>
        <v>#REF!</v>
      </c>
      <c r="E46" s="13" t="str">
        <f>IFERROR(__xludf.DUMMYFUNCTION("IFNA(QUERY(IMPORTRANGE(""https://docs.google.com/spreadsheets/d/1EHL-jm_NiShR1a2JqKbpaJGazYH90DJO150spY6io4k/edit?gid=0#gid=0"", 
""Gen_Ledger!A:N""), 
""SELECT SUM(Col11) WHERE Col7 = ""&amp;B46&amp;"" AND Col1 &gt;= DATE '"" &amp; TEXT($C$2, ""YYYY-MM-DD"") &amp; ""' AND "&amp;"Col1 &lt;= DATE '"" &amp; TEXT($C$3, ""YYYY-MM-DD"") &amp; ""' LABEL SUM(Col11) ''"", 0), """")"),"#REF!")</f>
        <v>#REF!</v>
      </c>
      <c r="F46" s="13" t="str">
        <f t="shared" si="5"/>
        <v>#N/A</v>
      </c>
    </row>
    <row r="47" ht="15.75" customHeight="1">
      <c r="A47" s="1"/>
      <c r="B47" s="1"/>
      <c r="C47" s="2" t="str">
        <f>VLOOKUP(B47,Helper!$D$99:$F1000,3,FALSE)</f>
        <v>#N/A</v>
      </c>
      <c r="D47" s="13" t="str">
        <f>IFERROR(__xludf.DUMMYFUNCTION("IFNA(QUERY(IMPORTRANGE(""https://docs.google.com/spreadsheets/d/1EHL-jm_NiShR1a2JqKbpaJGazYH90DJO150spY6io4k/edit?gid=0#gid=0"", 
""Gen_Ledger!A:N""), 
""SELECT SUM(Col10) WHERE Col7 = ""&amp;B47&amp;"" AND Col1 &gt;= DATE '"" &amp; TEXT($C$2, ""YYYY-MM-DD"") &amp; ""' AND "&amp;"Col1 &lt;= DATE '"" &amp; TEXT($C$3, ""YYYY-MM-DD"") &amp; ""' LABEL SUM(Col10) ''"", 0), """")"),"#REF!")</f>
        <v>#REF!</v>
      </c>
      <c r="E47" s="13" t="str">
        <f>IFERROR(__xludf.DUMMYFUNCTION("IFNA(QUERY(IMPORTRANGE(""https://docs.google.com/spreadsheets/d/1EHL-jm_NiShR1a2JqKbpaJGazYH90DJO150spY6io4k/edit?gid=0#gid=0"", 
""Gen_Ledger!A:N""), 
""SELECT SUM(Col11) WHERE Col7 = ""&amp;B47&amp;"" AND Col1 &gt;= DATE '"" &amp; TEXT($C$2, ""YYYY-MM-DD"") &amp; ""' AND "&amp;"Col1 &lt;= DATE '"" &amp; TEXT($C$3, ""YYYY-MM-DD"") &amp; ""' LABEL SUM(Col11) ''"", 0), """")"),"#REF!")</f>
        <v>#REF!</v>
      </c>
      <c r="F47" s="13" t="str">
        <f t="shared" si="5"/>
        <v>#N/A</v>
      </c>
    </row>
    <row r="48" ht="15.75" customHeight="1">
      <c r="A48" s="1"/>
      <c r="B48" s="1"/>
      <c r="C48" s="2" t="str">
        <f>VLOOKUP(B48,Helper!$D$99:$F1000,3,FALSE)</f>
        <v>#N/A</v>
      </c>
      <c r="D48" s="13" t="str">
        <f>IFERROR(__xludf.DUMMYFUNCTION("IFNA(QUERY(IMPORTRANGE(""https://docs.google.com/spreadsheets/d/1EHL-jm_NiShR1a2JqKbpaJGazYH90DJO150spY6io4k/edit?gid=0#gid=0"", 
""Gen_Ledger!A:N""), 
""SELECT SUM(Col10) WHERE Col7 = ""&amp;B48&amp;"" AND Col1 &gt;= DATE '"" &amp; TEXT($C$2, ""YYYY-MM-DD"") &amp; ""' AND "&amp;"Col1 &lt;= DATE '"" &amp; TEXT($C$3, ""YYYY-MM-DD"") &amp; ""' LABEL SUM(Col10) ''"", 0), """")"),"#REF!")</f>
        <v>#REF!</v>
      </c>
      <c r="E48" s="13" t="str">
        <f>IFERROR(__xludf.DUMMYFUNCTION("IFNA(QUERY(IMPORTRANGE(""https://docs.google.com/spreadsheets/d/1EHL-jm_NiShR1a2JqKbpaJGazYH90DJO150spY6io4k/edit?gid=0#gid=0"", 
""Gen_Ledger!A:N""), 
""SELECT SUM(Col11) WHERE Col7 = ""&amp;B48&amp;"" AND Col1 &gt;= DATE '"" &amp; TEXT($C$2, ""YYYY-MM-DD"") &amp; ""' AND "&amp;"Col1 &lt;= DATE '"" &amp; TEXT($C$3, ""YYYY-MM-DD"") &amp; ""' LABEL SUM(Col11) ''"", 0), """")"),"#REF!")</f>
        <v>#REF!</v>
      </c>
      <c r="F48" s="13" t="str">
        <f t="shared" si="5"/>
        <v>#N/A</v>
      </c>
    </row>
    <row r="49" ht="15.75" customHeight="1">
      <c r="A49" s="1"/>
      <c r="B49" s="1"/>
      <c r="C49" s="2" t="str">
        <f>VLOOKUP(B49,Helper!$D$99:$F1000,3,FALSE)</f>
        <v>#N/A</v>
      </c>
      <c r="D49" s="13" t="str">
        <f>IFERROR(__xludf.DUMMYFUNCTION("IFNA(QUERY(IMPORTRANGE(""https://docs.google.com/spreadsheets/d/1EHL-jm_NiShR1a2JqKbpaJGazYH90DJO150spY6io4k/edit?gid=0#gid=0"", 
""Gen_Ledger!A:N""), 
""SELECT SUM(Col10) WHERE Col7 = ""&amp;B49&amp;"" AND Col1 &gt;= DATE '"" &amp; TEXT($C$2, ""YYYY-MM-DD"") &amp; ""' AND "&amp;"Col1 &lt;= DATE '"" &amp; TEXT($C$3, ""YYYY-MM-DD"") &amp; ""' LABEL SUM(Col10) ''"", 0), """")"),"#REF!")</f>
        <v>#REF!</v>
      </c>
      <c r="E49" s="13" t="str">
        <f>IFERROR(__xludf.DUMMYFUNCTION("IFNA(QUERY(IMPORTRANGE(""https://docs.google.com/spreadsheets/d/1EHL-jm_NiShR1a2JqKbpaJGazYH90DJO150spY6io4k/edit?gid=0#gid=0"", 
""Gen_Ledger!A:N""), 
""SELECT SUM(Col11) WHERE Col7 = ""&amp;B49&amp;"" AND Col1 &gt;= DATE '"" &amp; TEXT($C$2, ""YYYY-MM-DD"") &amp; ""' AND "&amp;"Col1 &lt;= DATE '"" &amp; TEXT($C$3, ""YYYY-MM-DD"") &amp; ""' LABEL SUM(Col11) ''"", 0), """")"),"#REF!")</f>
        <v>#REF!</v>
      </c>
      <c r="F49" s="13" t="str">
        <f t="shared" si="5"/>
        <v>#N/A</v>
      </c>
    </row>
    <row r="50" ht="15.75" customHeight="1">
      <c r="A50" s="1"/>
      <c r="B50" s="1"/>
      <c r="C50" s="2" t="str">
        <f>VLOOKUP(B50,Helper!$D$99:$F1000,3,FALSE)</f>
        <v>#N/A</v>
      </c>
      <c r="D50" s="13" t="str">
        <f>IFERROR(__xludf.DUMMYFUNCTION("IFNA(QUERY(IMPORTRANGE(""https://docs.google.com/spreadsheets/d/1EHL-jm_NiShR1a2JqKbpaJGazYH90DJO150spY6io4k/edit?gid=0#gid=0"", 
""Gen_Ledger!A:N""), 
""SELECT SUM(Col10) WHERE Col7 = ""&amp;B50&amp;"" AND Col1 &gt;= DATE '"" &amp; TEXT($C$2, ""YYYY-MM-DD"") &amp; ""' AND "&amp;"Col1 &lt;= DATE '"" &amp; TEXT($C$3, ""YYYY-MM-DD"") &amp; ""' LABEL SUM(Col10) ''"", 0), """")"),"#REF!")</f>
        <v>#REF!</v>
      </c>
      <c r="E50" s="13" t="str">
        <f>IFERROR(__xludf.DUMMYFUNCTION("IFNA(QUERY(IMPORTRANGE(""https://docs.google.com/spreadsheets/d/1EHL-jm_NiShR1a2JqKbpaJGazYH90DJO150spY6io4k/edit?gid=0#gid=0"", 
""Gen_Ledger!A:N""), 
""SELECT SUM(Col11) WHERE Col7 = ""&amp;B50&amp;"" AND Col1 &gt;= DATE '"" &amp; TEXT($C$2, ""YYYY-MM-DD"") &amp; ""' AND "&amp;"Col1 &lt;= DATE '"" &amp; TEXT($C$3, ""YYYY-MM-DD"") &amp; ""' LABEL SUM(Col11) ''"", 0), """")"),"#REF!")</f>
        <v>#REF!</v>
      </c>
      <c r="F50" s="13" t="str">
        <f t="shared" si="5"/>
        <v>#N/A</v>
      </c>
    </row>
    <row r="51" ht="15.75" customHeight="1">
      <c r="A51" s="1"/>
      <c r="B51" s="1"/>
      <c r="C51" s="2" t="str">
        <f>VLOOKUP(B51,Helper!$D$99:$F1000,3,FALSE)</f>
        <v>#N/A</v>
      </c>
      <c r="D51" s="13" t="str">
        <f>IFERROR(__xludf.DUMMYFUNCTION("IFNA(QUERY(IMPORTRANGE(""https://docs.google.com/spreadsheets/d/1EHL-jm_NiShR1a2JqKbpaJGazYH90DJO150spY6io4k/edit?gid=0#gid=0"", 
""Gen_Ledger!A:N""), 
""SELECT SUM(Col10) WHERE Col7 = ""&amp;B51&amp;"" AND Col1 &gt;= DATE '"" &amp; TEXT($C$2, ""YYYY-MM-DD"") &amp; ""' AND "&amp;"Col1 &lt;= DATE '"" &amp; TEXT($C$3, ""YYYY-MM-DD"") &amp; ""' LABEL SUM(Col10) ''"", 0), """")"),"#REF!")</f>
        <v>#REF!</v>
      </c>
      <c r="E51" s="13" t="str">
        <f>IFERROR(__xludf.DUMMYFUNCTION("IFNA(QUERY(IMPORTRANGE(""https://docs.google.com/spreadsheets/d/1EHL-jm_NiShR1a2JqKbpaJGazYH90DJO150spY6io4k/edit?gid=0#gid=0"", 
""Gen_Ledger!A:N""), 
""SELECT SUM(Col11) WHERE Col7 = ""&amp;B51&amp;"" AND Col1 &gt;= DATE '"" &amp; TEXT($C$2, ""YYYY-MM-DD"") &amp; ""' AND "&amp;"Col1 &lt;= DATE '"" &amp; TEXT($C$3, ""YYYY-MM-DD"") &amp; ""' LABEL SUM(Col11) ''"", 0), """")"),"#REF!")</f>
        <v>#REF!</v>
      </c>
      <c r="F51" s="13" t="str">
        <f t="shared" si="5"/>
        <v>#N/A</v>
      </c>
    </row>
    <row r="52" ht="15.75" customHeight="1">
      <c r="A52" s="1"/>
      <c r="B52" s="1"/>
      <c r="C52" s="2" t="str">
        <f>VLOOKUP(B52,Helper!$D$99:$F1000,3,FALSE)</f>
        <v>#N/A</v>
      </c>
      <c r="D52" s="13" t="str">
        <f>IFERROR(__xludf.DUMMYFUNCTION("IFNA(QUERY(IMPORTRANGE(""https://docs.google.com/spreadsheets/d/1EHL-jm_NiShR1a2JqKbpaJGazYH90DJO150spY6io4k/edit?gid=0#gid=0"", 
""Gen_Ledger!A:N""), 
""SELECT SUM(Col10) WHERE Col7 = ""&amp;B52&amp;"" AND Col1 &gt;= DATE '"" &amp; TEXT($C$2, ""YYYY-MM-DD"") &amp; ""' AND "&amp;"Col1 &lt;= DATE '"" &amp; TEXT($C$3, ""YYYY-MM-DD"") &amp; ""' LABEL SUM(Col10) ''"", 0), """")"),"#REF!")</f>
        <v>#REF!</v>
      </c>
      <c r="E52" s="13" t="str">
        <f>IFERROR(__xludf.DUMMYFUNCTION("IFNA(QUERY(IMPORTRANGE(""https://docs.google.com/spreadsheets/d/1EHL-jm_NiShR1a2JqKbpaJGazYH90DJO150spY6io4k/edit?gid=0#gid=0"", 
""Gen_Ledger!A:N""), 
""SELECT SUM(Col11) WHERE Col7 = ""&amp;B52&amp;"" AND Col1 &gt;= DATE '"" &amp; TEXT($C$2, ""YYYY-MM-DD"") &amp; ""' AND "&amp;"Col1 &lt;= DATE '"" &amp; TEXT($C$3, ""YYYY-MM-DD"") &amp; ""' LABEL SUM(Col11) ''"", 0), """")"),"#REF!")</f>
        <v>#REF!</v>
      </c>
      <c r="F52" s="13" t="str">
        <f t="shared" si="5"/>
        <v>#N/A</v>
      </c>
    </row>
    <row r="53" ht="15.75" customHeight="1">
      <c r="A53" s="1"/>
      <c r="B53" s="1"/>
      <c r="C53" s="2" t="str">
        <f>VLOOKUP(B53,Helper!$D$99:$F1000,3,FALSE)</f>
        <v>#N/A</v>
      </c>
      <c r="D53" s="13" t="str">
        <f>IFERROR(__xludf.DUMMYFUNCTION("IFNA(QUERY(IMPORTRANGE(""https://docs.google.com/spreadsheets/d/1EHL-jm_NiShR1a2JqKbpaJGazYH90DJO150spY6io4k/edit?gid=0#gid=0"", 
""Gen_Ledger!A:N""), 
""SELECT SUM(Col10) WHERE Col7 = ""&amp;B53&amp;"" AND Col1 &gt;= DATE '"" &amp; TEXT($C$2, ""YYYY-MM-DD"") &amp; ""' AND "&amp;"Col1 &lt;= DATE '"" &amp; TEXT($C$3, ""YYYY-MM-DD"") &amp; ""' LABEL SUM(Col10) ''"", 0), """")"),"#REF!")</f>
        <v>#REF!</v>
      </c>
      <c r="E53" s="13" t="str">
        <f>IFERROR(__xludf.DUMMYFUNCTION("IFNA(QUERY(IMPORTRANGE(""https://docs.google.com/spreadsheets/d/1EHL-jm_NiShR1a2JqKbpaJGazYH90DJO150spY6io4k/edit?gid=0#gid=0"", 
""Gen_Ledger!A:N""), 
""SELECT SUM(Col11) WHERE Col7 = ""&amp;B53&amp;"" AND Col1 &gt;= DATE '"" &amp; TEXT($C$2, ""YYYY-MM-DD"") &amp; ""' AND "&amp;"Col1 &lt;= DATE '"" &amp; TEXT($C$3, ""YYYY-MM-DD"") &amp; ""' LABEL SUM(Col11) ''"", 0), """")"),"#REF!")</f>
        <v>#REF!</v>
      </c>
      <c r="F53" s="13" t="str">
        <f t="shared" si="5"/>
        <v>#N/A</v>
      </c>
    </row>
    <row r="54" ht="15.75" customHeight="1">
      <c r="A54" s="1"/>
      <c r="B54" s="1"/>
      <c r="C54" s="2" t="str">
        <f>VLOOKUP(B54,Helper!$D$99:$F1000,3,FALSE)</f>
        <v>#N/A</v>
      </c>
      <c r="D54" s="13" t="str">
        <f>IFERROR(__xludf.DUMMYFUNCTION("IFNA(QUERY(IMPORTRANGE(""https://docs.google.com/spreadsheets/d/1EHL-jm_NiShR1a2JqKbpaJGazYH90DJO150spY6io4k/edit?gid=0#gid=0"", 
""Gen_Ledger!A:N""), 
""SELECT SUM(Col10) WHERE Col7 = ""&amp;B54&amp;"" AND Col1 &gt;= DATE '"" &amp; TEXT($C$2, ""YYYY-MM-DD"") &amp; ""' AND "&amp;"Col1 &lt;= DATE '"" &amp; TEXT($C$3, ""YYYY-MM-DD"") &amp; ""' LABEL SUM(Col10) ''"", 0), """")"),"#REF!")</f>
        <v>#REF!</v>
      </c>
      <c r="E54" s="13" t="str">
        <f>IFERROR(__xludf.DUMMYFUNCTION("IFNA(QUERY(IMPORTRANGE(""https://docs.google.com/spreadsheets/d/1EHL-jm_NiShR1a2JqKbpaJGazYH90DJO150spY6io4k/edit?gid=0#gid=0"", 
""Gen_Ledger!A:N""), 
""SELECT SUM(Col11) WHERE Col7 = ""&amp;B54&amp;"" AND Col1 &gt;= DATE '"" &amp; TEXT($C$2, ""YYYY-MM-DD"") &amp; ""' AND "&amp;"Col1 &lt;= DATE '"" &amp; TEXT($C$3, ""YYYY-MM-DD"") &amp; ""' LABEL SUM(Col11) ''"", 0), """")"),"#REF!")</f>
        <v>#REF!</v>
      </c>
      <c r="F54" s="13" t="str">
        <f t="shared" si="5"/>
        <v>#N/A</v>
      </c>
    </row>
    <row r="55" ht="15.75" customHeight="1">
      <c r="A55" s="1"/>
      <c r="B55" s="1"/>
      <c r="C55" s="2" t="str">
        <f>VLOOKUP(B55,Helper!$D$99:$F1000,3,FALSE)</f>
        <v>#N/A</v>
      </c>
      <c r="D55" s="13" t="str">
        <f>IFERROR(__xludf.DUMMYFUNCTION("IFNA(QUERY(IMPORTRANGE(""https://docs.google.com/spreadsheets/d/1EHL-jm_NiShR1a2JqKbpaJGazYH90DJO150spY6io4k/edit?gid=0#gid=0"", 
""Gen_Ledger!A:N""), 
""SELECT SUM(Col10) WHERE Col7 = ""&amp;B55&amp;"" AND Col1 &gt;= DATE '"" &amp; TEXT($C$2, ""YYYY-MM-DD"") &amp; ""' AND "&amp;"Col1 &lt;= DATE '"" &amp; TEXT($C$3, ""YYYY-MM-DD"") &amp; ""' LABEL SUM(Col10) ''"", 0), """")"),"#REF!")</f>
        <v>#REF!</v>
      </c>
      <c r="E55" s="13" t="str">
        <f>IFERROR(__xludf.DUMMYFUNCTION("IFNA(QUERY(IMPORTRANGE(""https://docs.google.com/spreadsheets/d/1EHL-jm_NiShR1a2JqKbpaJGazYH90DJO150spY6io4k/edit?gid=0#gid=0"", 
""Gen_Ledger!A:N""), 
""SELECT SUM(Col11) WHERE Col7 = ""&amp;B55&amp;"" AND Col1 &gt;= DATE '"" &amp; TEXT($C$2, ""YYYY-MM-DD"") &amp; ""' AND "&amp;"Col1 &lt;= DATE '"" &amp; TEXT($C$3, ""YYYY-MM-DD"") &amp; ""' LABEL SUM(Col11) ''"", 0), """")"),"#REF!")</f>
        <v>#REF!</v>
      </c>
      <c r="F55" s="13" t="str">
        <f t="shared" si="5"/>
        <v>#N/A</v>
      </c>
    </row>
    <row r="56" ht="15.75" customHeight="1">
      <c r="A56" s="1"/>
      <c r="B56" s="1"/>
      <c r="C56" s="2" t="str">
        <f>VLOOKUP(B56,Helper!$D$99:$F1000,3,FALSE)</f>
        <v>#N/A</v>
      </c>
      <c r="D56" s="13" t="str">
        <f>IFERROR(__xludf.DUMMYFUNCTION("IFNA(QUERY(IMPORTRANGE(""https://docs.google.com/spreadsheets/d/1EHL-jm_NiShR1a2JqKbpaJGazYH90DJO150spY6io4k/edit?gid=0#gid=0"", 
""Gen_Ledger!A:N""), 
""SELECT SUM(Col10) WHERE Col7 = ""&amp;B56&amp;"" AND Col1 &gt;= DATE '"" &amp; TEXT($C$2, ""YYYY-MM-DD"") &amp; ""' AND "&amp;"Col1 &lt;= DATE '"" &amp; TEXT($C$3, ""YYYY-MM-DD"") &amp; ""' LABEL SUM(Col10) ''"", 0), """")"),"#REF!")</f>
        <v>#REF!</v>
      </c>
      <c r="E56" s="13" t="str">
        <f>IFERROR(__xludf.DUMMYFUNCTION("IFNA(QUERY(IMPORTRANGE(""https://docs.google.com/spreadsheets/d/1EHL-jm_NiShR1a2JqKbpaJGazYH90DJO150spY6io4k/edit?gid=0#gid=0"", 
""Gen_Ledger!A:N""), 
""SELECT SUM(Col11) WHERE Col7 = ""&amp;B56&amp;"" AND Col1 &gt;= DATE '"" &amp; TEXT($C$2, ""YYYY-MM-DD"") &amp; ""' AND "&amp;"Col1 &lt;= DATE '"" &amp; TEXT($C$3, ""YYYY-MM-DD"") &amp; ""' LABEL SUM(Col11) ''"", 0), """")"),"#REF!")</f>
        <v>#REF!</v>
      </c>
      <c r="F56" s="13" t="str">
        <f t="shared" si="5"/>
        <v>#N/A</v>
      </c>
    </row>
    <row r="57" ht="15.75" customHeight="1">
      <c r="A57" s="1"/>
      <c r="B57" s="1"/>
      <c r="C57" s="2" t="str">
        <f>VLOOKUP(B57,Helper!$D$99:$F1000,3,FALSE)</f>
        <v>#N/A</v>
      </c>
      <c r="D57" s="13" t="str">
        <f>IFERROR(__xludf.DUMMYFUNCTION("IFNA(QUERY(IMPORTRANGE(""https://docs.google.com/spreadsheets/d/1EHL-jm_NiShR1a2JqKbpaJGazYH90DJO150spY6io4k/edit?gid=0#gid=0"", 
""Gen_Ledger!A:N""), 
""SELECT SUM(Col10) WHERE Col7 = ""&amp;B57&amp;"" AND Col1 &gt;= DATE '"" &amp; TEXT($C$2, ""YYYY-MM-DD"") &amp; ""' AND "&amp;"Col1 &lt;= DATE '"" &amp; TEXT($C$3, ""YYYY-MM-DD"") &amp; ""' LABEL SUM(Col10) ''"", 0), """")"),"#REF!")</f>
        <v>#REF!</v>
      </c>
      <c r="E57" s="13" t="str">
        <f>IFERROR(__xludf.DUMMYFUNCTION("IFNA(QUERY(IMPORTRANGE(""https://docs.google.com/spreadsheets/d/1EHL-jm_NiShR1a2JqKbpaJGazYH90DJO150spY6io4k/edit?gid=0#gid=0"", 
""Gen_Ledger!A:N""), 
""SELECT SUM(Col11) WHERE Col7 = ""&amp;B57&amp;"" AND Col1 &gt;= DATE '"" &amp; TEXT($C$2, ""YYYY-MM-DD"") &amp; ""' AND "&amp;"Col1 &lt;= DATE '"" &amp; TEXT($C$3, ""YYYY-MM-DD"") &amp; ""' LABEL SUM(Col11) ''"", 0), """")"),"#REF!")</f>
        <v>#REF!</v>
      </c>
      <c r="F57" s="13" t="str">
        <f t="shared" si="5"/>
        <v>#N/A</v>
      </c>
    </row>
    <row r="58" ht="15.75" customHeight="1">
      <c r="A58" s="1"/>
      <c r="B58" s="1"/>
      <c r="C58" s="2" t="str">
        <f>VLOOKUP(B58,Helper!$D$99:$F1000,3,FALSE)</f>
        <v>#N/A</v>
      </c>
      <c r="D58" s="13" t="str">
        <f>IFERROR(__xludf.DUMMYFUNCTION("IFNA(QUERY(IMPORTRANGE(""https://docs.google.com/spreadsheets/d/1EHL-jm_NiShR1a2JqKbpaJGazYH90DJO150spY6io4k/edit?gid=0#gid=0"", 
""Gen_Ledger!A:N""), 
""SELECT SUM(Col10) WHERE Col7 = ""&amp;B58&amp;"" AND Col1 &gt;= DATE '"" &amp; TEXT($C$2, ""YYYY-MM-DD"") &amp; ""' AND "&amp;"Col1 &lt;= DATE '"" &amp; TEXT($C$3, ""YYYY-MM-DD"") &amp; ""' LABEL SUM(Col10) ''"", 0), """")"),"#REF!")</f>
        <v>#REF!</v>
      </c>
      <c r="E58" s="13" t="str">
        <f>IFERROR(__xludf.DUMMYFUNCTION("IFNA(QUERY(IMPORTRANGE(""https://docs.google.com/spreadsheets/d/1EHL-jm_NiShR1a2JqKbpaJGazYH90DJO150spY6io4k/edit?gid=0#gid=0"", 
""Gen_Ledger!A:N""), 
""SELECT SUM(Col11) WHERE Col7 = ""&amp;B58&amp;"" AND Col1 &gt;= DATE '"" &amp; TEXT($C$2, ""YYYY-MM-DD"") &amp; ""' AND "&amp;"Col1 &lt;= DATE '"" &amp; TEXT($C$3, ""YYYY-MM-DD"") &amp; ""' LABEL SUM(Col11) ''"", 0), """")"),"#REF!")</f>
        <v>#REF!</v>
      </c>
      <c r="F58" s="13" t="str">
        <f t="shared" si="5"/>
        <v>#N/A</v>
      </c>
    </row>
    <row r="59" ht="15.75" customHeight="1">
      <c r="A59" s="1"/>
      <c r="B59" s="1"/>
      <c r="C59" s="2" t="str">
        <f>VLOOKUP(B59,Helper!$D$99:$F1000,3,FALSE)</f>
        <v>#N/A</v>
      </c>
      <c r="D59" s="13" t="str">
        <f>IFERROR(__xludf.DUMMYFUNCTION("IFNA(QUERY(IMPORTRANGE(""https://docs.google.com/spreadsheets/d/1EHL-jm_NiShR1a2JqKbpaJGazYH90DJO150spY6io4k/edit?gid=0#gid=0"", 
""Gen_Ledger!A:N""), 
""SELECT SUM(Col10) WHERE Col7 = ""&amp;B59&amp;"" AND Col1 &gt;= DATE '"" &amp; TEXT($C$2, ""YYYY-MM-DD"") &amp; ""' AND "&amp;"Col1 &lt;= DATE '"" &amp; TEXT($C$3, ""YYYY-MM-DD"") &amp; ""' LABEL SUM(Col10) ''"", 0), """")"),"#REF!")</f>
        <v>#REF!</v>
      </c>
      <c r="E59" s="13" t="str">
        <f>IFERROR(__xludf.DUMMYFUNCTION("IFNA(QUERY(IMPORTRANGE(""https://docs.google.com/spreadsheets/d/1EHL-jm_NiShR1a2JqKbpaJGazYH90DJO150spY6io4k/edit?gid=0#gid=0"", 
""Gen_Ledger!A:N""), 
""SELECT SUM(Col11) WHERE Col7 = ""&amp;B59&amp;"" AND Col1 &gt;= DATE '"" &amp; TEXT($C$2, ""YYYY-MM-DD"") &amp; ""' AND "&amp;"Col1 &lt;= DATE '"" &amp; TEXT($C$3, ""YYYY-MM-DD"") &amp; ""' LABEL SUM(Col11) ''"", 0), """")"),"#REF!")</f>
        <v>#REF!</v>
      </c>
      <c r="F59" s="13" t="str">
        <f t="shared" si="5"/>
        <v>#N/A</v>
      </c>
    </row>
    <row r="60" ht="15.75" customHeight="1">
      <c r="A60" s="1"/>
      <c r="B60" s="1"/>
      <c r="C60" s="2" t="str">
        <f>VLOOKUP(B60,Helper!$D$99:$F1000,3,FALSE)</f>
        <v>#N/A</v>
      </c>
      <c r="D60" s="13" t="str">
        <f>IFERROR(__xludf.DUMMYFUNCTION("IFNA(QUERY(IMPORTRANGE(""https://docs.google.com/spreadsheets/d/1EHL-jm_NiShR1a2JqKbpaJGazYH90DJO150spY6io4k/edit?gid=0#gid=0"", 
""Gen_Ledger!A:N""), 
""SELECT SUM(Col10) WHERE Col7 = ""&amp;B60&amp;"" AND Col1 &gt;= DATE '"" &amp; TEXT($C$2, ""YYYY-MM-DD"") &amp; ""' AND "&amp;"Col1 &lt;= DATE '"" &amp; TEXT($C$3, ""YYYY-MM-DD"") &amp; ""' LABEL SUM(Col10) ''"", 0), """")"),"#REF!")</f>
        <v>#REF!</v>
      </c>
      <c r="E60" s="13" t="str">
        <f>IFERROR(__xludf.DUMMYFUNCTION("IFNA(QUERY(IMPORTRANGE(""https://docs.google.com/spreadsheets/d/1EHL-jm_NiShR1a2JqKbpaJGazYH90DJO150spY6io4k/edit?gid=0#gid=0"", 
""Gen_Ledger!A:N""), 
""SELECT SUM(Col11) WHERE Col7 = ""&amp;B60&amp;"" AND Col1 &gt;= DATE '"" &amp; TEXT($C$2, ""YYYY-MM-DD"") &amp; ""' AND "&amp;"Col1 &lt;= DATE '"" &amp; TEXT($C$3, ""YYYY-MM-DD"") &amp; ""' LABEL SUM(Col11) ''"", 0), """")"),"#REF!")</f>
        <v>#REF!</v>
      </c>
      <c r="F60" s="13" t="str">
        <f t="shared" si="5"/>
        <v>#N/A</v>
      </c>
    </row>
    <row r="61" ht="15.75" customHeight="1">
      <c r="A61" s="1"/>
      <c r="B61" s="1"/>
      <c r="C61" s="2" t="str">
        <f>VLOOKUP(B61,Helper!$D$99:$F1000,3,FALSE)</f>
        <v>#N/A</v>
      </c>
      <c r="D61" s="13" t="str">
        <f>IFERROR(__xludf.DUMMYFUNCTION("IFNA(QUERY(IMPORTRANGE(""https://docs.google.com/spreadsheets/d/1EHL-jm_NiShR1a2JqKbpaJGazYH90DJO150spY6io4k/edit?gid=0#gid=0"", 
""Gen_Ledger!A:N""), 
""SELECT SUM(Col10) WHERE Col7 = ""&amp;B61&amp;"" AND Col1 &gt;= DATE '"" &amp; TEXT($C$2, ""YYYY-MM-DD"") &amp; ""' AND "&amp;"Col1 &lt;= DATE '"" &amp; TEXT($C$3, ""YYYY-MM-DD"") &amp; ""' LABEL SUM(Col10) ''"", 0), """")"),"#REF!")</f>
        <v>#REF!</v>
      </c>
      <c r="E61" s="13" t="str">
        <f>IFERROR(__xludf.DUMMYFUNCTION("IFNA(QUERY(IMPORTRANGE(""https://docs.google.com/spreadsheets/d/1EHL-jm_NiShR1a2JqKbpaJGazYH90DJO150spY6io4k/edit?gid=0#gid=0"", 
""Gen_Ledger!A:N""), 
""SELECT SUM(Col11) WHERE Col7 = ""&amp;B61&amp;"" AND Col1 &gt;= DATE '"" &amp; TEXT($C$2, ""YYYY-MM-DD"") &amp; ""' AND "&amp;"Col1 &lt;= DATE '"" &amp; TEXT($C$3, ""YYYY-MM-DD"") &amp; ""' LABEL SUM(Col11) ''"", 0), """")"),"#REF!")</f>
        <v>#REF!</v>
      </c>
      <c r="F61" s="13" t="str">
        <f t="shared" si="5"/>
        <v>#N/A</v>
      </c>
    </row>
    <row r="62" ht="15.75" customHeight="1">
      <c r="A62" s="1"/>
      <c r="B62" s="1"/>
      <c r="C62" s="2" t="str">
        <f>VLOOKUP(B62,Helper!$D$99:$F1000,3,FALSE)</f>
        <v>#N/A</v>
      </c>
      <c r="D62" s="13" t="str">
        <f>IFERROR(__xludf.DUMMYFUNCTION("IFNA(QUERY(IMPORTRANGE(""https://docs.google.com/spreadsheets/d/1EHL-jm_NiShR1a2JqKbpaJGazYH90DJO150spY6io4k/edit?gid=0#gid=0"", 
""Gen_Ledger!A:N""), 
""SELECT SUM(Col10) WHERE Col7 = ""&amp;B62&amp;"" AND Col1 &gt;= DATE '"" &amp; TEXT($C$2, ""YYYY-MM-DD"") &amp; ""' AND "&amp;"Col1 &lt;= DATE '"" &amp; TEXT($C$3, ""YYYY-MM-DD"") &amp; ""' LABEL SUM(Col10) ''"", 0), """")"),"#REF!")</f>
        <v>#REF!</v>
      </c>
      <c r="E62" s="13" t="str">
        <f>IFERROR(__xludf.DUMMYFUNCTION("IFNA(QUERY(IMPORTRANGE(""https://docs.google.com/spreadsheets/d/1EHL-jm_NiShR1a2JqKbpaJGazYH90DJO150spY6io4k/edit?gid=0#gid=0"", 
""Gen_Ledger!A:N""), 
""SELECT SUM(Col11) WHERE Col7 = ""&amp;B62&amp;"" AND Col1 &gt;= DATE '"" &amp; TEXT($C$2, ""YYYY-MM-DD"") &amp; ""' AND "&amp;"Col1 &lt;= DATE '"" &amp; TEXT($C$3, ""YYYY-MM-DD"") &amp; ""' LABEL SUM(Col11) ''"", 0), """")"),"#REF!")</f>
        <v>#REF!</v>
      </c>
      <c r="F62" s="13" t="str">
        <f t="shared" si="5"/>
        <v>#N/A</v>
      </c>
    </row>
    <row r="63" ht="15.75" customHeight="1">
      <c r="A63" s="1"/>
      <c r="B63" s="1"/>
      <c r="C63" s="2" t="str">
        <f>VLOOKUP(B63,Helper!$D$99:$F1000,3,FALSE)</f>
        <v>#N/A</v>
      </c>
      <c r="D63" s="13" t="str">
        <f>IFERROR(__xludf.DUMMYFUNCTION("IFNA(QUERY(IMPORTRANGE(""https://docs.google.com/spreadsheets/d/1EHL-jm_NiShR1a2JqKbpaJGazYH90DJO150spY6io4k/edit?gid=0#gid=0"", 
""Gen_Ledger!A:N""), 
""SELECT SUM(Col10) WHERE Col7 = ""&amp;B63&amp;"" AND Col1 &gt;= DATE '"" &amp; TEXT($C$2, ""YYYY-MM-DD"") &amp; ""' AND "&amp;"Col1 &lt;= DATE '"" &amp; TEXT($C$3, ""YYYY-MM-DD"") &amp; ""' LABEL SUM(Col10) ''"", 0), """")"),"#REF!")</f>
        <v>#REF!</v>
      </c>
      <c r="E63" s="13" t="str">
        <f>IFERROR(__xludf.DUMMYFUNCTION("IFNA(QUERY(IMPORTRANGE(""https://docs.google.com/spreadsheets/d/1EHL-jm_NiShR1a2JqKbpaJGazYH90DJO150spY6io4k/edit?gid=0#gid=0"", 
""Gen_Ledger!A:N""), 
""SELECT SUM(Col11) WHERE Col7 = ""&amp;B63&amp;"" AND Col1 &gt;= DATE '"" &amp; TEXT($C$2, ""YYYY-MM-DD"") &amp; ""' AND "&amp;"Col1 &lt;= DATE '"" &amp; TEXT($C$3, ""YYYY-MM-DD"") &amp; ""' LABEL SUM(Col11) ''"", 0), """")"),"#REF!")</f>
        <v>#REF!</v>
      </c>
      <c r="F63" s="13" t="str">
        <f t="shared" si="5"/>
        <v>#N/A</v>
      </c>
    </row>
    <row r="64" ht="15.75" customHeight="1">
      <c r="A64" s="3"/>
      <c r="B64" s="3"/>
    </row>
    <row r="65" ht="15.75" customHeight="1">
      <c r="A65" s="3"/>
      <c r="B65" s="3"/>
    </row>
    <row r="66" ht="15.75" customHeight="1">
      <c r="A66" s="3"/>
      <c r="B66" s="3"/>
    </row>
    <row r="67" ht="15.75" customHeight="1">
      <c r="A67" s="3"/>
      <c r="B67" s="3"/>
    </row>
    <row r="68" ht="15.75" customHeight="1">
      <c r="A68" s="3"/>
      <c r="B68" s="3"/>
    </row>
    <row r="69" ht="15.75" customHeight="1">
      <c r="A69" s="3"/>
      <c r="B69" s="3"/>
    </row>
    <row r="70" ht="15.75" customHeight="1">
      <c r="A70" s="3"/>
      <c r="B70" s="3"/>
    </row>
    <row r="71" ht="15.75" customHeight="1">
      <c r="A71" s="3"/>
      <c r="B71" s="3"/>
    </row>
    <row r="72" ht="15.75" customHeight="1">
      <c r="A72" s="3"/>
      <c r="B72" s="3"/>
    </row>
    <row r="73" ht="15.75" customHeight="1">
      <c r="A73" s="3"/>
      <c r="B73" s="3"/>
    </row>
    <row r="74" ht="15.75" customHeight="1">
      <c r="A74" s="3"/>
      <c r="B74" s="3"/>
    </row>
    <row r="75" ht="15.75" customHeight="1">
      <c r="A75" s="3"/>
      <c r="B75" s="3"/>
    </row>
    <row r="76" ht="15.75" customHeight="1">
      <c r="A76" s="3"/>
      <c r="B76" s="3"/>
    </row>
    <row r="77" ht="15.75" customHeight="1">
      <c r="A77" s="3"/>
      <c r="B77" s="3"/>
    </row>
    <row r="78" ht="15.75" customHeight="1">
      <c r="A78" s="3"/>
      <c r="B78" s="3"/>
    </row>
    <row r="79" ht="15.75" customHeight="1">
      <c r="A79" s="3"/>
      <c r="B79" s="3"/>
    </row>
    <row r="80" ht="15.75" customHeight="1">
      <c r="A80" s="3"/>
      <c r="B80" s="3"/>
    </row>
    <row r="81" ht="15.75" customHeight="1">
      <c r="A81" s="3"/>
      <c r="B81" s="3"/>
    </row>
    <row r="82" ht="15.75" customHeight="1">
      <c r="A82" s="3"/>
      <c r="B82" s="3"/>
    </row>
    <row r="83" ht="15.75" customHeight="1">
      <c r="A83" s="3"/>
      <c r="B83" s="3"/>
    </row>
    <row r="84" ht="15.75" customHeight="1">
      <c r="A84" s="3"/>
      <c r="B84" s="3"/>
    </row>
    <row r="85" ht="15.75" customHeight="1">
      <c r="A85" s="3"/>
      <c r="B85" s="3"/>
    </row>
    <row r="86" ht="15.75" customHeight="1">
      <c r="A86" s="3"/>
      <c r="B86" s="3"/>
    </row>
    <row r="87" ht="15.75" customHeight="1">
      <c r="A87" s="3"/>
      <c r="B87" s="3"/>
    </row>
    <row r="88" ht="15.75" customHeight="1">
      <c r="A88" s="3"/>
      <c r="B88" s="3"/>
    </row>
    <row r="89" ht="15.75" customHeight="1">
      <c r="A89" s="3"/>
      <c r="B89" s="3"/>
    </row>
    <row r="90" ht="15.75" customHeight="1">
      <c r="A90" s="3"/>
      <c r="B90" s="3"/>
    </row>
    <row r="91" ht="15.75" customHeight="1">
      <c r="A91" s="3"/>
      <c r="B91" s="3"/>
    </row>
    <row r="92" ht="15.75" customHeight="1">
      <c r="A92" s="3"/>
      <c r="B92" s="3"/>
    </row>
    <row r="93" ht="15.75" customHeight="1">
      <c r="A93" s="3"/>
      <c r="B93" s="3"/>
    </row>
    <row r="94" ht="15.75" customHeight="1">
      <c r="A94" s="3"/>
      <c r="B94" s="3"/>
    </row>
    <row r="95" ht="15.75" customHeight="1">
      <c r="A95" s="3"/>
      <c r="B95" s="3"/>
    </row>
    <row r="96" ht="15.75" customHeight="1">
      <c r="A96" s="3"/>
      <c r="B96" s="3"/>
    </row>
    <row r="97" ht="15.75" customHeight="1">
      <c r="A97" s="3"/>
      <c r="B97" s="3"/>
    </row>
    <row r="98" ht="15.75" customHeight="1">
      <c r="A98" s="3"/>
      <c r="B98" s="3"/>
    </row>
    <row r="99" ht="15.75" customHeight="1">
      <c r="A99" s="3"/>
      <c r="B99" s="3"/>
    </row>
    <row r="100" ht="15.75" customHeight="1">
      <c r="A100" s="3"/>
      <c r="B100" s="3"/>
    </row>
    <row r="101" ht="15.75" customHeight="1">
      <c r="A101" s="3"/>
      <c r="B101" s="3"/>
    </row>
    <row r="102" ht="15.75" customHeight="1">
      <c r="A102" s="3"/>
      <c r="B102" s="3"/>
    </row>
    <row r="103" ht="15.75" customHeight="1">
      <c r="A103" s="3"/>
      <c r="B103" s="3"/>
    </row>
    <row r="104" ht="15.75" customHeight="1">
      <c r="A104" s="3"/>
      <c r="B104" s="3"/>
    </row>
    <row r="105" ht="15.75" customHeight="1">
      <c r="A105" s="3"/>
      <c r="B105" s="3"/>
    </row>
    <row r="106" ht="15.75" customHeight="1">
      <c r="A106" s="3"/>
      <c r="B106" s="3"/>
    </row>
    <row r="107" ht="15.75" customHeight="1">
      <c r="A107" s="3"/>
      <c r="B107" s="3"/>
    </row>
    <row r="108" ht="15.75" customHeight="1">
      <c r="A108" s="3"/>
      <c r="B108" s="3"/>
    </row>
    <row r="109" ht="15.75" customHeight="1">
      <c r="A109" s="3"/>
      <c r="B109" s="3"/>
    </row>
    <row r="110" ht="15.75" customHeight="1">
      <c r="A110" s="3"/>
      <c r="B110" s="3"/>
    </row>
    <row r="111" ht="15.75" customHeight="1">
      <c r="A111" s="3"/>
      <c r="B111" s="3"/>
    </row>
    <row r="112" ht="15.75" customHeight="1">
      <c r="A112" s="3"/>
      <c r="B112" s="3"/>
    </row>
    <row r="113" ht="15.75" customHeight="1">
      <c r="A113" s="3"/>
      <c r="B113" s="3"/>
    </row>
    <row r="114" ht="15.75" customHeight="1">
      <c r="A114" s="3"/>
      <c r="B114" s="3"/>
    </row>
    <row r="115" ht="15.75" customHeight="1">
      <c r="A115" s="3"/>
      <c r="B115" s="3"/>
    </row>
    <row r="116" ht="15.75" customHeight="1">
      <c r="A116" s="3"/>
      <c r="B116" s="3"/>
    </row>
    <row r="117" ht="15.75" customHeight="1">
      <c r="A117" s="3"/>
      <c r="B117" s="3"/>
    </row>
    <row r="118" ht="15.75" customHeight="1">
      <c r="A118" s="3"/>
      <c r="B118" s="3"/>
    </row>
    <row r="119" ht="15.75" customHeight="1">
      <c r="A119" s="3"/>
      <c r="B119" s="3"/>
    </row>
    <row r="120" ht="15.75" customHeight="1">
      <c r="A120" s="3"/>
      <c r="B120" s="3"/>
    </row>
    <row r="121" ht="15.75" customHeight="1">
      <c r="A121" s="3"/>
      <c r="B121" s="3"/>
    </row>
    <row r="122" ht="15.75" customHeight="1">
      <c r="A122" s="3"/>
      <c r="B122" s="3"/>
    </row>
    <row r="123" ht="15.75" customHeight="1">
      <c r="A123" s="3"/>
      <c r="B123" s="3"/>
    </row>
    <row r="124" ht="15.75" customHeight="1">
      <c r="A124" s="3"/>
      <c r="B124" s="3"/>
    </row>
    <row r="125" ht="15.75" customHeight="1">
      <c r="A125" s="3"/>
      <c r="B125" s="3"/>
    </row>
    <row r="126" ht="15.75" customHeight="1">
      <c r="A126" s="3"/>
      <c r="B126" s="3"/>
    </row>
    <row r="127" ht="15.75" customHeight="1">
      <c r="A127" s="3"/>
      <c r="B127" s="3"/>
    </row>
    <row r="128" ht="15.75" customHeight="1">
      <c r="A128" s="3"/>
      <c r="B128" s="3"/>
    </row>
    <row r="129" ht="15.75" customHeight="1">
      <c r="A129" s="3"/>
      <c r="B129" s="3"/>
    </row>
    <row r="130" ht="15.75" customHeight="1">
      <c r="A130" s="3"/>
      <c r="B130" s="3"/>
    </row>
    <row r="131" ht="15.75" customHeight="1">
      <c r="A131" s="3"/>
      <c r="B131" s="3"/>
    </row>
    <row r="132" ht="15.75" customHeight="1">
      <c r="A132" s="3"/>
      <c r="B132" s="3"/>
    </row>
    <row r="133" ht="15.75" customHeight="1">
      <c r="A133" s="3"/>
      <c r="B133" s="3"/>
    </row>
    <row r="134" ht="15.75" customHeight="1">
      <c r="A134" s="3"/>
      <c r="B134" s="3"/>
    </row>
    <row r="135" ht="15.75" customHeight="1">
      <c r="A135" s="3"/>
      <c r="B135" s="3"/>
    </row>
    <row r="136" ht="15.75" customHeight="1">
      <c r="A136" s="3"/>
      <c r="B136" s="3"/>
    </row>
    <row r="137" ht="15.75" customHeight="1">
      <c r="A137" s="3"/>
      <c r="B137" s="3"/>
    </row>
    <row r="138" ht="15.75" customHeight="1">
      <c r="A138" s="3"/>
      <c r="B138" s="3"/>
    </row>
    <row r="139" ht="15.75" customHeight="1">
      <c r="A139" s="3"/>
      <c r="B139" s="3"/>
    </row>
    <row r="140" ht="15.75" customHeight="1">
      <c r="A140" s="3"/>
      <c r="B140" s="3"/>
    </row>
    <row r="141" ht="15.75" customHeight="1">
      <c r="A141" s="3"/>
      <c r="B141" s="3"/>
    </row>
    <row r="142" ht="15.75" customHeight="1">
      <c r="A142" s="3"/>
      <c r="B142" s="3"/>
    </row>
    <row r="143" ht="15.75" customHeight="1">
      <c r="A143" s="3"/>
      <c r="B143" s="3"/>
    </row>
    <row r="144" ht="15.75" customHeight="1">
      <c r="A144" s="3"/>
      <c r="B144" s="3"/>
    </row>
    <row r="145" ht="15.75" customHeight="1">
      <c r="A145" s="3"/>
      <c r="B145" s="3"/>
    </row>
    <row r="146" ht="15.75" customHeight="1">
      <c r="A146" s="3"/>
      <c r="B146" s="3"/>
    </row>
    <row r="147" ht="15.75" customHeight="1">
      <c r="A147" s="3"/>
      <c r="B147" s="3"/>
    </row>
    <row r="148" ht="15.75" customHeight="1">
      <c r="A148" s="3"/>
      <c r="B148" s="3"/>
    </row>
    <row r="149" ht="15.75" customHeight="1">
      <c r="A149" s="3"/>
      <c r="B149" s="3"/>
    </row>
    <row r="150" ht="15.75" customHeight="1">
      <c r="A150" s="3"/>
      <c r="B150" s="3"/>
    </row>
    <row r="151" ht="15.75" customHeight="1">
      <c r="A151" s="3"/>
      <c r="B151" s="3"/>
    </row>
    <row r="152" ht="15.75" customHeight="1">
      <c r="A152" s="3"/>
      <c r="B152" s="3"/>
    </row>
    <row r="153" ht="15.75" customHeight="1">
      <c r="A153" s="3"/>
      <c r="B153" s="3"/>
    </row>
    <row r="154" ht="15.75" customHeight="1">
      <c r="A154" s="3"/>
      <c r="B154" s="3"/>
    </row>
    <row r="155" ht="15.75" customHeight="1">
      <c r="A155" s="3"/>
      <c r="B155" s="3"/>
    </row>
    <row r="156" ht="15.75" customHeight="1">
      <c r="A156" s="3"/>
      <c r="B156" s="3"/>
    </row>
    <row r="157" ht="15.75" customHeight="1">
      <c r="A157" s="3"/>
      <c r="B157" s="3"/>
    </row>
    <row r="158" ht="15.75" customHeight="1">
      <c r="A158" s="3"/>
      <c r="B158" s="3"/>
    </row>
    <row r="159" ht="15.75" customHeight="1">
      <c r="A159" s="3"/>
      <c r="B159" s="3"/>
    </row>
    <row r="160" ht="15.75" customHeight="1">
      <c r="A160" s="3"/>
      <c r="B160" s="3"/>
    </row>
    <row r="161" ht="15.75" customHeight="1">
      <c r="A161" s="3"/>
      <c r="B161" s="3"/>
    </row>
    <row r="162" ht="15.75" customHeight="1">
      <c r="A162" s="3"/>
      <c r="B162" s="3"/>
    </row>
    <row r="163" ht="15.75" customHeight="1">
      <c r="A163" s="3"/>
      <c r="B163" s="3"/>
    </row>
    <row r="164" ht="15.75" customHeight="1">
      <c r="A164" s="3"/>
      <c r="B164" s="3"/>
    </row>
    <row r="165" ht="15.75" customHeight="1">
      <c r="A165" s="3"/>
      <c r="B165" s="3"/>
    </row>
    <row r="166" ht="15.75" customHeight="1">
      <c r="A166" s="3"/>
      <c r="B166" s="3"/>
    </row>
    <row r="167" ht="15.75" customHeight="1">
      <c r="A167" s="3"/>
      <c r="B167" s="3"/>
    </row>
    <row r="168" ht="15.75" customHeight="1">
      <c r="A168" s="3"/>
      <c r="B168" s="3"/>
    </row>
    <row r="169" ht="15.75" customHeight="1">
      <c r="A169" s="3"/>
      <c r="B169" s="3"/>
    </row>
    <row r="170" ht="15.75" customHeight="1">
      <c r="A170" s="3"/>
      <c r="B170" s="3"/>
    </row>
    <row r="171" ht="15.75" customHeight="1">
      <c r="A171" s="3"/>
      <c r="B171" s="3"/>
    </row>
    <row r="172" ht="15.75" customHeight="1">
      <c r="A172" s="3"/>
      <c r="B172" s="3"/>
    </row>
    <row r="173" ht="15.75" customHeight="1">
      <c r="A173" s="3"/>
      <c r="B173" s="3"/>
    </row>
    <row r="174" ht="15.75" customHeight="1">
      <c r="A174" s="3"/>
      <c r="B174" s="3"/>
    </row>
    <row r="175" ht="15.75" customHeight="1">
      <c r="A175" s="3"/>
      <c r="B175" s="3"/>
    </row>
    <row r="176" ht="15.75" customHeight="1">
      <c r="A176" s="3"/>
      <c r="B176" s="3"/>
    </row>
    <row r="177" ht="15.75" customHeight="1">
      <c r="A177" s="3"/>
      <c r="B177" s="3"/>
    </row>
    <row r="178" ht="15.75" customHeight="1">
      <c r="A178" s="3"/>
      <c r="B178" s="3"/>
    </row>
    <row r="179" ht="15.75" customHeight="1">
      <c r="A179" s="3"/>
      <c r="B179" s="3"/>
    </row>
    <row r="180" ht="15.75" customHeight="1">
      <c r="A180" s="3"/>
      <c r="B180" s="3"/>
    </row>
    <row r="181" ht="15.75" customHeight="1">
      <c r="A181" s="3"/>
      <c r="B181" s="3"/>
    </row>
    <row r="182" ht="15.75" customHeight="1">
      <c r="A182" s="3"/>
      <c r="B182" s="3"/>
    </row>
    <row r="183" ht="15.75" customHeight="1">
      <c r="A183" s="3"/>
      <c r="B183" s="3"/>
    </row>
    <row r="184" ht="15.75" customHeight="1">
      <c r="A184" s="3"/>
      <c r="B184" s="3"/>
    </row>
    <row r="185" ht="15.75" customHeight="1">
      <c r="A185" s="3"/>
      <c r="B185" s="3"/>
    </row>
    <row r="186" ht="15.75" customHeight="1">
      <c r="A186" s="3"/>
      <c r="B186" s="3"/>
    </row>
    <row r="187" ht="15.75" customHeight="1">
      <c r="A187" s="3"/>
      <c r="B187" s="3"/>
    </row>
    <row r="188" ht="15.75" customHeight="1">
      <c r="A188" s="3"/>
      <c r="B188" s="3"/>
    </row>
    <row r="189" ht="15.75" customHeight="1">
      <c r="A189" s="3"/>
      <c r="B189" s="3"/>
    </row>
    <row r="190" ht="15.75" customHeight="1">
      <c r="A190" s="3"/>
      <c r="B190" s="3"/>
    </row>
    <row r="191" ht="15.75" customHeight="1">
      <c r="A191" s="3"/>
      <c r="B191" s="3"/>
    </row>
    <row r="192" ht="15.75" customHeight="1">
      <c r="A192" s="3"/>
      <c r="B192" s="3"/>
    </row>
    <row r="193" ht="15.75" customHeight="1">
      <c r="A193" s="3"/>
      <c r="B193" s="3"/>
    </row>
    <row r="194" ht="15.75" customHeight="1">
      <c r="A194" s="3"/>
      <c r="B194" s="3"/>
    </row>
    <row r="195" ht="15.75" customHeight="1">
      <c r="A195" s="3"/>
      <c r="B195" s="3"/>
    </row>
    <row r="196" ht="15.75" customHeight="1">
      <c r="A196" s="3"/>
      <c r="B196" s="3"/>
    </row>
    <row r="197" ht="15.75" customHeight="1">
      <c r="A197" s="3"/>
      <c r="B197" s="3"/>
    </row>
    <row r="198" ht="15.75" customHeight="1">
      <c r="A198" s="3"/>
      <c r="B198" s="3"/>
    </row>
    <row r="199" ht="15.75" customHeight="1">
      <c r="A199" s="3"/>
      <c r="B199" s="3"/>
    </row>
    <row r="200" ht="15.75" customHeight="1">
      <c r="A200" s="3"/>
      <c r="B200" s="3"/>
    </row>
    <row r="201" ht="15.75" customHeight="1">
      <c r="A201" s="3"/>
      <c r="B201" s="3"/>
    </row>
    <row r="202" ht="15.75" customHeight="1">
      <c r="A202" s="3"/>
      <c r="B202" s="3"/>
    </row>
    <row r="203" ht="15.75" customHeight="1">
      <c r="A203" s="3"/>
      <c r="B203" s="3"/>
    </row>
    <row r="204" ht="15.75" customHeight="1">
      <c r="A204" s="3"/>
      <c r="B204" s="3"/>
    </row>
    <row r="205" ht="15.75" customHeight="1">
      <c r="A205" s="3"/>
      <c r="B205" s="3"/>
    </row>
    <row r="206" ht="15.75" customHeight="1">
      <c r="A206" s="3"/>
      <c r="B206" s="3"/>
    </row>
    <row r="207" ht="15.75" customHeight="1">
      <c r="A207" s="3"/>
      <c r="B207" s="3"/>
    </row>
    <row r="208" ht="15.75" customHeight="1">
      <c r="A208" s="3"/>
      <c r="B208" s="3"/>
    </row>
    <row r="209" ht="15.75" customHeight="1">
      <c r="A209" s="3"/>
      <c r="B209" s="3"/>
    </row>
    <row r="210" ht="15.75" customHeight="1">
      <c r="A210" s="3"/>
      <c r="B210" s="3"/>
    </row>
    <row r="211" ht="15.75" customHeight="1">
      <c r="A211" s="3"/>
      <c r="B211" s="3"/>
    </row>
    <row r="212" ht="15.75" customHeight="1">
      <c r="A212" s="3"/>
      <c r="B212" s="3"/>
    </row>
    <row r="213" ht="15.75" customHeight="1">
      <c r="A213" s="3"/>
      <c r="B213" s="3"/>
    </row>
    <row r="214" ht="15.75" customHeight="1">
      <c r="A214" s="3"/>
      <c r="B214" s="3"/>
    </row>
    <row r="215" ht="15.75" customHeight="1">
      <c r="A215" s="3"/>
      <c r="B215" s="3"/>
    </row>
    <row r="216" ht="15.75" customHeight="1">
      <c r="A216" s="3"/>
      <c r="B216" s="3"/>
    </row>
    <row r="217" ht="15.75" customHeight="1">
      <c r="A217" s="3"/>
      <c r="B217" s="3"/>
    </row>
    <row r="218" ht="15.75" customHeight="1">
      <c r="A218" s="3"/>
      <c r="B218" s="3"/>
    </row>
    <row r="219" ht="15.75" customHeight="1">
      <c r="A219" s="3"/>
      <c r="B219" s="3"/>
    </row>
    <row r="220" ht="15.75" customHeight="1">
      <c r="A220" s="3"/>
      <c r="B220" s="3"/>
    </row>
    <row r="221" ht="15.75" customHeight="1">
      <c r="A221" s="3"/>
      <c r="B221" s="3"/>
    </row>
    <row r="222" ht="15.75" customHeight="1">
      <c r="A222" s="3"/>
      <c r="B222" s="3"/>
    </row>
    <row r="223" ht="15.75" customHeight="1">
      <c r="A223" s="3"/>
      <c r="B223" s="3"/>
    </row>
    <row r="224" ht="15.75" customHeight="1">
      <c r="A224" s="3"/>
      <c r="B224" s="3"/>
    </row>
    <row r="225" ht="15.75" customHeight="1">
      <c r="A225" s="3"/>
      <c r="B225" s="3"/>
    </row>
    <row r="226" ht="15.75" customHeight="1">
      <c r="A226" s="3"/>
      <c r="B226" s="3"/>
    </row>
    <row r="227" ht="15.75" customHeight="1">
      <c r="A227" s="3"/>
      <c r="B227" s="3"/>
    </row>
    <row r="228" ht="15.75" customHeight="1">
      <c r="A228" s="3"/>
      <c r="B228" s="3"/>
    </row>
    <row r="229" ht="15.75" customHeight="1">
      <c r="A229" s="3"/>
      <c r="B229" s="3"/>
    </row>
    <row r="230" ht="15.75" customHeight="1">
      <c r="A230" s="3"/>
      <c r="B230" s="3"/>
    </row>
    <row r="231" ht="15.75" customHeight="1">
      <c r="A231" s="3"/>
      <c r="B231" s="3"/>
    </row>
    <row r="232" ht="15.75" customHeight="1">
      <c r="A232" s="3"/>
      <c r="B232" s="3"/>
    </row>
    <row r="233" ht="15.75" customHeight="1">
      <c r="A233" s="3"/>
      <c r="B233" s="3"/>
    </row>
    <row r="234" ht="15.75" customHeight="1">
      <c r="A234" s="3"/>
      <c r="B234" s="3"/>
    </row>
    <row r="235" ht="15.75" customHeight="1">
      <c r="A235" s="3"/>
      <c r="B235" s="3"/>
    </row>
    <row r="236" ht="15.75" customHeight="1">
      <c r="A236" s="3"/>
      <c r="B236" s="3"/>
    </row>
    <row r="237" ht="15.75" customHeight="1">
      <c r="A237" s="3"/>
      <c r="B237" s="3"/>
    </row>
    <row r="238" ht="15.75" customHeight="1">
      <c r="A238" s="3"/>
      <c r="B238" s="3"/>
    </row>
    <row r="239" ht="15.75" customHeight="1">
      <c r="A239" s="3"/>
      <c r="B239" s="3"/>
    </row>
    <row r="240" ht="15.75" customHeight="1">
      <c r="A240" s="3"/>
      <c r="B240" s="3"/>
    </row>
    <row r="241" ht="15.75" customHeight="1">
      <c r="A241" s="3"/>
      <c r="B241" s="3"/>
    </row>
    <row r="242" ht="15.75" customHeight="1">
      <c r="A242" s="3"/>
      <c r="B242" s="3"/>
    </row>
    <row r="243" ht="15.75" customHeight="1">
      <c r="A243" s="3"/>
      <c r="B243" s="3"/>
    </row>
    <row r="244" ht="15.75" customHeight="1">
      <c r="A244" s="3"/>
      <c r="B244" s="3"/>
    </row>
    <row r="245" ht="15.75" customHeight="1">
      <c r="A245" s="3"/>
      <c r="B245" s="3"/>
    </row>
    <row r="246" ht="15.75" customHeight="1">
      <c r="A246" s="3"/>
      <c r="B246" s="3"/>
    </row>
    <row r="247" ht="15.75" customHeight="1">
      <c r="A247" s="3"/>
      <c r="B247" s="3"/>
    </row>
    <row r="248" ht="15.75" customHeight="1">
      <c r="A248" s="3"/>
      <c r="B248" s="3"/>
    </row>
    <row r="249" ht="15.75" customHeight="1">
      <c r="A249" s="3"/>
      <c r="B249" s="3"/>
    </row>
    <row r="250" ht="15.75" customHeight="1">
      <c r="A250" s="3"/>
      <c r="B250" s="3"/>
    </row>
    <row r="251" ht="15.75" customHeight="1">
      <c r="A251" s="3"/>
      <c r="B251" s="3"/>
    </row>
    <row r="252" ht="15.75" customHeight="1">
      <c r="A252" s="3"/>
      <c r="B252" s="3"/>
    </row>
    <row r="253" ht="15.75" customHeight="1">
      <c r="A253" s="3"/>
      <c r="B253" s="3"/>
    </row>
    <row r="254" ht="15.75" customHeight="1">
      <c r="A254" s="3"/>
      <c r="B254" s="3"/>
    </row>
    <row r="255" ht="15.75" customHeight="1">
      <c r="A255" s="3"/>
      <c r="B255" s="3"/>
    </row>
    <row r="256" ht="15.75" customHeight="1">
      <c r="A256" s="3"/>
      <c r="B256" s="3"/>
    </row>
    <row r="257" ht="15.75" customHeight="1">
      <c r="A257" s="3"/>
      <c r="B257" s="3"/>
    </row>
    <row r="258" ht="15.75" customHeight="1">
      <c r="A258" s="3"/>
      <c r="B258" s="3"/>
    </row>
    <row r="259" ht="15.75" customHeight="1">
      <c r="A259" s="3"/>
      <c r="B259" s="3"/>
    </row>
    <row r="260" ht="15.75" customHeight="1">
      <c r="A260" s="3"/>
      <c r="B260" s="3"/>
    </row>
    <row r="261" ht="15.75" customHeight="1">
      <c r="A261" s="3"/>
      <c r="B261" s="3"/>
    </row>
    <row r="262" ht="15.75" customHeight="1">
      <c r="A262" s="3"/>
      <c r="B262" s="3"/>
    </row>
    <row r="263" ht="15.75" customHeight="1">
      <c r="A263" s="3"/>
      <c r="B263" s="3"/>
    </row>
    <row r="264" ht="15.75" customHeight="1">
      <c r="A264" s="14"/>
      <c r="B264" s="14"/>
    </row>
    <row r="265" ht="15.75" customHeight="1">
      <c r="A265" s="14"/>
      <c r="B265" s="14"/>
    </row>
    <row r="266" ht="15.75" customHeight="1">
      <c r="A266" s="14"/>
      <c r="B266" s="14"/>
    </row>
    <row r="267" ht="15.75" customHeight="1">
      <c r="A267" s="14"/>
      <c r="B267" s="14"/>
    </row>
    <row r="268" ht="15.75" customHeight="1">
      <c r="A268" s="14"/>
      <c r="B268" s="14"/>
    </row>
    <row r="269" ht="15.75" customHeight="1">
      <c r="A269" s="14"/>
      <c r="B269" s="14"/>
    </row>
    <row r="270" ht="15.75" customHeight="1">
      <c r="A270" s="14"/>
      <c r="B270" s="14"/>
    </row>
    <row r="271" ht="15.75" customHeight="1">
      <c r="A271" s="14"/>
      <c r="B271" s="14"/>
    </row>
    <row r="272" ht="15.75" customHeight="1">
      <c r="A272" s="14"/>
      <c r="B272" s="14"/>
    </row>
    <row r="273" ht="15.75" customHeight="1">
      <c r="A273" s="14"/>
      <c r="B273" s="14"/>
    </row>
    <row r="274" ht="15.75" customHeight="1">
      <c r="A274" s="14"/>
      <c r="B274" s="14"/>
    </row>
    <row r="275" ht="15.75" customHeight="1">
      <c r="A275" s="14"/>
      <c r="B275" s="14"/>
    </row>
    <row r="276" ht="15.75" customHeight="1">
      <c r="A276" s="14"/>
      <c r="B276" s="14"/>
    </row>
    <row r="277" ht="15.75" customHeight="1">
      <c r="A277" s="14"/>
      <c r="B277" s="14"/>
    </row>
    <row r="278" ht="15.75" customHeight="1">
      <c r="A278" s="14"/>
      <c r="B278" s="14"/>
    </row>
    <row r="279" ht="15.75" customHeight="1">
      <c r="A279" s="14"/>
      <c r="B279" s="14"/>
    </row>
    <row r="280" ht="15.75" customHeight="1">
      <c r="A280" s="14"/>
      <c r="B280" s="14"/>
    </row>
    <row r="281" ht="15.75" customHeight="1">
      <c r="A281" s="14"/>
      <c r="B281" s="14"/>
    </row>
    <row r="282" ht="15.75" customHeight="1">
      <c r="A282" s="14"/>
      <c r="B282" s="14"/>
    </row>
    <row r="283" ht="15.75" customHeight="1">
      <c r="A283" s="14"/>
      <c r="B283" s="14"/>
    </row>
    <row r="284" ht="15.75" customHeight="1">
      <c r="A284" s="14"/>
      <c r="B284" s="14"/>
    </row>
    <row r="285" ht="15.75" customHeight="1">
      <c r="A285" s="14"/>
      <c r="B285" s="14"/>
    </row>
    <row r="286" ht="15.75" customHeight="1">
      <c r="A286" s="14"/>
      <c r="B286" s="14"/>
    </row>
    <row r="287" ht="15.75" customHeight="1">
      <c r="A287" s="14"/>
      <c r="B287" s="14"/>
    </row>
    <row r="288" ht="15.75" customHeight="1">
      <c r="A288" s="14"/>
      <c r="B288" s="14"/>
    </row>
    <row r="289" ht="15.75" customHeight="1">
      <c r="A289" s="14"/>
      <c r="B289" s="14"/>
    </row>
    <row r="290" ht="15.75" customHeight="1">
      <c r="A290" s="14"/>
      <c r="B290" s="14"/>
    </row>
    <row r="291" ht="15.75" customHeight="1">
      <c r="A291" s="14"/>
      <c r="B291" s="14"/>
    </row>
    <row r="292" ht="15.75" customHeight="1">
      <c r="A292" s="14"/>
      <c r="B292" s="14"/>
    </row>
    <row r="293" ht="15.75" customHeight="1">
      <c r="A293" s="14"/>
      <c r="B293" s="14"/>
    </row>
    <row r="294" ht="15.75" customHeight="1">
      <c r="A294" s="14"/>
      <c r="B294" s="14"/>
    </row>
    <row r="295" ht="15.75" customHeight="1">
      <c r="A295" s="14"/>
      <c r="B295" s="14"/>
    </row>
    <row r="296" ht="15.75" customHeight="1">
      <c r="A296" s="14"/>
      <c r="B296" s="14"/>
    </row>
    <row r="297" ht="15.75" customHeight="1">
      <c r="A297" s="14"/>
      <c r="B297" s="14"/>
    </row>
    <row r="298" ht="15.75" customHeight="1">
      <c r="A298" s="14"/>
      <c r="B298" s="14"/>
    </row>
    <row r="299" ht="15.75" customHeight="1">
      <c r="A299" s="14"/>
      <c r="B299" s="14"/>
    </row>
    <row r="300" ht="15.75" customHeight="1">
      <c r="A300" s="14"/>
      <c r="B300" s="14"/>
    </row>
    <row r="301" ht="15.75" customHeight="1">
      <c r="A301" s="14"/>
      <c r="B301" s="14"/>
    </row>
    <row r="302" ht="15.75" customHeight="1">
      <c r="A302" s="14"/>
      <c r="B302" s="14"/>
    </row>
    <row r="303" ht="15.75" customHeight="1">
      <c r="A303" s="14"/>
      <c r="B303" s="14"/>
    </row>
    <row r="304" ht="15.75" customHeight="1">
      <c r="A304" s="14"/>
      <c r="B304" s="14"/>
    </row>
    <row r="305" ht="15.75" customHeight="1">
      <c r="A305" s="14"/>
      <c r="B305" s="14"/>
    </row>
    <row r="306" ht="15.75" customHeight="1">
      <c r="A306" s="14"/>
      <c r="B306" s="14"/>
    </row>
    <row r="307" ht="15.75" customHeight="1">
      <c r="A307" s="14"/>
      <c r="B307" s="14"/>
    </row>
    <row r="308" ht="15.75" customHeight="1">
      <c r="A308" s="14"/>
      <c r="B308" s="14"/>
    </row>
    <row r="309" ht="15.75" customHeight="1">
      <c r="A309" s="14"/>
      <c r="B309" s="14"/>
    </row>
    <row r="310" ht="15.75" customHeight="1">
      <c r="A310" s="14"/>
      <c r="B310" s="14"/>
    </row>
    <row r="311" ht="15.75" customHeight="1">
      <c r="A311" s="14"/>
      <c r="B311" s="14"/>
    </row>
    <row r="312" ht="15.75" customHeight="1">
      <c r="A312" s="14"/>
      <c r="B312" s="14"/>
    </row>
    <row r="313" ht="15.75" customHeight="1">
      <c r="A313" s="14"/>
      <c r="B313" s="14"/>
    </row>
    <row r="314" ht="15.75" customHeight="1">
      <c r="A314" s="14"/>
      <c r="B314" s="14"/>
    </row>
    <row r="315" ht="15.75" customHeight="1">
      <c r="A315" s="14"/>
      <c r="B315" s="14"/>
    </row>
    <row r="316" ht="15.75" customHeight="1">
      <c r="A316" s="14"/>
      <c r="B316" s="14"/>
    </row>
    <row r="317" ht="15.75" customHeight="1">
      <c r="A317" s="14"/>
      <c r="B317" s="14"/>
    </row>
    <row r="318" ht="15.75" customHeight="1">
      <c r="A318" s="14"/>
      <c r="B318" s="14"/>
    </row>
    <row r="319" ht="15.75" customHeight="1">
      <c r="A319" s="14"/>
      <c r="B319" s="14"/>
    </row>
    <row r="320" ht="15.75" customHeight="1">
      <c r="A320" s="14"/>
      <c r="B320" s="14"/>
    </row>
    <row r="321" ht="15.75" customHeight="1">
      <c r="A321" s="14"/>
      <c r="B321" s="14"/>
    </row>
    <row r="322" ht="15.75" customHeight="1">
      <c r="A322" s="14"/>
      <c r="B322" s="14"/>
    </row>
    <row r="323" ht="15.75" customHeight="1">
      <c r="A323" s="14"/>
      <c r="B323" s="14"/>
    </row>
    <row r="324" ht="15.75" customHeight="1">
      <c r="A324" s="14"/>
      <c r="B324" s="14"/>
    </row>
    <row r="325" ht="15.75" customHeight="1">
      <c r="A325" s="14"/>
      <c r="B325" s="14"/>
    </row>
    <row r="326" ht="15.75" customHeight="1">
      <c r="A326" s="14"/>
      <c r="B326" s="14"/>
    </row>
    <row r="327" ht="15.75" customHeight="1">
      <c r="A327" s="14"/>
      <c r="B327" s="14"/>
    </row>
    <row r="328" ht="15.75" customHeight="1">
      <c r="A328" s="14"/>
      <c r="B328" s="14"/>
    </row>
    <row r="329" ht="15.75" customHeight="1">
      <c r="A329" s="14"/>
      <c r="B329" s="14"/>
    </row>
    <row r="330" ht="15.75" customHeight="1">
      <c r="A330" s="14"/>
      <c r="B330" s="14"/>
    </row>
    <row r="331" ht="15.75" customHeight="1">
      <c r="A331" s="14"/>
      <c r="B331" s="14"/>
    </row>
    <row r="332" ht="15.75" customHeight="1">
      <c r="A332" s="14"/>
      <c r="B332" s="14"/>
    </row>
    <row r="333" ht="15.75" customHeight="1">
      <c r="A333" s="14"/>
      <c r="B333" s="14"/>
    </row>
    <row r="334" ht="15.75" customHeight="1">
      <c r="A334" s="14"/>
      <c r="B334" s="14"/>
    </row>
    <row r="335" ht="15.75" customHeight="1">
      <c r="A335" s="14"/>
      <c r="B335" s="14"/>
    </row>
    <row r="336" ht="15.75" customHeight="1">
      <c r="A336" s="14"/>
      <c r="B336" s="14"/>
    </row>
    <row r="337" ht="15.75" customHeight="1">
      <c r="A337" s="14"/>
      <c r="B337" s="14"/>
    </row>
    <row r="338" ht="15.75" customHeight="1">
      <c r="A338" s="14"/>
      <c r="B338" s="14"/>
    </row>
    <row r="339" ht="15.75" customHeight="1">
      <c r="A339" s="14"/>
      <c r="B339" s="14"/>
    </row>
    <row r="340" ht="15.75" customHeight="1">
      <c r="A340" s="14"/>
      <c r="B340" s="14"/>
    </row>
    <row r="341" ht="15.75" customHeight="1">
      <c r="A341" s="14"/>
      <c r="B341" s="14"/>
    </row>
    <row r="342" ht="15.75" customHeight="1">
      <c r="A342" s="14"/>
      <c r="B342" s="14"/>
    </row>
    <row r="343" ht="15.75" customHeight="1">
      <c r="A343" s="14"/>
      <c r="B343" s="14"/>
    </row>
    <row r="344" ht="15.75" customHeight="1">
      <c r="A344" s="14"/>
      <c r="B344" s="14"/>
    </row>
    <row r="345" ht="15.75" customHeight="1">
      <c r="A345" s="14"/>
      <c r="B345" s="14"/>
    </row>
    <row r="346" ht="15.75" customHeight="1">
      <c r="A346" s="14"/>
      <c r="B346" s="14"/>
    </row>
    <row r="347" ht="15.75" customHeight="1">
      <c r="A347" s="14"/>
      <c r="B347" s="14"/>
    </row>
    <row r="348" ht="15.75" customHeight="1">
      <c r="A348" s="14"/>
      <c r="B348" s="14"/>
    </row>
    <row r="349" ht="15.75" customHeight="1">
      <c r="A349" s="14"/>
      <c r="B349" s="14"/>
    </row>
    <row r="350" ht="15.75" customHeight="1">
      <c r="A350" s="14"/>
      <c r="B350" s="14"/>
    </row>
    <row r="351" ht="15.75" customHeight="1">
      <c r="A351" s="14"/>
      <c r="B351" s="14"/>
    </row>
    <row r="352" ht="15.75" customHeight="1">
      <c r="A352" s="14"/>
      <c r="B352" s="14"/>
    </row>
    <row r="353" ht="15.75" customHeight="1">
      <c r="A353" s="14"/>
      <c r="B353" s="14"/>
    </row>
    <row r="354" ht="15.75" customHeight="1">
      <c r="A354" s="14"/>
      <c r="B354" s="14"/>
    </row>
    <row r="355" ht="15.75" customHeight="1">
      <c r="A355" s="14"/>
      <c r="B355" s="14"/>
    </row>
    <row r="356" ht="15.75" customHeight="1">
      <c r="A356" s="14"/>
      <c r="B356" s="14"/>
    </row>
    <row r="357" ht="15.75" customHeight="1">
      <c r="A357" s="14"/>
      <c r="B357" s="14"/>
    </row>
    <row r="358" ht="15.75" customHeight="1">
      <c r="A358" s="14"/>
      <c r="B358" s="14"/>
    </row>
    <row r="359" ht="15.75" customHeight="1">
      <c r="A359" s="14"/>
      <c r="B359" s="14"/>
    </row>
    <row r="360" ht="15.75" customHeight="1">
      <c r="A360" s="14"/>
      <c r="B360" s="14"/>
    </row>
    <row r="361" ht="15.75" customHeight="1">
      <c r="A361" s="14"/>
      <c r="B361" s="14"/>
    </row>
    <row r="362" ht="15.75" customHeight="1">
      <c r="A362" s="14"/>
      <c r="B362" s="14"/>
    </row>
    <row r="363" ht="15.75" customHeight="1">
      <c r="A363" s="14"/>
      <c r="B363" s="14"/>
    </row>
    <row r="364" ht="15.75" customHeight="1">
      <c r="A364" s="14"/>
      <c r="B364" s="14"/>
    </row>
    <row r="365" ht="15.75" customHeight="1">
      <c r="A365" s="14"/>
      <c r="B365" s="14"/>
    </row>
    <row r="366" ht="15.75" customHeight="1">
      <c r="A366" s="14"/>
      <c r="B366" s="14"/>
    </row>
    <row r="367" ht="15.75" customHeight="1">
      <c r="A367" s="14"/>
      <c r="B367" s="14"/>
    </row>
    <row r="368" ht="15.75" customHeight="1">
      <c r="A368" s="14"/>
      <c r="B368" s="14"/>
    </row>
    <row r="369" ht="15.75" customHeight="1">
      <c r="A369" s="14"/>
      <c r="B369" s="14"/>
    </row>
    <row r="370" ht="15.75" customHeight="1">
      <c r="A370" s="14"/>
      <c r="B370" s="14"/>
    </row>
    <row r="371" ht="15.75" customHeight="1">
      <c r="A371" s="14"/>
      <c r="B371" s="14"/>
    </row>
    <row r="372" ht="15.75" customHeight="1">
      <c r="A372" s="14"/>
      <c r="B372" s="14"/>
    </row>
    <row r="373" ht="15.75" customHeight="1">
      <c r="A373" s="14"/>
      <c r="B373" s="14"/>
    </row>
    <row r="374" ht="15.75" customHeight="1">
      <c r="A374" s="14"/>
      <c r="B374" s="14"/>
    </row>
    <row r="375" ht="15.75" customHeight="1">
      <c r="A375" s="14"/>
      <c r="B375" s="14"/>
    </row>
    <row r="376" ht="15.75" customHeight="1">
      <c r="A376" s="14"/>
      <c r="B376" s="14"/>
    </row>
    <row r="377" ht="15.75" customHeight="1">
      <c r="A377" s="14"/>
      <c r="B377" s="14"/>
    </row>
    <row r="378" ht="15.75" customHeight="1">
      <c r="A378" s="14"/>
      <c r="B378" s="14"/>
    </row>
    <row r="379" ht="15.75" customHeight="1">
      <c r="A379" s="14"/>
      <c r="B379" s="14"/>
    </row>
    <row r="380" ht="15.75" customHeight="1">
      <c r="A380" s="14"/>
      <c r="B380" s="14"/>
    </row>
    <row r="381" ht="15.75" customHeight="1">
      <c r="A381" s="14"/>
      <c r="B381" s="14"/>
    </row>
    <row r="382" ht="15.75" customHeight="1">
      <c r="A382" s="14"/>
      <c r="B382" s="14"/>
    </row>
    <row r="383" ht="15.75" customHeight="1">
      <c r="A383" s="14"/>
      <c r="B383" s="14"/>
    </row>
    <row r="384" ht="15.75" customHeight="1">
      <c r="A384" s="14"/>
      <c r="B384" s="14"/>
    </row>
    <row r="385" ht="15.75" customHeight="1">
      <c r="A385" s="14"/>
      <c r="B385" s="14"/>
    </row>
    <row r="386" ht="15.75" customHeight="1">
      <c r="A386" s="14"/>
      <c r="B386" s="14"/>
    </row>
    <row r="387" ht="15.75" customHeight="1">
      <c r="A387" s="14"/>
      <c r="B387" s="14"/>
    </row>
    <row r="388" ht="15.75" customHeight="1">
      <c r="A388" s="14"/>
      <c r="B388" s="14"/>
    </row>
    <row r="389" ht="15.75" customHeight="1">
      <c r="A389" s="14"/>
      <c r="B389" s="14"/>
    </row>
    <row r="390" ht="15.75" customHeight="1">
      <c r="A390" s="14"/>
      <c r="B390" s="14"/>
    </row>
    <row r="391" ht="15.75" customHeight="1">
      <c r="A391" s="14"/>
      <c r="B391" s="14"/>
    </row>
    <row r="392" ht="15.75" customHeight="1">
      <c r="A392" s="14"/>
      <c r="B392" s="14"/>
    </row>
    <row r="393" ht="15.75" customHeight="1">
      <c r="A393" s="14"/>
      <c r="B393" s="14"/>
    </row>
    <row r="394" ht="15.75" customHeight="1">
      <c r="A394" s="14"/>
      <c r="B394" s="14"/>
    </row>
    <row r="395" ht="15.75" customHeight="1">
      <c r="A395" s="14"/>
      <c r="B395" s="14"/>
    </row>
    <row r="396" ht="15.75" customHeight="1">
      <c r="A396" s="14"/>
      <c r="B396" s="14"/>
    </row>
    <row r="397" ht="15.75" customHeight="1">
      <c r="A397" s="14"/>
      <c r="B397" s="14"/>
    </row>
    <row r="398" ht="15.75" customHeight="1">
      <c r="A398" s="14"/>
      <c r="B398" s="14"/>
    </row>
    <row r="399" ht="15.75" customHeight="1">
      <c r="A399" s="14"/>
      <c r="B399" s="14"/>
    </row>
    <row r="400" ht="15.75" customHeight="1">
      <c r="A400" s="14"/>
      <c r="B400" s="14"/>
    </row>
    <row r="401" ht="15.75" customHeight="1">
      <c r="A401" s="14"/>
      <c r="B401" s="14"/>
    </row>
    <row r="402" ht="15.75" customHeight="1">
      <c r="A402" s="14"/>
      <c r="B402" s="14"/>
    </row>
    <row r="403" ht="15.75" customHeight="1">
      <c r="A403" s="14"/>
      <c r="B403" s="14"/>
    </row>
    <row r="404" ht="15.75" customHeight="1">
      <c r="A404" s="14"/>
      <c r="B404" s="14"/>
    </row>
    <row r="405" ht="15.75" customHeight="1">
      <c r="A405" s="14"/>
      <c r="B405" s="14"/>
    </row>
    <row r="406" ht="15.75" customHeight="1">
      <c r="A406" s="14"/>
      <c r="B406" s="14"/>
    </row>
    <row r="407" ht="15.75" customHeight="1">
      <c r="A407" s="14"/>
      <c r="B407" s="14"/>
    </row>
    <row r="408" ht="15.75" customHeight="1">
      <c r="A408" s="14"/>
      <c r="B408" s="14"/>
    </row>
    <row r="409" ht="15.75" customHeight="1">
      <c r="A409" s="14"/>
      <c r="B409" s="14"/>
    </row>
    <row r="410" ht="15.75" customHeight="1">
      <c r="A410" s="14"/>
      <c r="B410" s="14"/>
    </row>
    <row r="411" ht="15.75" customHeight="1">
      <c r="A411" s="14"/>
      <c r="B411" s="14"/>
    </row>
    <row r="412" ht="15.75" customHeight="1">
      <c r="A412" s="14"/>
      <c r="B412" s="14"/>
    </row>
    <row r="413" ht="15.75" customHeight="1">
      <c r="A413" s="14"/>
      <c r="B413" s="14"/>
    </row>
    <row r="414" ht="15.75" customHeight="1">
      <c r="A414" s="14"/>
      <c r="B414" s="14"/>
    </row>
    <row r="415" ht="15.75" customHeight="1">
      <c r="A415" s="14"/>
      <c r="B415" s="14"/>
    </row>
    <row r="416" ht="15.75" customHeight="1">
      <c r="A416" s="14"/>
      <c r="B416" s="14"/>
    </row>
    <row r="417" ht="15.75" customHeight="1">
      <c r="A417" s="14"/>
      <c r="B417" s="14"/>
    </row>
    <row r="418" ht="15.75" customHeight="1">
      <c r="A418" s="14"/>
      <c r="B418" s="14"/>
    </row>
    <row r="419" ht="15.75" customHeight="1">
      <c r="A419" s="14"/>
      <c r="B419" s="14"/>
    </row>
    <row r="420" ht="15.75" customHeight="1">
      <c r="A420" s="14"/>
      <c r="B420" s="14"/>
    </row>
    <row r="421" ht="15.75" customHeight="1">
      <c r="A421" s="14"/>
      <c r="B421" s="14"/>
    </row>
    <row r="422" ht="15.75" customHeight="1">
      <c r="A422" s="14"/>
      <c r="B422" s="14"/>
    </row>
    <row r="423" ht="15.75" customHeight="1">
      <c r="A423" s="14"/>
      <c r="B423" s="14"/>
    </row>
    <row r="424" ht="15.75" customHeight="1">
      <c r="A424" s="14"/>
      <c r="B424" s="14"/>
    </row>
    <row r="425" ht="15.75" customHeight="1">
      <c r="A425" s="14"/>
      <c r="B425" s="14"/>
    </row>
    <row r="426" ht="15.75" customHeight="1">
      <c r="A426" s="14"/>
      <c r="B426" s="14"/>
    </row>
    <row r="427" ht="15.75" customHeight="1">
      <c r="A427" s="14"/>
      <c r="B427" s="14"/>
    </row>
    <row r="428" ht="15.75" customHeight="1">
      <c r="A428" s="14"/>
      <c r="B428" s="14"/>
    </row>
    <row r="429" ht="15.75" customHeight="1">
      <c r="A429" s="14"/>
      <c r="B429" s="14"/>
    </row>
    <row r="430" ht="15.75" customHeight="1">
      <c r="A430" s="14"/>
      <c r="B430" s="14"/>
    </row>
    <row r="431" ht="15.75" customHeight="1">
      <c r="A431" s="14"/>
      <c r="B431" s="14"/>
    </row>
    <row r="432" ht="15.75" customHeight="1">
      <c r="A432" s="14"/>
      <c r="B432" s="14"/>
    </row>
    <row r="433" ht="15.75" customHeight="1">
      <c r="A433" s="14"/>
      <c r="B433" s="14"/>
    </row>
    <row r="434" ht="15.75" customHeight="1">
      <c r="A434" s="14"/>
      <c r="B434" s="14"/>
    </row>
    <row r="435" ht="15.75" customHeight="1">
      <c r="A435" s="14"/>
      <c r="B435" s="14"/>
    </row>
    <row r="436" ht="15.75" customHeight="1">
      <c r="A436" s="14"/>
      <c r="B436" s="14"/>
    </row>
    <row r="437" ht="15.75" customHeight="1">
      <c r="A437" s="14"/>
      <c r="B437" s="14"/>
    </row>
    <row r="438" ht="15.75" customHeight="1">
      <c r="A438" s="14"/>
      <c r="B438" s="14"/>
    </row>
    <row r="439" ht="15.75" customHeight="1">
      <c r="A439" s="14"/>
      <c r="B439" s="14"/>
    </row>
    <row r="440" ht="15.75" customHeight="1">
      <c r="A440" s="14"/>
      <c r="B440" s="14"/>
    </row>
    <row r="441" ht="15.75" customHeight="1">
      <c r="A441" s="14"/>
      <c r="B441" s="14"/>
    </row>
    <row r="442" ht="15.75" customHeight="1">
      <c r="A442" s="14"/>
      <c r="B442" s="14"/>
    </row>
    <row r="443" ht="15.75" customHeight="1">
      <c r="A443" s="14"/>
      <c r="B443" s="14"/>
    </row>
    <row r="444" ht="15.75" customHeight="1">
      <c r="A444" s="14"/>
      <c r="B444" s="14"/>
    </row>
    <row r="445" ht="15.75" customHeight="1">
      <c r="A445" s="14"/>
      <c r="B445" s="14"/>
    </row>
    <row r="446" ht="15.75" customHeight="1">
      <c r="A446" s="14"/>
      <c r="B446" s="14"/>
    </row>
    <row r="447" ht="15.75" customHeight="1">
      <c r="A447" s="14"/>
      <c r="B447" s="14"/>
    </row>
    <row r="448" ht="15.75" customHeight="1">
      <c r="A448" s="14"/>
      <c r="B448" s="14"/>
    </row>
    <row r="449" ht="15.75" customHeight="1">
      <c r="A449" s="14"/>
      <c r="B449" s="14"/>
    </row>
    <row r="450" ht="15.75" customHeight="1">
      <c r="A450" s="14"/>
      <c r="B450" s="14"/>
    </row>
    <row r="451" ht="15.75" customHeight="1">
      <c r="A451" s="14"/>
      <c r="B451" s="14"/>
    </row>
    <row r="452" ht="15.75" customHeight="1">
      <c r="A452" s="14"/>
      <c r="B452" s="14"/>
    </row>
    <row r="453" ht="15.75" customHeight="1">
      <c r="A453" s="14"/>
      <c r="B453" s="14"/>
    </row>
    <row r="454" ht="15.75" customHeight="1">
      <c r="A454" s="14"/>
      <c r="B454" s="14"/>
    </row>
    <row r="455" ht="15.75" customHeight="1">
      <c r="A455" s="14"/>
      <c r="B455" s="14"/>
    </row>
    <row r="456" ht="15.75" customHeight="1">
      <c r="A456" s="14"/>
      <c r="B456" s="14"/>
    </row>
    <row r="457" ht="15.75" customHeight="1">
      <c r="A457" s="14"/>
      <c r="B457" s="14"/>
    </row>
    <row r="458" ht="15.75" customHeight="1">
      <c r="A458" s="14"/>
      <c r="B458" s="14"/>
    </row>
    <row r="459" ht="15.75" customHeight="1">
      <c r="A459" s="14"/>
      <c r="B459" s="14"/>
    </row>
    <row r="460" ht="15.75" customHeight="1">
      <c r="A460" s="14"/>
      <c r="B460" s="14"/>
    </row>
    <row r="461" ht="15.75" customHeight="1">
      <c r="A461" s="14"/>
      <c r="B461" s="14"/>
    </row>
    <row r="462" ht="15.75" customHeight="1">
      <c r="A462" s="14"/>
      <c r="B462" s="14"/>
    </row>
    <row r="463" ht="15.75" customHeight="1">
      <c r="A463" s="14"/>
      <c r="B463" s="14"/>
    </row>
    <row r="464" ht="15.75" customHeight="1">
      <c r="A464" s="14"/>
      <c r="B464" s="14"/>
    </row>
    <row r="465" ht="15.75" customHeight="1">
      <c r="A465" s="14"/>
      <c r="B465" s="14"/>
    </row>
    <row r="466" ht="15.75" customHeight="1">
      <c r="A466" s="14"/>
      <c r="B466" s="14"/>
    </row>
    <row r="467" ht="15.75" customHeight="1">
      <c r="A467" s="14"/>
      <c r="B467" s="14"/>
    </row>
    <row r="468" ht="15.75" customHeight="1">
      <c r="A468" s="14"/>
      <c r="B468" s="14"/>
    </row>
    <row r="469" ht="15.75" customHeight="1">
      <c r="A469" s="14"/>
      <c r="B469" s="14"/>
    </row>
    <row r="470" ht="15.75" customHeight="1">
      <c r="A470" s="14"/>
      <c r="B470" s="14"/>
    </row>
    <row r="471" ht="15.75" customHeight="1">
      <c r="A471" s="14"/>
      <c r="B471" s="14"/>
    </row>
    <row r="472" ht="15.75" customHeight="1">
      <c r="A472" s="14"/>
      <c r="B472" s="14"/>
    </row>
    <row r="473" ht="15.75" customHeight="1">
      <c r="A473" s="14"/>
      <c r="B473" s="14"/>
    </row>
    <row r="474" ht="15.75" customHeight="1">
      <c r="A474" s="14"/>
      <c r="B474" s="14"/>
    </row>
    <row r="475" ht="15.75" customHeight="1">
      <c r="A475" s="14"/>
      <c r="B475" s="14"/>
    </row>
    <row r="476" ht="15.75" customHeight="1">
      <c r="A476" s="14"/>
      <c r="B476" s="14"/>
    </row>
    <row r="477" ht="15.75" customHeight="1">
      <c r="A477" s="14"/>
      <c r="B477" s="14"/>
    </row>
    <row r="478" ht="15.75" customHeight="1">
      <c r="A478" s="14"/>
      <c r="B478" s="14"/>
    </row>
    <row r="479" ht="15.75" customHeight="1">
      <c r="A479" s="14"/>
      <c r="B479" s="14"/>
    </row>
    <row r="480" ht="15.75" customHeight="1">
      <c r="A480" s="14"/>
      <c r="B480" s="14"/>
    </row>
    <row r="481" ht="15.75" customHeight="1">
      <c r="A481" s="14"/>
      <c r="B481" s="14"/>
    </row>
    <row r="482" ht="15.75" customHeight="1">
      <c r="A482" s="14"/>
      <c r="B482" s="14"/>
    </row>
    <row r="483" ht="15.75" customHeight="1">
      <c r="A483" s="14"/>
      <c r="B483" s="14"/>
    </row>
    <row r="484" ht="15.75" customHeight="1">
      <c r="A484" s="14"/>
      <c r="B484" s="14"/>
    </row>
    <row r="485" ht="15.75" customHeight="1">
      <c r="A485" s="14"/>
      <c r="B485" s="14"/>
    </row>
    <row r="486" ht="15.75" customHeight="1">
      <c r="A486" s="14"/>
      <c r="B486" s="14"/>
    </row>
    <row r="487" ht="15.75" customHeight="1">
      <c r="A487" s="14"/>
      <c r="B487" s="14"/>
    </row>
    <row r="488" ht="15.75" customHeight="1">
      <c r="A488" s="14"/>
      <c r="B488" s="14"/>
    </row>
    <row r="489" ht="15.75" customHeight="1">
      <c r="A489" s="14"/>
      <c r="B489" s="14"/>
    </row>
    <row r="490" ht="15.75" customHeight="1">
      <c r="A490" s="14"/>
      <c r="B490" s="14"/>
    </row>
    <row r="491" ht="15.75" customHeight="1">
      <c r="A491" s="14"/>
      <c r="B491" s="14"/>
    </row>
    <row r="492" ht="15.75" customHeight="1">
      <c r="A492" s="14"/>
      <c r="B492" s="14"/>
    </row>
    <row r="493" ht="15.75" customHeight="1">
      <c r="A493" s="14"/>
      <c r="B493" s="14"/>
    </row>
    <row r="494" ht="15.75" customHeight="1">
      <c r="A494" s="14"/>
      <c r="B494" s="14"/>
    </row>
    <row r="495" ht="15.75" customHeight="1">
      <c r="A495" s="14"/>
      <c r="B495" s="14"/>
    </row>
    <row r="496" ht="15.75" customHeight="1">
      <c r="A496" s="14"/>
      <c r="B496" s="14"/>
    </row>
    <row r="497" ht="15.75" customHeight="1">
      <c r="A497" s="14"/>
      <c r="B497" s="14"/>
    </row>
    <row r="498" ht="15.75" customHeight="1">
      <c r="A498" s="14"/>
      <c r="B498" s="14"/>
    </row>
    <row r="499" ht="15.75" customHeight="1">
      <c r="A499" s="14"/>
      <c r="B499" s="14"/>
    </row>
    <row r="500" ht="15.75" customHeight="1">
      <c r="A500" s="14"/>
      <c r="B500" s="14"/>
    </row>
    <row r="501" ht="15.75" customHeight="1">
      <c r="A501" s="14"/>
      <c r="B501" s="14"/>
    </row>
    <row r="502" ht="15.75" customHeight="1">
      <c r="A502" s="14"/>
      <c r="B502" s="14"/>
    </row>
    <row r="503" ht="15.75" customHeight="1">
      <c r="A503" s="14"/>
      <c r="B503" s="14"/>
    </row>
    <row r="504" ht="15.75" customHeight="1">
      <c r="A504" s="14"/>
      <c r="B504" s="14"/>
    </row>
    <row r="505" ht="15.75" customHeight="1">
      <c r="A505" s="14"/>
      <c r="B505" s="14"/>
    </row>
    <row r="506" ht="15.75" customHeight="1">
      <c r="A506" s="14"/>
      <c r="B506" s="14"/>
    </row>
    <row r="507" ht="15.75" customHeight="1">
      <c r="A507" s="14"/>
      <c r="B507" s="14"/>
    </row>
    <row r="508" ht="15.75" customHeight="1">
      <c r="A508" s="14"/>
      <c r="B508" s="14"/>
    </row>
    <row r="509" ht="15.75" customHeight="1">
      <c r="A509" s="14"/>
      <c r="B509" s="14"/>
    </row>
    <row r="510" ht="15.75" customHeight="1">
      <c r="A510" s="14"/>
      <c r="B510" s="14"/>
    </row>
    <row r="511" ht="15.75" customHeight="1">
      <c r="A511" s="14"/>
      <c r="B511" s="14"/>
    </row>
    <row r="512" ht="15.75" customHeight="1">
      <c r="A512" s="14"/>
      <c r="B512" s="14"/>
    </row>
    <row r="513" ht="15.75" customHeight="1">
      <c r="A513" s="14"/>
      <c r="B513" s="14"/>
    </row>
    <row r="514" ht="15.75" customHeight="1">
      <c r="A514" s="14"/>
      <c r="B514" s="14"/>
    </row>
    <row r="515" ht="15.75" customHeight="1">
      <c r="A515" s="14"/>
      <c r="B515" s="14"/>
    </row>
    <row r="516" ht="15.75" customHeight="1">
      <c r="A516" s="14"/>
      <c r="B516" s="14"/>
    </row>
    <row r="517" ht="15.75" customHeight="1">
      <c r="A517" s="14"/>
      <c r="B517" s="14"/>
    </row>
    <row r="518" ht="15.75" customHeight="1">
      <c r="A518" s="14"/>
      <c r="B518" s="14"/>
    </row>
    <row r="519" ht="15.75" customHeight="1">
      <c r="A519" s="14"/>
      <c r="B519" s="14"/>
    </row>
    <row r="520" ht="15.75" customHeight="1">
      <c r="A520" s="14"/>
      <c r="B520" s="14"/>
    </row>
    <row r="521" ht="15.75" customHeight="1">
      <c r="A521" s="14"/>
      <c r="B521" s="14"/>
    </row>
    <row r="522" ht="15.75" customHeight="1">
      <c r="A522" s="14"/>
      <c r="B522" s="14"/>
    </row>
    <row r="523" ht="15.75" customHeight="1">
      <c r="A523" s="14"/>
      <c r="B523" s="14"/>
    </row>
    <row r="524" ht="15.75" customHeight="1">
      <c r="A524" s="14"/>
      <c r="B524" s="14"/>
    </row>
    <row r="525" ht="15.75" customHeight="1">
      <c r="A525" s="14"/>
      <c r="B525" s="14"/>
    </row>
    <row r="526" ht="15.75" customHeight="1">
      <c r="A526" s="14"/>
      <c r="B526" s="14"/>
    </row>
    <row r="527" ht="15.75" customHeight="1">
      <c r="A527" s="14"/>
      <c r="B527" s="14"/>
    </row>
    <row r="528" ht="15.75" customHeight="1">
      <c r="A528" s="14"/>
      <c r="B528" s="14"/>
    </row>
    <row r="529" ht="15.75" customHeight="1">
      <c r="A529" s="14"/>
      <c r="B529" s="14"/>
    </row>
    <row r="530" ht="15.75" customHeight="1">
      <c r="A530" s="14"/>
      <c r="B530" s="14"/>
    </row>
    <row r="531" ht="15.75" customHeight="1">
      <c r="A531" s="14"/>
      <c r="B531" s="14"/>
    </row>
    <row r="532" ht="15.75" customHeight="1">
      <c r="A532" s="14"/>
      <c r="B532" s="14"/>
    </row>
    <row r="533" ht="15.75" customHeight="1">
      <c r="A533" s="14"/>
      <c r="B533" s="14"/>
    </row>
    <row r="534" ht="15.75" customHeight="1">
      <c r="A534" s="14"/>
      <c r="B534" s="14"/>
    </row>
    <row r="535" ht="15.75" customHeight="1">
      <c r="A535" s="14"/>
      <c r="B535" s="14"/>
    </row>
    <row r="536" ht="15.75" customHeight="1">
      <c r="A536" s="14"/>
      <c r="B536" s="14"/>
    </row>
    <row r="537" ht="15.75" customHeight="1">
      <c r="A537" s="14"/>
      <c r="B537" s="14"/>
    </row>
    <row r="538" ht="15.75" customHeight="1">
      <c r="A538" s="14"/>
      <c r="B538" s="14"/>
    </row>
    <row r="539" ht="15.75" customHeight="1">
      <c r="A539" s="14"/>
      <c r="B539" s="14"/>
    </row>
    <row r="540" ht="15.75" customHeight="1">
      <c r="A540" s="14"/>
      <c r="B540" s="14"/>
    </row>
    <row r="541" ht="15.75" customHeight="1">
      <c r="A541" s="14"/>
      <c r="B541" s="14"/>
    </row>
    <row r="542" ht="15.75" customHeight="1">
      <c r="A542" s="14"/>
      <c r="B542" s="14"/>
    </row>
    <row r="543" ht="15.75" customHeight="1">
      <c r="A543" s="14"/>
      <c r="B543" s="14"/>
    </row>
    <row r="544" ht="15.75" customHeight="1">
      <c r="A544" s="14"/>
      <c r="B544" s="14"/>
    </row>
    <row r="545" ht="15.75" customHeight="1">
      <c r="A545" s="14"/>
      <c r="B545" s="14"/>
    </row>
    <row r="546" ht="15.75" customHeight="1">
      <c r="A546" s="14"/>
      <c r="B546" s="14"/>
    </row>
    <row r="547" ht="15.75" customHeight="1">
      <c r="A547" s="14"/>
      <c r="B547" s="14"/>
    </row>
    <row r="548" ht="15.75" customHeight="1">
      <c r="A548" s="14"/>
      <c r="B548" s="14"/>
    </row>
    <row r="549" ht="15.75" customHeight="1">
      <c r="A549" s="14"/>
      <c r="B549" s="14"/>
    </row>
    <row r="550" ht="15.75" customHeight="1">
      <c r="A550" s="14"/>
      <c r="B550" s="14"/>
    </row>
    <row r="551" ht="15.75" customHeight="1">
      <c r="A551" s="14"/>
      <c r="B551" s="14"/>
    </row>
    <row r="552" ht="15.75" customHeight="1">
      <c r="A552" s="14"/>
      <c r="B552" s="14"/>
    </row>
    <row r="553" ht="15.75" customHeight="1">
      <c r="A553" s="14"/>
      <c r="B553" s="14"/>
    </row>
    <row r="554" ht="15.75" customHeight="1">
      <c r="A554" s="14"/>
      <c r="B554" s="14"/>
    </row>
    <row r="555" ht="15.75" customHeight="1">
      <c r="A555" s="14"/>
      <c r="B555" s="14"/>
    </row>
    <row r="556" ht="15.75" customHeight="1">
      <c r="A556" s="14"/>
      <c r="B556" s="14"/>
    </row>
    <row r="557" ht="15.75" customHeight="1">
      <c r="A557" s="14"/>
      <c r="B557" s="14"/>
    </row>
    <row r="558" ht="15.75" customHeight="1">
      <c r="A558" s="14"/>
      <c r="B558" s="14"/>
    </row>
    <row r="559" ht="15.75" customHeight="1">
      <c r="A559" s="14"/>
      <c r="B559" s="14"/>
    </row>
    <row r="560" ht="15.75" customHeight="1">
      <c r="A560" s="14"/>
      <c r="B560" s="14"/>
    </row>
    <row r="561" ht="15.75" customHeight="1">
      <c r="A561" s="14"/>
      <c r="B561" s="14"/>
    </row>
    <row r="562" ht="15.75" customHeight="1">
      <c r="A562" s="14"/>
      <c r="B562" s="14"/>
    </row>
    <row r="563" ht="15.75" customHeight="1">
      <c r="A563" s="14"/>
      <c r="B563" s="14"/>
    </row>
    <row r="564" ht="15.75" customHeight="1">
      <c r="A564" s="14"/>
      <c r="B564" s="14"/>
    </row>
    <row r="565" ht="15.75" customHeight="1">
      <c r="A565" s="14"/>
      <c r="B565" s="14"/>
    </row>
    <row r="566" ht="15.75" customHeight="1">
      <c r="A566" s="14"/>
      <c r="B566" s="14"/>
    </row>
    <row r="567" ht="15.75" customHeight="1">
      <c r="A567" s="14"/>
      <c r="B567" s="14"/>
    </row>
    <row r="568" ht="15.75" customHeight="1">
      <c r="A568" s="14"/>
      <c r="B568" s="14"/>
    </row>
    <row r="569" ht="15.75" customHeight="1">
      <c r="A569" s="14"/>
      <c r="B569" s="14"/>
    </row>
    <row r="570" ht="15.75" customHeight="1">
      <c r="A570" s="14"/>
      <c r="B570" s="14"/>
    </row>
    <row r="571" ht="15.75" customHeight="1">
      <c r="A571" s="14"/>
      <c r="B571" s="14"/>
    </row>
    <row r="572" ht="15.75" customHeight="1">
      <c r="A572" s="14"/>
      <c r="B572" s="14"/>
    </row>
    <row r="573" ht="15.75" customHeight="1">
      <c r="A573" s="14"/>
      <c r="B573" s="14"/>
    </row>
    <row r="574" ht="15.75" customHeight="1">
      <c r="A574" s="14"/>
      <c r="B574" s="14"/>
    </row>
    <row r="575" ht="15.75" customHeight="1">
      <c r="A575" s="14"/>
      <c r="B575" s="14"/>
    </row>
    <row r="576" ht="15.75" customHeight="1">
      <c r="A576" s="14"/>
      <c r="B576" s="14"/>
    </row>
    <row r="577" ht="15.75" customHeight="1">
      <c r="A577" s="14"/>
      <c r="B577" s="14"/>
    </row>
    <row r="578" ht="15.75" customHeight="1">
      <c r="A578" s="14"/>
      <c r="B578" s="14"/>
    </row>
    <row r="579" ht="15.75" customHeight="1">
      <c r="A579" s="14"/>
      <c r="B579" s="14"/>
    </row>
    <row r="580" ht="15.75" customHeight="1">
      <c r="A580" s="14"/>
      <c r="B580" s="14"/>
    </row>
    <row r="581" ht="15.75" customHeight="1">
      <c r="A581" s="14"/>
      <c r="B581" s="14"/>
    </row>
    <row r="582" ht="15.75" customHeight="1">
      <c r="A582" s="14"/>
      <c r="B582" s="14"/>
    </row>
    <row r="583" ht="15.75" customHeight="1">
      <c r="A583" s="14"/>
      <c r="B583" s="14"/>
    </row>
    <row r="584" ht="15.75" customHeight="1">
      <c r="A584" s="14"/>
      <c r="B584" s="14"/>
    </row>
    <row r="585" ht="15.75" customHeight="1">
      <c r="A585" s="14"/>
      <c r="B585" s="14"/>
    </row>
    <row r="586" ht="15.75" customHeight="1">
      <c r="A586" s="14"/>
      <c r="B586" s="14"/>
    </row>
    <row r="587" ht="15.75" customHeight="1">
      <c r="A587" s="14"/>
      <c r="B587" s="14"/>
    </row>
    <row r="588" ht="15.75" customHeight="1">
      <c r="A588" s="14"/>
      <c r="B588" s="14"/>
    </row>
    <row r="589" ht="15.75" customHeight="1">
      <c r="A589" s="14"/>
      <c r="B589" s="14"/>
    </row>
    <row r="590" ht="15.75" customHeight="1">
      <c r="A590" s="14"/>
      <c r="B590" s="14"/>
    </row>
    <row r="591" ht="15.75" customHeight="1">
      <c r="A591" s="14"/>
      <c r="B591" s="14"/>
    </row>
    <row r="592" ht="15.75" customHeight="1">
      <c r="A592" s="14"/>
      <c r="B592" s="14"/>
    </row>
    <row r="593" ht="15.75" customHeight="1">
      <c r="A593" s="14"/>
      <c r="B593" s="14"/>
    </row>
    <row r="594" ht="15.75" customHeight="1">
      <c r="A594" s="14"/>
      <c r="B594" s="14"/>
    </row>
    <row r="595" ht="15.75" customHeight="1">
      <c r="A595" s="14"/>
      <c r="B595" s="14"/>
    </row>
    <row r="596" ht="15.75" customHeight="1">
      <c r="A596" s="14"/>
      <c r="B596" s="14"/>
    </row>
    <row r="597" ht="15.75" customHeight="1">
      <c r="A597" s="14"/>
      <c r="B597" s="14"/>
    </row>
    <row r="598" ht="15.75" customHeight="1">
      <c r="A598" s="14"/>
      <c r="B598" s="14"/>
    </row>
    <row r="599" ht="15.75" customHeight="1">
      <c r="A599" s="14"/>
      <c r="B599" s="14"/>
    </row>
    <row r="600" ht="15.75" customHeight="1">
      <c r="A600" s="14"/>
      <c r="B600" s="14"/>
    </row>
    <row r="601" ht="15.75" customHeight="1">
      <c r="A601" s="14"/>
      <c r="B601" s="14"/>
    </row>
    <row r="602" ht="15.75" customHeight="1">
      <c r="A602" s="14"/>
      <c r="B602" s="14"/>
    </row>
    <row r="603" ht="15.75" customHeight="1">
      <c r="A603" s="14"/>
      <c r="B603" s="14"/>
    </row>
    <row r="604" ht="15.75" customHeight="1">
      <c r="A604" s="14"/>
      <c r="B604" s="14"/>
    </row>
    <row r="605" ht="15.75" customHeight="1">
      <c r="A605" s="14"/>
      <c r="B605" s="14"/>
    </row>
    <row r="606" ht="15.75" customHeight="1">
      <c r="A606" s="14"/>
      <c r="B606" s="14"/>
    </row>
    <row r="607" ht="15.75" customHeight="1">
      <c r="A607" s="14"/>
      <c r="B607" s="14"/>
    </row>
    <row r="608" ht="15.75" customHeight="1">
      <c r="A608" s="14"/>
      <c r="B608" s="14"/>
    </row>
    <row r="609" ht="15.75" customHeight="1">
      <c r="A609" s="14"/>
      <c r="B609" s="14"/>
    </row>
    <row r="610" ht="15.75" customHeight="1">
      <c r="A610" s="14"/>
      <c r="B610" s="14"/>
    </row>
    <row r="611" ht="15.75" customHeight="1">
      <c r="A611" s="14"/>
      <c r="B611" s="14"/>
    </row>
    <row r="612" ht="15.75" customHeight="1">
      <c r="A612" s="14"/>
      <c r="B612" s="14"/>
    </row>
    <row r="613" ht="15.75" customHeight="1">
      <c r="A613" s="14"/>
      <c r="B613" s="14"/>
    </row>
    <row r="614" ht="15.75" customHeight="1">
      <c r="A614" s="14"/>
      <c r="B614" s="14"/>
    </row>
    <row r="615" ht="15.75" customHeight="1">
      <c r="A615" s="14"/>
      <c r="B615" s="14"/>
    </row>
    <row r="616" ht="15.75" customHeight="1">
      <c r="A616" s="14"/>
      <c r="B616" s="14"/>
    </row>
    <row r="617" ht="15.75" customHeight="1">
      <c r="A617" s="14"/>
      <c r="B617" s="14"/>
    </row>
    <row r="618" ht="15.75" customHeight="1">
      <c r="A618" s="14"/>
      <c r="B618" s="14"/>
    </row>
    <row r="619" ht="15.75" customHeight="1">
      <c r="A619" s="14"/>
      <c r="B619" s="14"/>
    </row>
    <row r="620" ht="15.75" customHeight="1">
      <c r="A620" s="14"/>
      <c r="B620" s="14"/>
    </row>
    <row r="621" ht="15.75" customHeight="1">
      <c r="A621" s="14"/>
      <c r="B621" s="14"/>
    </row>
    <row r="622" ht="15.75" customHeight="1">
      <c r="A622" s="14"/>
      <c r="B622" s="14"/>
    </row>
    <row r="623" ht="15.75" customHeight="1">
      <c r="A623" s="14"/>
      <c r="B623" s="14"/>
    </row>
    <row r="624" ht="15.75" customHeight="1">
      <c r="A624" s="14"/>
      <c r="B624" s="14"/>
    </row>
    <row r="625" ht="15.75" customHeight="1">
      <c r="A625" s="14"/>
      <c r="B625" s="14"/>
    </row>
    <row r="626" ht="15.75" customHeight="1">
      <c r="A626" s="14"/>
      <c r="B626" s="14"/>
    </row>
    <row r="627" ht="15.75" customHeight="1">
      <c r="A627" s="14"/>
      <c r="B627" s="14"/>
    </row>
    <row r="628" ht="15.75" customHeight="1">
      <c r="A628" s="14"/>
      <c r="B628" s="14"/>
    </row>
    <row r="629" ht="15.75" customHeight="1">
      <c r="A629" s="14"/>
      <c r="B629" s="14"/>
    </row>
    <row r="630" ht="15.75" customHeight="1">
      <c r="A630" s="14"/>
      <c r="B630" s="14"/>
    </row>
    <row r="631" ht="15.75" customHeight="1">
      <c r="A631" s="14"/>
      <c r="B631" s="14"/>
    </row>
    <row r="632" ht="15.75" customHeight="1">
      <c r="A632" s="14"/>
      <c r="B632" s="14"/>
    </row>
    <row r="633" ht="15.75" customHeight="1">
      <c r="A633" s="14"/>
      <c r="B633" s="14"/>
    </row>
    <row r="634" ht="15.75" customHeight="1">
      <c r="A634" s="14"/>
      <c r="B634" s="14"/>
    </row>
    <row r="635" ht="15.75" customHeight="1">
      <c r="A635" s="14"/>
      <c r="B635" s="14"/>
    </row>
    <row r="636" ht="15.75" customHeight="1">
      <c r="A636" s="14"/>
      <c r="B636" s="14"/>
    </row>
    <row r="637" ht="15.75" customHeight="1">
      <c r="A637" s="14"/>
      <c r="B637" s="14"/>
    </row>
    <row r="638" ht="15.75" customHeight="1">
      <c r="A638" s="14"/>
      <c r="B638" s="14"/>
    </row>
    <row r="639" ht="15.75" customHeight="1">
      <c r="A639" s="14"/>
      <c r="B639" s="14"/>
    </row>
    <row r="640" ht="15.75" customHeight="1">
      <c r="A640" s="14"/>
      <c r="B640" s="14"/>
    </row>
    <row r="641" ht="15.75" customHeight="1">
      <c r="A641" s="14"/>
      <c r="B641" s="14"/>
    </row>
    <row r="642" ht="15.75" customHeight="1">
      <c r="A642" s="14"/>
      <c r="B642" s="14"/>
    </row>
    <row r="643" ht="15.75" customHeight="1">
      <c r="A643" s="14"/>
      <c r="B643" s="14"/>
    </row>
    <row r="644" ht="15.75" customHeight="1">
      <c r="A644" s="14"/>
      <c r="B644" s="14"/>
    </row>
    <row r="645" ht="15.75" customHeight="1">
      <c r="A645" s="14"/>
      <c r="B645" s="14"/>
    </row>
    <row r="646" ht="15.75" customHeight="1">
      <c r="A646" s="14"/>
      <c r="B646" s="14"/>
    </row>
    <row r="647" ht="15.75" customHeight="1">
      <c r="A647" s="14"/>
      <c r="B647" s="14"/>
    </row>
    <row r="648" ht="15.75" customHeight="1">
      <c r="A648" s="14"/>
      <c r="B648" s="14"/>
    </row>
    <row r="649" ht="15.75" customHeight="1">
      <c r="A649" s="14"/>
      <c r="B649" s="14"/>
    </row>
    <row r="650" ht="15.75" customHeight="1">
      <c r="A650" s="14"/>
      <c r="B650" s="14"/>
    </row>
    <row r="651" ht="15.75" customHeight="1">
      <c r="A651" s="14"/>
      <c r="B651" s="14"/>
    </row>
    <row r="652" ht="15.75" customHeight="1">
      <c r="A652" s="14"/>
      <c r="B652" s="14"/>
    </row>
    <row r="653" ht="15.75" customHeight="1">
      <c r="A653" s="14"/>
      <c r="B653" s="14"/>
    </row>
    <row r="654" ht="15.75" customHeight="1">
      <c r="A654" s="14"/>
      <c r="B654" s="14"/>
    </row>
    <row r="655" ht="15.75" customHeight="1">
      <c r="A655" s="14"/>
      <c r="B655" s="14"/>
    </row>
    <row r="656" ht="15.75" customHeight="1">
      <c r="A656" s="14"/>
      <c r="B656" s="14"/>
    </row>
    <row r="657" ht="15.75" customHeight="1">
      <c r="A657" s="14"/>
      <c r="B657" s="14"/>
    </row>
    <row r="658" ht="15.75" customHeight="1">
      <c r="A658" s="14"/>
      <c r="B658" s="14"/>
    </row>
    <row r="659" ht="15.75" customHeight="1">
      <c r="A659" s="14"/>
      <c r="B659" s="14"/>
    </row>
    <row r="660" ht="15.75" customHeight="1">
      <c r="A660" s="14"/>
      <c r="B660" s="14"/>
    </row>
    <row r="661" ht="15.75" customHeight="1">
      <c r="A661" s="14"/>
      <c r="B661" s="14"/>
    </row>
    <row r="662" ht="15.75" customHeight="1">
      <c r="A662" s="14"/>
      <c r="B662" s="14"/>
    </row>
    <row r="663" ht="15.75" customHeight="1">
      <c r="A663" s="14"/>
      <c r="B663" s="14"/>
    </row>
    <row r="664" ht="15.75" customHeight="1">
      <c r="A664" s="14"/>
      <c r="B664" s="14"/>
    </row>
    <row r="665" ht="15.75" customHeight="1">
      <c r="A665" s="14"/>
      <c r="B665" s="14"/>
    </row>
    <row r="666" ht="15.75" customHeight="1">
      <c r="A666" s="14"/>
      <c r="B666" s="14"/>
    </row>
    <row r="667" ht="15.75" customHeight="1">
      <c r="A667" s="14"/>
      <c r="B667" s="14"/>
    </row>
    <row r="668" ht="15.75" customHeight="1">
      <c r="A668" s="14"/>
      <c r="B668" s="14"/>
    </row>
    <row r="669" ht="15.75" customHeight="1">
      <c r="A669" s="14"/>
      <c r="B669" s="14"/>
    </row>
    <row r="670" ht="15.75" customHeight="1">
      <c r="A670" s="14"/>
      <c r="B670" s="14"/>
    </row>
    <row r="671" ht="15.75" customHeight="1">
      <c r="A671" s="14"/>
      <c r="B671" s="14"/>
    </row>
    <row r="672" ht="15.75" customHeight="1">
      <c r="A672" s="14"/>
      <c r="B672" s="14"/>
    </row>
    <row r="673" ht="15.75" customHeight="1">
      <c r="A673" s="14"/>
      <c r="B673" s="14"/>
    </row>
    <row r="674" ht="15.75" customHeight="1">
      <c r="A674" s="14"/>
      <c r="B674" s="14"/>
    </row>
    <row r="675" ht="15.75" customHeight="1">
      <c r="A675" s="14"/>
      <c r="B675" s="14"/>
    </row>
    <row r="676" ht="15.75" customHeight="1">
      <c r="A676" s="14"/>
      <c r="B676" s="14"/>
    </row>
    <row r="677" ht="15.75" customHeight="1">
      <c r="A677" s="14"/>
      <c r="B677" s="14"/>
    </row>
    <row r="678" ht="15.75" customHeight="1">
      <c r="A678" s="14"/>
      <c r="B678" s="14"/>
    </row>
    <row r="679" ht="15.75" customHeight="1">
      <c r="A679" s="14"/>
      <c r="B679" s="14"/>
    </row>
    <row r="680" ht="15.75" customHeight="1">
      <c r="A680" s="14"/>
      <c r="B680" s="14"/>
    </row>
    <row r="681" ht="15.75" customHeight="1">
      <c r="A681" s="14"/>
      <c r="B681" s="14"/>
    </row>
    <row r="682" ht="15.75" customHeight="1">
      <c r="A682" s="14"/>
      <c r="B682" s="14"/>
    </row>
    <row r="683" ht="15.75" customHeight="1">
      <c r="A683" s="14"/>
      <c r="B683" s="14"/>
    </row>
    <row r="684" ht="15.75" customHeight="1">
      <c r="A684" s="14"/>
      <c r="B684" s="14"/>
    </row>
    <row r="685" ht="15.75" customHeight="1">
      <c r="A685" s="14"/>
      <c r="B685" s="14"/>
    </row>
    <row r="686" ht="15.75" customHeight="1">
      <c r="A686" s="14"/>
      <c r="B686" s="14"/>
    </row>
    <row r="687" ht="15.75" customHeight="1">
      <c r="A687" s="14"/>
      <c r="B687" s="14"/>
    </row>
    <row r="688" ht="15.75" customHeight="1">
      <c r="A688" s="14"/>
      <c r="B688" s="14"/>
    </row>
    <row r="689" ht="15.75" customHeight="1">
      <c r="A689" s="14"/>
      <c r="B689" s="14"/>
    </row>
    <row r="690" ht="15.75" customHeight="1">
      <c r="A690" s="14"/>
      <c r="B690" s="14"/>
    </row>
    <row r="691" ht="15.75" customHeight="1">
      <c r="A691" s="14"/>
      <c r="B691" s="14"/>
    </row>
    <row r="692" ht="15.75" customHeight="1">
      <c r="A692" s="14"/>
      <c r="B692" s="14"/>
    </row>
    <row r="693" ht="15.75" customHeight="1">
      <c r="A693" s="14"/>
      <c r="B693" s="14"/>
    </row>
    <row r="694" ht="15.75" customHeight="1">
      <c r="A694" s="14"/>
      <c r="B694" s="14"/>
    </row>
    <row r="695" ht="15.75" customHeight="1">
      <c r="A695" s="14"/>
      <c r="B695" s="14"/>
    </row>
    <row r="696" ht="15.75" customHeight="1">
      <c r="A696" s="14"/>
      <c r="B696" s="14"/>
    </row>
    <row r="697" ht="15.75" customHeight="1">
      <c r="A697" s="14"/>
      <c r="B697" s="14"/>
    </row>
    <row r="698" ht="15.75" customHeight="1">
      <c r="A698" s="14"/>
      <c r="B698" s="14"/>
    </row>
    <row r="699" ht="15.75" customHeight="1">
      <c r="A699" s="14"/>
      <c r="B699" s="14"/>
    </row>
    <row r="700" ht="15.75" customHeight="1">
      <c r="A700" s="14"/>
      <c r="B700" s="14"/>
    </row>
    <row r="701" ht="15.75" customHeight="1">
      <c r="A701" s="14"/>
      <c r="B701" s="14"/>
    </row>
    <row r="702" ht="15.75" customHeight="1">
      <c r="A702" s="14"/>
      <c r="B702" s="14"/>
    </row>
    <row r="703" ht="15.75" customHeight="1">
      <c r="A703" s="14"/>
      <c r="B703" s="14"/>
    </row>
    <row r="704" ht="15.75" customHeight="1">
      <c r="A704" s="14"/>
      <c r="B704" s="14"/>
    </row>
    <row r="705" ht="15.75" customHeight="1">
      <c r="A705" s="14"/>
      <c r="B705" s="14"/>
    </row>
    <row r="706" ht="15.75" customHeight="1">
      <c r="A706" s="14"/>
      <c r="B706" s="14"/>
    </row>
    <row r="707" ht="15.75" customHeight="1">
      <c r="A707" s="14"/>
      <c r="B707" s="14"/>
    </row>
    <row r="708" ht="15.75" customHeight="1">
      <c r="A708" s="14"/>
      <c r="B708" s="14"/>
    </row>
    <row r="709" ht="15.75" customHeight="1">
      <c r="A709" s="14"/>
      <c r="B709" s="14"/>
    </row>
    <row r="710" ht="15.75" customHeight="1">
      <c r="A710" s="14"/>
      <c r="B710" s="14"/>
    </row>
    <row r="711" ht="15.75" customHeight="1">
      <c r="A711" s="14"/>
      <c r="B711" s="14"/>
    </row>
    <row r="712" ht="15.75" customHeight="1">
      <c r="A712" s="14"/>
      <c r="B712" s="14"/>
    </row>
    <row r="713" ht="15.75" customHeight="1">
      <c r="A713" s="14"/>
      <c r="B713" s="14"/>
    </row>
    <row r="714" ht="15.75" customHeight="1">
      <c r="A714" s="14"/>
      <c r="B714" s="14"/>
    </row>
    <row r="715" ht="15.75" customHeight="1">
      <c r="A715" s="14"/>
      <c r="B715" s="14"/>
    </row>
    <row r="716" ht="15.75" customHeight="1">
      <c r="A716" s="14"/>
      <c r="B716" s="14"/>
    </row>
    <row r="717" ht="15.75" customHeight="1">
      <c r="A717" s="14"/>
      <c r="B717" s="14"/>
    </row>
    <row r="718" ht="15.75" customHeight="1">
      <c r="A718" s="14"/>
      <c r="B718" s="14"/>
    </row>
    <row r="719" ht="15.75" customHeight="1">
      <c r="A719" s="14"/>
      <c r="B719" s="14"/>
    </row>
    <row r="720" ht="15.75" customHeight="1">
      <c r="A720" s="14"/>
      <c r="B720" s="14"/>
    </row>
    <row r="721" ht="15.75" customHeight="1">
      <c r="A721" s="14"/>
      <c r="B721" s="14"/>
    </row>
    <row r="722" ht="15.75" customHeight="1">
      <c r="A722" s="14"/>
      <c r="B722" s="14"/>
    </row>
    <row r="723" ht="15.75" customHeight="1">
      <c r="A723" s="14"/>
      <c r="B723" s="14"/>
    </row>
    <row r="724" ht="15.75" customHeight="1">
      <c r="A724" s="14"/>
      <c r="B724" s="14"/>
    </row>
    <row r="725" ht="15.75" customHeight="1">
      <c r="A725" s="14"/>
      <c r="B725" s="14"/>
    </row>
    <row r="726" ht="15.75" customHeight="1">
      <c r="A726" s="14"/>
      <c r="B726" s="14"/>
    </row>
    <row r="727" ht="15.75" customHeight="1">
      <c r="A727" s="14"/>
      <c r="B727" s="14"/>
    </row>
    <row r="728" ht="15.75" customHeight="1">
      <c r="A728" s="14"/>
      <c r="B728" s="14"/>
    </row>
    <row r="729" ht="15.75" customHeight="1">
      <c r="A729" s="14"/>
      <c r="B729" s="14"/>
    </row>
    <row r="730" ht="15.75" customHeight="1">
      <c r="A730" s="14"/>
      <c r="B730" s="14"/>
    </row>
    <row r="731" ht="15.75" customHeight="1">
      <c r="A731" s="14"/>
      <c r="B731" s="14"/>
    </row>
    <row r="732" ht="15.75" customHeight="1">
      <c r="A732" s="14"/>
      <c r="B732" s="14"/>
    </row>
    <row r="733" ht="15.75" customHeight="1">
      <c r="A733" s="14"/>
      <c r="B733" s="14"/>
    </row>
    <row r="734" ht="15.75" customHeight="1">
      <c r="A734" s="14"/>
      <c r="B734" s="14"/>
    </row>
    <row r="735" ht="15.75" customHeight="1">
      <c r="A735" s="14"/>
      <c r="B735" s="14"/>
    </row>
    <row r="736" ht="15.75" customHeight="1">
      <c r="A736" s="14"/>
      <c r="B736" s="14"/>
    </row>
    <row r="737" ht="15.75" customHeight="1">
      <c r="A737" s="14"/>
      <c r="B737" s="14"/>
    </row>
    <row r="738" ht="15.75" customHeight="1">
      <c r="A738" s="14"/>
      <c r="B738" s="14"/>
    </row>
    <row r="739" ht="15.75" customHeight="1">
      <c r="A739" s="14"/>
      <c r="B739" s="14"/>
    </row>
    <row r="740" ht="15.75" customHeight="1">
      <c r="A740" s="14"/>
      <c r="B740" s="14"/>
    </row>
    <row r="741" ht="15.75" customHeight="1">
      <c r="A741" s="14"/>
      <c r="B741" s="14"/>
    </row>
    <row r="742" ht="15.75" customHeight="1">
      <c r="A742" s="14"/>
      <c r="B742" s="14"/>
    </row>
    <row r="743" ht="15.75" customHeight="1">
      <c r="A743" s="14"/>
      <c r="B743" s="14"/>
    </row>
    <row r="744" ht="15.75" customHeight="1">
      <c r="A744" s="14"/>
      <c r="B744" s="14"/>
    </row>
    <row r="745" ht="15.75" customHeight="1">
      <c r="A745" s="14"/>
      <c r="B745" s="14"/>
    </row>
    <row r="746" ht="15.75" customHeight="1">
      <c r="A746" s="14"/>
      <c r="B746" s="14"/>
    </row>
    <row r="747" ht="15.75" customHeight="1">
      <c r="A747" s="14"/>
      <c r="B747" s="14"/>
    </row>
    <row r="748" ht="15.75" customHeight="1">
      <c r="A748" s="14"/>
      <c r="B748" s="14"/>
    </row>
    <row r="749" ht="15.75" customHeight="1">
      <c r="A749" s="14"/>
      <c r="B749" s="14"/>
    </row>
    <row r="750" ht="15.75" customHeight="1">
      <c r="A750" s="14"/>
      <c r="B750" s="14"/>
    </row>
    <row r="751" ht="15.75" customHeight="1">
      <c r="A751" s="14"/>
      <c r="B751" s="14"/>
    </row>
    <row r="752" ht="15.75" customHeight="1">
      <c r="A752" s="14"/>
      <c r="B752" s="14"/>
    </row>
    <row r="753" ht="15.75" customHeight="1">
      <c r="A753" s="14"/>
      <c r="B753" s="14"/>
    </row>
    <row r="754" ht="15.75" customHeight="1">
      <c r="A754" s="14"/>
      <c r="B754" s="14"/>
    </row>
    <row r="755" ht="15.75" customHeight="1">
      <c r="A755" s="14"/>
      <c r="B755" s="14"/>
    </row>
    <row r="756" ht="15.75" customHeight="1">
      <c r="A756" s="14"/>
      <c r="B756" s="14"/>
    </row>
    <row r="757" ht="15.75" customHeight="1">
      <c r="A757" s="14"/>
      <c r="B757" s="14"/>
    </row>
    <row r="758" ht="15.75" customHeight="1">
      <c r="A758" s="14"/>
      <c r="B758" s="14"/>
    </row>
    <row r="759" ht="15.75" customHeight="1">
      <c r="A759" s="14"/>
      <c r="B759" s="14"/>
    </row>
    <row r="760" ht="15.75" customHeight="1">
      <c r="A760" s="14"/>
      <c r="B760" s="14"/>
    </row>
    <row r="761" ht="15.75" customHeight="1">
      <c r="A761" s="14"/>
      <c r="B761" s="14"/>
    </row>
    <row r="762" ht="15.75" customHeight="1">
      <c r="A762" s="14"/>
      <c r="B762" s="14"/>
    </row>
    <row r="763" ht="15.75" customHeight="1">
      <c r="A763" s="14"/>
      <c r="B763" s="14"/>
    </row>
    <row r="764" ht="15.75" customHeight="1">
      <c r="A764" s="14"/>
      <c r="B764" s="14"/>
    </row>
    <row r="765" ht="15.75" customHeight="1">
      <c r="A765" s="14"/>
      <c r="B765" s="14"/>
    </row>
    <row r="766" ht="15.75" customHeight="1">
      <c r="A766" s="14"/>
      <c r="B766" s="14"/>
    </row>
    <row r="767" ht="15.75" customHeight="1">
      <c r="A767" s="14"/>
      <c r="B767" s="14"/>
    </row>
    <row r="768" ht="15.75" customHeight="1">
      <c r="A768" s="14"/>
      <c r="B768" s="14"/>
    </row>
    <row r="769" ht="15.75" customHeight="1">
      <c r="A769" s="14"/>
      <c r="B769" s="14"/>
    </row>
    <row r="770" ht="15.75" customHeight="1">
      <c r="A770" s="14"/>
      <c r="B770" s="14"/>
    </row>
    <row r="771" ht="15.75" customHeight="1">
      <c r="A771" s="14"/>
      <c r="B771" s="14"/>
    </row>
    <row r="772" ht="15.75" customHeight="1">
      <c r="A772" s="14"/>
      <c r="B772" s="14"/>
    </row>
    <row r="773" ht="15.75" customHeight="1">
      <c r="A773" s="14"/>
      <c r="B773" s="14"/>
    </row>
    <row r="774" ht="15.75" customHeight="1">
      <c r="A774" s="14"/>
      <c r="B774" s="14"/>
    </row>
    <row r="775" ht="15.75" customHeight="1">
      <c r="A775" s="14"/>
      <c r="B775" s="14"/>
    </row>
    <row r="776" ht="15.75" customHeight="1">
      <c r="A776" s="14"/>
      <c r="B776" s="14"/>
    </row>
    <row r="777" ht="15.75" customHeight="1">
      <c r="A777" s="14"/>
      <c r="B777" s="14"/>
    </row>
    <row r="778" ht="15.75" customHeight="1">
      <c r="A778" s="14"/>
      <c r="B778" s="14"/>
    </row>
    <row r="779" ht="15.75" customHeight="1">
      <c r="A779" s="14"/>
      <c r="B779" s="14"/>
    </row>
    <row r="780" ht="15.75" customHeight="1">
      <c r="A780" s="14"/>
      <c r="B780" s="14"/>
    </row>
    <row r="781" ht="15.75" customHeight="1">
      <c r="A781" s="14"/>
      <c r="B781" s="14"/>
    </row>
    <row r="782" ht="15.75" customHeight="1">
      <c r="A782" s="14"/>
      <c r="B782" s="14"/>
    </row>
    <row r="783" ht="15.75" customHeight="1">
      <c r="A783" s="14"/>
      <c r="B783" s="14"/>
    </row>
    <row r="784" ht="15.75" customHeight="1">
      <c r="A784" s="14"/>
      <c r="B784" s="14"/>
    </row>
    <row r="785" ht="15.75" customHeight="1">
      <c r="A785" s="14"/>
      <c r="B785" s="14"/>
    </row>
    <row r="786" ht="15.75" customHeight="1">
      <c r="A786" s="14"/>
      <c r="B786" s="14"/>
    </row>
    <row r="787" ht="15.75" customHeight="1">
      <c r="A787" s="14"/>
      <c r="B787" s="14"/>
    </row>
    <row r="788" ht="15.75" customHeight="1">
      <c r="A788" s="14"/>
      <c r="B788" s="14"/>
    </row>
    <row r="789" ht="15.75" customHeight="1">
      <c r="A789" s="14"/>
      <c r="B789" s="14"/>
    </row>
    <row r="790" ht="15.75" customHeight="1">
      <c r="A790" s="14"/>
      <c r="B790" s="14"/>
    </row>
    <row r="791" ht="15.75" customHeight="1">
      <c r="A791" s="14"/>
      <c r="B791" s="14"/>
    </row>
    <row r="792" ht="15.75" customHeight="1">
      <c r="A792" s="14"/>
      <c r="B792" s="14"/>
    </row>
    <row r="793" ht="15.75" customHeight="1">
      <c r="A793" s="14"/>
      <c r="B793" s="14"/>
    </row>
    <row r="794" ht="15.75" customHeight="1">
      <c r="A794" s="14"/>
      <c r="B794" s="14"/>
    </row>
    <row r="795" ht="15.75" customHeight="1">
      <c r="A795" s="14"/>
      <c r="B795" s="14"/>
    </row>
    <row r="796" ht="15.75" customHeight="1">
      <c r="A796" s="14"/>
      <c r="B796" s="14"/>
    </row>
    <row r="797" ht="15.75" customHeight="1">
      <c r="A797" s="14"/>
      <c r="B797" s="14"/>
    </row>
    <row r="798" ht="15.75" customHeight="1">
      <c r="A798" s="14"/>
      <c r="B798" s="14"/>
    </row>
    <row r="799" ht="15.75" customHeight="1">
      <c r="A799" s="14"/>
      <c r="B799" s="14"/>
    </row>
    <row r="800" ht="15.75" customHeight="1">
      <c r="A800" s="14"/>
      <c r="B800" s="14"/>
    </row>
    <row r="801" ht="15.75" customHeight="1">
      <c r="A801" s="14"/>
      <c r="B801" s="14"/>
    </row>
    <row r="802" ht="15.75" customHeight="1">
      <c r="A802" s="14"/>
      <c r="B802" s="14"/>
    </row>
    <row r="803" ht="15.75" customHeight="1">
      <c r="A803" s="14"/>
      <c r="B803" s="14"/>
    </row>
    <row r="804" ht="15.75" customHeight="1">
      <c r="A804" s="14"/>
      <c r="B804" s="14"/>
    </row>
    <row r="805" ht="15.75" customHeight="1">
      <c r="A805" s="14"/>
      <c r="B805" s="14"/>
    </row>
    <row r="806" ht="15.75" customHeight="1">
      <c r="A806" s="14"/>
      <c r="B806" s="14"/>
    </row>
    <row r="807" ht="15.75" customHeight="1">
      <c r="A807" s="14"/>
      <c r="B807" s="14"/>
    </row>
    <row r="808" ht="15.75" customHeight="1">
      <c r="A808" s="14"/>
      <c r="B808" s="14"/>
    </row>
    <row r="809" ht="15.75" customHeight="1">
      <c r="A809" s="14"/>
      <c r="B809" s="14"/>
    </row>
    <row r="810" ht="15.75" customHeight="1">
      <c r="A810" s="14"/>
      <c r="B810" s="14"/>
    </row>
    <row r="811" ht="15.75" customHeight="1">
      <c r="A811" s="14"/>
      <c r="B811" s="14"/>
    </row>
    <row r="812" ht="15.75" customHeight="1">
      <c r="A812" s="14"/>
      <c r="B812" s="14"/>
    </row>
    <row r="813" ht="15.75" customHeight="1">
      <c r="A813" s="14"/>
      <c r="B813" s="14"/>
    </row>
    <row r="814" ht="15.75" customHeight="1">
      <c r="A814" s="14"/>
      <c r="B814" s="14"/>
    </row>
    <row r="815" ht="15.75" customHeight="1">
      <c r="A815" s="14"/>
      <c r="B815" s="14"/>
    </row>
    <row r="816" ht="15.75" customHeight="1">
      <c r="A816" s="14"/>
      <c r="B816" s="14"/>
    </row>
    <row r="817" ht="15.75" customHeight="1">
      <c r="A817" s="14"/>
      <c r="B817" s="14"/>
    </row>
    <row r="818" ht="15.75" customHeight="1">
      <c r="A818" s="14"/>
      <c r="B818" s="14"/>
    </row>
    <row r="819" ht="15.75" customHeight="1">
      <c r="A819" s="14"/>
      <c r="B819" s="14"/>
    </row>
    <row r="820" ht="15.75" customHeight="1">
      <c r="A820" s="14"/>
      <c r="B820" s="14"/>
    </row>
    <row r="821" ht="15.75" customHeight="1">
      <c r="A821" s="14"/>
      <c r="B821" s="14"/>
    </row>
    <row r="822" ht="15.75" customHeight="1">
      <c r="A822" s="14"/>
      <c r="B822" s="14"/>
    </row>
    <row r="823" ht="15.75" customHeight="1">
      <c r="A823" s="14"/>
      <c r="B823" s="14"/>
    </row>
    <row r="824" ht="15.75" customHeight="1">
      <c r="A824" s="14"/>
      <c r="B824" s="14"/>
    </row>
    <row r="825" ht="15.75" customHeight="1">
      <c r="A825" s="14"/>
      <c r="B825" s="14"/>
    </row>
    <row r="826" ht="15.75" customHeight="1">
      <c r="A826" s="14"/>
      <c r="B826" s="14"/>
    </row>
    <row r="827" ht="15.75" customHeight="1">
      <c r="A827" s="14"/>
      <c r="B827" s="14"/>
    </row>
    <row r="828" ht="15.75" customHeight="1">
      <c r="A828" s="14"/>
      <c r="B828" s="14"/>
    </row>
    <row r="829" ht="15.75" customHeight="1">
      <c r="A829" s="14"/>
      <c r="B829" s="14"/>
    </row>
    <row r="830" ht="15.75" customHeight="1">
      <c r="A830" s="14"/>
      <c r="B830" s="14"/>
    </row>
    <row r="831" ht="15.75" customHeight="1">
      <c r="A831" s="14"/>
      <c r="B831" s="14"/>
    </row>
    <row r="832" ht="15.75" customHeight="1">
      <c r="A832" s="14"/>
      <c r="B832" s="14"/>
    </row>
    <row r="833" ht="15.75" customHeight="1">
      <c r="A833" s="14"/>
      <c r="B833" s="14"/>
    </row>
    <row r="834" ht="15.75" customHeight="1">
      <c r="A834" s="14"/>
      <c r="B834" s="14"/>
    </row>
    <row r="835" ht="15.75" customHeight="1">
      <c r="A835" s="14"/>
      <c r="B835" s="14"/>
    </row>
    <row r="836" ht="15.75" customHeight="1">
      <c r="A836" s="14"/>
      <c r="B836" s="14"/>
    </row>
    <row r="837" ht="15.75" customHeight="1">
      <c r="A837" s="14"/>
      <c r="B837" s="14"/>
    </row>
    <row r="838" ht="15.75" customHeight="1">
      <c r="A838" s="14"/>
      <c r="B838" s="14"/>
    </row>
    <row r="839" ht="15.75" customHeight="1">
      <c r="A839" s="14"/>
      <c r="B839" s="14"/>
    </row>
    <row r="840" ht="15.75" customHeight="1">
      <c r="A840" s="14"/>
      <c r="B840" s="14"/>
    </row>
    <row r="841" ht="15.75" customHeight="1">
      <c r="A841" s="14"/>
      <c r="B841" s="14"/>
    </row>
    <row r="842" ht="15.75" customHeight="1">
      <c r="A842" s="14"/>
      <c r="B842" s="14"/>
    </row>
    <row r="843" ht="15.75" customHeight="1">
      <c r="A843" s="14"/>
      <c r="B843" s="14"/>
    </row>
    <row r="844" ht="15.75" customHeight="1">
      <c r="A844" s="14"/>
      <c r="B844" s="14"/>
    </row>
    <row r="845" ht="15.75" customHeight="1">
      <c r="A845" s="14"/>
      <c r="B845" s="14"/>
    </row>
    <row r="846" ht="15.75" customHeight="1">
      <c r="A846" s="14"/>
      <c r="B846" s="14"/>
    </row>
    <row r="847" ht="15.75" customHeight="1">
      <c r="A847" s="14"/>
      <c r="B847" s="14"/>
    </row>
    <row r="848" ht="15.75" customHeight="1">
      <c r="A848" s="14"/>
      <c r="B848" s="14"/>
    </row>
    <row r="849" ht="15.75" customHeight="1">
      <c r="A849" s="14"/>
      <c r="B849" s="14"/>
    </row>
    <row r="850" ht="15.75" customHeight="1">
      <c r="A850" s="14"/>
      <c r="B850" s="14"/>
    </row>
    <row r="851" ht="15.75" customHeight="1">
      <c r="A851" s="14"/>
      <c r="B851" s="14"/>
    </row>
    <row r="852" ht="15.75" customHeight="1">
      <c r="A852" s="14"/>
      <c r="B852" s="14"/>
    </row>
    <row r="853" ht="15.75" customHeight="1">
      <c r="A853" s="14"/>
      <c r="B853" s="14"/>
    </row>
    <row r="854" ht="15.75" customHeight="1">
      <c r="A854" s="14"/>
      <c r="B854" s="14"/>
    </row>
    <row r="855" ht="15.75" customHeight="1">
      <c r="A855" s="14"/>
      <c r="B855" s="14"/>
    </row>
    <row r="856" ht="15.75" customHeight="1">
      <c r="A856" s="14"/>
      <c r="B856" s="14"/>
    </row>
    <row r="857" ht="15.75" customHeight="1">
      <c r="A857" s="14"/>
      <c r="B857" s="14"/>
    </row>
    <row r="858" ht="15.75" customHeight="1">
      <c r="A858" s="14"/>
      <c r="B858" s="14"/>
    </row>
    <row r="859" ht="15.75" customHeight="1">
      <c r="A859" s="14"/>
      <c r="B859" s="14"/>
    </row>
    <row r="860" ht="15.75" customHeight="1">
      <c r="A860" s="14"/>
      <c r="B860" s="14"/>
    </row>
    <row r="861" ht="15.75" customHeight="1">
      <c r="A861" s="14"/>
      <c r="B861" s="14"/>
    </row>
    <row r="862" ht="15.75" customHeight="1">
      <c r="A862" s="14"/>
      <c r="B862" s="14"/>
    </row>
    <row r="863" ht="15.75" customHeight="1">
      <c r="A863" s="14"/>
      <c r="B863" s="14"/>
    </row>
    <row r="864" ht="15.75" customHeight="1">
      <c r="A864" s="14"/>
      <c r="B864" s="14"/>
    </row>
    <row r="865" ht="15.75" customHeight="1">
      <c r="A865" s="14"/>
      <c r="B865" s="14"/>
    </row>
    <row r="866" ht="15.75" customHeight="1">
      <c r="A866" s="14"/>
      <c r="B866" s="14"/>
    </row>
    <row r="867" ht="15.75" customHeight="1">
      <c r="A867" s="14"/>
      <c r="B867" s="14"/>
    </row>
    <row r="868" ht="15.75" customHeight="1">
      <c r="A868" s="14"/>
      <c r="B868" s="14"/>
    </row>
    <row r="869" ht="15.75" customHeight="1">
      <c r="A869" s="14"/>
      <c r="B869" s="14"/>
    </row>
    <row r="870" ht="15.75" customHeight="1">
      <c r="A870" s="14"/>
      <c r="B870" s="14"/>
    </row>
    <row r="871" ht="15.75" customHeight="1">
      <c r="A871" s="14"/>
      <c r="B871" s="14"/>
    </row>
    <row r="872" ht="15.75" customHeight="1">
      <c r="A872" s="14"/>
      <c r="B872" s="14"/>
    </row>
    <row r="873" ht="15.75" customHeight="1">
      <c r="A873" s="14"/>
      <c r="B873" s="14"/>
    </row>
    <row r="874" ht="15.75" customHeight="1">
      <c r="A874" s="14"/>
      <c r="B874" s="14"/>
    </row>
    <row r="875" ht="15.75" customHeight="1">
      <c r="A875" s="14"/>
      <c r="B875" s="14"/>
    </row>
    <row r="876" ht="15.75" customHeight="1">
      <c r="A876" s="14"/>
      <c r="B876" s="14"/>
    </row>
    <row r="877" ht="15.75" customHeight="1">
      <c r="A877" s="14"/>
      <c r="B877" s="14"/>
    </row>
    <row r="878" ht="15.75" customHeight="1">
      <c r="A878" s="14"/>
      <c r="B878" s="14"/>
    </row>
    <row r="879" ht="15.75" customHeight="1">
      <c r="A879" s="14"/>
      <c r="B879" s="14"/>
    </row>
    <row r="880" ht="15.75" customHeight="1">
      <c r="A880" s="14"/>
      <c r="B880" s="14"/>
    </row>
    <row r="881" ht="15.75" customHeight="1">
      <c r="A881" s="14"/>
      <c r="B881" s="14"/>
    </row>
    <row r="882" ht="15.75" customHeight="1">
      <c r="A882" s="14"/>
      <c r="B882" s="14"/>
    </row>
    <row r="883" ht="15.75" customHeight="1">
      <c r="A883" s="14"/>
      <c r="B883" s="14"/>
    </row>
    <row r="884" ht="15.75" customHeight="1">
      <c r="A884" s="14"/>
      <c r="B884" s="14"/>
    </row>
    <row r="885" ht="15.75" customHeight="1">
      <c r="A885" s="14"/>
      <c r="B885" s="14"/>
    </row>
    <row r="886" ht="15.75" customHeight="1">
      <c r="A886" s="14"/>
      <c r="B886" s="14"/>
    </row>
    <row r="887" ht="15.75" customHeight="1">
      <c r="A887" s="14"/>
      <c r="B887" s="14"/>
    </row>
    <row r="888" ht="15.75" customHeight="1">
      <c r="A888" s="14"/>
      <c r="B888" s="14"/>
    </row>
    <row r="889" ht="15.75" customHeight="1">
      <c r="A889" s="14"/>
      <c r="B889" s="14"/>
    </row>
    <row r="890" ht="15.75" customHeight="1">
      <c r="A890" s="14"/>
      <c r="B890" s="14"/>
    </row>
    <row r="891" ht="15.75" customHeight="1">
      <c r="A891" s="14"/>
      <c r="B891" s="14"/>
    </row>
    <row r="892" ht="15.75" customHeight="1">
      <c r="A892" s="14"/>
      <c r="B892" s="14"/>
    </row>
    <row r="893" ht="15.75" customHeight="1">
      <c r="A893" s="14"/>
      <c r="B893" s="14"/>
    </row>
    <row r="894" ht="15.75" customHeight="1">
      <c r="A894" s="14"/>
      <c r="B894" s="14"/>
    </row>
    <row r="895" ht="15.75" customHeight="1">
      <c r="A895" s="14"/>
      <c r="B895" s="14"/>
    </row>
    <row r="896" ht="15.75" customHeight="1">
      <c r="A896" s="14"/>
      <c r="B896" s="14"/>
    </row>
    <row r="897" ht="15.75" customHeight="1">
      <c r="A897" s="14"/>
      <c r="B897" s="14"/>
    </row>
    <row r="898" ht="15.75" customHeight="1">
      <c r="A898" s="14"/>
      <c r="B898" s="14"/>
    </row>
    <row r="899" ht="15.75" customHeight="1">
      <c r="A899" s="14"/>
      <c r="B899" s="14"/>
    </row>
    <row r="900" ht="15.75" customHeight="1">
      <c r="A900" s="14"/>
      <c r="B900" s="14"/>
    </row>
    <row r="901" ht="15.75" customHeight="1">
      <c r="A901" s="14"/>
      <c r="B901" s="14"/>
    </row>
    <row r="902" ht="15.75" customHeight="1">
      <c r="A902" s="14"/>
      <c r="B902" s="14"/>
    </row>
    <row r="903" ht="15.75" customHeight="1">
      <c r="A903" s="14"/>
      <c r="B903" s="14"/>
    </row>
    <row r="904" ht="15.75" customHeight="1">
      <c r="A904" s="14"/>
      <c r="B904" s="14"/>
    </row>
    <row r="905" ht="15.75" customHeight="1">
      <c r="A905" s="14"/>
      <c r="B905" s="14"/>
    </row>
    <row r="906" ht="15.75" customHeight="1">
      <c r="A906" s="14"/>
      <c r="B906" s="14"/>
    </row>
    <row r="907" ht="15.75" customHeight="1">
      <c r="A907" s="14"/>
      <c r="B907" s="14"/>
    </row>
    <row r="908" ht="15.75" customHeight="1">
      <c r="A908" s="14"/>
      <c r="B908" s="14"/>
    </row>
    <row r="909" ht="15.75" customHeight="1">
      <c r="A909" s="14"/>
      <c r="B909" s="14"/>
    </row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1" max="1" width="41.88"/>
    <col customWidth="1" min="2" max="2" width="17.5"/>
    <col customWidth="1" min="3" max="3" width="19.25"/>
    <col customWidth="1" min="4" max="4" width="18.5"/>
    <col customWidth="1" min="5" max="5" width="17.63"/>
    <col customWidth="1" min="6" max="6" width="18.13"/>
    <col customWidth="1" min="11" max="11" width="16.88"/>
    <col customWidth="1" min="12" max="12" width="20.0"/>
  </cols>
  <sheetData>
    <row r="1" ht="15.75" customHeight="1">
      <c r="B1" s="3" t="s">
        <v>0</v>
      </c>
      <c r="C1" s="3" t="str">
        <f>TEXT(C3,"MMMM-YYY")</f>
        <v>March-2025</v>
      </c>
    </row>
    <row r="2" ht="15.75" customHeight="1">
      <c r="A2" s="7"/>
      <c r="B2" s="3" t="s">
        <v>1</v>
      </c>
      <c r="C2" s="8">
        <v>45717.0</v>
      </c>
      <c r="E2" s="9" t="s">
        <v>2</v>
      </c>
      <c r="F2" s="10" t="str">
        <f>IF(SUM(D:D) = SUM(E:E), "✅ Balanced", "⚠️ Unbalanced")</f>
        <v>#REF!</v>
      </c>
    </row>
    <row r="3" ht="15.75" customHeight="1">
      <c r="B3" s="3" t="s">
        <v>3</v>
      </c>
      <c r="C3" s="8">
        <f>EOMONTH(C2,0)</f>
        <v>45747</v>
      </c>
      <c r="E3" s="11"/>
    </row>
    <row r="4" ht="15.75" customHeight="1"/>
    <row r="5" ht="15.75" customHeight="1">
      <c r="D5" s="12" t="str">
        <f t="shared" ref="D5:E5" si="1">SUM(D8:D1000)</f>
        <v>#REF!</v>
      </c>
      <c r="E5" s="12" t="str">
        <f t="shared" si="1"/>
        <v>#REF!</v>
      </c>
      <c r="F5" s="12" t="str">
        <f>D5-E5</f>
        <v>#REF!</v>
      </c>
    </row>
    <row r="6" ht="15.75" customHeight="1"/>
    <row r="7" ht="15.75" customHeight="1">
      <c r="A7" s="1" t="s">
        <v>4</v>
      </c>
      <c r="B7" s="1" t="s">
        <v>5</v>
      </c>
      <c r="C7" s="1" t="s">
        <v>6</v>
      </c>
      <c r="D7" s="1" t="s">
        <v>7</v>
      </c>
      <c r="E7" s="1" t="s">
        <v>8</v>
      </c>
      <c r="F7" s="1" t="s">
        <v>9</v>
      </c>
    </row>
    <row r="8" ht="15.75" customHeight="1">
      <c r="A8" s="1" t="str">
        <f t="array" ref="A8:A909">Helper!E99:E1000</f>
        <v/>
      </c>
      <c r="B8" s="1" t="str">
        <f t="array" ref="B8:B909">Helper!D99:D1000</f>
        <v/>
      </c>
      <c r="C8" s="2" t="str">
        <f>MAX(Feb_2025!C8,Feb_2025!F8)</f>
        <v>#N/A</v>
      </c>
      <c r="D8" s="13" t="str">
        <f>IFERROR(__xludf.DUMMYFUNCTION("IFNA(QUERY(IMPORTRANGE(""https://docs.google.com/spreadsheets/d/1EHL-jm_NiShR1a2JqKbpaJGazYH90DJO150spY6io4k/edit?gid=0#gid=0"", 
""Gen_Ledger!A:N""), 
""SELECT SUM(Col10) WHERE Col7 = ""&amp;B8&amp;"" AND Col1 &gt;= DATE '"" &amp; TEXT($C$2, ""YYYY-MM-DD"") &amp; ""' AND C"&amp;"ol1 &lt;= DATE '"" &amp; TEXT($C$3, ""YYYY-MM-DD"") &amp; ""' LABEL SUM(Col10) ''"", 0), """")"),"#REF!")</f>
        <v>#REF!</v>
      </c>
      <c r="E8" s="13" t="str">
        <f>IFERROR(__xludf.DUMMYFUNCTION("IFNA(QUERY(IMPORTRANGE(""https://docs.google.com/spreadsheets/d/1EHL-jm_NiShR1a2JqKbpaJGazYH90DJO150spY6io4k/edit?gid=0#gid=0"", 
""Gen_Ledger!A:N""), 
""SELECT SUM(Col11) WHERE Col7 = ""&amp;B8&amp;"" AND Col1 &gt;= DATE '"" &amp; TEXT($C$2, ""YYYY-MM-DD"") &amp; ""' AND C"&amp;"ol1 &lt;= DATE '"" &amp; TEXT($C$3, ""YYYY-MM-DD"") &amp; ""' LABEL SUM(Col11) ''"", 0), """")"),"#REF!")</f>
        <v>#REF!</v>
      </c>
      <c r="F8" s="13" t="str">
        <f t="shared" ref="F8:F21" si="2">C8+D8-E8</f>
        <v>#N/A</v>
      </c>
    </row>
    <row r="9" ht="15.75" customHeight="1">
      <c r="A9" s="1"/>
      <c r="B9" s="1"/>
      <c r="C9" s="2" t="str">
        <f>MAX(Feb_2025!C9,Feb_2025!F9)</f>
        <v>#N/A</v>
      </c>
      <c r="D9" s="13" t="str">
        <f>IFERROR(__xludf.DUMMYFUNCTION("IFNA(QUERY(IMPORTRANGE(""https://docs.google.com/spreadsheets/d/1EHL-jm_NiShR1a2JqKbpaJGazYH90DJO150spY6io4k/edit?gid=0#gid=0"", 
""Gen_Ledger!A:N""), 
""SELECT SUM(Col10) WHERE Col7 = ""&amp;B9&amp;"" AND Col1 &gt;= DATE '"" &amp; TEXT($C$2, ""YYYY-MM-DD"") &amp; ""' AND C"&amp;"ol1 &lt;= DATE '"" &amp; TEXT($C$3, ""YYYY-MM-DD"") &amp; ""' LABEL SUM(Col10) ''"", 0), """")"),"#REF!")</f>
        <v>#REF!</v>
      </c>
      <c r="E9" s="13" t="str">
        <f>IFERROR(__xludf.DUMMYFUNCTION("IFNA(QUERY(IMPORTRANGE(""https://docs.google.com/spreadsheets/d/1EHL-jm_NiShR1a2JqKbpaJGazYH90DJO150spY6io4k/edit?gid=0#gid=0"", 
""Gen_Ledger!A:N""), 
""SELECT SUM(Col11) WHERE Col7 = ""&amp;B9&amp;"" AND Col1 &gt;= DATE '"" &amp; TEXT($C$2, ""YYYY-MM-DD"") &amp; ""' AND C"&amp;"ol1 &lt;= DATE '"" &amp; TEXT($C$3, ""YYYY-MM-DD"") &amp; ""' LABEL SUM(Col11) ''"", 0), """")"),"#REF!")</f>
        <v>#REF!</v>
      </c>
      <c r="F9" s="13" t="str">
        <f t="shared" si="2"/>
        <v>#N/A</v>
      </c>
    </row>
    <row r="10" ht="15.75" customHeight="1">
      <c r="A10" s="1"/>
      <c r="B10" s="1"/>
      <c r="C10" s="2" t="str">
        <f>MAX(Feb_2025!C10,Feb_2025!F10)</f>
        <v>#N/A</v>
      </c>
      <c r="D10" s="13" t="str">
        <f>IFERROR(__xludf.DUMMYFUNCTION("IFNA(QUERY(IMPORTRANGE(""https://docs.google.com/spreadsheets/d/1EHL-jm_NiShR1a2JqKbpaJGazYH90DJO150spY6io4k/edit?gid=0#gid=0"", 
""Gen_Ledger!A:N""), 
""SELECT SUM(Col10) WHERE Col7 = ""&amp;B10&amp;"" AND Col1 &gt;= DATE '"" &amp; TEXT($C$2, ""YYYY-MM-DD"") &amp; ""' AND "&amp;"Col1 &lt;= DATE '"" &amp; TEXT($C$3, ""YYYY-MM-DD"") &amp; ""' LABEL SUM(Col10) ''"", 0), """")"),"#REF!")</f>
        <v>#REF!</v>
      </c>
      <c r="E10" s="13" t="str">
        <f>IFERROR(__xludf.DUMMYFUNCTION("IFNA(QUERY(IMPORTRANGE(""https://docs.google.com/spreadsheets/d/1EHL-jm_NiShR1a2JqKbpaJGazYH90DJO150spY6io4k/edit?gid=0#gid=0"", 
""Gen_Ledger!A:N""), 
""SELECT SUM(Col11) WHERE Col7 = ""&amp;B10&amp;"" AND Col1 &gt;= DATE '"" &amp; TEXT($C$2, ""YYYY-MM-DD"") &amp; ""' AND "&amp;"Col1 &lt;= DATE '"" &amp; TEXT($C$3, ""YYYY-MM-DD"") &amp; ""' LABEL SUM(Col11) ''"", 0), """")"),"#REF!")</f>
        <v>#REF!</v>
      </c>
      <c r="F10" s="13" t="str">
        <f t="shared" si="2"/>
        <v>#N/A</v>
      </c>
    </row>
    <row r="11" ht="15.75" customHeight="1">
      <c r="A11" s="1"/>
      <c r="B11" s="1"/>
      <c r="C11" s="2" t="str">
        <f>MAX(Feb_2025!C11,Feb_2025!F11)</f>
        <v>#N/A</v>
      </c>
      <c r="D11" s="13" t="str">
        <f>IFERROR(__xludf.DUMMYFUNCTION("IFNA(QUERY(IMPORTRANGE(""https://docs.google.com/spreadsheets/d/1EHL-jm_NiShR1a2JqKbpaJGazYH90DJO150spY6io4k/edit?gid=0#gid=0"", 
""Gen_Ledger!A:N""), 
""SELECT SUM(Col10) WHERE Col7 = ""&amp;B11&amp;"" AND Col1 &gt;= DATE '"" &amp; TEXT($C$2, ""YYYY-MM-DD"") &amp; ""' AND "&amp;"Col1 &lt;= DATE '"" &amp; TEXT($C$3, ""YYYY-MM-DD"") &amp; ""' LABEL SUM(Col10) ''"", 0), """")"),"#REF!")</f>
        <v>#REF!</v>
      </c>
      <c r="E11" s="13" t="str">
        <f>IFERROR(__xludf.DUMMYFUNCTION("IFNA(QUERY(IMPORTRANGE(""https://docs.google.com/spreadsheets/d/1EHL-jm_NiShR1a2JqKbpaJGazYH90DJO150spY6io4k/edit?gid=0#gid=0"", 
""Gen_Ledger!A:N""), 
""SELECT SUM(Col11) WHERE Col7 = ""&amp;B11&amp;"" AND Col1 &gt;= DATE '"" &amp; TEXT($C$2, ""YYYY-MM-DD"") &amp; ""' AND "&amp;"Col1 &lt;= DATE '"" &amp; TEXT($C$3, ""YYYY-MM-DD"") &amp; ""' LABEL SUM(Col11) ''"", 0), """")"),"#REF!")</f>
        <v>#REF!</v>
      </c>
      <c r="F11" s="13" t="str">
        <f t="shared" si="2"/>
        <v>#N/A</v>
      </c>
    </row>
    <row r="12" ht="15.75" customHeight="1">
      <c r="A12" s="1"/>
      <c r="B12" s="1"/>
      <c r="C12" s="2" t="str">
        <f>MAX(Feb_2025!C12,Feb_2025!F12)</f>
        <v>#N/A</v>
      </c>
      <c r="D12" s="13" t="str">
        <f>IFERROR(__xludf.DUMMYFUNCTION("IFNA(QUERY(IMPORTRANGE(""https://docs.google.com/spreadsheets/d/1EHL-jm_NiShR1a2JqKbpaJGazYH90DJO150spY6io4k/edit?gid=0#gid=0"", 
""Gen_Ledger!A:N""), 
""SELECT SUM(Col10) WHERE Col7 = ""&amp;B12&amp;"" AND Col1 &gt;= DATE '"" &amp; TEXT($C$2, ""YYYY-MM-DD"") &amp; ""' AND "&amp;"Col1 &lt;= DATE '"" &amp; TEXT($C$3, ""YYYY-MM-DD"") &amp; ""' LABEL SUM(Col10) ''"", 0), """")"),"#REF!")</f>
        <v>#REF!</v>
      </c>
      <c r="E12" s="13" t="str">
        <f>IFERROR(__xludf.DUMMYFUNCTION("IFNA(QUERY(IMPORTRANGE(""https://docs.google.com/spreadsheets/d/1EHL-jm_NiShR1a2JqKbpaJGazYH90DJO150spY6io4k/edit?gid=0#gid=0"", 
""Gen_Ledger!A:N""), 
""SELECT SUM(Col11) WHERE Col7 = ""&amp;B12&amp;"" AND Col1 &gt;= DATE '"" &amp; TEXT($C$2, ""YYYY-MM-DD"") &amp; ""' AND "&amp;"Col1 &lt;= DATE '"" &amp; TEXT($C$3, ""YYYY-MM-DD"") &amp; ""' LABEL SUM(Col11) ''"", 0), """")"),"#REF!")</f>
        <v>#REF!</v>
      </c>
      <c r="F12" s="13" t="str">
        <f t="shared" si="2"/>
        <v>#N/A</v>
      </c>
    </row>
    <row r="13" ht="15.75" customHeight="1">
      <c r="A13" s="1"/>
      <c r="B13" s="1"/>
      <c r="C13" s="2" t="str">
        <f>MAX(Feb_2025!C13,Feb_2025!F13)</f>
        <v>#N/A</v>
      </c>
      <c r="D13" s="13" t="str">
        <f>IFERROR(__xludf.DUMMYFUNCTION("IFNA(QUERY(IMPORTRANGE(""https://docs.google.com/spreadsheets/d/1EHL-jm_NiShR1a2JqKbpaJGazYH90DJO150spY6io4k/edit?gid=0#gid=0"", 
""Gen_Ledger!A:N""), 
""SELECT SUM(Col10) WHERE Col7 = ""&amp;B13&amp;"" AND Col1 &gt;= DATE '"" &amp; TEXT($C$2, ""YYYY-MM-DD"") &amp; ""' AND "&amp;"Col1 &lt;= DATE '"" &amp; TEXT($C$3, ""YYYY-MM-DD"") &amp; ""' LABEL SUM(Col10) ''"", 0), """")"),"#REF!")</f>
        <v>#REF!</v>
      </c>
      <c r="E13" s="13" t="str">
        <f>IFERROR(__xludf.DUMMYFUNCTION("IFNA(QUERY(IMPORTRANGE(""https://docs.google.com/spreadsheets/d/1EHL-jm_NiShR1a2JqKbpaJGazYH90DJO150spY6io4k/edit?gid=0#gid=0"", 
""Gen_Ledger!A:N""), 
""SELECT SUM(Col11) WHERE Col7 = ""&amp;B13&amp;"" AND Col1 &gt;= DATE '"" &amp; TEXT($C$2, ""YYYY-MM-DD"") &amp; ""' AND "&amp;"Col1 &lt;= DATE '"" &amp; TEXT($C$3, ""YYYY-MM-DD"") &amp; ""' LABEL SUM(Col11) ''"", 0), """")"),"#REF!")</f>
        <v>#REF!</v>
      </c>
      <c r="F13" s="13" t="str">
        <f t="shared" si="2"/>
        <v>#N/A</v>
      </c>
    </row>
    <row r="14" ht="15.75" customHeight="1">
      <c r="A14" s="1"/>
      <c r="B14" s="1"/>
      <c r="C14" s="2" t="str">
        <f>MAX(Feb_2025!C14,Feb_2025!F14)</f>
        <v>#N/A</v>
      </c>
      <c r="D14" s="13" t="str">
        <f>IFERROR(__xludf.DUMMYFUNCTION("IFNA(QUERY(IMPORTRANGE(""https://docs.google.com/spreadsheets/d/1EHL-jm_NiShR1a2JqKbpaJGazYH90DJO150spY6io4k/edit?gid=0#gid=0"", 
""Gen_Ledger!A:N""), 
""SELECT SUM(Col10) WHERE Col7 = ""&amp;B14&amp;"" AND Col1 &gt;= DATE '"" &amp; TEXT($C$2, ""YYYY-MM-DD"") &amp; ""' AND "&amp;"Col1 &lt;= DATE '"" &amp; TEXT($C$3, ""YYYY-MM-DD"") &amp; ""' LABEL SUM(Col10) ''"", 0), """")"),"#REF!")</f>
        <v>#REF!</v>
      </c>
      <c r="E14" s="13" t="str">
        <f>IFERROR(__xludf.DUMMYFUNCTION("IFNA(QUERY(IMPORTRANGE(""https://docs.google.com/spreadsheets/d/1EHL-jm_NiShR1a2JqKbpaJGazYH90DJO150spY6io4k/edit?gid=0#gid=0"", 
""Gen_Ledger!A:N""), 
""SELECT SUM(Col11) WHERE Col7 = ""&amp;B14&amp;"" AND Col1 &gt;= DATE '"" &amp; TEXT($C$2, ""YYYY-MM-DD"") &amp; ""' AND "&amp;"Col1 &lt;= DATE '"" &amp; TEXT($C$3, ""YYYY-MM-DD"") &amp; ""' LABEL SUM(Col11) ''"", 0), """")"),"#REF!")</f>
        <v>#REF!</v>
      </c>
      <c r="F14" s="13" t="str">
        <f t="shared" si="2"/>
        <v>#N/A</v>
      </c>
    </row>
    <row r="15" ht="15.75" customHeight="1">
      <c r="A15" s="1"/>
      <c r="B15" s="1"/>
      <c r="C15" s="2" t="str">
        <f>MAX(Feb_2025!C15,Feb_2025!F15)</f>
        <v>#N/A</v>
      </c>
      <c r="D15" s="13" t="str">
        <f>IFERROR(__xludf.DUMMYFUNCTION("IFNA(QUERY(IMPORTRANGE(""https://docs.google.com/spreadsheets/d/1EHL-jm_NiShR1a2JqKbpaJGazYH90DJO150spY6io4k/edit?gid=0#gid=0"", 
""Gen_Ledger!A:N""), 
""SELECT SUM(Col10) WHERE Col7 = ""&amp;B15&amp;"" AND Col1 &gt;= DATE '"" &amp; TEXT($C$2, ""YYYY-MM-DD"") &amp; ""' AND "&amp;"Col1 &lt;= DATE '"" &amp; TEXT($C$3, ""YYYY-MM-DD"") &amp; ""' LABEL SUM(Col10) ''"", 0), """")"),"#REF!")</f>
        <v>#REF!</v>
      </c>
      <c r="E15" s="13" t="str">
        <f>IFERROR(__xludf.DUMMYFUNCTION("IFNA(QUERY(IMPORTRANGE(""https://docs.google.com/spreadsheets/d/1EHL-jm_NiShR1a2JqKbpaJGazYH90DJO150spY6io4k/edit?gid=0#gid=0"", 
""Gen_Ledger!A:N""), 
""SELECT SUM(Col11) WHERE Col7 = ""&amp;B15&amp;"" AND Col1 &gt;= DATE '"" &amp; TEXT($C$2, ""YYYY-MM-DD"") &amp; ""' AND "&amp;"Col1 &lt;= DATE '"" &amp; TEXT($C$3, ""YYYY-MM-DD"") &amp; ""' LABEL SUM(Col11) ''"", 0), """")"),"#REF!")</f>
        <v>#REF!</v>
      </c>
      <c r="F15" s="13" t="str">
        <f t="shared" si="2"/>
        <v>#N/A</v>
      </c>
    </row>
    <row r="16" ht="15.75" customHeight="1">
      <c r="A16" s="1"/>
      <c r="B16" s="1"/>
      <c r="C16" s="2" t="str">
        <f>MAX(Feb_2025!C16,Feb_2025!F16)</f>
        <v>#N/A</v>
      </c>
      <c r="D16" s="13" t="str">
        <f>IFERROR(__xludf.DUMMYFUNCTION("IFNA(QUERY(IMPORTRANGE(""https://docs.google.com/spreadsheets/d/1EHL-jm_NiShR1a2JqKbpaJGazYH90DJO150spY6io4k/edit?gid=0#gid=0"", 
""Gen_Ledger!A:N""), 
""SELECT SUM(Col10) WHERE Col7 = ""&amp;B16&amp;"" AND Col1 &gt;= DATE '"" &amp; TEXT($C$2, ""YYYY-MM-DD"") &amp; ""' AND "&amp;"Col1 &lt;= DATE '"" &amp; TEXT($C$3, ""YYYY-MM-DD"") &amp; ""' LABEL SUM(Col10) ''"", 0), """")"),"#REF!")</f>
        <v>#REF!</v>
      </c>
      <c r="E16" s="13" t="str">
        <f>IFERROR(__xludf.DUMMYFUNCTION("IFNA(QUERY(IMPORTRANGE(""https://docs.google.com/spreadsheets/d/1EHL-jm_NiShR1a2JqKbpaJGazYH90DJO150spY6io4k/edit?gid=0#gid=0"", 
""Gen_Ledger!A:N""), 
""SELECT SUM(Col11) WHERE Col7 = ""&amp;B16&amp;"" AND Col1 &gt;= DATE '"" &amp; TEXT($C$2, ""YYYY-MM-DD"") &amp; ""' AND "&amp;"Col1 &lt;= DATE '"" &amp; TEXT($C$3, ""YYYY-MM-DD"") &amp; ""' LABEL SUM(Col11) ''"", 0), """")"),"#REF!")</f>
        <v>#REF!</v>
      </c>
      <c r="F16" s="13" t="str">
        <f t="shared" si="2"/>
        <v>#N/A</v>
      </c>
    </row>
    <row r="17" ht="15.75" customHeight="1">
      <c r="A17" s="1"/>
      <c r="B17" s="1"/>
      <c r="C17" s="2" t="str">
        <f>MAX(Feb_2025!C17,Feb_2025!F17)</f>
        <v>#N/A</v>
      </c>
      <c r="D17" s="13" t="str">
        <f>IFERROR(__xludf.DUMMYFUNCTION("IFNA(QUERY(IMPORTRANGE(""https://docs.google.com/spreadsheets/d/1EHL-jm_NiShR1a2JqKbpaJGazYH90DJO150spY6io4k/edit?gid=0#gid=0"", 
""Gen_Ledger!A:N""), 
""SELECT SUM(Col10) WHERE Col7 = ""&amp;B17&amp;"" AND Col1 &gt;= DATE '"" &amp; TEXT($C$2, ""YYYY-MM-DD"") &amp; ""' AND "&amp;"Col1 &lt;= DATE '"" &amp; TEXT($C$3, ""YYYY-MM-DD"") &amp; ""' LABEL SUM(Col10) ''"", 0), """")"),"#REF!")</f>
        <v>#REF!</v>
      </c>
      <c r="E17" s="13" t="str">
        <f>IFERROR(__xludf.DUMMYFUNCTION("IFNA(QUERY(IMPORTRANGE(""https://docs.google.com/spreadsheets/d/1EHL-jm_NiShR1a2JqKbpaJGazYH90DJO150spY6io4k/edit?gid=0#gid=0"", 
""Gen_Ledger!A:N""), 
""SELECT SUM(Col11) WHERE Col7 = ""&amp;B17&amp;"" AND Col1 &gt;= DATE '"" &amp; TEXT($C$2, ""YYYY-MM-DD"") &amp; ""' AND "&amp;"Col1 &lt;= DATE '"" &amp; TEXT($C$3, ""YYYY-MM-DD"") &amp; ""' LABEL SUM(Col11) ''"", 0), """")"),"#REF!")</f>
        <v>#REF!</v>
      </c>
      <c r="F17" s="13" t="str">
        <f t="shared" si="2"/>
        <v>#N/A</v>
      </c>
    </row>
    <row r="18" ht="15.75" customHeight="1">
      <c r="A18" s="1"/>
      <c r="B18" s="1"/>
      <c r="C18" s="2" t="str">
        <f>MAX(Feb_2025!C18,Feb_2025!F18)</f>
        <v>#N/A</v>
      </c>
      <c r="D18" s="13" t="str">
        <f>IFERROR(__xludf.DUMMYFUNCTION("IFNA(QUERY(IMPORTRANGE(""https://docs.google.com/spreadsheets/d/1EHL-jm_NiShR1a2JqKbpaJGazYH90DJO150spY6io4k/edit?gid=0#gid=0"", 
""Gen_Ledger!A:N""), 
""SELECT SUM(Col10) WHERE Col7 = ""&amp;B18&amp;"" AND Col1 &gt;= DATE '"" &amp; TEXT($C$2, ""YYYY-MM-DD"") &amp; ""' AND "&amp;"Col1 &lt;= DATE '"" &amp; TEXT($C$3, ""YYYY-MM-DD"") &amp; ""' LABEL SUM(Col10) ''"", 0), """")"),"#REF!")</f>
        <v>#REF!</v>
      </c>
      <c r="E18" s="13" t="str">
        <f>IFERROR(__xludf.DUMMYFUNCTION("IFNA(QUERY(IMPORTRANGE(""https://docs.google.com/spreadsheets/d/1EHL-jm_NiShR1a2JqKbpaJGazYH90DJO150spY6io4k/edit?gid=0#gid=0"", 
""Gen_Ledger!A:N""), 
""SELECT SUM(Col11) WHERE Col7 = ""&amp;B18&amp;"" AND Col1 &gt;= DATE '"" &amp; TEXT($C$2, ""YYYY-MM-DD"") &amp; ""' AND "&amp;"Col1 &lt;= DATE '"" &amp; TEXT($C$3, ""YYYY-MM-DD"") &amp; ""' LABEL SUM(Col11) ''"", 0), """")"),"#REF!")</f>
        <v>#REF!</v>
      </c>
      <c r="F18" s="13" t="str">
        <f t="shared" si="2"/>
        <v>#N/A</v>
      </c>
    </row>
    <row r="19" ht="15.75" customHeight="1">
      <c r="A19" s="1"/>
      <c r="B19" s="1"/>
      <c r="C19" s="2" t="str">
        <f>MAX(Feb_2025!C19,Feb_2025!F19)</f>
        <v>#N/A</v>
      </c>
      <c r="D19" s="13" t="str">
        <f>IFERROR(__xludf.DUMMYFUNCTION("IFNA(QUERY(IMPORTRANGE(""https://docs.google.com/spreadsheets/d/1EHL-jm_NiShR1a2JqKbpaJGazYH90DJO150spY6io4k/edit?gid=0#gid=0"", 
""Gen_Ledger!A:N""), 
""SELECT SUM(Col10) WHERE Col7 = ""&amp;B19&amp;"" AND Col1 &gt;= DATE '"" &amp; TEXT($C$2, ""YYYY-MM-DD"") &amp; ""' AND "&amp;"Col1 &lt;= DATE '"" &amp; TEXT($C$3, ""YYYY-MM-DD"") &amp; ""' LABEL SUM(Col10) ''"", 0), """")"),"#REF!")</f>
        <v>#REF!</v>
      </c>
      <c r="E19" s="13" t="str">
        <f>IFERROR(__xludf.DUMMYFUNCTION("IFNA(QUERY(IMPORTRANGE(""https://docs.google.com/spreadsheets/d/1EHL-jm_NiShR1a2JqKbpaJGazYH90DJO150spY6io4k/edit?gid=0#gid=0"", 
""Gen_Ledger!A:N""), 
""SELECT SUM(Col11) WHERE Col7 = ""&amp;B19&amp;"" AND Col1 &gt;= DATE '"" &amp; TEXT($C$2, ""YYYY-MM-DD"") &amp; ""' AND "&amp;"Col1 &lt;= DATE '"" &amp; TEXT($C$3, ""YYYY-MM-DD"") &amp; ""' LABEL SUM(Col11) ''"", 0), """")"),"#REF!")</f>
        <v>#REF!</v>
      </c>
      <c r="F19" s="13" t="str">
        <f t="shared" si="2"/>
        <v>#N/A</v>
      </c>
    </row>
    <row r="20" ht="15.75" customHeight="1">
      <c r="A20" s="1"/>
      <c r="B20" s="1"/>
      <c r="C20" s="2" t="str">
        <f>MAX(Feb_2025!C20,Feb_2025!F20)</f>
        <v>#N/A</v>
      </c>
      <c r="D20" s="13" t="str">
        <f>IFERROR(__xludf.DUMMYFUNCTION("IFNA(QUERY(IMPORTRANGE(""https://docs.google.com/spreadsheets/d/1EHL-jm_NiShR1a2JqKbpaJGazYH90DJO150spY6io4k/edit?gid=0#gid=0"", 
""Gen_Ledger!A:N""), 
""SELECT SUM(Col10) WHERE Col7 = ""&amp;B20&amp;"" AND Col1 &gt;= DATE '"" &amp; TEXT($C$2, ""YYYY-MM-DD"") &amp; ""' AND "&amp;"Col1 &lt;= DATE '"" &amp; TEXT($C$3, ""YYYY-MM-DD"") &amp; ""' LABEL SUM(Col10) ''"", 0), """")"),"#REF!")</f>
        <v>#REF!</v>
      </c>
      <c r="E20" s="13" t="str">
        <f>IFERROR(__xludf.DUMMYFUNCTION("IFNA(QUERY(IMPORTRANGE(""https://docs.google.com/spreadsheets/d/1EHL-jm_NiShR1a2JqKbpaJGazYH90DJO150spY6io4k/edit?gid=0#gid=0"", 
""Gen_Ledger!A:N""), 
""SELECT SUM(Col11) WHERE Col7 = ""&amp;B20&amp;"" AND Col1 &gt;= DATE '"" &amp; TEXT($C$2, ""YYYY-MM-DD"") &amp; ""' AND "&amp;"Col1 &lt;= DATE '"" &amp; TEXT($C$3, ""YYYY-MM-DD"") &amp; ""' LABEL SUM(Col11) ''"", 0), """")"),"#REF!")</f>
        <v>#REF!</v>
      </c>
      <c r="F20" s="13" t="str">
        <f t="shared" si="2"/>
        <v>#N/A</v>
      </c>
    </row>
    <row r="21" ht="15.75" customHeight="1">
      <c r="A21" s="1"/>
      <c r="B21" s="1"/>
      <c r="C21" s="2" t="str">
        <f>MAX(Feb_2025!C21,Feb_2025!F21)</f>
        <v>#N/A</v>
      </c>
      <c r="D21" s="13" t="str">
        <f>IFERROR(__xludf.DUMMYFUNCTION("IFNA(QUERY(IMPORTRANGE(""https://docs.google.com/spreadsheets/d/1EHL-jm_NiShR1a2JqKbpaJGazYH90DJO150spY6io4k/edit?gid=0#gid=0"", 
""Gen_Ledger!A:N""), 
""SELECT SUM(Col10) WHERE Col7 = ""&amp;B21&amp;"" AND Col1 &gt;= DATE '"" &amp; TEXT($C$2, ""YYYY-MM-DD"") &amp; ""' AND "&amp;"Col1 &lt;= DATE '"" &amp; TEXT($C$3, ""YYYY-MM-DD"") &amp; ""' LABEL SUM(Col10) ''"", 0), """")"),"#REF!")</f>
        <v>#REF!</v>
      </c>
      <c r="E21" s="13" t="str">
        <f>IFERROR(__xludf.DUMMYFUNCTION("IFNA(QUERY(IMPORTRANGE(""https://docs.google.com/spreadsheets/d/1EHL-jm_NiShR1a2JqKbpaJGazYH90DJO150spY6io4k/edit?gid=0#gid=0"", 
""Gen_Ledger!A:N""), 
""SELECT SUM(Col11) WHERE Col7 = ""&amp;B21&amp;"" AND Col1 &gt;= DATE '"" &amp; TEXT($C$2, ""YYYY-MM-DD"") &amp; ""' AND "&amp;"Col1 &lt;= DATE '"" &amp; TEXT($C$3, ""YYYY-MM-DD"") &amp; ""' LABEL SUM(Col11) ''"", 0), """")"),"#REF!")</f>
        <v>#REF!</v>
      </c>
      <c r="F21" s="13" t="str">
        <f t="shared" si="2"/>
        <v>#N/A</v>
      </c>
      <c r="M21" s="12"/>
    </row>
    <row r="22" ht="15.75" customHeight="1">
      <c r="A22" s="1"/>
      <c r="B22" s="1"/>
      <c r="C22" s="2" t="str">
        <f>MAX(Feb_2025!C22,Feb_2025!F22)</f>
        <v>#N/A</v>
      </c>
      <c r="D22" s="13" t="str">
        <f>IFERROR(__xludf.DUMMYFUNCTION("IFNA(QUERY(IMPORTRANGE(""https://docs.google.com/spreadsheets/d/1EHL-jm_NiShR1a2JqKbpaJGazYH90DJO150spY6io4k/edit?gid=0#gid=0"", 
""Gen_Ledger!A:N""), 
""SELECT SUM(Col10) WHERE Col7 = ""&amp;B22&amp;"" AND Col1 &gt;= DATE '"" &amp; TEXT($C$2, ""YYYY-MM-DD"") &amp; ""' AND "&amp;"Col1 &lt;= DATE '"" &amp; TEXT($C$3, ""YYYY-MM-DD"") &amp; ""' LABEL SUM(Col10) ''"", 0), """")"),"#REF!")</f>
        <v>#REF!</v>
      </c>
      <c r="E22" s="13" t="str">
        <f>IFERROR(__xludf.DUMMYFUNCTION("IFNA(QUERY(IMPORTRANGE(""https://docs.google.com/spreadsheets/d/1EHL-jm_NiShR1a2JqKbpaJGazYH90DJO150spY6io4k/edit?gid=0#gid=0"", 
""Gen_Ledger!A:N""), 
""SELECT SUM(Col11) WHERE Col7 = ""&amp;B22&amp;"" AND Col1 &gt;= DATE '"" &amp; TEXT($C$2, ""YYYY-MM-DD"") &amp; ""' AND "&amp;"Col1 &lt;= DATE '"" &amp; TEXT($C$3, ""YYYY-MM-DD"") &amp; ""' LABEL SUM(Col11) ''"", 0), """")"),"#REF!")</f>
        <v>#REF!</v>
      </c>
      <c r="F22" s="13" t="str">
        <f t="shared" ref="F22:F25" si="3">C22+E22</f>
        <v>#N/A</v>
      </c>
      <c r="M22" s="12"/>
    </row>
    <row r="23" ht="15.75" customHeight="1">
      <c r="A23" s="1"/>
      <c r="B23" s="1"/>
      <c r="C23" s="2" t="str">
        <f>MAX(Feb_2025!C23,Feb_2025!F23)</f>
        <v>#N/A</v>
      </c>
      <c r="D23" s="13" t="str">
        <f>IFERROR(__xludf.DUMMYFUNCTION("IFNA(QUERY(IMPORTRANGE(""https://docs.google.com/spreadsheets/d/1EHL-jm_NiShR1a2JqKbpaJGazYH90DJO150spY6io4k/edit?gid=0#gid=0"", 
""Gen_Ledger!A:N""), 
""SELECT SUM(Col10) WHERE Col7 = ""&amp;B23&amp;"" AND Col1 &gt;= DATE '"" &amp; TEXT($C$2, ""YYYY-MM-DD"") &amp; ""' AND "&amp;"Col1 &lt;= DATE '"" &amp; TEXT($C$3, ""YYYY-MM-DD"") &amp; ""' LABEL SUM(Col10) ''"", 0), """")"),"#REF!")</f>
        <v>#REF!</v>
      </c>
      <c r="E23" s="13" t="str">
        <f>IFERROR(__xludf.DUMMYFUNCTION("IFNA(QUERY(IMPORTRANGE(""https://docs.google.com/spreadsheets/d/1EHL-jm_NiShR1a2JqKbpaJGazYH90DJO150spY6io4k/edit?gid=0#gid=0"", 
""Gen_Ledger!A:N""), 
""SELECT SUM(Col11) WHERE Col7 = ""&amp;B23&amp;"" AND Col1 &gt;= DATE '"" &amp; TEXT($C$2, ""YYYY-MM-DD"") &amp; ""' AND "&amp;"Col1 &lt;= DATE '"" &amp; TEXT($C$3, ""YYYY-MM-DD"") &amp; ""' LABEL SUM(Col11) ''"", 0), """")"),"#REF!")</f>
        <v>#REF!</v>
      </c>
      <c r="F23" s="13" t="str">
        <f t="shared" si="3"/>
        <v>#N/A</v>
      </c>
      <c r="M23" s="12"/>
    </row>
    <row r="24" ht="15.75" customHeight="1">
      <c r="A24" s="1"/>
      <c r="B24" s="1"/>
      <c r="C24" s="2" t="str">
        <f>MAX(Feb_2025!C24,Feb_2025!F24)</f>
        <v>#N/A</v>
      </c>
      <c r="D24" s="13" t="str">
        <f>IFERROR(__xludf.DUMMYFUNCTION("IFNA(QUERY(IMPORTRANGE(""https://docs.google.com/spreadsheets/d/1EHL-jm_NiShR1a2JqKbpaJGazYH90DJO150spY6io4k/edit?gid=0#gid=0"", 
""Gen_Ledger!A:N""), 
""SELECT SUM(Col10) WHERE Col7 = ""&amp;B24&amp;"" AND Col1 &gt;= DATE '"" &amp; TEXT($C$2, ""YYYY-MM-DD"") &amp; ""' AND "&amp;"Col1 &lt;= DATE '"" &amp; TEXT($C$3, ""YYYY-MM-DD"") &amp; ""' LABEL SUM(Col10) ''"", 0), """")"),"#REF!")</f>
        <v>#REF!</v>
      </c>
      <c r="E24" s="13" t="str">
        <f>IFERROR(__xludf.DUMMYFUNCTION("IFNA(QUERY(IMPORTRANGE(""https://docs.google.com/spreadsheets/d/1EHL-jm_NiShR1a2JqKbpaJGazYH90DJO150spY6io4k/edit?gid=0#gid=0"", 
""Gen_Ledger!A:N""), 
""SELECT SUM(Col11) WHERE Col7 = ""&amp;B24&amp;"" AND Col1 &gt;= DATE '"" &amp; TEXT($C$2, ""YYYY-MM-DD"") &amp; ""' AND "&amp;"Col1 &lt;= DATE '"" &amp; TEXT($C$3, ""YYYY-MM-DD"") &amp; ""' LABEL SUM(Col11) ''"", 0), """")"),"#REF!")</f>
        <v>#REF!</v>
      </c>
      <c r="F24" s="13" t="str">
        <f t="shared" si="3"/>
        <v>#N/A</v>
      </c>
      <c r="M24" s="12"/>
    </row>
    <row r="25" ht="15.75" customHeight="1">
      <c r="A25" s="1"/>
      <c r="B25" s="1"/>
      <c r="C25" s="2" t="str">
        <f>MAX(Feb_2025!C25,Feb_2025!F25)</f>
        <v>#N/A</v>
      </c>
      <c r="D25" s="13" t="str">
        <f>IFERROR(__xludf.DUMMYFUNCTION("IFNA(QUERY(IMPORTRANGE(""https://docs.google.com/spreadsheets/d/1EHL-jm_NiShR1a2JqKbpaJGazYH90DJO150spY6io4k/edit?gid=0#gid=0"", 
""Gen_Ledger!A:N""), 
""SELECT SUM(Col10) WHERE Col7 = ""&amp;B25&amp;"" AND Col1 &gt;= DATE '"" &amp; TEXT($C$2, ""YYYY-MM-DD"") &amp; ""' AND "&amp;"Col1 &lt;= DATE '"" &amp; TEXT($C$3, ""YYYY-MM-DD"") &amp; ""' LABEL SUM(Col10) ''"", 0), """")"),"#REF!")</f>
        <v>#REF!</v>
      </c>
      <c r="E25" s="13" t="str">
        <f>IFERROR(__xludf.DUMMYFUNCTION("IFNA(QUERY(IMPORTRANGE(""https://docs.google.com/spreadsheets/d/1EHL-jm_NiShR1a2JqKbpaJGazYH90DJO150spY6io4k/edit?gid=0#gid=0"", 
""Gen_Ledger!A:N""), 
""SELECT SUM(Col11) WHERE Col7 = ""&amp;B25&amp;"" AND Col1 &gt;= DATE '"" &amp; TEXT($C$2, ""YYYY-MM-DD"") &amp; ""' AND "&amp;"Col1 &lt;= DATE '"" &amp; TEXT($C$3, ""YYYY-MM-DD"") &amp; ""' LABEL SUM(Col11) ''"", 0), """")"),"#REF!")</f>
        <v>#REF!</v>
      </c>
      <c r="F25" s="13" t="str">
        <f t="shared" si="3"/>
        <v>#N/A</v>
      </c>
    </row>
    <row r="26" ht="15.75" customHeight="1">
      <c r="A26" s="1"/>
      <c r="B26" s="1"/>
      <c r="C26" s="2" t="str">
        <f>MAX(Feb_2025!C26,Feb_2025!F26)</f>
        <v>#N/A</v>
      </c>
      <c r="D26" s="13" t="str">
        <f>IFERROR(__xludf.DUMMYFUNCTION("IFNA(QUERY(IMPORTRANGE(""https://docs.google.com/spreadsheets/d/1EHL-jm_NiShR1a2JqKbpaJGazYH90DJO150spY6io4k/edit?gid=0#gid=0"", 
""Gen_Ledger!A:N""), 
""SELECT SUM(Col10) WHERE Col7 = ""&amp;B26&amp;"" AND Col1 &gt;= DATE '"" &amp; TEXT($C$2, ""YYYY-MM-DD"") &amp; ""' AND "&amp;"Col1 &lt;= DATE '"" &amp; TEXT($C$3, ""YYYY-MM-DD"") &amp; ""' LABEL SUM(Col10) ''"", 0), """")"),"#REF!")</f>
        <v>#REF!</v>
      </c>
      <c r="E26" s="13" t="str">
        <f>IFERROR(__xludf.DUMMYFUNCTION("IFNA(QUERY(IMPORTRANGE(""https://docs.google.com/spreadsheets/d/1EHL-jm_NiShR1a2JqKbpaJGazYH90DJO150spY6io4k/edit?gid=0#gid=0"", 
""Gen_Ledger!A:N""), 
""SELECT SUM(Col11) WHERE Col7 = ""&amp;B26&amp;"" AND Col1 &gt;= DATE '"" &amp; TEXT($C$2, ""YYYY-MM-DD"") &amp; ""' AND "&amp;"Col1 &lt;= DATE '"" &amp; TEXT($C$3, ""YYYY-MM-DD"") &amp; ""' LABEL SUM(Col11) ''"", 0), """")"),"#REF!")</f>
        <v>#REF!</v>
      </c>
      <c r="F26" s="13" t="str">
        <f t="shared" ref="F26:F36" si="4">C26+E26-D26</f>
        <v>#N/A</v>
      </c>
    </row>
    <row r="27" ht="15.75" customHeight="1">
      <c r="A27" s="1"/>
      <c r="B27" s="1"/>
      <c r="C27" s="2" t="str">
        <f>MAX(Feb_2025!C27,Feb_2025!F27)</f>
        <v>#N/A</v>
      </c>
      <c r="D27" s="13" t="str">
        <f>IFERROR(__xludf.DUMMYFUNCTION("IFNA(QUERY(IMPORTRANGE(""https://docs.google.com/spreadsheets/d/1EHL-jm_NiShR1a2JqKbpaJGazYH90DJO150spY6io4k/edit?gid=0#gid=0"", 
""Gen_Ledger!A:N""), 
""SELECT SUM(Col10) WHERE Col7 = ""&amp;B27&amp;"" AND Col1 &gt;= DATE '"" &amp; TEXT($C$2, ""YYYY-MM-DD"") &amp; ""' AND "&amp;"Col1 &lt;= DATE '"" &amp; TEXT($C$3, ""YYYY-MM-DD"") &amp; ""' LABEL SUM(Col10) ''"", 0), """")"),"#REF!")</f>
        <v>#REF!</v>
      </c>
      <c r="E27" s="13" t="str">
        <f>IFERROR(__xludf.DUMMYFUNCTION("IFNA(QUERY(IMPORTRANGE(""https://docs.google.com/spreadsheets/d/1EHL-jm_NiShR1a2JqKbpaJGazYH90DJO150spY6io4k/edit?gid=0#gid=0"", 
""Gen_Ledger!A:N""), 
""SELECT SUM(Col11) WHERE Col7 = ""&amp;B27&amp;"" AND Col1 &gt;= DATE '"" &amp; TEXT($C$2, ""YYYY-MM-DD"") &amp; ""' AND "&amp;"Col1 &lt;= DATE '"" &amp; TEXT($C$3, ""YYYY-MM-DD"") &amp; ""' LABEL SUM(Col11) ''"", 0), """")"),"#REF!")</f>
        <v>#REF!</v>
      </c>
      <c r="F27" s="13" t="str">
        <f t="shared" si="4"/>
        <v>#N/A</v>
      </c>
    </row>
    <row r="28" ht="15.75" customHeight="1">
      <c r="A28" s="1"/>
      <c r="B28" s="1"/>
      <c r="C28" s="2" t="str">
        <f>MAX(Feb_2025!C28,Feb_2025!F28)</f>
        <v>#N/A</v>
      </c>
      <c r="D28" s="13" t="str">
        <f>IFERROR(__xludf.DUMMYFUNCTION("IFNA(QUERY(IMPORTRANGE(""https://docs.google.com/spreadsheets/d/1EHL-jm_NiShR1a2JqKbpaJGazYH90DJO150spY6io4k/edit?gid=0#gid=0"", 
""Gen_Ledger!A:N""), 
""SELECT SUM(Col10) WHERE Col7 = ""&amp;B28&amp;"" AND Col1 &gt;= DATE '"" &amp; TEXT($C$2, ""YYYY-MM-DD"") &amp; ""' AND "&amp;"Col1 &lt;= DATE '"" &amp; TEXT($C$3, ""YYYY-MM-DD"") &amp; ""' LABEL SUM(Col10) ''"", 0), """")"),"#REF!")</f>
        <v>#REF!</v>
      </c>
      <c r="E28" s="13" t="str">
        <f>IFERROR(__xludf.DUMMYFUNCTION("IFNA(QUERY(IMPORTRANGE(""https://docs.google.com/spreadsheets/d/1EHL-jm_NiShR1a2JqKbpaJGazYH90DJO150spY6io4k/edit?gid=0#gid=0"", 
""Gen_Ledger!A:N""), 
""SELECT SUM(Col11) WHERE Col7 = ""&amp;B28&amp;"" AND Col1 &gt;= DATE '"" &amp; TEXT($C$2, ""YYYY-MM-DD"") &amp; ""' AND "&amp;"Col1 &lt;= DATE '"" &amp; TEXT($C$3, ""YYYY-MM-DD"") &amp; ""' LABEL SUM(Col11) ''"", 0), """")"),"#REF!")</f>
        <v>#REF!</v>
      </c>
      <c r="F28" s="13" t="str">
        <f t="shared" si="4"/>
        <v>#N/A</v>
      </c>
    </row>
    <row r="29" ht="15.75" customHeight="1">
      <c r="A29" s="1"/>
      <c r="B29" s="1"/>
      <c r="C29" s="2" t="str">
        <f>MAX(Feb_2025!C29,Feb_2025!F29)</f>
        <v>#N/A</v>
      </c>
      <c r="D29" s="13" t="str">
        <f>IFERROR(__xludf.DUMMYFUNCTION("IFNA(QUERY(IMPORTRANGE(""https://docs.google.com/spreadsheets/d/1EHL-jm_NiShR1a2JqKbpaJGazYH90DJO150spY6io4k/edit?gid=0#gid=0"", 
""Gen_Ledger!A:N""), 
""SELECT SUM(Col10) WHERE Col7 = ""&amp;B29&amp;"" AND Col1 &gt;= DATE '"" &amp; TEXT($C$2, ""YYYY-MM-DD"") &amp; ""' AND "&amp;"Col1 &lt;= DATE '"" &amp; TEXT($C$3, ""YYYY-MM-DD"") &amp; ""' LABEL SUM(Col10) ''"", 0), """")"),"#REF!")</f>
        <v>#REF!</v>
      </c>
      <c r="E29" s="13" t="str">
        <f>IFERROR(__xludf.DUMMYFUNCTION("IFNA(QUERY(IMPORTRANGE(""https://docs.google.com/spreadsheets/d/1EHL-jm_NiShR1a2JqKbpaJGazYH90DJO150spY6io4k/edit?gid=0#gid=0"", 
""Gen_Ledger!A:N""), 
""SELECT SUM(Col11) WHERE Col7 = ""&amp;B29&amp;"" AND Col1 &gt;= DATE '"" &amp; TEXT($C$2, ""YYYY-MM-DD"") &amp; ""' AND "&amp;"Col1 &lt;= DATE '"" &amp; TEXT($C$3, ""YYYY-MM-DD"") &amp; ""' LABEL SUM(Col11) ''"", 0), """")"),"#REF!")</f>
        <v>#REF!</v>
      </c>
      <c r="F29" s="13" t="str">
        <f t="shared" si="4"/>
        <v>#N/A</v>
      </c>
    </row>
    <row r="30" ht="15.75" customHeight="1">
      <c r="A30" s="1"/>
      <c r="B30" s="1"/>
      <c r="C30" s="2" t="str">
        <f>MAX(Feb_2025!C30,Feb_2025!F30)</f>
        <v>#N/A</v>
      </c>
      <c r="D30" s="13" t="str">
        <f>IFERROR(__xludf.DUMMYFUNCTION("IFNA(QUERY(IMPORTRANGE(""https://docs.google.com/spreadsheets/d/1EHL-jm_NiShR1a2JqKbpaJGazYH90DJO150spY6io4k/edit?gid=0#gid=0"", 
""Gen_Ledger!A:N""), 
""SELECT SUM(Col10) WHERE Col7 = ""&amp;B30&amp;"" AND Col1 &gt;= DATE '"" &amp; TEXT($C$2, ""YYYY-MM-DD"") &amp; ""' AND "&amp;"Col1 &lt;= DATE '"" &amp; TEXT($C$3, ""YYYY-MM-DD"") &amp; ""' LABEL SUM(Col10) ''"", 0), """")"),"#REF!")</f>
        <v>#REF!</v>
      </c>
      <c r="E30" s="13" t="str">
        <f>IFERROR(__xludf.DUMMYFUNCTION("IFNA(QUERY(IMPORTRANGE(""https://docs.google.com/spreadsheets/d/1EHL-jm_NiShR1a2JqKbpaJGazYH90DJO150spY6io4k/edit?gid=0#gid=0"", 
""Gen_Ledger!A:N""), 
""SELECT SUM(Col11) WHERE Col7 = ""&amp;B30&amp;"" AND Col1 &gt;= DATE '"" &amp; TEXT($C$2, ""YYYY-MM-DD"") &amp; ""' AND "&amp;"Col1 &lt;= DATE '"" &amp; TEXT($C$3, ""YYYY-MM-DD"") &amp; ""' LABEL SUM(Col11) ''"", 0), """")"),"#REF!")</f>
        <v>#REF!</v>
      </c>
      <c r="F30" s="13" t="str">
        <f t="shared" si="4"/>
        <v>#N/A</v>
      </c>
    </row>
    <row r="31" ht="15.75" customHeight="1">
      <c r="A31" s="1"/>
      <c r="B31" s="1"/>
      <c r="C31" s="2" t="str">
        <f>MAX(Feb_2025!C31,Feb_2025!F31)</f>
        <v>#N/A</v>
      </c>
      <c r="D31" s="13" t="str">
        <f>IFERROR(__xludf.DUMMYFUNCTION("IFNA(QUERY(IMPORTRANGE(""https://docs.google.com/spreadsheets/d/1EHL-jm_NiShR1a2JqKbpaJGazYH90DJO150spY6io4k/edit?gid=0#gid=0"", 
""Gen_Ledger!A:N""), 
""SELECT SUM(Col10) WHERE Col7 = ""&amp;B31&amp;"" AND Col1 &gt;= DATE '"" &amp; TEXT($C$2, ""YYYY-MM-DD"") &amp; ""' AND "&amp;"Col1 &lt;= DATE '"" &amp; TEXT($C$3, ""YYYY-MM-DD"") &amp; ""' LABEL SUM(Col10) ''"", 0), """")"),"#REF!")</f>
        <v>#REF!</v>
      </c>
      <c r="E31" s="13" t="str">
        <f>IFERROR(__xludf.DUMMYFUNCTION("IFNA(QUERY(IMPORTRANGE(""https://docs.google.com/spreadsheets/d/1EHL-jm_NiShR1a2JqKbpaJGazYH90DJO150spY6io4k/edit?gid=0#gid=0"", 
""Gen_Ledger!A:N""), 
""SELECT SUM(Col11) WHERE Col7 = ""&amp;B31&amp;"" AND Col1 &gt;= DATE '"" &amp; TEXT($C$2, ""YYYY-MM-DD"") &amp; ""' AND "&amp;"Col1 &lt;= DATE '"" &amp; TEXT($C$3, ""YYYY-MM-DD"") &amp; ""' LABEL SUM(Col11) ''"", 0), """")"),"#REF!")</f>
        <v>#REF!</v>
      </c>
      <c r="F31" s="13" t="str">
        <f t="shared" si="4"/>
        <v>#N/A</v>
      </c>
    </row>
    <row r="32" ht="15.75" customHeight="1">
      <c r="A32" s="1"/>
      <c r="B32" s="1"/>
      <c r="C32" s="2" t="str">
        <f>MAX(Feb_2025!C32,Feb_2025!F32)</f>
        <v>#N/A</v>
      </c>
      <c r="D32" s="13" t="str">
        <f>IFERROR(__xludf.DUMMYFUNCTION("IFNA(QUERY(IMPORTRANGE(""https://docs.google.com/spreadsheets/d/1EHL-jm_NiShR1a2JqKbpaJGazYH90DJO150spY6io4k/edit?gid=0#gid=0"", 
""Gen_Ledger!A:N""), 
""SELECT SUM(Col10) WHERE Col7 = ""&amp;B32&amp;"" AND Col1 &gt;= DATE '"" &amp; TEXT($C$2, ""YYYY-MM-DD"") &amp; ""' AND "&amp;"Col1 &lt;= DATE '"" &amp; TEXT($C$3, ""YYYY-MM-DD"") &amp; ""' LABEL SUM(Col10) ''"", 0), """")"),"#REF!")</f>
        <v>#REF!</v>
      </c>
      <c r="E32" s="13" t="str">
        <f>IFERROR(__xludf.DUMMYFUNCTION("IFNA(QUERY(IMPORTRANGE(""https://docs.google.com/spreadsheets/d/1EHL-jm_NiShR1a2JqKbpaJGazYH90DJO150spY6io4k/edit?gid=0#gid=0"", 
""Gen_Ledger!A:N""), 
""SELECT SUM(Col11) WHERE Col7 = ""&amp;B32&amp;"" AND Col1 &gt;= DATE '"" &amp; TEXT($C$2, ""YYYY-MM-DD"") &amp; ""' AND "&amp;"Col1 &lt;= DATE '"" &amp; TEXT($C$3, ""YYYY-MM-DD"") &amp; ""' LABEL SUM(Col11) ''"", 0), """")"),"#REF!")</f>
        <v>#REF!</v>
      </c>
      <c r="F32" s="13" t="str">
        <f t="shared" si="4"/>
        <v>#N/A</v>
      </c>
    </row>
    <row r="33" ht="15.75" customHeight="1">
      <c r="A33" s="1"/>
      <c r="B33" s="1"/>
      <c r="C33" s="2" t="str">
        <f>MAX(Feb_2025!C33,Feb_2025!F33)</f>
        <v>#N/A</v>
      </c>
      <c r="D33" s="13" t="str">
        <f>IFERROR(__xludf.DUMMYFUNCTION("IFNA(QUERY(IMPORTRANGE(""https://docs.google.com/spreadsheets/d/1EHL-jm_NiShR1a2JqKbpaJGazYH90DJO150spY6io4k/edit?gid=0#gid=0"", 
""Gen_Ledger!A:N""), 
""SELECT SUM(Col10) WHERE Col7 = ""&amp;B33&amp;"" AND Col1 &gt;= DATE '"" &amp; TEXT($C$2, ""YYYY-MM-DD"") &amp; ""' AND "&amp;"Col1 &lt;= DATE '"" &amp; TEXT($C$3, ""YYYY-MM-DD"") &amp; ""' LABEL SUM(Col10) ''"", 0), """")"),"#REF!")</f>
        <v>#REF!</v>
      </c>
      <c r="E33" s="13" t="str">
        <f>IFERROR(__xludf.DUMMYFUNCTION("IFNA(QUERY(IMPORTRANGE(""https://docs.google.com/spreadsheets/d/1EHL-jm_NiShR1a2JqKbpaJGazYH90DJO150spY6io4k/edit?gid=0#gid=0"", 
""Gen_Ledger!A:N""), 
""SELECT SUM(Col11) WHERE Col7 = ""&amp;B33&amp;"" AND Col1 &gt;= DATE '"" &amp; TEXT($C$2, ""YYYY-MM-DD"") &amp; ""' AND "&amp;"Col1 &lt;= DATE '"" &amp; TEXT($C$3, ""YYYY-MM-DD"") &amp; ""' LABEL SUM(Col11) ''"", 0), """")"),"#REF!")</f>
        <v>#REF!</v>
      </c>
      <c r="F33" s="13" t="str">
        <f t="shared" si="4"/>
        <v>#N/A</v>
      </c>
    </row>
    <row r="34" ht="15.75" customHeight="1">
      <c r="A34" s="1"/>
      <c r="B34" s="1"/>
      <c r="C34" s="2" t="str">
        <f>MAX(Feb_2025!C34,Feb_2025!F34)</f>
        <v>#N/A</v>
      </c>
      <c r="D34" s="13" t="str">
        <f>IFERROR(__xludf.DUMMYFUNCTION("IFNA(QUERY(IMPORTRANGE(""https://docs.google.com/spreadsheets/d/1EHL-jm_NiShR1a2JqKbpaJGazYH90DJO150spY6io4k/edit?gid=0#gid=0"", 
""Gen_Ledger!A:N""), 
""SELECT SUM(Col10) WHERE Col7 = ""&amp;B34&amp;"" AND Col1 &gt;= DATE '"" &amp; TEXT($C$2, ""YYYY-MM-DD"") &amp; ""' AND "&amp;"Col1 &lt;= DATE '"" &amp; TEXT($C$3, ""YYYY-MM-DD"") &amp; ""' LABEL SUM(Col10) ''"", 0), """")"),"#REF!")</f>
        <v>#REF!</v>
      </c>
      <c r="E34" s="13" t="str">
        <f>IFERROR(__xludf.DUMMYFUNCTION("IFNA(QUERY(IMPORTRANGE(""https://docs.google.com/spreadsheets/d/1EHL-jm_NiShR1a2JqKbpaJGazYH90DJO150spY6io4k/edit?gid=0#gid=0"", 
""Gen_Ledger!A:N""), 
""SELECT SUM(Col11) WHERE Col7 = ""&amp;B34&amp;"" AND Col1 &gt;= DATE '"" &amp; TEXT($C$2, ""YYYY-MM-DD"") &amp; ""' AND "&amp;"Col1 &lt;= DATE '"" &amp; TEXT($C$3, ""YYYY-MM-DD"") &amp; ""' LABEL SUM(Col11) ''"", 0), """")"),"#REF!")</f>
        <v>#REF!</v>
      </c>
      <c r="F34" s="13" t="str">
        <f t="shared" si="4"/>
        <v>#N/A</v>
      </c>
    </row>
    <row r="35" ht="15.75" customHeight="1">
      <c r="A35" s="1"/>
      <c r="B35" s="1"/>
      <c r="C35" s="2" t="str">
        <f>MAX(Feb_2025!C35,Feb_2025!F35)</f>
        <v>#N/A</v>
      </c>
      <c r="D35" s="13" t="str">
        <f>IFERROR(__xludf.DUMMYFUNCTION("IFNA(QUERY(IMPORTRANGE(""https://docs.google.com/spreadsheets/d/1EHL-jm_NiShR1a2JqKbpaJGazYH90DJO150spY6io4k/edit?gid=0#gid=0"", 
""Gen_Ledger!A:N""), 
""SELECT SUM(Col10) WHERE Col7 = ""&amp;B35&amp;"" AND Col1 &gt;= DATE '"" &amp; TEXT($C$2, ""YYYY-MM-DD"") &amp; ""' AND "&amp;"Col1 &lt;= DATE '"" &amp; TEXT($C$3, ""YYYY-MM-DD"") &amp; ""' LABEL SUM(Col10) ''"", 0), """")"),"#REF!")</f>
        <v>#REF!</v>
      </c>
      <c r="E35" s="13" t="str">
        <f>IFERROR(__xludf.DUMMYFUNCTION("IFNA(QUERY(IMPORTRANGE(""https://docs.google.com/spreadsheets/d/1EHL-jm_NiShR1a2JqKbpaJGazYH90DJO150spY6io4k/edit?gid=0#gid=0"", 
""Gen_Ledger!A:N""), 
""SELECT SUM(Col11) WHERE Col7 = ""&amp;B35&amp;"" AND Col1 &gt;= DATE '"" &amp; TEXT($C$2, ""YYYY-MM-DD"") &amp; ""' AND "&amp;"Col1 &lt;= DATE '"" &amp; TEXT($C$3, ""YYYY-MM-DD"") &amp; ""' LABEL SUM(Col11) ''"", 0), """")"),"#REF!")</f>
        <v>#REF!</v>
      </c>
      <c r="F35" s="13" t="str">
        <f t="shared" si="4"/>
        <v>#N/A</v>
      </c>
    </row>
    <row r="36" ht="15.75" customHeight="1">
      <c r="A36" s="1"/>
      <c r="B36" s="1"/>
      <c r="C36" s="2" t="str">
        <f>VLOOKUP(B36,Helper!$D$99:$F1000,3,FALSE)</f>
        <v>#N/A</v>
      </c>
      <c r="D36" s="13" t="str">
        <f>IFERROR(__xludf.DUMMYFUNCTION("IFNA(QUERY(IMPORTRANGE(""https://docs.google.com/spreadsheets/d/1EHL-jm_NiShR1a2JqKbpaJGazYH90DJO150spY6io4k/edit?gid=0#gid=0"", 
""Gen_Ledger!A:N""), 
""SELECT SUM(Col10) WHERE Col7 = ""&amp;B36&amp;"" AND Col1 &gt;= DATE '"" &amp; TEXT($C$2, ""YYYY-MM-DD"") &amp; ""' AND "&amp;"Col1 &lt;= DATE '"" &amp; TEXT($C$3, ""YYYY-MM-DD"") &amp; ""' LABEL SUM(Col10) ''"", 0), """")"),"#REF!")</f>
        <v>#REF!</v>
      </c>
      <c r="E36" s="13" t="str">
        <f>IFERROR(__xludf.DUMMYFUNCTION("IFNA(QUERY(IMPORTRANGE(""https://docs.google.com/spreadsheets/d/1EHL-jm_NiShR1a2JqKbpaJGazYH90DJO150spY6io4k/edit?gid=0#gid=0"", 
""Gen_Ledger!A:N""), 
""SELECT SUM(Col11) WHERE Col7 = ""&amp;B36&amp;"" AND Col1 &gt;= DATE '"" &amp; TEXT($C$2, ""YYYY-MM-DD"") &amp; ""' AND "&amp;"Col1 &lt;= DATE '"" &amp; TEXT($C$3, ""YYYY-MM-DD"") &amp; ""' LABEL SUM(Col11) ''"", 0), """")"),"#REF!")</f>
        <v>#REF!</v>
      </c>
      <c r="F36" s="13" t="str">
        <f t="shared" si="4"/>
        <v>#N/A</v>
      </c>
    </row>
    <row r="37" ht="15.75" customHeight="1">
      <c r="A37" s="1"/>
      <c r="B37" s="1"/>
      <c r="C37" s="2" t="str">
        <f>VLOOKUP(B37,Helper!$D$99:$F1000,3,FALSE)</f>
        <v>#N/A</v>
      </c>
      <c r="D37" s="13" t="str">
        <f>IFERROR(__xludf.DUMMYFUNCTION("IFNA(QUERY(IMPORTRANGE(""https://docs.google.com/spreadsheets/d/1EHL-jm_NiShR1a2JqKbpaJGazYH90DJO150spY6io4k/edit?gid=0#gid=0"", 
""Gen_Ledger!A:N""), 
""SELECT SUM(Col10) WHERE Col7 = ""&amp;B37&amp;"" AND Col1 &gt;= DATE '"" &amp; TEXT($C$2, ""YYYY-MM-DD"") &amp; ""' AND "&amp;"Col1 &lt;= DATE '"" &amp; TEXT($C$3, ""YYYY-MM-DD"") &amp; ""' LABEL SUM(Col10) ''"", 0), """")"),"#REF!")</f>
        <v>#REF!</v>
      </c>
      <c r="E37" s="13" t="str">
        <f>IFERROR(__xludf.DUMMYFUNCTION("IFNA(QUERY(IMPORTRANGE(""https://docs.google.com/spreadsheets/d/1EHL-jm_NiShR1a2JqKbpaJGazYH90DJO150spY6io4k/edit?gid=0#gid=0"", 
""Gen_Ledger!A:N""), 
""SELECT SUM(Col11) WHERE Col7 = ""&amp;B37&amp;"" AND Col1 &gt;= DATE '"" &amp; TEXT($C$2, ""YYYY-MM-DD"") &amp; ""' AND "&amp;"Col1 &lt;= DATE '"" &amp; TEXT($C$3, ""YYYY-MM-DD"") &amp; ""' LABEL SUM(Col11) ''"", 0), """")"),"#REF!")</f>
        <v>#REF!</v>
      </c>
      <c r="F37" s="13" t="str">
        <f t="shared" ref="F37:F38" si="5">E37</f>
        <v>#REF!</v>
      </c>
    </row>
    <row r="38" ht="15.75" customHeight="1">
      <c r="A38" s="1"/>
      <c r="B38" s="1"/>
      <c r="C38" s="2" t="str">
        <f>VLOOKUP(B38,Helper!$D$99:$F1000,3,FALSE)</f>
        <v>#N/A</v>
      </c>
      <c r="D38" s="13" t="str">
        <f>IFERROR(__xludf.DUMMYFUNCTION("IFNA(QUERY(IMPORTRANGE(""https://docs.google.com/spreadsheets/d/1EHL-jm_NiShR1a2JqKbpaJGazYH90DJO150spY6io4k/edit?gid=0#gid=0"", 
""Gen_Ledger!A:N""), 
""SELECT SUM(Col10) WHERE Col7 = ""&amp;B38&amp;"" AND Col1 &gt;= DATE '"" &amp; TEXT($C$2, ""YYYY-MM-DD"") &amp; ""' AND "&amp;"Col1 &lt;= DATE '"" &amp; TEXT($C$3, ""YYYY-MM-DD"") &amp; ""' LABEL SUM(Col10) ''"", 0), """")"),"#REF!")</f>
        <v>#REF!</v>
      </c>
      <c r="E38" s="13" t="str">
        <f>IFERROR(__xludf.DUMMYFUNCTION("IFNA(QUERY(IMPORTRANGE(""https://docs.google.com/spreadsheets/d/1EHL-jm_NiShR1a2JqKbpaJGazYH90DJO150spY6io4k/edit?gid=0#gid=0"", 
""Gen_Ledger!A:N""), 
""SELECT SUM(Col11) WHERE Col7 = ""&amp;B38&amp;"" AND Col1 &gt;= DATE '"" &amp; TEXT($C$2, ""YYYY-MM-DD"") &amp; ""' AND "&amp;"Col1 &lt;= DATE '"" &amp; TEXT($C$3, ""YYYY-MM-DD"") &amp; ""' LABEL SUM(Col11) ''"", 0), """")"),"#REF!")</f>
        <v>#REF!</v>
      </c>
      <c r="F38" s="13" t="str">
        <f t="shared" si="5"/>
        <v>#REF!</v>
      </c>
    </row>
    <row r="39" ht="15.75" customHeight="1">
      <c r="A39" s="1"/>
      <c r="B39" s="1"/>
      <c r="C39" s="2" t="str">
        <f>VLOOKUP(B39,Helper!$D$99:$F1000,3,FALSE)</f>
        <v>#N/A</v>
      </c>
      <c r="D39" s="13" t="str">
        <f>IFERROR(__xludf.DUMMYFUNCTION("IFNA(QUERY(IMPORTRANGE(""https://docs.google.com/spreadsheets/d/1EHL-jm_NiShR1a2JqKbpaJGazYH90DJO150spY6io4k/edit?gid=0#gid=0"", 
""Gen_Ledger!A:N""), 
""SELECT SUM(Col10) WHERE Col7 = ""&amp;B39&amp;"" AND Col1 &gt;= DATE '"" &amp; TEXT($C$2, ""YYYY-MM-DD"") &amp; ""' AND "&amp;"Col1 &lt;= DATE '"" &amp; TEXT($C$3, ""YYYY-MM-DD"") &amp; ""' LABEL SUM(Col10) ''"", 0), """")"),"#REF!")</f>
        <v>#REF!</v>
      </c>
      <c r="E39" s="13" t="str">
        <f>IFERROR(__xludf.DUMMYFUNCTION("IFNA(QUERY(IMPORTRANGE(""https://docs.google.com/spreadsheets/d/1EHL-jm_NiShR1a2JqKbpaJGazYH90DJO150spY6io4k/edit?gid=0#gid=0"", 
""Gen_Ledger!A:N""), 
""SELECT SUM(Col11) WHERE Col7 = ""&amp;B39&amp;"" AND Col1 &gt;= DATE '"" &amp; TEXT($C$2, ""YYYY-MM-DD"") &amp; ""' AND "&amp;"Col1 &lt;= DATE '"" &amp; TEXT($C$3, ""YYYY-MM-DD"") &amp; ""' LABEL SUM(Col11) ''"", 0), """")"),"#REF!")</f>
        <v>#REF!</v>
      </c>
      <c r="F39" s="13" t="str">
        <f t="shared" ref="F39:F63" si="6">C39-E39+D39</f>
        <v>#N/A</v>
      </c>
    </row>
    <row r="40" ht="15.75" customHeight="1">
      <c r="A40" s="1"/>
      <c r="B40" s="1"/>
      <c r="C40" s="2" t="str">
        <f>VLOOKUP(B40,Helper!$D$99:$F1000,3,FALSE)</f>
        <v>#N/A</v>
      </c>
      <c r="D40" s="13" t="str">
        <f>IFERROR(__xludf.DUMMYFUNCTION("IFNA(QUERY(IMPORTRANGE(""https://docs.google.com/spreadsheets/d/1EHL-jm_NiShR1a2JqKbpaJGazYH90DJO150spY6io4k/edit?gid=0#gid=0"", 
""Gen_Ledger!A:N""), 
""SELECT SUM(Col10) WHERE Col7 = ""&amp;B40&amp;"" AND Col1 &gt;= DATE '"" &amp; TEXT($C$2, ""YYYY-MM-DD"") &amp; ""' AND "&amp;"Col1 &lt;= DATE '"" &amp; TEXT($C$3, ""YYYY-MM-DD"") &amp; ""' LABEL SUM(Col10) ''"", 0), """")"),"#REF!")</f>
        <v>#REF!</v>
      </c>
      <c r="E40" s="13" t="str">
        <f>IFERROR(__xludf.DUMMYFUNCTION("IFNA(QUERY(IMPORTRANGE(""https://docs.google.com/spreadsheets/d/1EHL-jm_NiShR1a2JqKbpaJGazYH90DJO150spY6io4k/edit?gid=0#gid=0"", 
""Gen_Ledger!A:N""), 
""SELECT SUM(Col11) WHERE Col7 = ""&amp;B40&amp;"" AND Col1 &gt;= DATE '"" &amp; TEXT($C$2, ""YYYY-MM-DD"") &amp; ""' AND "&amp;"Col1 &lt;= DATE '"" &amp; TEXT($C$3, ""YYYY-MM-DD"") &amp; ""' LABEL SUM(Col11) ''"", 0), """")"),"#REF!")</f>
        <v>#REF!</v>
      </c>
      <c r="F40" s="13" t="str">
        <f t="shared" si="6"/>
        <v>#N/A</v>
      </c>
    </row>
    <row r="41" ht="15.75" customHeight="1">
      <c r="A41" s="1"/>
      <c r="B41" s="1"/>
      <c r="C41" s="2" t="str">
        <f>VLOOKUP(B41,Helper!$D$99:$F1000,3,FALSE)</f>
        <v>#N/A</v>
      </c>
      <c r="D41" s="13" t="str">
        <f>IFERROR(__xludf.DUMMYFUNCTION("IFNA(QUERY(IMPORTRANGE(""https://docs.google.com/spreadsheets/d/1EHL-jm_NiShR1a2JqKbpaJGazYH90DJO150spY6io4k/edit?gid=0#gid=0"", 
""Gen_Ledger!A:N""), 
""SELECT SUM(Col10) WHERE Col7 = ""&amp;B41&amp;"" AND Col1 &gt;= DATE '"" &amp; TEXT($C$2, ""YYYY-MM-DD"") &amp; ""' AND "&amp;"Col1 &lt;= DATE '"" &amp; TEXT($C$3, ""YYYY-MM-DD"") &amp; ""' LABEL SUM(Col10) ''"", 0), """")"),"#REF!")</f>
        <v>#REF!</v>
      </c>
      <c r="E41" s="13" t="str">
        <f>IFERROR(__xludf.DUMMYFUNCTION("IFNA(QUERY(IMPORTRANGE(""https://docs.google.com/spreadsheets/d/1EHL-jm_NiShR1a2JqKbpaJGazYH90DJO150spY6io4k/edit?gid=0#gid=0"", 
""Gen_Ledger!A:N""), 
""SELECT SUM(Col11) WHERE Col7 = ""&amp;B41&amp;"" AND Col1 &gt;= DATE '"" &amp; TEXT($C$2, ""YYYY-MM-DD"") &amp; ""' AND "&amp;"Col1 &lt;= DATE '"" &amp; TEXT($C$3, ""YYYY-MM-DD"") &amp; ""' LABEL SUM(Col11) ''"", 0), """")"),"#REF!")</f>
        <v>#REF!</v>
      </c>
      <c r="F41" s="13" t="str">
        <f t="shared" si="6"/>
        <v>#N/A</v>
      </c>
    </row>
    <row r="42" ht="15.75" customHeight="1">
      <c r="A42" s="1"/>
      <c r="B42" s="1"/>
      <c r="C42" s="2" t="str">
        <f>VLOOKUP(B42,Helper!$D$99:$F1000,3,FALSE)</f>
        <v>#N/A</v>
      </c>
      <c r="D42" s="13" t="str">
        <f>IFERROR(__xludf.DUMMYFUNCTION("IFNA(QUERY(IMPORTRANGE(""https://docs.google.com/spreadsheets/d/1EHL-jm_NiShR1a2JqKbpaJGazYH90DJO150spY6io4k/edit?gid=0#gid=0"", 
""Gen_Ledger!A:N""), 
""SELECT SUM(Col10) WHERE Col7 = ""&amp;B42&amp;"" AND Col1 &gt;= DATE '"" &amp; TEXT($C$2, ""YYYY-MM-DD"") &amp; ""' AND "&amp;"Col1 &lt;= DATE '"" &amp; TEXT($C$3, ""YYYY-MM-DD"") &amp; ""' LABEL SUM(Col10) ''"", 0), """")"),"#REF!")</f>
        <v>#REF!</v>
      </c>
      <c r="E42" s="13" t="str">
        <f>IFERROR(__xludf.DUMMYFUNCTION("IFNA(QUERY(IMPORTRANGE(""https://docs.google.com/spreadsheets/d/1EHL-jm_NiShR1a2JqKbpaJGazYH90DJO150spY6io4k/edit?gid=0#gid=0"", 
""Gen_Ledger!A:N""), 
""SELECT SUM(Col11) WHERE Col7 = ""&amp;B42&amp;"" AND Col1 &gt;= DATE '"" &amp; TEXT($C$2, ""YYYY-MM-DD"") &amp; ""' AND "&amp;"Col1 &lt;= DATE '"" &amp; TEXT($C$3, ""YYYY-MM-DD"") &amp; ""' LABEL SUM(Col11) ''"", 0), """")"),"#REF!")</f>
        <v>#REF!</v>
      </c>
      <c r="F42" s="13" t="str">
        <f t="shared" si="6"/>
        <v>#N/A</v>
      </c>
    </row>
    <row r="43" ht="15.75" customHeight="1">
      <c r="A43" s="1"/>
      <c r="B43" s="1"/>
      <c r="C43" s="2" t="str">
        <f>VLOOKUP(B43,Helper!$D$99:$F1000,3,FALSE)</f>
        <v>#N/A</v>
      </c>
      <c r="D43" s="13" t="str">
        <f>IFERROR(__xludf.DUMMYFUNCTION("IFNA(QUERY(IMPORTRANGE(""https://docs.google.com/spreadsheets/d/1EHL-jm_NiShR1a2JqKbpaJGazYH90DJO150spY6io4k/edit?gid=0#gid=0"", 
""Gen_Ledger!A:N""), 
""SELECT SUM(Col10) WHERE Col7 = ""&amp;B43&amp;"" AND Col1 &gt;= DATE '"" &amp; TEXT($C$2, ""YYYY-MM-DD"") &amp; ""' AND "&amp;"Col1 &lt;= DATE '"" &amp; TEXT($C$3, ""YYYY-MM-DD"") &amp; ""' LABEL SUM(Col10) ''"", 0), """")"),"#REF!")</f>
        <v>#REF!</v>
      </c>
      <c r="E43" s="13" t="str">
        <f>IFERROR(__xludf.DUMMYFUNCTION("IFNA(QUERY(IMPORTRANGE(""https://docs.google.com/spreadsheets/d/1EHL-jm_NiShR1a2JqKbpaJGazYH90DJO150spY6io4k/edit?gid=0#gid=0"", 
""Gen_Ledger!A:N""), 
""SELECT SUM(Col11) WHERE Col7 = ""&amp;B43&amp;"" AND Col1 &gt;= DATE '"" &amp; TEXT($C$2, ""YYYY-MM-DD"") &amp; ""' AND "&amp;"Col1 &lt;= DATE '"" &amp; TEXT($C$3, ""YYYY-MM-DD"") &amp; ""' LABEL SUM(Col11) ''"", 0), """")"),"#REF!")</f>
        <v>#REF!</v>
      </c>
      <c r="F43" s="13" t="str">
        <f t="shared" si="6"/>
        <v>#N/A</v>
      </c>
    </row>
    <row r="44" ht="15.75" customHeight="1">
      <c r="A44" s="1"/>
      <c r="B44" s="1"/>
      <c r="C44" s="2" t="str">
        <f>VLOOKUP(B44,Helper!$D$99:$F1000,3,FALSE)</f>
        <v>#N/A</v>
      </c>
      <c r="D44" s="13" t="str">
        <f>IFERROR(__xludf.DUMMYFUNCTION("IFNA(QUERY(IMPORTRANGE(""https://docs.google.com/spreadsheets/d/1EHL-jm_NiShR1a2JqKbpaJGazYH90DJO150spY6io4k/edit?gid=0#gid=0"", 
""Gen_Ledger!A:N""), 
""SELECT SUM(Col10) WHERE Col7 = ""&amp;B44&amp;"" AND Col1 &gt;= DATE '"" &amp; TEXT($C$2, ""YYYY-MM-DD"") &amp; ""' AND "&amp;"Col1 &lt;= DATE '"" &amp; TEXT($C$3, ""YYYY-MM-DD"") &amp; ""' LABEL SUM(Col10) ''"", 0), """")"),"#REF!")</f>
        <v>#REF!</v>
      </c>
      <c r="E44" s="13" t="str">
        <f>IFERROR(__xludf.DUMMYFUNCTION("IFNA(QUERY(IMPORTRANGE(""https://docs.google.com/spreadsheets/d/1EHL-jm_NiShR1a2JqKbpaJGazYH90DJO150spY6io4k/edit?gid=0#gid=0"", 
""Gen_Ledger!A:N""), 
""SELECT SUM(Col11) WHERE Col7 = ""&amp;B44&amp;"" AND Col1 &gt;= DATE '"" &amp; TEXT($C$2, ""YYYY-MM-DD"") &amp; ""' AND "&amp;"Col1 &lt;= DATE '"" &amp; TEXT($C$3, ""YYYY-MM-DD"") &amp; ""' LABEL SUM(Col11) ''"", 0), """")"),"#REF!")</f>
        <v>#REF!</v>
      </c>
      <c r="F44" s="13" t="str">
        <f t="shared" si="6"/>
        <v>#N/A</v>
      </c>
    </row>
    <row r="45" ht="15.75" customHeight="1">
      <c r="A45" s="1"/>
      <c r="B45" s="1"/>
      <c r="C45" s="2" t="str">
        <f>VLOOKUP(B45,Helper!$D$99:$F1000,3,FALSE)</f>
        <v>#N/A</v>
      </c>
      <c r="D45" s="13" t="str">
        <f>IFERROR(__xludf.DUMMYFUNCTION("IFNA(QUERY(IMPORTRANGE(""https://docs.google.com/spreadsheets/d/1EHL-jm_NiShR1a2JqKbpaJGazYH90DJO150spY6io4k/edit?gid=0#gid=0"", 
""Gen_Ledger!A:N""), 
""SELECT SUM(Col10) WHERE Col7 = ""&amp;B45&amp;"" AND Col1 &gt;= DATE '"" &amp; TEXT($C$2, ""YYYY-MM-DD"") &amp; ""' AND "&amp;"Col1 &lt;= DATE '"" &amp; TEXT($C$3, ""YYYY-MM-DD"") &amp; ""' LABEL SUM(Col10) ''"", 0), """")"),"#REF!")</f>
        <v>#REF!</v>
      </c>
      <c r="E45" s="13" t="str">
        <f>IFERROR(__xludf.DUMMYFUNCTION("IFNA(QUERY(IMPORTRANGE(""https://docs.google.com/spreadsheets/d/1EHL-jm_NiShR1a2JqKbpaJGazYH90DJO150spY6io4k/edit?gid=0#gid=0"", 
""Gen_Ledger!A:N""), 
""SELECT SUM(Col11) WHERE Col7 = ""&amp;B45&amp;"" AND Col1 &gt;= DATE '"" &amp; TEXT($C$2, ""YYYY-MM-DD"") &amp; ""' AND "&amp;"Col1 &lt;= DATE '"" &amp; TEXT($C$3, ""YYYY-MM-DD"") &amp; ""' LABEL SUM(Col11) ''"", 0), """")"),"#REF!")</f>
        <v>#REF!</v>
      </c>
      <c r="F45" s="13" t="str">
        <f t="shared" si="6"/>
        <v>#N/A</v>
      </c>
    </row>
    <row r="46" ht="15.75" customHeight="1">
      <c r="A46" s="1"/>
      <c r="B46" s="1"/>
      <c r="C46" s="2" t="str">
        <f>VLOOKUP(B46,Helper!$D$99:$F1000,3,FALSE)</f>
        <v>#N/A</v>
      </c>
      <c r="D46" s="13" t="str">
        <f>IFERROR(__xludf.DUMMYFUNCTION("IFNA(QUERY(IMPORTRANGE(""https://docs.google.com/spreadsheets/d/1EHL-jm_NiShR1a2JqKbpaJGazYH90DJO150spY6io4k/edit?gid=0#gid=0"", 
""Gen_Ledger!A:N""), 
""SELECT SUM(Col10) WHERE Col7 = ""&amp;B46&amp;"" AND Col1 &gt;= DATE '"" &amp; TEXT($C$2, ""YYYY-MM-DD"") &amp; ""' AND "&amp;"Col1 &lt;= DATE '"" &amp; TEXT($C$3, ""YYYY-MM-DD"") &amp; ""' LABEL SUM(Col10) ''"", 0), """")"),"#REF!")</f>
        <v>#REF!</v>
      </c>
      <c r="E46" s="13" t="str">
        <f>IFERROR(__xludf.DUMMYFUNCTION("IFNA(QUERY(IMPORTRANGE(""https://docs.google.com/spreadsheets/d/1EHL-jm_NiShR1a2JqKbpaJGazYH90DJO150spY6io4k/edit?gid=0#gid=0"", 
""Gen_Ledger!A:N""), 
""SELECT SUM(Col11) WHERE Col7 = ""&amp;B46&amp;"" AND Col1 &gt;= DATE '"" &amp; TEXT($C$2, ""YYYY-MM-DD"") &amp; ""' AND "&amp;"Col1 &lt;= DATE '"" &amp; TEXT($C$3, ""YYYY-MM-DD"") &amp; ""' LABEL SUM(Col11) ''"", 0), """")"),"#REF!")</f>
        <v>#REF!</v>
      </c>
      <c r="F46" s="13" t="str">
        <f t="shared" si="6"/>
        <v>#N/A</v>
      </c>
    </row>
    <row r="47" ht="15.75" customHeight="1">
      <c r="A47" s="1"/>
      <c r="B47" s="1"/>
      <c r="C47" s="2" t="str">
        <f>VLOOKUP(B47,Helper!$D$99:$F1000,3,FALSE)</f>
        <v>#N/A</v>
      </c>
      <c r="D47" s="13" t="str">
        <f>IFERROR(__xludf.DUMMYFUNCTION("IFNA(QUERY(IMPORTRANGE(""https://docs.google.com/spreadsheets/d/1EHL-jm_NiShR1a2JqKbpaJGazYH90DJO150spY6io4k/edit?gid=0#gid=0"", 
""Gen_Ledger!A:N""), 
""SELECT SUM(Col10) WHERE Col7 = ""&amp;B47&amp;"" AND Col1 &gt;= DATE '"" &amp; TEXT($C$2, ""YYYY-MM-DD"") &amp; ""' AND "&amp;"Col1 &lt;= DATE '"" &amp; TEXT($C$3, ""YYYY-MM-DD"") &amp; ""' LABEL SUM(Col10) ''"", 0), """")"),"#REF!")</f>
        <v>#REF!</v>
      </c>
      <c r="E47" s="13" t="str">
        <f>IFERROR(__xludf.DUMMYFUNCTION("IFNA(QUERY(IMPORTRANGE(""https://docs.google.com/spreadsheets/d/1EHL-jm_NiShR1a2JqKbpaJGazYH90DJO150spY6io4k/edit?gid=0#gid=0"", 
""Gen_Ledger!A:N""), 
""SELECT SUM(Col11) WHERE Col7 = ""&amp;B47&amp;"" AND Col1 &gt;= DATE '"" &amp; TEXT($C$2, ""YYYY-MM-DD"") &amp; ""' AND "&amp;"Col1 &lt;= DATE '"" &amp; TEXT($C$3, ""YYYY-MM-DD"") &amp; ""' LABEL SUM(Col11) ''"", 0), """")"),"#REF!")</f>
        <v>#REF!</v>
      </c>
      <c r="F47" s="13" t="str">
        <f t="shared" si="6"/>
        <v>#N/A</v>
      </c>
    </row>
    <row r="48" ht="15.75" customHeight="1">
      <c r="A48" s="1"/>
      <c r="B48" s="1"/>
      <c r="C48" s="2" t="str">
        <f>VLOOKUP(B48,Helper!$D$99:$F1000,3,FALSE)</f>
        <v>#N/A</v>
      </c>
      <c r="D48" s="13" t="str">
        <f>IFERROR(__xludf.DUMMYFUNCTION("IFNA(QUERY(IMPORTRANGE(""https://docs.google.com/spreadsheets/d/1EHL-jm_NiShR1a2JqKbpaJGazYH90DJO150spY6io4k/edit?gid=0#gid=0"", 
""Gen_Ledger!A:N""), 
""SELECT SUM(Col10) WHERE Col7 = ""&amp;B48&amp;"" AND Col1 &gt;= DATE '"" &amp; TEXT($C$2, ""YYYY-MM-DD"") &amp; ""' AND "&amp;"Col1 &lt;= DATE '"" &amp; TEXT($C$3, ""YYYY-MM-DD"") &amp; ""' LABEL SUM(Col10) ''"", 0), """")"),"#REF!")</f>
        <v>#REF!</v>
      </c>
      <c r="E48" s="13" t="str">
        <f>IFERROR(__xludf.DUMMYFUNCTION("IFNA(QUERY(IMPORTRANGE(""https://docs.google.com/spreadsheets/d/1EHL-jm_NiShR1a2JqKbpaJGazYH90DJO150spY6io4k/edit?gid=0#gid=0"", 
""Gen_Ledger!A:N""), 
""SELECT SUM(Col11) WHERE Col7 = ""&amp;B48&amp;"" AND Col1 &gt;= DATE '"" &amp; TEXT($C$2, ""YYYY-MM-DD"") &amp; ""' AND "&amp;"Col1 &lt;= DATE '"" &amp; TEXT($C$3, ""YYYY-MM-DD"") &amp; ""' LABEL SUM(Col11) ''"", 0), """")"),"#REF!")</f>
        <v>#REF!</v>
      </c>
      <c r="F48" s="13" t="str">
        <f t="shared" si="6"/>
        <v>#N/A</v>
      </c>
    </row>
    <row r="49" ht="15.75" customHeight="1">
      <c r="A49" s="1"/>
      <c r="B49" s="1"/>
      <c r="C49" s="2" t="str">
        <f>VLOOKUP(B49,Helper!$D$99:$F1000,3,FALSE)</f>
        <v>#N/A</v>
      </c>
      <c r="D49" s="13" t="str">
        <f>IFERROR(__xludf.DUMMYFUNCTION("IFNA(QUERY(IMPORTRANGE(""https://docs.google.com/spreadsheets/d/1EHL-jm_NiShR1a2JqKbpaJGazYH90DJO150spY6io4k/edit?gid=0#gid=0"", 
""Gen_Ledger!A:N""), 
""SELECT SUM(Col10) WHERE Col7 = ""&amp;B49&amp;"" AND Col1 &gt;= DATE '"" &amp; TEXT($C$2, ""YYYY-MM-DD"") &amp; ""' AND "&amp;"Col1 &lt;= DATE '"" &amp; TEXT($C$3, ""YYYY-MM-DD"") &amp; ""' LABEL SUM(Col10) ''"", 0), """")"),"#REF!")</f>
        <v>#REF!</v>
      </c>
      <c r="E49" s="13" t="str">
        <f>IFERROR(__xludf.DUMMYFUNCTION("IFNA(QUERY(IMPORTRANGE(""https://docs.google.com/spreadsheets/d/1EHL-jm_NiShR1a2JqKbpaJGazYH90DJO150spY6io4k/edit?gid=0#gid=0"", 
""Gen_Ledger!A:N""), 
""SELECT SUM(Col11) WHERE Col7 = ""&amp;B49&amp;"" AND Col1 &gt;= DATE '"" &amp; TEXT($C$2, ""YYYY-MM-DD"") &amp; ""' AND "&amp;"Col1 &lt;= DATE '"" &amp; TEXT($C$3, ""YYYY-MM-DD"") &amp; ""' LABEL SUM(Col11) ''"", 0), """")"),"#REF!")</f>
        <v>#REF!</v>
      </c>
      <c r="F49" s="13" t="str">
        <f t="shared" si="6"/>
        <v>#N/A</v>
      </c>
    </row>
    <row r="50" ht="15.75" customHeight="1">
      <c r="A50" s="1"/>
      <c r="B50" s="1"/>
      <c r="C50" s="2" t="str">
        <f>VLOOKUP(B50,Helper!$D$99:$F1000,3,FALSE)</f>
        <v>#N/A</v>
      </c>
      <c r="D50" s="13" t="str">
        <f>IFERROR(__xludf.DUMMYFUNCTION("IFNA(QUERY(IMPORTRANGE(""https://docs.google.com/spreadsheets/d/1EHL-jm_NiShR1a2JqKbpaJGazYH90DJO150spY6io4k/edit?gid=0#gid=0"", 
""Gen_Ledger!A:N""), 
""SELECT SUM(Col10) WHERE Col7 = ""&amp;B50&amp;"" AND Col1 &gt;= DATE '"" &amp; TEXT($C$2, ""YYYY-MM-DD"") &amp; ""' AND "&amp;"Col1 &lt;= DATE '"" &amp; TEXT($C$3, ""YYYY-MM-DD"") &amp; ""' LABEL SUM(Col10) ''"", 0), """")"),"#REF!")</f>
        <v>#REF!</v>
      </c>
      <c r="E50" s="13" t="str">
        <f>IFERROR(__xludf.DUMMYFUNCTION("IFNA(QUERY(IMPORTRANGE(""https://docs.google.com/spreadsheets/d/1EHL-jm_NiShR1a2JqKbpaJGazYH90DJO150spY6io4k/edit?gid=0#gid=0"", 
""Gen_Ledger!A:N""), 
""SELECT SUM(Col11) WHERE Col7 = ""&amp;B50&amp;"" AND Col1 &gt;= DATE '"" &amp; TEXT($C$2, ""YYYY-MM-DD"") &amp; ""' AND "&amp;"Col1 &lt;= DATE '"" &amp; TEXT($C$3, ""YYYY-MM-DD"") &amp; ""' LABEL SUM(Col11) ''"", 0), """")"),"#REF!")</f>
        <v>#REF!</v>
      </c>
      <c r="F50" s="13" t="str">
        <f t="shared" si="6"/>
        <v>#N/A</v>
      </c>
    </row>
    <row r="51" ht="15.75" customHeight="1">
      <c r="A51" s="1"/>
      <c r="B51" s="1"/>
      <c r="C51" s="2" t="str">
        <f>VLOOKUP(B51,Helper!$D$99:$F1000,3,FALSE)</f>
        <v>#N/A</v>
      </c>
      <c r="D51" s="13" t="str">
        <f>IFERROR(__xludf.DUMMYFUNCTION("IFNA(QUERY(IMPORTRANGE(""https://docs.google.com/spreadsheets/d/1EHL-jm_NiShR1a2JqKbpaJGazYH90DJO150spY6io4k/edit?gid=0#gid=0"", 
""Gen_Ledger!A:N""), 
""SELECT SUM(Col10) WHERE Col7 = ""&amp;B51&amp;"" AND Col1 &gt;= DATE '"" &amp; TEXT($C$2, ""YYYY-MM-DD"") &amp; ""' AND "&amp;"Col1 &lt;= DATE '"" &amp; TEXT($C$3, ""YYYY-MM-DD"") &amp; ""' LABEL SUM(Col10) ''"", 0), """")"),"#REF!")</f>
        <v>#REF!</v>
      </c>
      <c r="E51" s="13" t="str">
        <f>IFERROR(__xludf.DUMMYFUNCTION("IFNA(QUERY(IMPORTRANGE(""https://docs.google.com/spreadsheets/d/1EHL-jm_NiShR1a2JqKbpaJGazYH90DJO150spY6io4k/edit?gid=0#gid=0"", 
""Gen_Ledger!A:N""), 
""SELECT SUM(Col11) WHERE Col7 = ""&amp;B51&amp;"" AND Col1 &gt;= DATE '"" &amp; TEXT($C$2, ""YYYY-MM-DD"") &amp; ""' AND "&amp;"Col1 &lt;= DATE '"" &amp; TEXT($C$3, ""YYYY-MM-DD"") &amp; ""' LABEL SUM(Col11) ''"", 0), """")"),"#REF!")</f>
        <v>#REF!</v>
      </c>
      <c r="F51" s="13" t="str">
        <f t="shared" si="6"/>
        <v>#N/A</v>
      </c>
    </row>
    <row r="52" ht="15.75" customHeight="1">
      <c r="A52" s="1"/>
      <c r="B52" s="1"/>
      <c r="C52" s="2" t="str">
        <f>VLOOKUP(B52,Helper!$D$99:$F1000,3,FALSE)</f>
        <v>#N/A</v>
      </c>
      <c r="D52" s="13" t="str">
        <f>IFERROR(__xludf.DUMMYFUNCTION("IFNA(QUERY(IMPORTRANGE(""https://docs.google.com/spreadsheets/d/1EHL-jm_NiShR1a2JqKbpaJGazYH90DJO150spY6io4k/edit?gid=0#gid=0"", 
""Gen_Ledger!A:N""), 
""SELECT SUM(Col10) WHERE Col7 = ""&amp;B52&amp;"" AND Col1 &gt;= DATE '"" &amp; TEXT($C$2, ""YYYY-MM-DD"") &amp; ""' AND "&amp;"Col1 &lt;= DATE '"" &amp; TEXT($C$3, ""YYYY-MM-DD"") &amp; ""' LABEL SUM(Col10) ''"", 0), """")"),"#REF!")</f>
        <v>#REF!</v>
      </c>
      <c r="E52" s="13" t="str">
        <f>IFERROR(__xludf.DUMMYFUNCTION("IFNA(QUERY(IMPORTRANGE(""https://docs.google.com/spreadsheets/d/1EHL-jm_NiShR1a2JqKbpaJGazYH90DJO150spY6io4k/edit?gid=0#gid=0"", 
""Gen_Ledger!A:N""), 
""SELECT SUM(Col11) WHERE Col7 = ""&amp;B52&amp;"" AND Col1 &gt;= DATE '"" &amp; TEXT($C$2, ""YYYY-MM-DD"") &amp; ""' AND "&amp;"Col1 &lt;= DATE '"" &amp; TEXT($C$3, ""YYYY-MM-DD"") &amp; ""' LABEL SUM(Col11) ''"", 0), """")"),"#REF!")</f>
        <v>#REF!</v>
      </c>
      <c r="F52" s="13" t="str">
        <f t="shared" si="6"/>
        <v>#N/A</v>
      </c>
    </row>
    <row r="53" ht="15.75" customHeight="1">
      <c r="A53" s="1"/>
      <c r="B53" s="1"/>
      <c r="C53" s="2" t="str">
        <f>VLOOKUP(B53,Helper!$D$99:$F1000,3,FALSE)</f>
        <v>#N/A</v>
      </c>
      <c r="D53" s="13" t="str">
        <f>IFERROR(__xludf.DUMMYFUNCTION("IFNA(QUERY(IMPORTRANGE(""https://docs.google.com/spreadsheets/d/1EHL-jm_NiShR1a2JqKbpaJGazYH90DJO150spY6io4k/edit?gid=0#gid=0"", 
""Gen_Ledger!A:N""), 
""SELECT SUM(Col10) WHERE Col7 = ""&amp;B53&amp;"" AND Col1 &gt;= DATE '"" &amp; TEXT($C$2, ""YYYY-MM-DD"") &amp; ""' AND "&amp;"Col1 &lt;= DATE '"" &amp; TEXT($C$3, ""YYYY-MM-DD"") &amp; ""' LABEL SUM(Col10) ''"", 0), """")"),"#REF!")</f>
        <v>#REF!</v>
      </c>
      <c r="E53" s="13" t="str">
        <f>IFERROR(__xludf.DUMMYFUNCTION("IFNA(QUERY(IMPORTRANGE(""https://docs.google.com/spreadsheets/d/1EHL-jm_NiShR1a2JqKbpaJGazYH90DJO150spY6io4k/edit?gid=0#gid=0"", 
""Gen_Ledger!A:N""), 
""SELECT SUM(Col11) WHERE Col7 = ""&amp;B53&amp;"" AND Col1 &gt;= DATE '"" &amp; TEXT($C$2, ""YYYY-MM-DD"") &amp; ""' AND "&amp;"Col1 &lt;= DATE '"" &amp; TEXT($C$3, ""YYYY-MM-DD"") &amp; ""' LABEL SUM(Col11) ''"", 0), """")"),"#REF!")</f>
        <v>#REF!</v>
      </c>
      <c r="F53" s="13" t="str">
        <f t="shared" si="6"/>
        <v>#N/A</v>
      </c>
    </row>
    <row r="54" ht="15.75" customHeight="1">
      <c r="A54" s="1"/>
      <c r="B54" s="1"/>
      <c r="C54" s="2" t="str">
        <f>VLOOKUP(B54,Helper!$D$99:$F1000,3,FALSE)</f>
        <v>#N/A</v>
      </c>
      <c r="D54" s="13" t="str">
        <f>IFERROR(__xludf.DUMMYFUNCTION("IFNA(QUERY(IMPORTRANGE(""https://docs.google.com/spreadsheets/d/1EHL-jm_NiShR1a2JqKbpaJGazYH90DJO150spY6io4k/edit?gid=0#gid=0"", 
""Gen_Ledger!A:N""), 
""SELECT SUM(Col10) WHERE Col7 = ""&amp;B54&amp;"" AND Col1 &gt;= DATE '"" &amp; TEXT($C$2, ""YYYY-MM-DD"") &amp; ""' AND "&amp;"Col1 &lt;= DATE '"" &amp; TEXT($C$3, ""YYYY-MM-DD"") &amp; ""' LABEL SUM(Col10) ''"", 0), """")"),"#REF!")</f>
        <v>#REF!</v>
      </c>
      <c r="E54" s="13" t="str">
        <f>IFERROR(__xludf.DUMMYFUNCTION("IFNA(QUERY(IMPORTRANGE(""https://docs.google.com/spreadsheets/d/1EHL-jm_NiShR1a2JqKbpaJGazYH90DJO150spY6io4k/edit?gid=0#gid=0"", 
""Gen_Ledger!A:N""), 
""SELECT SUM(Col11) WHERE Col7 = ""&amp;B54&amp;"" AND Col1 &gt;= DATE '"" &amp; TEXT($C$2, ""YYYY-MM-DD"") &amp; ""' AND "&amp;"Col1 &lt;= DATE '"" &amp; TEXT($C$3, ""YYYY-MM-DD"") &amp; ""' LABEL SUM(Col11) ''"", 0), """")"),"#REF!")</f>
        <v>#REF!</v>
      </c>
      <c r="F54" s="13" t="str">
        <f t="shared" si="6"/>
        <v>#N/A</v>
      </c>
    </row>
    <row r="55" ht="15.75" customHeight="1">
      <c r="A55" s="1"/>
      <c r="B55" s="1"/>
      <c r="C55" s="2" t="str">
        <f>VLOOKUP(B55,Helper!$D$99:$F1000,3,FALSE)</f>
        <v>#N/A</v>
      </c>
      <c r="D55" s="13" t="str">
        <f>IFERROR(__xludf.DUMMYFUNCTION("IFNA(QUERY(IMPORTRANGE(""https://docs.google.com/spreadsheets/d/1EHL-jm_NiShR1a2JqKbpaJGazYH90DJO150spY6io4k/edit?gid=0#gid=0"", 
""Gen_Ledger!A:N""), 
""SELECT SUM(Col10) WHERE Col7 = ""&amp;B55&amp;"" AND Col1 &gt;= DATE '"" &amp; TEXT($C$2, ""YYYY-MM-DD"") &amp; ""' AND "&amp;"Col1 &lt;= DATE '"" &amp; TEXT($C$3, ""YYYY-MM-DD"") &amp; ""' LABEL SUM(Col10) ''"", 0), """")"),"#REF!")</f>
        <v>#REF!</v>
      </c>
      <c r="E55" s="13" t="str">
        <f>IFERROR(__xludf.DUMMYFUNCTION("IFNA(QUERY(IMPORTRANGE(""https://docs.google.com/spreadsheets/d/1EHL-jm_NiShR1a2JqKbpaJGazYH90DJO150spY6io4k/edit?gid=0#gid=0"", 
""Gen_Ledger!A:N""), 
""SELECT SUM(Col11) WHERE Col7 = ""&amp;B55&amp;"" AND Col1 &gt;= DATE '"" &amp; TEXT($C$2, ""YYYY-MM-DD"") &amp; ""' AND "&amp;"Col1 &lt;= DATE '"" &amp; TEXT($C$3, ""YYYY-MM-DD"") &amp; ""' LABEL SUM(Col11) ''"", 0), """")"),"#REF!")</f>
        <v>#REF!</v>
      </c>
      <c r="F55" s="13" t="str">
        <f t="shared" si="6"/>
        <v>#N/A</v>
      </c>
    </row>
    <row r="56" ht="15.75" customHeight="1">
      <c r="A56" s="1"/>
      <c r="B56" s="1"/>
      <c r="C56" s="2" t="str">
        <f>VLOOKUP(B56,Helper!$D$99:$F1000,3,FALSE)</f>
        <v>#N/A</v>
      </c>
      <c r="D56" s="13" t="str">
        <f>IFERROR(__xludf.DUMMYFUNCTION("IFNA(QUERY(IMPORTRANGE(""https://docs.google.com/spreadsheets/d/1EHL-jm_NiShR1a2JqKbpaJGazYH90DJO150spY6io4k/edit?gid=0#gid=0"", 
""Gen_Ledger!A:N""), 
""SELECT SUM(Col10) WHERE Col7 = ""&amp;B56&amp;"" AND Col1 &gt;= DATE '"" &amp; TEXT($C$2, ""YYYY-MM-DD"") &amp; ""' AND "&amp;"Col1 &lt;= DATE '"" &amp; TEXT($C$3, ""YYYY-MM-DD"") &amp; ""' LABEL SUM(Col10) ''"", 0), """")"),"#REF!")</f>
        <v>#REF!</v>
      </c>
      <c r="E56" s="13" t="str">
        <f>IFERROR(__xludf.DUMMYFUNCTION("IFNA(QUERY(IMPORTRANGE(""https://docs.google.com/spreadsheets/d/1EHL-jm_NiShR1a2JqKbpaJGazYH90DJO150spY6io4k/edit?gid=0#gid=0"", 
""Gen_Ledger!A:N""), 
""SELECT SUM(Col11) WHERE Col7 = ""&amp;B56&amp;"" AND Col1 &gt;= DATE '"" &amp; TEXT($C$2, ""YYYY-MM-DD"") &amp; ""' AND "&amp;"Col1 &lt;= DATE '"" &amp; TEXT($C$3, ""YYYY-MM-DD"") &amp; ""' LABEL SUM(Col11) ''"", 0), """")"),"#REF!")</f>
        <v>#REF!</v>
      </c>
      <c r="F56" s="13" t="str">
        <f t="shared" si="6"/>
        <v>#N/A</v>
      </c>
    </row>
    <row r="57" ht="15.75" customHeight="1">
      <c r="A57" s="1"/>
      <c r="B57" s="1"/>
      <c r="C57" s="2" t="str">
        <f>VLOOKUP(B57,Helper!$D$99:$F1000,3,FALSE)</f>
        <v>#N/A</v>
      </c>
      <c r="D57" s="13" t="str">
        <f>IFERROR(__xludf.DUMMYFUNCTION("IFNA(QUERY(IMPORTRANGE(""https://docs.google.com/spreadsheets/d/1EHL-jm_NiShR1a2JqKbpaJGazYH90DJO150spY6io4k/edit?gid=0#gid=0"", 
""Gen_Ledger!A:N""), 
""SELECT SUM(Col10) WHERE Col7 = ""&amp;B57&amp;"" AND Col1 &gt;= DATE '"" &amp; TEXT($C$2, ""YYYY-MM-DD"") &amp; ""' AND "&amp;"Col1 &lt;= DATE '"" &amp; TEXT($C$3, ""YYYY-MM-DD"") &amp; ""' LABEL SUM(Col10) ''"", 0), """")"),"#REF!")</f>
        <v>#REF!</v>
      </c>
      <c r="E57" s="13" t="str">
        <f>IFERROR(__xludf.DUMMYFUNCTION("IFNA(QUERY(IMPORTRANGE(""https://docs.google.com/spreadsheets/d/1EHL-jm_NiShR1a2JqKbpaJGazYH90DJO150spY6io4k/edit?gid=0#gid=0"", 
""Gen_Ledger!A:N""), 
""SELECT SUM(Col11) WHERE Col7 = ""&amp;B57&amp;"" AND Col1 &gt;= DATE '"" &amp; TEXT($C$2, ""YYYY-MM-DD"") &amp; ""' AND "&amp;"Col1 &lt;= DATE '"" &amp; TEXT($C$3, ""YYYY-MM-DD"") &amp; ""' LABEL SUM(Col11) ''"", 0), """")"),"#REF!")</f>
        <v>#REF!</v>
      </c>
      <c r="F57" s="13" t="str">
        <f t="shared" si="6"/>
        <v>#N/A</v>
      </c>
    </row>
    <row r="58" ht="15.75" customHeight="1">
      <c r="A58" s="1"/>
      <c r="B58" s="1"/>
      <c r="C58" s="2" t="str">
        <f>VLOOKUP(B58,Helper!$D$99:$F1000,3,FALSE)</f>
        <v>#N/A</v>
      </c>
      <c r="D58" s="13" t="str">
        <f>IFERROR(__xludf.DUMMYFUNCTION("IFNA(QUERY(IMPORTRANGE(""https://docs.google.com/spreadsheets/d/1EHL-jm_NiShR1a2JqKbpaJGazYH90DJO150spY6io4k/edit?gid=0#gid=0"", 
""Gen_Ledger!A:N""), 
""SELECT SUM(Col10) WHERE Col7 = ""&amp;B58&amp;"" AND Col1 &gt;= DATE '"" &amp; TEXT($C$2, ""YYYY-MM-DD"") &amp; ""' AND "&amp;"Col1 &lt;= DATE '"" &amp; TEXT($C$3, ""YYYY-MM-DD"") &amp; ""' LABEL SUM(Col10) ''"", 0), """")"),"#REF!")</f>
        <v>#REF!</v>
      </c>
      <c r="E58" s="13" t="str">
        <f>IFERROR(__xludf.DUMMYFUNCTION("IFNA(QUERY(IMPORTRANGE(""https://docs.google.com/spreadsheets/d/1EHL-jm_NiShR1a2JqKbpaJGazYH90DJO150spY6io4k/edit?gid=0#gid=0"", 
""Gen_Ledger!A:N""), 
""SELECT SUM(Col11) WHERE Col7 = ""&amp;B58&amp;"" AND Col1 &gt;= DATE '"" &amp; TEXT($C$2, ""YYYY-MM-DD"") &amp; ""' AND "&amp;"Col1 &lt;= DATE '"" &amp; TEXT($C$3, ""YYYY-MM-DD"") &amp; ""' LABEL SUM(Col11) ''"", 0), """")"),"#REF!")</f>
        <v>#REF!</v>
      </c>
      <c r="F58" s="13" t="str">
        <f t="shared" si="6"/>
        <v>#N/A</v>
      </c>
    </row>
    <row r="59" ht="15.75" customHeight="1">
      <c r="A59" s="1"/>
      <c r="B59" s="1"/>
      <c r="C59" s="2" t="str">
        <f>VLOOKUP(B59,Helper!$D$99:$F1000,3,FALSE)</f>
        <v>#N/A</v>
      </c>
      <c r="D59" s="13" t="str">
        <f>IFERROR(__xludf.DUMMYFUNCTION("IFNA(QUERY(IMPORTRANGE(""https://docs.google.com/spreadsheets/d/1EHL-jm_NiShR1a2JqKbpaJGazYH90DJO150spY6io4k/edit?gid=0#gid=0"", 
""Gen_Ledger!A:N""), 
""SELECT SUM(Col10) WHERE Col7 = ""&amp;B59&amp;"" AND Col1 &gt;= DATE '"" &amp; TEXT($C$2, ""YYYY-MM-DD"") &amp; ""' AND "&amp;"Col1 &lt;= DATE '"" &amp; TEXT($C$3, ""YYYY-MM-DD"") &amp; ""' LABEL SUM(Col10) ''"", 0), """")"),"#REF!")</f>
        <v>#REF!</v>
      </c>
      <c r="E59" s="13" t="str">
        <f>IFERROR(__xludf.DUMMYFUNCTION("IFNA(QUERY(IMPORTRANGE(""https://docs.google.com/spreadsheets/d/1EHL-jm_NiShR1a2JqKbpaJGazYH90DJO150spY6io4k/edit?gid=0#gid=0"", 
""Gen_Ledger!A:N""), 
""SELECT SUM(Col11) WHERE Col7 = ""&amp;B59&amp;"" AND Col1 &gt;= DATE '"" &amp; TEXT($C$2, ""YYYY-MM-DD"") &amp; ""' AND "&amp;"Col1 &lt;= DATE '"" &amp; TEXT($C$3, ""YYYY-MM-DD"") &amp; ""' LABEL SUM(Col11) ''"", 0), """")"),"#REF!")</f>
        <v>#REF!</v>
      </c>
      <c r="F59" s="13" t="str">
        <f t="shared" si="6"/>
        <v>#N/A</v>
      </c>
    </row>
    <row r="60" ht="15.75" customHeight="1">
      <c r="A60" s="1"/>
      <c r="B60" s="1"/>
      <c r="C60" s="2" t="str">
        <f>VLOOKUP(B60,Helper!$D$99:$F1000,3,FALSE)</f>
        <v>#N/A</v>
      </c>
      <c r="D60" s="13" t="str">
        <f>IFERROR(__xludf.DUMMYFUNCTION("IFNA(QUERY(IMPORTRANGE(""https://docs.google.com/spreadsheets/d/1EHL-jm_NiShR1a2JqKbpaJGazYH90DJO150spY6io4k/edit?gid=0#gid=0"", 
""Gen_Ledger!A:N""), 
""SELECT SUM(Col10) WHERE Col7 = ""&amp;B60&amp;"" AND Col1 &gt;= DATE '"" &amp; TEXT($C$2, ""YYYY-MM-DD"") &amp; ""' AND "&amp;"Col1 &lt;= DATE '"" &amp; TEXT($C$3, ""YYYY-MM-DD"") &amp; ""' LABEL SUM(Col10) ''"", 0), """")"),"#REF!")</f>
        <v>#REF!</v>
      </c>
      <c r="E60" s="13" t="str">
        <f>IFERROR(__xludf.DUMMYFUNCTION("IFNA(QUERY(IMPORTRANGE(""https://docs.google.com/spreadsheets/d/1EHL-jm_NiShR1a2JqKbpaJGazYH90DJO150spY6io4k/edit?gid=0#gid=0"", 
""Gen_Ledger!A:N""), 
""SELECT SUM(Col11) WHERE Col7 = ""&amp;B60&amp;"" AND Col1 &gt;= DATE '"" &amp; TEXT($C$2, ""YYYY-MM-DD"") &amp; ""' AND "&amp;"Col1 &lt;= DATE '"" &amp; TEXT($C$3, ""YYYY-MM-DD"") &amp; ""' LABEL SUM(Col11) ''"", 0), """")"),"#REF!")</f>
        <v>#REF!</v>
      </c>
      <c r="F60" s="13" t="str">
        <f t="shared" si="6"/>
        <v>#N/A</v>
      </c>
    </row>
    <row r="61" ht="15.75" customHeight="1">
      <c r="A61" s="1"/>
      <c r="B61" s="1"/>
      <c r="C61" s="2" t="str">
        <f>VLOOKUP(B61,Helper!$D$99:$F1000,3,FALSE)</f>
        <v>#N/A</v>
      </c>
      <c r="D61" s="13" t="str">
        <f>IFERROR(__xludf.DUMMYFUNCTION("IFNA(QUERY(IMPORTRANGE(""https://docs.google.com/spreadsheets/d/1EHL-jm_NiShR1a2JqKbpaJGazYH90DJO150spY6io4k/edit?gid=0#gid=0"", 
""Gen_Ledger!A:N""), 
""SELECT SUM(Col10) WHERE Col7 = ""&amp;B61&amp;"" AND Col1 &gt;= DATE '"" &amp; TEXT($C$2, ""YYYY-MM-DD"") &amp; ""' AND "&amp;"Col1 &lt;= DATE '"" &amp; TEXT($C$3, ""YYYY-MM-DD"") &amp; ""' LABEL SUM(Col10) ''"", 0), """")"),"#REF!")</f>
        <v>#REF!</v>
      </c>
      <c r="E61" s="13" t="str">
        <f>IFERROR(__xludf.DUMMYFUNCTION("IFNA(QUERY(IMPORTRANGE(""https://docs.google.com/spreadsheets/d/1EHL-jm_NiShR1a2JqKbpaJGazYH90DJO150spY6io4k/edit?gid=0#gid=0"", 
""Gen_Ledger!A:N""), 
""SELECT SUM(Col11) WHERE Col7 = ""&amp;B61&amp;"" AND Col1 &gt;= DATE '"" &amp; TEXT($C$2, ""YYYY-MM-DD"") &amp; ""' AND "&amp;"Col1 &lt;= DATE '"" &amp; TEXT($C$3, ""YYYY-MM-DD"") &amp; ""' LABEL SUM(Col11) ''"", 0), """")"),"#REF!")</f>
        <v>#REF!</v>
      </c>
      <c r="F61" s="13" t="str">
        <f t="shared" si="6"/>
        <v>#N/A</v>
      </c>
    </row>
    <row r="62" ht="15.75" customHeight="1">
      <c r="A62" s="1"/>
      <c r="B62" s="1"/>
      <c r="C62" s="2" t="str">
        <f>VLOOKUP(B62,Helper!$D$99:$F1000,3,FALSE)</f>
        <v>#N/A</v>
      </c>
      <c r="D62" s="13" t="str">
        <f>IFERROR(__xludf.DUMMYFUNCTION("IFNA(QUERY(IMPORTRANGE(""https://docs.google.com/spreadsheets/d/1EHL-jm_NiShR1a2JqKbpaJGazYH90DJO150spY6io4k/edit?gid=0#gid=0"", 
""Gen_Ledger!A:N""), 
""SELECT SUM(Col10) WHERE Col7 = ""&amp;B62&amp;"" AND Col1 &gt;= DATE '"" &amp; TEXT($C$2, ""YYYY-MM-DD"") &amp; ""' AND "&amp;"Col1 &lt;= DATE '"" &amp; TEXT($C$3, ""YYYY-MM-DD"") &amp; ""' LABEL SUM(Col10) ''"", 0), """")"),"#REF!")</f>
        <v>#REF!</v>
      </c>
      <c r="E62" s="13" t="str">
        <f>IFERROR(__xludf.DUMMYFUNCTION("IFNA(QUERY(IMPORTRANGE(""https://docs.google.com/spreadsheets/d/1EHL-jm_NiShR1a2JqKbpaJGazYH90DJO150spY6io4k/edit?gid=0#gid=0"", 
""Gen_Ledger!A:N""), 
""SELECT SUM(Col11) WHERE Col7 = ""&amp;B62&amp;"" AND Col1 &gt;= DATE '"" &amp; TEXT($C$2, ""YYYY-MM-DD"") &amp; ""' AND "&amp;"Col1 &lt;= DATE '"" &amp; TEXT($C$3, ""YYYY-MM-DD"") &amp; ""' LABEL SUM(Col11) ''"", 0), """")"),"#REF!")</f>
        <v>#REF!</v>
      </c>
      <c r="F62" s="13" t="str">
        <f t="shared" si="6"/>
        <v>#N/A</v>
      </c>
    </row>
    <row r="63" ht="15.75" customHeight="1">
      <c r="A63" s="1"/>
      <c r="B63" s="1"/>
      <c r="C63" s="2" t="str">
        <f>VLOOKUP(B63,Helper!$D$99:$F1000,3,FALSE)</f>
        <v>#N/A</v>
      </c>
      <c r="D63" s="13" t="str">
        <f>IFERROR(__xludf.DUMMYFUNCTION("IFNA(QUERY(IMPORTRANGE(""https://docs.google.com/spreadsheets/d/1EHL-jm_NiShR1a2JqKbpaJGazYH90DJO150spY6io4k/edit?gid=0#gid=0"", 
""Gen_Ledger!A:N""), 
""SELECT SUM(Col10) WHERE Col7 = ""&amp;B63&amp;"" AND Col1 &gt;= DATE '"" &amp; TEXT($C$2, ""YYYY-MM-DD"") &amp; ""' AND "&amp;"Col1 &lt;= DATE '"" &amp; TEXT($C$3, ""YYYY-MM-DD"") &amp; ""' LABEL SUM(Col10) ''"", 0), """")"),"#REF!")</f>
        <v>#REF!</v>
      </c>
      <c r="E63" s="13" t="str">
        <f>IFERROR(__xludf.DUMMYFUNCTION("IFNA(QUERY(IMPORTRANGE(""https://docs.google.com/spreadsheets/d/1EHL-jm_NiShR1a2JqKbpaJGazYH90DJO150spY6io4k/edit?gid=0#gid=0"", 
""Gen_Ledger!A:N""), 
""SELECT SUM(Col11) WHERE Col7 = ""&amp;B63&amp;"" AND Col1 &gt;= DATE '"" &amp; TEXT($C$2, ""YYYY-MM-DD"") &amp; ""' AND "&amp;"Col1 &lt;= DATE '"" &amp; TEXT($C$3, ""YYYY-MM-DD"") &amp; ""' LABEL SUM(Col11) ''"", 0), """")"),"#REF!")</f>
        <v>#REF!</v>
      </c>
      <c r="F63" s="13" t="str">
        <f t="shared" si="6"/>
        <v>#N/A</v>
      </c>
    </row>
    <row r="64" ht="15.75" customHeight="1">
      <c r="A64" s="3"/>
      <c r="B64" s="3"/>
    </row>
    <row r="65" ht="15.75" customHeight="1">
      <c r="A65" s="3"/>
      <c r="B65" s="3"/>
    </row>
    <row r="66" ht="15.75" customHeight="1">
      <c r="A66" s="3"/>
      <c r="B66" s="3"/>
    </row>
    <row r="67" ht="15.75" customHeight="1">
      <c r="A67" s="3"/>
      <c r="B67" s="3"/>
    </row>
    <row r="68" ht="15.75" customHeight="1">
      <c r="A68" s="3"/>
      <c r="B68" s="3"/>
    </row>
    <row r="69" ht="15.75" customHeight="1">
      <c r="A69" s="3"/>
      <c r="B69" s="3"/>
    </row>
    <row r="70" ht="15.75" customHeight="1">
      <c r="A70" s="3"/>
      <c r="B70" s="3"/>
    </row>
    <row r="71" ht="15.75" customHeight="1">
      <c r="A71" s="3"/>
      <c r="B71" s="3"/>
    </row>
    <row r="72" ht="15.75" customHeight="1">
      <c r="A72" s="3"/>
      <c r="B72" s="3"/>
    </row>
    <row r="73" ht="15.75" customHeight="1">
      <c r="A73" s="3"/>
      <c r="B73" s="3"/>
    </row>
    <row r="74" ht="15.75" customHeight="1">
      <c r="A74" s="3"/>
      <c r="B74" s="3"/>
    </row>
    <row r="75" ht="15.75" customHeight="1">
      <c r="A75" s="3"/>
      <c r="B75" s="3"/>
    </row>
    <row r="76" ht="15.75" customHeight="1">
      <c r="A76" s="3"/>
      <c r="B76" s="3"/>
    </row>
    <row r="77" ht="15.75" customHeight="1">
      <c r="A77" s="3"/>
      <c r="B77" s="3"/>
    </row>
    <row r="78" ht="15.75" customHeight="1">
      <c r="A78" s="3"/>
      <c r="B78" s="3"/>
    </row>
    <row r="79" ht="15.75" customHeight="1">
      <c r="A79" s="3"/>
      <c r="B79" s="3"/>
    </row>
    <row r="80" ht="15.75" customHeight="1">
      <c r="A80" s="3"/>
      <c r="B80" s="3"/>
    </row>
    <row r="81" ht="15.75" customHeight="1">
      <c r="A81" s="3"/>
      <c r="B81" s="3"/>
    </row>
    <row r="82" ht="15.75" customHeight="1">
      <c r="A82" s="3"/>
      <c r="B82" s="3"/>
    </row>
    <row r="83" ht="15.75" customHeight="1">
      <c r="A83" s="3"/>
      <c r="B83" s="3"/>
    </row>
    <row r="84" ht="15.75" customHeight="1">
      <c r="A84" s="3"/>
      <c r="B84" s="3"/>
    </row>
    <row r="85" ht="15.75" customHeight="1">
      <c r="A85" s="3"/>
      <c r="B85" s="3"/>
    </row>
    <row r="86" ht="15.75" customHeight="1">
      <c r="A86" s="3"/>
      <c r="B86" s="3"/>
    </row>
    <row r="87" ht="15.75" customHeight="1">
      <c r="A87" s="3"/>
      <c r="B87" s="3"/>
    </row>
    <row r="88" ht="15.75" customHeight="1">
      <c r="A88" s="3"/>
      <c r="B88" s="3"/>
    </row>
    <row r="89" ht="15.75" customHeight="1">
      <c r="A89" s="3"/>
      <c r="B89" s="3"/>
    </row>
    <row r="90" ht="15.75" customHeight="1">
      <c r="A90" s="3"/>
      <c r="B90" s="3"/>
    </row>
    <row r="91" ht="15.75" customHeight="1">
      <c r="A91" s="3"/>
      <c r="B91" s="3"/>
    </row>
    <row r="92" ht="15.75" customHeight="1">
      <c r="A92" s="3"/>
      <c r="B92" s="3"/>
    </row>
    <row r="93" ht="15.75" customHeight="1">
      <c r="A93" s="3"/>
      <c r="B93" s="3"/>
    </row>
    <row r="94" ht="15.75" customHeight="1">
      <c r="A94" s="3"/>
      <c r="B94" s="3"/>
    </row>
    <row r="95" ht="15.75" customHeight="1">
      <c r="A95" s="3"/>
      <c r="B95" s="3"/>
    </row>
    <row r="96" ht="15.75" customHeight="1">
      <c r="A96" s="3"/>
      <c r="B96" s="3"/>
    </row>
    <row r="97" ht="15.75" customHeight="1">
      <c r="A97" s="3"/>
      <c r="B97" s="3"/>
    </row>
    <row r="98" ht="15.75" customHeight="1">
      <c r="A98" s="3"/>
      <c r="B98" s="3"/>
    </row>
    <row r="99" ht="15.75" customHeight="1">
      <c r="A99" s="3"/>
      <c r="B99" s="3"/>
    </row>
    <row r="100" ht="15.75" customHeight="1">
      <c r="A100" s="3"/>
      <c r="B100" s="3"/>
    </row>
    <row r="101" ht="15.75" customHeight="1">
      <c r="A101" s="3"/>
      <c r="B101" s="3"/>
    </row>
    <row r="102" ht="15.75" customHeight="1">
      <c r="A102" s="3"/>
      <c r="B102" s="3"/>
    </row>
    <row r="103" ht="15.75" customHeight="1">
      <c r="A103" s="3"/>
      <c r="B103" s="3"/>
    </row>
    <row r="104" ht="15.75" customHeight="1">
      <c r="A104" s="3"/>
      <c r="B104" s="3"/>
    </row>
    <row r="105" ht="15.75" customHeight="1">
      <c r="A105" s="3"/>
      <c r="B105" s="3"/>
    </row>
    <row r="106" ht="15.75" customHeight="1">
      <c r="A106" s="3"/>
      <c r="B106" s="3"/>
    </row>
    <row r="107" ht="15.75" customHeight="1">
      <c r="A107" s="3"/>
      <c r="B107" s="3"/>
    </row>
    <row r="108" ht="15.75" customHeight="1">
      <c r="A108" s="3"/>
      <c r="B108" s="3"/>
    </row>
    <row r="109" ht="15.75" customHeight="1">
      <c r="A109" s="3"/>
      <c r="B109" s="3"/>
    </row>
    <row r="110" ht="15.75" customHeight="1">
      <c r="A110" s="3"/>
      <c r="B110" s="3"/>
    </row>
    <row r="111" ht="15.75" customHeight="1">
      <c r="A111" s="3"/>
      <c r="B111" s="3"/>
    </row>
    <row r="112" ht="15.75" customHeight="1">
      <c r="A112" s="3"/>
      <c r="B112" s="3"/>
    </row>
    <row r="113" ht="15.75" customHeight="1">
      <c r="A113" s="3"/>
      <c r="B113" s="3"/>
    </row>
    <row r="114" ht="15.75" customHeight="1">
      <c r="A114" s="3"/>
      <c r="B114" s="3"/>
    </row>
    <row r="115" ht="15.75" customHeight="1">
      <c r="A115" s="3"/>
      <c r="B115" s="3"/>
    </row>
    <row r="116" ht="15.75" customHeight="1">
      <c r="A116" s="3"/>
      <c r="B116" s="3"/>
    </row>
    <row r="117" ht="15.75" customHeight="1">
      <c r="A117" s="3"/>
      <c r="B117" s="3"/>
    </row>
    <row r="118" ht="15.75" customHeight="1">
      <c r="A118" s="3"/>
      <c r="B118" s="3"/>
    </row>
    <row r="119" ht="15.75" customHeight="1">
      <c r="A119" s="3"/>
      <c r="B119" s="3"/>
    </row>
    <row r="120" ht="15.75" customHeight="1">
      <c r="A120" s="3"/>
      <c r="B120" s="3"/>
    </row>
    <row r="121" ht="15.75" customHeight="1">
      <c r="A121" s="3"/>
      <c r="B121" s="3"/>
    </row>
    <row r="122" ht="15.75" customHeight="1">
      <c r="A122" s="3"/>
      <c r="B122" s="3"/>
    </row>
    <row r="123" ht="15.75" customHeight="1">
      <c r="A123" s="3"/>
      <c r="B123" s="3"/>
    </row>
    <row r="124" ht="15.75" customHeight="1">
      <c r="A124" s="3"/>
      <c r="B124" s="3"/>
    </row>
    <row r="125" ht="15.75" customHeight="1">
      <c r="A125" s="3"/>
      <c r="B125" s="3"/>
    </row>
    <row r="126" ht="15.75" customHeight="1">
      <c r="A126" s="3"/>
      <c r="B126" s="3"/>
    </row>
    <row r="127" ht="15.75" customHeight="1">
      <c r="A127" s="3"/>
      <c r="B127" s="3"/>
    </row>
    <row r="128" ht="15.75" customHeight="1">
      <c r="A128" s="3"/>
      <c r="B128" s="3"/>
    </row>
    <row r="129" ht="15.75" customHeight="1">
      <c r="A129" s="3"/>
      <c r="B129" s="3"/>
    </row>
    <row r="130" ht="15.75" customHeight="1">
      <c r="A130" s="3"/>
      <c r="B130" s="3"/>
    </row>
    <row r="131" ht="15.75" customHeight="1">
      <c r="A131" s="3"/>
      <c r="B131" s="3"/>
    </row>
    <row r="132" ht="15.75" customHeight="1">
      <c r="A132" s="3"/>
      <c r="B132" s="3"/>
    </row>
    <row r="133" ht="15.75" customHeight="1">
      <c r="A133" s="3"/>
      <c r="B133" s="3"/>
    </row>
    <row r="134" ht="15.75" customHeight="1">
      <c r="A134" s="3"/>
      <c r="B134" s="3"/>
    </row>
    <row r="135" ht="15.75" customHeight="1">
      <c r="A135" s="3"/>
      <c r="B135" s="3"/>
    </row>
    <row r="136" ht="15.75" customHeight="1">
      <c r="A136" s="3"/>
      <c r="B136" s="3"/>
    </row>
    <row r="137" ht="15.75" customHeight="1">
      <c r="A137" s="3"/>
      <c r="B137" s="3"/>
    </row>
    <row r="138" ht="15.75" customHeight="1">
      <c r="A138" s="3"/>
      <c r="B138" s="3"/>
    </row>
    <row r="139" ht="15.75" customHeight="1">
      <c r="A139" s="3"/>
      <c r="B139" s="3"/>
    </row>
    <row r="140" ht="15.75" customHeight="1">
      <c r="A140" s="3"/>
      <c r="B140" s="3"/>
    </row>
    <row r="141" ht="15.75" customHeight="1">
      <c r="A141" s="3"/>
      <c r="B141" s="3"/>
    </row>
    <row r="142" ht="15.75" customHeight="1">
      <c r="A142" s="3"/>
      <c r="B142" s="3"/>
    </row>
    <row r="143" ht="15.75" customHeight="1">
      <c r="A143" s="3"/>
      <c r="B143" s="3"/>
    </row>
    <row r="144" ht="15.75" customHeight="1">
      <c r="A144" s="3"/>
      <c r="B144" s="3"/>
    </row>
    <row r="145" ht="15.75" customHeight="1">
      <c r="A145" s="3"/>
      <c r="B145" s="3"/>
    </row>
    <row r="146" ht="15.75" customHeight="1">
      <c r="A146" s="3"/>
      <c r="B146" s="3"/>
    </row>
    <row r="147" ht="15.75" customHeight="1">
      <c r="A147" s="3"/>
      <c r="B147" s="3"/>
    </row>
    <row r="148" ht="15.75" customHeight="1">
      <c r="A148" s="3"/>
      <c r="B148" s="3"/>
    </row>
    <row r="149" ht="15.75" customHeight="1">
      <c r="A149" s="3"/>
      <c r="B149" s="3"/>
    </row>
    <row r="150" ht="15.75" customHeight="1">
      <c r="A150" s="3"/>
      <c r="B150" s="3"/>
    </row>
    <row r="151" ht="15.75" customHeight="1">
      <c r="A151" s="3"/>
      <c r="B151" s="3"/>
    </row>
    <row r="152" ht="15.75" customHeight="1">
      <c r="A152" s="3"/>
      <c r="B152" s="3"/>
    </row>
    <row r="153" ht="15.75" customHeight="1">
      <c r="A153" s="3"/>
      <c r="B153" s="3"/>
    </row>
    <row r="154" ht="15.75" customHeight="1">
      <c r="A154" s="3"/>
      <c r="B154" s="3"/>
    </row>
    <row r="155" ht="15.75" customHeight="1">
      <c r="A155" s="3"/>
      <c r="B155" s="3"/>
    </row>
    <row r="156" ht="15.75" customHeight="1">
      <c r="A156" s="3"/>
      <c r="B156" s="3"/>
    </row>
    <row r="157" ht="15.75" customHeight="1">
      <c r="A157" s="3"/>
      <c r="B157" s="3"/>
    </row>
    <row r="158" ht="15.75" customHeight="1">
      <c r="A158" s="3"/>
      <c r="B158" s="3"/>
    </row>
    <row r="159" ht="15.75" customHeight="1">
      <c r="A159" s="3"/>
      <c r="B159" s="3"/>
    </row>
    <row r="160" ht="15.75" customHeight="1">
      <c r="A160" s="3"/>
      <c r="B160" s="3"/>
    </row>
    <row r="161" ht="15.75" customHeight="1">
      <c r="A161" s="3"/>
      <c r="B161" s="3"/>
    </row>
    <row r="162" ht="15.75" customHeight="1">
      <c r="A162" s="3"/>
      <c r="B162" s="3"/>
    </row>
    <row r="163" ht="15.75" customHeight="1">
      <c r="A163" s="3"/>
      <c r="B163" s="3"/>
    </row>
    <row r="164" ht="15.75" customHeight="1">
      <c r="A164" s="3"/>
      <c r="B164" s="3"/>
    </row>
    <row r="165" ht="15.75" customHeight="1">
      <c r="A165" s="3"/>
      <c r="B165" s="3"/>
    </row>
    <row r="166" ht="15.75" customHeight="1">
      <c r="A166" s="3"/>
      <c r="B166" s="3"/>
    </row>
    <row r="167" ht="15.75" customHeight="1">
      <c r="A167" s="3"/>
      <c r="B167" s="3"/>
    </row>
    <row r="168" ht="15.75" customHeight="1">
      <c r="A168" s="3"/>
      <c r="B168" s="3"/>
    </row>
    <row r="169" ht="15.75" customHeight="1">
      <c r="A169" s="3"/>
      <c r="B169" s="3"/>
    </row>
    <row r="170" ht="15.75" customHeight="1">
      <c r="A170" s="3"/>
      <c r="B170" s="3"/>
    </row>
    <row r="171" ht="15.75" customHeight="1">
      <c r="A171" s="3"/>
      <c r="B171" s="3"/>
    </row>
    <row r="172" ht="15.75" customHeight="1">
      <c r="A172" s="3"/>
      <c r="B172" s="3"/>
    </row>
    <row r="173" ht="15.75" customHeight="1">
      <c r="A173" s="3"/>
      <c r="B173" s="3"/>
    </row>
    <row r="174" ht="15.75" customHeight="1">
      <c r="A174" s="3"/>
      <c r="B174" s="3"/>
    </row>
    <row r="175" ht="15.75" customHeight="1">
      <c r="A175" s="3"/>
      <c r="B175" s="3"/>
    </row>
    <row r="176" ht="15.75" customHeight="1">
      <c r="A176" s="3"/>
      <c r="B176" s="3"/>
    </row>
    <row r="177" ht="15.75" customHeight="1">
      <c r="A177" s="3"/>
      <c r="B177" s="3"/>
    </row>
    <row r="178" ht="15.75" customHeight="1">
      <c r="A178" s="3"/>
      <c r="B178" s="3"/>
    </row>
    <row r="179" ht="15.75" customHeight="1">
      <c r="A179" s="3"/>
      <c r="B179" s="3"/>
    </row>
    <row r="180" ht="15.75" customHeight="1">
      <c r="A180" s="3"/>
      <c r="B180" s="3"/>
    </row>
    <row r="181" ht="15.75" customHeight="1">
      <c r="A181" s="3"/>
      <c r="B181" s="3"/>
    </row>
    <row r="182" ht="15.75" customHeight="1">
      <c r="A182" s="3"/>
      <c r="B182" s="3"/>
    </row>
    <row r="183" ht="15.75" customHeight="1">
      <c r="A183" s="3"/>
      <c r="B183" s="3"/>
    </row>
    <row r="184" ht="15.75" customHeight="1">
      <c r="A184" s="3"/>
      <c r="B184" s="3"/>
    </row>
    <row r="185" ht="15.75" customHeight="1">
      <c r="A185" s="3"/>
      <c r="B185" s="3"/>
    </row>
    <row r="186" ht="15.75" customHeight="1">
      <c r="A186" s="3"/>
      <c r="B186" s="3"/>
    </row>
    <row r="187" ht="15.75" customHeight="1">
      <c r="A187" s="3"/>
      <c r="B187" s="3"/>
    </row>
    <row r="188" ht="15.75" customHeight="1">
      <c r="A188" s="3"/>
      <c r="B188" s="3"/>
    </row>
    <row r="189" ht="15.75" customHeight="1">
      <c r="A189" s="3"/>
      <c r="B189" s="3"/>
    </row>
    <row r="190" ht="15.75" customHeight="1">
      <c r="A190" s="3"/>
      <c r="B190" s="3"/>
    </row>
    <row r="191" ht="15.75" customHeight="1">
      <c r="A191" s="3"/>
      <c r="B191" s="3"/>
    </row>
    <row r="192" ht="15.75" customHeight="1">
      <c r="A192" s="3"/>
      <c r="B192" s="3"/>
    </row>
    <row r="193" ht="15.75" customHeight="1">
      <c r="A193" s="3"/>
      <c r="B193" s="3"/>
    </row>
    <row r="194" ht="15.75" customHeight="1">
      <c r="A194" s="3"/>
      <c r="B194" s="3"/>
    </row>
    <row r="195" ht="15.75" customHeight="1">
      <c r="A195" s="3"/>
      <c r="B195" s="3"/>
    </row>
    <row r="196" ht="15.75" customHeight="1">
      <c r="A196" s="3"/>
      <c r="B196" s="3"/>
    </row>
    <row r="197" ht="15.75" customHeight="1">
      <c r="A197" s="3"/>
      <c r="B197" s="3"/>
    </row>
    <row r="198" ht="15.75" customHeight="1">
      <c r="A198" s="3"/>
      <c r="B198" s="3"/>
    </row>
    <row r="199" ht="15.75" customHeight="1">
      <c r="A199" s="3"/>
      <c r="B199" s="3"/>
    </row>
    <row r="200" ht="15.75" customHeight="1">
      <c r="A200" s="3"/>
      <c r="B200" s="3"/>
    </row>
    <row r="201" ht="15.75" customHeight="1">
      <c r="A201" s="3"/>
      <c r="B201" s="3"/>
    </row>
    <row r="202" ht="15.75" customHeight="1">
      <c r="A202" s="3"/>
      <c r="B202" s="3"/>
    </row>
    <row r="203" ht="15.75" customHeight="1">
      <c r="A203" s="3"/>
      <c r="B203" s="3"/>
    </row>
    <row r="204" ht="15.75" customHeight="1">
      <c r="A204" s="3"/>
      <c r="B204" s="3"/>
    </row>
    <row r="205" ht="15.75" customHeight="1">
      <c r="A205" s="3"/>
      <c r="B205" s="3"/>
    </row>
    <row r="206" ht="15.75" customHeight="1">
      <c r="A206" s="3"/>
      <c r="B206" s="3"/>
    </row>
    <row r="207" ht="15.75" customHeight="1">
      <c r="A207" s="3"/>
      <c r="B207" s="3"/>
    </row>
    <row r="208" ht="15.75" customHeight="1">
      <c r="A208" s="3"/>
      <c r="B208" s="3"/>
    </row>
    <row r="209" ht="15.75" customHeight="1">
      <c r="A209" s="3"/>
      <c r="B209" s="3"/>
    </row>
    <row r="210" ht="15.75" customHeight="1">
      <c r="A210" s="3"/>
      <c r="B210" s="3"/>
    </row>
    <row r="211" ht="15.75" customHeight="1">
      <c r="A211" s="3"/>
      <c r="B211" s="3"/>
    </row>
    <row r="212" ht="15.75" customHeight="1">
      <c r="A212" s="3"/>
      <c r="B212" s="3"/>
    </row>
    <row r="213" ht="15.75" customHeight="1">
      <c r="A213" s="3"/>
      <c r="B213" s="3"/>
    </row>
    <row r="214" ht="15.75" customHeight="1">
      <c r="A214" s="3"/>
      <c r="B214" s="3"/>
    </row>
    <row r="215" ht="15.75" customHeight="1">
      <c r="A215" s="3"/>
      <c r="B215" s="3"/>
    </row>
    <row r="216" ht="15.75" customHeight="1">
      <c r="A216" s="3"/>
      <c r="B216" s="3"/>
    </row>
    <row r="217" ht="15.75" customHeight="1">
      <c r="A217" s="3"/>
      <c r="B217" s="3"/>
    </row>
    <row r="218" ht="15.75" customHeight="1">
      <c r="A218" s="3"/>
      <c r="B218" s="3"/>
    </row>
    <row r="219" ht="15.75" customHeight="1">
      <c r="A219" s="3"/>
      <c r="B219" s="3"/>
    </row>
    <row r="220" ht="15.75" customHeight="1">
      <c r="A220" s="3"/>
      <c r="B220" s="3"/>
    </row>
    <row r="221" ht="15.75" customHeight="1">
      <c r="A221" s="3"/>
      <c r="B221" s="3"/>
    </row>
    <row r="222" ht="15.75" customHeight="1">
      <c r="A222" s="3"/>
      <c r="B222" s="3"/>
    </row>
    <row r="223" ht="15.75" customHeight="1">
      <c r="A223" s="3"/>
      <c r="B223" s="3"/>
    </row>
    <row r="224" ht="15.75" customHeight="1">
      <c r="A224" s="3"/>
      <c r="B224" s="3"/>
    </row>
    <row r="225" ht="15.75" customHeight="1">
      <c r="A225" s="3"/>
      <c r="B225" s="3"/>
    </row>
    <row r="226" ht="15.75" customHeight="1">
      <c r="A226" s="3"/>
      <c r="B226" s="3"/>
    </row>
    <row r="227" ht="15.75" customHeight="1">
      <c r="A227" s="3"/>
      <c r="B227" s="3"/>
    </row>
    <row r="228" ht="15.75" customHeight="1">
      <c r="A228" s="3"/>
      <c r="B228" s="3"/>
    </row>
    <row r="229" ht="15.75" customHeight="1">
      <c r="A229" s="3"/>
      <c r="B229" s="3"/>
    </row>
    <row r="230" ht="15.75" customHeight="1">
      <c r="A230" s="3"/>
      <c r="B230" s="3"/>
    </row>
    <row r="231" ht="15.75" customHeight="1">
      <c r="A231" s="3"/>
      <c r="B231" s="3"/>
    </row>
    <row r="232" ht="15.75" customHeight="1">
      <c r="A232" s="3"/>
      <c r="B232" s="3"/>
    </row>
    <row r="233" ht="15.75" customHeight="1">
      <c r="A233" s="3"/>
      <c r="B233" s="3"/>
    </row>
    <row r="234" ht="15.75" customHeight="1">
      <c r="A234" s="3"/>
      <c r="B234" s="3"/>
    </row>
    <row r="235" ht="15.75" customHeight="1">
      <c r="A235" s="3"/>
      <c r="B235" s="3"/>
    </row>
    <row r="236" ht="15.75" customHeight="1">
      <c r="A236" s="3"/>
      <c r="B236" s="3"/>
    </row>
    <row r="237" ht="15.75" customHeight="1">
      <c r="A237" s="3"/>
      <c r="B237" s="3"/>
    </row>
    <row r="238" ht="15.75" customHeight="1">
      <c r="A238" s="3"/>
      <c r="B238" s="3"/>
    </row>
    <row r="239" ht="15.75" customHeight="1">
      <c r="A239" s="3"/>
      <c r="B239" s="3"/>
    </row>
    <row r="240" ht="15.75" customHeight="1">
      <c r="A240" s="3"/>
      <c r="B240" s="3"/>
    </row>
    <row r="241" ht="15.75" customHeight="1">
      <c r="A241" s="3"/>
      <c r="B241" s="3"/>
    </row>
    <row r="242" ht="15.75" customHeight="1">
      <c r="A242" s="3"/>
      <c r="B242" s="3"/>
    </row>
    <row r="243" ht="15.75" customHeight="1">
      <c r="A243" s="3"/>
      <c r="B243" s="3"/>
    </row>
    <row r="244" ht="15.75" customHeight="1">
      <c r="A244" s="3"/>
      <c r="B244" s="3"/>
    </row>
    <row r="245" ht="15.75" customHeight="1">
      <c r="A245" s="3"/>
      <c r="B245" s="3"/>
    </row>
    <row r="246" ht="15.75" customHeight="1">
      <c r="A246" s="3"/>
      <c r="B246" s="3"/>
    </row>
    <row r="247" ht="15.75" customHeight="1">
      <c r="A247" s="3"/>
      <c r="B247" s="3"/>
    </row>
    <row r="248" ht="15.75" customHeight="1">
      <c r="A248" s="3"/>
      <c r="B248" s="3"/>
    </row>
    <row r="249" ht="15.75" customHeight="1">
      <c r="A249" s="3"/>
      <c r="B249" s="3"/>
    </row>
    <row r="250" ht="15.75" customHeight="1">
      <c r="A250" s="3"/>
      <c r="B250" s="3"/>
    </row>
    <row r="251" ht="15.75" customHeight="1">
      <c r="A251" s="3"/>
      <c r="B251" s="3"/>
    </row>
    <row r="252" ht="15.75" customHeight="1">
      <c r="A252" s="3"/>
      <c r="B252" s="3"/>
    </row>
    <row r="253" ht="15.75" customHeight="1">
      <c r="A253" s="3"/>
      <c r="B253" s="3"/>
    </row>
    <row r="254" ht="15.75" customHeight="1">
      <c r="A254" s="3"/>
      <c r="B254" s="3"/>
    </row>
    <row r="255" ht="15.75" customHeight="1">
      <c r="A255" s="3"/>
      <c r="B255" s="3"/>
    </row>
    <row r="256" ht="15.75" customHeight="1">
      <c r="A256" s="3"/>
      <c r="B256" s="3"/>
    </row>
    <row r="257" ht="15.75" customHeight="1">
      <c r="A257" s="3"/>
      <c r="B257" s="3"/>
    </row>
    <row r="258" ht="15.75" customHeight="1">
      <c r="A258" s="3"/>
      <c r="B258" s="3"/>
    </row>
    <row r="259" ht="15.75" customHeight="1">
      <c r="A259" s="3"/>
      <c r="B259" s="3"/>
    </row>
    <row r="260" ht="15.75" customHeight="1">
      <c r="A260" s="3"/>
      <c r="B260" s="3"/>
    </row>
    <row r="261" ht="15.75" customHeight="1">
      <c r="A261" s="3"/>
      <c r="B261" s="3"/>
    </row>
    <row r="262" ht="15.75" customHeight="1">
      <c r="A262" s="3"/>
      <c r="B262" s="3"/>
    </row>
    <row r="263" ht="15.75" customHeight="1">
      <c r="A263" s="3"/>
      <c r="B263" s="3"/>
    </row>
    <row r="264" ht="15.75" customHeight="1">
      <c r="A264" s="14"/>
      <c r="B264" s="14"/>
    </row>
    <row r="265" ht="15.75" customHeight="1">
      <c r="A265" s="14"/>
      <c r="B265" s="14"/>
    </row>
    <row r="266" ht="15.75" customHeight="1">
      <c r="A266" s="14"/>
      <c r="B266" s="14"/>
    </row>
    <row r="267" ht="15.75" customHeight="1">
      <c r="A267" s="14"/>
      <c r="B267" s="14"/>
    </row>
    <row r="268" ht="15.75" customHeight="1">
      <c r="A268" s="14"/>
      <c r="B268" s="14"/>
    </row>
    <row r="269" ht="15.75" customHeight="1">
      <c r="A269" s="14"/>
      <c r="B269" s="14"/>
    </row>
    <row r="270" ht="15.75" customHeight="1">
      <c r="A270" s="14"/>
      <c r="B270" s="14"/>
    </row>
    <row r="271" ht="15.75" customHeight="1">
      <c r="A271" s="14"/>
      <c r="B271" s="14"/>
    </row>
    <row r="272" ht="15.75" customHeight="1">
      <c r="A272" s="14"/>
      <c r="B272" s="14"/>
    </row>
    <row r="273" ht="15.75" customHeight="1">
      <c r="A273" s="14"/>
      <c r="B273" s="14"/>
    </row>
    <row r="274" ht="15.75" customHeight="1">
      <c r="A274" s="14"/>
      <c r="B274" s="14"/>
    </row>
    <row r="275" ht="15.75" customHeight="1">
      <c r="A275" s="14"/>
      <c r="B275" s="14"/>
    </row>
    <row r="276" ht="15.75" customHeight="1">
      <c r="A276" s="14"/>
      <c r="B276" s="14"/>
    </row>
    <row r="277" ht="15.75" customHeight="1">
      <c r="A277" s="14"/>
      <c r="B277" s="14"/>
    </row>
    <row r="278" ht="15.75" customHeight="1">
      <c r="A278" s="14"/>
      <c r="B278" s="14"/>
    </row>
    <row r="279" ht="15.75" customHeight="1">
      <c r="A279" s="14"/>
      <c r="B279" s="14"/>
    </row>
    <row r="280" ht="15.75" customHeight="1">
      <c r="A280" s="14"/>
      <c r="B280" s="14"/>
    </row>
    <row r="281" ht="15.75" customHeight="1">
      <c r="A281" s="14"/>
      <c r="B281" s="14"/>
    </row>
    <row r="282" ht="15.75" customHeight="1">
      <c r="A282" s="14"/>
      <c r="B282" s="14"/>
    </row>
    <row r="283" ht="15.75" customHeight="1">
      <c r="A283" s="14"/>
      <c r="B283" s="14"/>
    </row>
    <row r="284" ht="15.75" customHeight="1">
      <c r="A284" s="14"/>
      <c r="B284" s="14"/>
    </row>
    <row r="285" ht="15.75" customHeight="1">
      <c r="A285" s="14"/>
      <c r="B285" s="14"/>
    </row>
    <row r="286" ht="15.75" customHeight="1">
      <c r="A286" s="14"/>
      <c r="B286" s="14"/>
    </row>
    <row r="287" ht="15.75" customHeight="1">
      <c r="A287" s="14"/>
      <c r="B287" s="14"/>
    </row>
    <row r="288" ht="15.75" customHeight="1">
      <c r="A288" s="14"/>
      <c r="B288" s="14"/>
    </row>
    <row r="289" ht="15.75" customHeight="1">
      <c r="A289" s="14"/>
      <c r="B289" s="14"/>
    </row>
    <row r="290" ht="15.75" customHeight="1">
      <c r="A290" s="14"/>
      <c r="B290" s="14"/>
    </row>
    <row r="291" ht="15.75" customHeight="1">
      <c r="A291" s="14"/>
      <c r="B291" s="14"/>
    </row>
    <row r="292" ht="15.75" customHeight="1">
      <c r="A292" s="14"/>
      <c r="B292" s="14"/>
    </row>
    <row r="293" ht="15.75" customHeight="1">
      <c r="A293" s="14"/>
      <c r="B293" s="14"/>
    </row>
    <row r="294" ht="15.75" customHeight="1">
      <c r="A294" s="14"/>
      <c r="B294" s="14"/>
    </row>
    <row r="295" ht="15.75" customHeight="1">
      <c r="A295" s="14"/>
      <c r="B295" s="14"/>
    </row>
    <row r="296" ht="15.75" customHeight="1">
      <c r="A296" s="14"/>
      <c r="B296" s="14"/>
    </row>
    <row r="297" ht="15.75" customHeight="1">
      <c r="A297" s="14"/>
      <c r="B297" s="14"/>
    </row>
    <row r="298" ht="15.75" customHeight="1">
      <c r="A298" s="14"/>
      <c r="B298" s="14"/>
    </row>
    <row r="299" ht="15.75" customHeight="1">
      <c r="A299" s="14"/>
      <c r="B299" s="14"/>
    </row>
    <row r="300" ht="15.75" customHeight="1">
      <c r="A300" s="14"/>
      <c r="B300" s="14"/>
    </row>
    <row r="301" ht="15.75" customHeight="1">
      <c r="A301" s="14"/>
      <c r="B301" s="14"/>
    </row>
    <row r="302" ht="15.75" customHeight="1">
      <c r="A302" s="14"/>
      <c r="B302" s="14"/>
    </row>
    <row r="303" ht="15.75" customHeight="1">
      <c r="A303" s="14"/>
      <c r="B303" s="14"/>
    </row>
    <row r="304" ht="15.75" customHeight="1">
      <c r="A304" s="14"/>
      <c r="B304" s="14"/>
    </row>
    <row r="305" ht="15.75" customHeight="1">
      <c r="A305" s="14"/>
      <c r="B305" s="14"/>
    </row>
    <row r="306" ht="15.75" customHeight="1">
      <c r="A306" s="14"/>
      <c r="B306" s="14"/>
    </row>
    <row r="307" ht="15.75" customHeight="1">
      <c r="A307" s="14"/>
      <c r="B307" s="14"/>
    </row>
    <row r="308" ht="15.75" customHeight="1">
      <c r="A308" s="14"/>
      <c r="B308" s="14"/>
    </row>
    <row r="309" ht="15.75" customHeight="1">
      <c r="A309" s="14"/>
      <c r="B309" s="14"/>
    </row>
    <row r="310" ht="15.75" customHeight="1">
      <c r="A310" s="14"/>
      <c r="B310" s="14"/>
    </row>
    <row r="311" ht="15.75" customHeight="1">
      <c r="A311" s="14"/>
      <c r="B311" s="14"/>
    </row>
    <row r="312" ht="15.75" customHeight="1">
      <c r="A312" s="14"/>
      <c r="B312" s="14"/>
    </row>
    <row r="313" ht="15.75" customHeight="1">
      <c r="A313" s="14"/>
      <c r="B313" s="14"/>
    </row>
    <row r="314" ht="15.75" customHeight="1">
      <c r="A314" s="14"/>
      <c r="B314" s="14"/>
    </row>
    <row r="315" ht="15.75" customHeight="1">
      <c r="A315" s="14"/>
      <c r="B315" s="14"/>
    </row>
    <row r="316" ht="15.75" customHeight="1">
      <c r="A316" s="14"/>
      <c r="B316" s="14"/>
    </row>
    <row r="317" ht="15.75" customHeight="1">
      <c r="A317" s="14"/>
      <c r="B317" s="14"/>
    </row>
    <row r="318" ht="15.75" customHeight="1">
      <c r="A318" s="14"/>
      <c r="B318" s="14"/>
    </row>
    <row r="319" ht="15.75" customHeight="1">
      <c r="A319" s="14"/>
      <c r="B319" s="14"/>
    </row>
    <row r="320" ht="15.75" customHeight="1">
      <c r="A320" s="14"/>
      <c r="B320" s="14"/>
    </row>
    <row r="321" ht="15.75" customHeight="1">
      <c r="A321" s="14"/>
      <c r="B321" s="14"/>
    </row>
    <row r="322" ht="15.75" customHeight="1">
      <c r="A322" s="14"/>
      <c r="B322" s="14"/>
    </row>
    <row r="323" ht="15.75" customHeight="1">
      <c r="A323" s="14"/>
      <c r="B323" s="14"/>
    </row>
    <row r="324" ht="15.75" customHeight="1">
      <c r="A324" s="14"/>
      <c r="B324" s="14"/>
    </row>
    <row r="325" ht="15.75" customHeight="1">
      <c r="A325" s="14"/>
      <c r="B325" s="14"/>
    </row>
    <row r="326" ht="15.75" customHeight="1">
      <c r="A326" s="14"/>
      <c r="B326" s="14"/>
    </row>
    <row r="327" ht="15.75" customHeight="1">
      <c r="A327" s="14"/>
      <c r="B327" s="14"/>
    </row>
    <row r="328" ht="15.75" customHeight="1">
      <c r="A328" s="14"/>
      <c r="B328" s="14"/>
    </row>
    <row r="329" ht="15.75" customHeight="1">
      <c r="A329" s="14"/>
      <c r="B329" s="14"/>
    </row>
    <row r="330" ht="15.75" customHeight="1">
      <c r="A330" s="14"/>
      <c r="B330" s="14"/>
    </row>
    <row r="331" ht="15.75" customHeight="1">
      <c r="A331" s="14"/>
      <c r="B331" s="14"/>
    </row>
    <row r="332" ht="15.75" customHeight="1">
      <c r="A332" s="14"/>
      <c r="B332" s="14"/>
    </row>
    <row r="333" ht="15.75" customHeight="1">
      <c r="A333" s="14"/>
      <c r="B333" s="14"/>
    </row>
    <row r="334" ht="15.75" customHeight="1">
      <c r="A334" s="14"/>
      <c r="B334" s="14"/>
    </row>
    <row r="335" ht="15.75" customHeight="1">
      <c r="A335" s="14"/>
      <c r="B335" s="14"/>
    </row>
    <row r="336" ht="15.75" customHeight="1">
      <c r="A336" s="14"/>
      <c r="B336" s="14"/>
    </row>
    <row r="337" ht="15.75" customHeight="1">
      <c r="A337" s="14"/>
      <c r="B337" s="14"/>
    </row>
    <row r="338" ht="15.75" customHeight="1">
      <c r="A338" s="14"/>
      <c r="B338" s="14"/>
    </row>
    <row r="339" ht="15.75" customHeight="1">
      <c r="A339" s="14"/>
      <c r="B339" s="14"/>
    </row>
    <row r="340" ht="15.75" customHeight="1">
      <c r="A340" s="14"/>
      <c r="B340" s="14"/>
    </row>
    <row r="341" ht="15.75" customHeight="1">
      <c r="A341" s="14"/>
      <c r="B341" s="14"/>
    </row>
    <row r="342" ht="15.75" customHeight="1">
      <c r="A342" s="14"/>
      <c r="B342" s="14"/>
    </row>
    <row r="343" ht="15.75" customHeight="1">
      <c r="A343" s="14"/>
      <c r="B343" s="14"/>
    </row>
    <row r="344" ht="15.75" customHeight="1">
      <c r="A344" s="14"/>
      <c r="B344" s="14"/>
    </row>
    <row r="345" ht="15.75" customHeight="1">
      <c r="A345" s="14"/>
      <c r="B345" s="14"/>
    </row>
    <row r="346" ht="15.75" customHeight="1">
      <c r="A346" s="14"/>
      <c r="B346" s="14"/>
    </row>
    <row r="347" ht="15.75" customHeight="1">
      <c r="A347" s="14"/>
      <c r="B347" s="14"/>
    </row>
    <row r="348" ht="15.75" customHeight="1">
      <c r="A348" s="14"/>
      <c r="B348" s="14"/>
    </row>
    <row r="349" ht="15.75" customHeight="1">
      <c r="A349" s="14"/>
      <c r="B349" s="14"/>
    </row>
    <row r="350" ht="15.75" customHeight="1">
      <c r="A350" s="14"/>
      <c r="B350" s="14"/>
    </row>
    <row r="351" ht="15.75" customHeight="1">
      <c r="A351" s="14"/>
      <c r="B351" s="14"/>
    </row>
    <row r="352" ht="15.75" customHeight="1">
      <c r="A352" s="14"/>
      <c r="B352" s="14"/>
    </row>
    <row r="353" ht="15.75" customHeight="1">
      <c r="A353" s="14"/>
      <c r="B353" s="14"/>
    </row>
    <row r="354" ht="15.75" customHeight="1">
      <c r="A354" s="14"/>
      <c r="B354" s="14"/>
    </row>
    <row r="355" ht="15.75" customHeight="1">
      <c r="A355" s="14"/>
      <c r="B355" s="14"/>
    </row>
    <row r="356" ht="15.75" customHeight="1">
      <c r="A356" s="14"/>
      <c r="B356" s="14"/>
    </row>
    <row r="357" ht="15.75" customHeight="1">
      <c r="A357" s="14"/>
      <c r="B357" s="14"/>
    </row>
    <row r="358" ht="15.75" customHeight="1">
      <c r="A358" s="14"/>
      <c r="B358" s="14"/>
    </row>
    <row r="359" ht="15.75" customHeight="1">
      <c r="A359" s="14"/>
      <c r="B359" s="14"/>
    </row>
    <row r="360" ht="15.75" customHeight="1">
      <c r="A360" s="14"/>
      <c r="B360" s="14"/>
    </row>
    <row r="361" ht="15.75" customHeight="1">
      <c r="A361" s="14"/>
      <c r="B361" s="14"/>
    </row>
    <row r="362" ht="15.75" customHeight="1">
      <c r="A362" s="14"/>
      <c r="B362" s="14"/>
    </row>
    <row r="363" ht="15.75" customHeight="1">
      <c r="A363" s="14"/>
      <c r="B363" s="14"/>
    </row>
    <row r="364" ht="15.75" customHeight="1">
      <c r="A364" s="14"/>
      <c r="B364" s="14"/>
    </row>
    <row r="365" ht="15.75" customHeight="1">
      <c r="A365" s="14"/>
      <c r="B365" s="14"/>
    </row>
    <row r="366" ht="15.75" customHeight="1">
      <c r="A366" s="14"/>
      <c r="B366" s="14"/>
    </row>
    <row r="367" ht="15.75" customHeight="1">
      <c r="A367" s="14"/>
      <c r="B367" s="14"/>
    </row>
    <row r="368" ht="15.75" customHeight="1">
      <c r="A368" s="14"/>
      <c r="B368" s="14"/>
    </row>
    <row r="369" ht="15.75" customHeight="1">
      <c r="A369" s="14"/>
      <c r="B369" s="14"/>
    </row>
    <row r="370" ht="15.75" customHeight="1">
      <c r="A370" s="14"/>
      <c r="B370" s="14"/>
    </row>
    <row r="371" ht="15.75" customHeight="1">
      <c r="A371" s="14"/>
      <c r="B371" s="14"/>
    </row>
    <row r="372" ht="15.75" customHeight="1">
      <c r="A372" s="14"/>
      <c r="B372" s="14"/>
    </row>
    <row r="373" ht="15.75" customHeight="1">
      <c r="A373" s="14"/>
      <c r="B373" s="14"/>
    </row>
    <row r="374" ht="15.75" customHeight="1">
      <c r="A374" s="14"/>
      <c r="B374" s="14"/>
    </row>
    <row r="375" ht="15.75" customHeight="1">
      <c r="A375" s="14"/>
      <c r="B375" s="14"/>
    </row>
    <row r="376" ht="15.75" customHeight="1">
      <c r="A376" s="14"/>
      <c r="B376" s="14"/>
    </row>
    <row r="377" ht="15.75" customHeight="1">
      <c r="A377" s="14"/>
      <c r="B377" s="14"/>
    </row>
    <row r="378" ht="15.75" customHeight="1">
      <c r="A378" s="14"/>
      <c r="B378" s="14"/>
    </row>
    <row r="379" ht="15.75" customHeight="1">
      <c r="A379" s="14"/>
      <c r="B379" s="14"/>
    </row>
    <row r="380" ht="15.75" customHeight="1">
      <c r="A380" s="14"/>
      <c r="B380" s="14"/>
    </row>
    <row r="381" ht="15.75" customHeight="1">
      <c r="A381" s="14"/>
      <c r="B381" s="14"/>
    </row>
    <row r="382" ht="15.75" customHeight="1">
      <c r="A382" s="14"/>
      <c r="B382" s="14"/>
    </row>
    <row r="383" ht="15.75" customHeight="1">
      <c r="A383" s="14"/>
      <c r="B383" s="14"/>
    </row>
    <row r="384" ht="15.75" customHeight="1">
      <c r="A384" s="14"/>
      <c r="B384" s="14"/>
    </row>
    <row r="385" ht="15.75" customHeight="1">
      <c r="A385" s="14"/>
      <c r="B385" s="14"/>
    </row>
    <row r="386" ht="15.75" customHeight="1">
      <c r="A386" s="14"/>
      <c r="B386" s="14"/>
    </row>
    <row r="387" ht="15.75" customHeight="1">
      <c r="A387" s="14"/>
      <c r="B387" s="14"/>
    </row>
    <row r="388" ht="15.75" customHeight="1">
      <c r="A388" s="14"/>
      <c r="B388" s="14"/>
    </row>
    <row r="389" ht="15.75" customHeight="1">
      <c r="A389" s="14"/>
      <c r="B389" s="14"/>
    </row>
    <row r="390" ht="15.75" customHeight="1">
      <c r="A390" s="14"/>
      <c r="B390" s="14"/>
    </row>
    <row r="391" ht="15.75" customHeight="1">
      <c r="A391" s="14"/>
      <c r="B391" s="14"/>
    </row>
    <row r="392" ht="15.75" customHeight="1">
      <c r="A392" s="14"/>
      <c r="B392" s="14"/>
    </row>
    <row r="393" ht="15.75" customHeight="1">
      <c r="A393" s="14"/>
      <c r="B393" s="14"/>
    </row>
    <row r="394" ht="15.75" customHeight="1">
      <c r="A394" s="14"/>
      <c r="B394" s="14"/>
    </row>
    <row r="395" ht="15.75" customHeight="1">
      <c r="A395" s="14"/>
      <c r="B395" s="14"/>
    </row>
    <row r="396" ht="15.75" customHeight="1">
      <c r="A396" s="14"/>
      <c r="B396" s="14"/>
    </row>
    <row r="397" ht="15.75" customHeight="1">
      <c r="A397" s="14"/>
      <c r="B397" s="14"/>
    </row>
    <row r="398" ht="15.75" customHeight="1">
      <c r="A398" s="14"/>
      <c r="B398" s="14"/>
    </row>
    <row r="399" ht="15.75" customHeight="1">
      <c r="A399" s="14"/>
      <c r="B399" s="14"/>
    </row>
    <row r="400" ht="15.75" customHeight="1">
      <c r="A400" s="14"/>
      <c r="B400" s="14"/>
    </row>
    <row r="401" ht="15.75" customHeight="1">
      <c r="A401" s="14"/>
      <c r="B401" s="14"/>
    </row>
    <row r="402" ht="15.75" customHeight="1">
      <c r="A402" s="14"/>
      <c r="B402" s="14"/>
    </row>
    <row r="403" ht="15.75" customHeight="1">
      <c r="A403" s="14"/>
      <c r="B403" s="14"/>
    </row>
    <row r="404" ht="15.75" customHeight="1">
      <c r="A404" s="14"/>
      <c r="B404" s="14"/>
    </row>
    <row r="405" ht="15.75" customHeight="1">
      <c r="A405" s="14"/>
      <c r="B405" s="14"/>
    </row>
    <row r="406" ht="15.75" customHeight="1">
      <c r="A406" s="14"/>
      <c r="B406" s="14"/>
    </row>
    <row r="407" ht="15.75" customHeight="1">
      <c r="A407" s="14"/>
      <c r="B407" s="14"/>
    </row>
    <row r="408" ht="15.75" customHeight="1">
      <c r="A408" s="14"/>
      <c r="B408" s="14"/>
    </row>
    <row r="409" ht="15.75" customHeight="1">
      <c r="A409" s="14"/>
      <c r="B409" s="14"/>
    </row>
    <row r="410" ht="15.75" customHeight="1">
      <c r="A410" s="14"/>
      <c r="B410" s="14"/>
    </row>
    <row r="411" ht="15.75" customHeight="1">
      <c r="A411" s="14"/>
      <c r="B411" s="14"/>
    </row>
    <row r="412" ht="15.75" customHeight="1">
      <c r="A412" s="14"/>
      <c r="B412" s="14"/>
    </row>
    <row r="413" ht="15.75" customHeight="1">
      <c r="A413" s="14"/>
      <c r="B413" s="14"/>
    </row>
    <row r="414" ht="15.75" customHeight="1">
      <c r="A414" s="14"/>
      <c r="B414" s="14"/>
    </row>
    <row r="415" ht="15.75" customHeight="1">
      <c r="A415" s="14"/>
      <c r="B415" s="14"/>
    </row>
    <row r="416" ht="15.75" customHeight="1">
      <c r="A416" s="14"/>
      <c r="B416" s="14"/>
    </row>
    <row r="417" ht="15.75" customHeight="1">
      <c r="A417" s="14"/>
      <c r="B417" s="14"/>
    </row>
    <row r="418" ht="15.75" customHeight="1">
      <c r="A418" s="14"/>
      <c r="B418" s="14"/>
    </row>
    <row r="419" ht="15.75" customHeight="1">
      <c r="A419" s="14"/>
      <c r="B419" s="14"/>
    </row>
    <row r="420" ht="15.75" customHeight="1">
      <c r="A420" s="14"/>
      <c r="B420" s="14"/>
    </row>
    <row r="421" ht="15.75" customHeight="1">
      <c r="A421" s="14"/>
      <c r="B421" s="14"/>
    </row>
    <row r="422" ht="15.75" customHeight="1">
      <c r="A422" s="14"/>
      <c r="B422" s="14"/>
    </row>
    <row r="423" ht="15.75" customHeight="1">
      <c r="A423" s="14"/>
      <c r="B423" s="14"/>
    </row>
    <row r="424" ht="15.75" customHeight="1">
      <c r="A424" s="14"/>
      <c r="B424" s="14"/>
    </row>
    <row r="425" ht="15.75" customHeight="1">
      <c r="A425" s="14"/>
      <c r="B425" s="14"/>
    </row>
    <row r="426" ht="15.75" customHeight="1">
      <c r="A426" s="14"/>
      <c r="B426" s="14"/>
    </row>
    <row r="427" ht="15.75" customHeight="1">
      <c r="A427" s="14"/>
      <c r="B427" s="14"/>
    </row>
    <row r="428" ht="15.75" customHeight="1">
      <c r="A428" s="14"/>
      <c r="B428" s="14"/>
    </row>
    <row r="429" ht="15.75" customHeight="1">
      <c r="A429" s="14"/>
      <c r="B429" s="14"/>
    </row>
    <row r="430" ht="15.75" customHeight="1">
      <c r="A430" s="14"/>
      <c r="B430" s="14"/>
    </row>
    <row r="431" ht="15.75" customHeight="1">
      <c r="A431" s="14"/>
      <c r="B431" s="14"/>
    </row>
    <row r="432" ht="15.75" customHeight="1">
      <c r="A432" s="14"/>
      <c r="B432" s="14"/>
    </row>
    <row r="433" ht="15.75" customHeight="1">
      <c r="A433" s="14"/>
      <c r="B433" s="14"/>
    </row>
    <row r="434" ht="15.75" customHeight="1">
      <c r="A434" s="14"/>
      <c r="B434" s="14"/>
    </row>
    <row r="435" ht="15.75" customHeight="1">
      <c r="A435" s="14"/>
      <c r="B435" s="14"/>
    </row>
    <row r="436" ht="15.75" customHeight="1">
      <c r="A436" s="14"/>
      <c r="B436" s="14"/>
    </row>
    <row r="437" ht="15.75" customHeight="1">
      <c r="A437" s="14"/>
      <c r="B437" s="14"/>
    </row>
    <row r="438" ht="15.75" customHeight="1">
      <c r="A438" s="14"/>
      <c r="B438" s="14"/>
    </row>
    <row r="439" ht="15.75" customHeight="1">
      <c r="A439" s="14"/>
      <c r="B439" s="14"/>
    </row>
    <row r="440" ht="15.75" customHeight="1">
      <c r="A440" s="14"/>
      <c r="B440" s="14"/>
    </row>
    <row r="441" ht="15.75" customHeight="1">
      <c r="A441" s="14"/>
      <c r="B441" s="14"/>
    </row>
    <row r="442" ht="15.75" customHeight="1">
      <c r="A442" s="14"/>
      <c r="B442" s="14"/>
    </row>
    <row r="443" ht="15.75" customHeight="1">
      <c r="A443" s="14"/>
      <c r="B443" s="14"/>
    </row>
    <row r="444" ht="15.75" customHeight="1">
      <c r="A444" s="14"/>
      <c r="B444" s="14"/>
    </row>
    <row r="445" ht="15.75" customHeight="1">
      <c r="A445" s="14"/>
      <c r="B445" s="14"/>
    </row>
    <row r="446" ht="15.75" customHeight="1">
      <c r="A446" s="14"/>
      <c r="B446" s="14"/>
    </row>
    <row r="447" ht="15.75" customHeight="1">
      <c r="A447" s="14"/>
      <c r="B447" s="14"/>
    </row>
    <row r="448" ht="15.75" customHeight="1">
      <c r="A448" s="14"/>
      <c r="B448" s="14"/>
    </row>
    <row r="449" ht="15.75" customHeight="1">
      <c r="A449" s="14"/>
      <c r="B449" s="14"/>
    </row>
    <row r="450" ht="15.75" customHeight="1">
      <c r="A450" s="14"/>
      <c r="B450" s="14"/>
    </row>
    <row r="451" ht="15.75" customHeight="1">
      <c r="A451" s="14"/>
      <c r="B451" s="14"/>
    </row>
    <row r="452" ht="15.75" customHeight="1">
      <c r="A452" s="14"/>
      <c r="B452" s="14"/>
    </row>
    <row r="453" ht="15.75" customHeight="1">
      <c r="A453" s="14"/>
      <c r="B453" s="14"/>
    </row>
    <row r="454" ht="15.75" customHeight="1">
      <c r="A454" s="14"/>
      <c r="B454" s="14"/>
    </row>
    <row r="455" ht="15.75" customHeight="1">
      <c r="A455" s="14"/>
      <c r="B455" s="14"/>
    </row>
    <row r="456" ht="15.75" customHeight="1">
      <c r="A456" s="14"/>
      <c r="B456" s="14"/>
    </row>
    <row r="457" ht="15.75" customHeight="1">
      <c r="A457" s="14"/>
      <c r="B457" s="14"/>
    </row>
    <row r="458" ht="15.75" customHeight="1">
      <c r="A458" s="14"/>
      <c r="B458" s="14"/>
    </row>
    <row r="459" ht="15.75" customHeight="1">
      <c r="A459" s="14"/>
      <c r="B459" s="14"/>
    </row>
    <row r="460" ht="15.75" customHeight="1">
      <c r="A460" s="14"/>
      <c r="B460" s="14"/>
    </row>
    <row r="461" ht="15.75" customHeight="1">
      <c r="A461" s="14"/>
      <c r="B461" s="14"/>
    </row>
    <row r="462" ht="15.75" customHeight="1">
      <c r="A462" s="14"/>
      <c r="B462" s="14"/>
    </row>
    <row r="463" ht="15.75" customHeight="1">
      <c r="A463" s="14"/>
      <c r="B463" s="14"/>
    </row>
    <row r="464" ht="15.75" customHeight="1">
      <c r="A464" s="14"/>
      <c r="B464" s="14"/>
    </row>
    <row r="465" ht="15.75" customHeight="1">
      <c r="A465" s="14"/>
      <c r="B465" s="14"/>
    </row>
    <row r="466" ht="15.75" customHeight="1">
      <c r="A466" s="14"/>
      <c r="B466" s="14"/>
    </row>
    <row r="467" ht="15.75" customHeight="1">
      <c r="A467" s="14"/>
      <c r="B467" s="14"/>
    </row>
    <row r="468" ht="15.75" customHeight="1">
      <c r="A468" s="14"/>
      <c r="B468" s="14"/>
    </row>
    <row r="469" ht="15.75" customHeight="1">
      <c r="A469" s="14"/>
      <c r="B469" s="14"/>
    </row>
    <row r="470" ht="15.75" customHeight="1">
      <c r="A470" s="14"/>
      <c r="B470" s="14"/>
    </row>
    <row r="471" ht="15.75" customHeight="1">
      <c r="A471" s="14"/>
      <c r="B471" s="14"/>
    </row>
    <row r="472" ht="15.75" customHeight="1">
      <c r="A472" s="14"/>
      <c r="B472" s="14"/>
    </row>
    <row r="473" ht="15.75" customHeight="1">
      <c r="A473" s="14"/>
      <c r="B473" s="14"/>
    </row>
    <row r="474" ht="15.75" customHeight="1">
      <c r="A474" s="14"/>
      <c r="B474" s="14"/>
    </row>
    <row r="475" ht="15.75" customHeight="1">
      <c r="A475" s="14"/>
      <c r="B475" s="14"/>
    </row>
    <row r="476" ht="15.75" customHeight="1">
      <c r="A476" s="14"/>
      <c r="B476" s="14"/>
    </row>
    <row r="477" ht="15.75" customHeight="1">
      <c r="A477" s="14"/>
      <c r="B477" s="14"/>
    </row>
    <row r="478" ht="15.75" customHeight="1">
      <c r="A478" s="14"/>
      <c r="B478" s="14"/>
    </row>
    <row r="479" ht="15.75" customHeight="1">
      <c r="A479" s="14"/>
      <c r="B479" s="14"/>
    </row>
    <row r="480" ht="15.75" customHeight="1">
      <c r="A480" s="14"/>
      <c r="B480" s="14"/>
    </row>
    <row r="481" ht="15.75" customHeight="1">
      <c r="A481" s="14"/>
      <c r="B481" s="14"/>
    </row>
    <row r="482" ht="15.75" customHeight="1">
      <c r="A482" s="14"/>
      <c r="B482" s="14"/>
    </row>
    <row r="483" ht="15.75" customHeight="1">
      <c r="A483" s="14"/>
      <c r="B483" s="14"/>
    </row>
    <row r="484" ht="15.75" customHeight="1">
      <c r="A484" s="14"/>
      <c r="B484" s="14"/>
    </row>
    <row r="485" ht="15.75" customHeight="1">
      <c r="A485" s="14"/>
      <c r="B485" s="14"/>
    </row>
    <row r="486" ht="15.75" customHeight="1">
      <c r="A486" s="14"/>
      <c r="B486" s="14"/>
    </row>
    <row r="487" ht="15.75" customHeight="1">
      <c r="A487" s="14"/>
      <c r="B487" s="14"/>
    </row>
    <row r="488" ht="15.75" customHeight="1">
      <c r="A488" s="14"/>
      <c r="B488" s="14"/>
    </row>
    <row r="489" ht="15.75" customHeight="1">
      <c r="A489" s="14"/>
      <c r="B489" s="14"/>
    </row>
    <row r="490" ht="15.75" customHeight="1">
      <c r="A490" s="14"/>
      <c r="B490" s="14"/>
    </row>
    <row r="491" ht="15.75" customHeight="1">
      <c r="A491" s="14"/>
      <c r="B491" s="14"/>
    </row>
    <row r="492" ht="15.75" customHeight="1">
      <c r="A492" s="14"/>
      <c r="B492" s="14"/>
    </row>
    <row r="493" ht="15.75" customHeight="1">
      <c r="A493" s="14"/>
      <c r="B493" s="14"/>
    </row>
    <row r="494" ht="15.75" customHeight="1">
      <c r="A494" s="14"/>
      <c r="B494" s="14"/>
    </row>
    <row r="495" ht="15.75" customHeight="1">
      <c r="A495" s="14"/>
      <c r="B495" s="14"/>
    </row>
    <row r="496" ht="15.75" customHeight="1">
      <c r="A496" s="14"/>
      <c r="B496" s="14"/>
    </row>
    <row r="497" ht="15.75" customHeight="1">
      <c r="A497" s="14"/>
      <c r="B497" s="14"/>
    </row>
    <row r="498" ht="15.75" customHeight="1">
      <c r="A498" s="14"/>
      <c r="B498" s="14"/>
    </row>
    <row r="499" ht="15.75" customHeight="1">
      <c r="A499" s="14"/>
      <c r="B499" s="14"/>
    </row>
    <row r="500" ht="15.75" customHeight="1">
      <c r="A500" s="14"/>
      <c r="B500" s="14"/>
    </row>
    <row r="501" ht="15.75" customHeight="1">
      <c r="A501" s="14"/>
      <c r="B501" s="14"/>
    </row>
    <row r="502" ht="15.75" customHeight="1">
      <c r="A502" s="14"/>
      <c r="B502" s="14"/>
    </row>
    <row r="503" ht="15.75" customHeight="1">
      <c r="A503" s="14"/>
      <c r="B503" s="14"/>
    </row>
    <row r="504" ht="15.75" customHeight="1">
      <c r="A504" s="14"/>
      <c r="B504" s="14"/>
    </row>
    <row r="505" ht="15.75" customHeight="1">
      <c r="A505" s="14"/>
      <c r="B505" s="14"/>
    </row>
    <row r="506" ht="15.75" customHeight="1">
      <c r="A506" s="14"/>
      <c r="B506" s="14"/>
    </row>
    <row r="507" ht="15.75" customHeight="1">
      <c r="A507" s="14"/>
      <c r="B507" s="14"/>
    </row>
    <row r="508" ht="15.75" customHeight="1">
      <c r="A508" s="14"/>
      <c r="B508" s="14"/>
    </row>
    <row r="509" ht="15.75" customHeight="1">
      <c r="A509" s="14"/>
      <c r="B509" s="14"/>
    </row>
    <row r="510" ht="15.75" customHeight="1">
      <c r="A510" s="14"/>
      <c r="B510" s="14"/>
    </row>
    <row r="511" ht="15.75" customHeight="1">
      <c r="A511" s="14"/>
      <c r="B511" s="14"/>
    </row>
    <row r="512" ht="15.75" customHeight="1">
      <c r="A512" s="14"/>
      <c r="B512" s="14"/>
    </row>
    <row r="513" ht="15.75" customHeight="1">
      <c r="A513" s="14"/>
      <c r="B513" s="14"/>
    </row>
    <row r="514" ht="15.75" customHeight="1">
      <c r="A514" s="14"/>
      <c r="B514" s="14"/>
    </row>
    <row r="515" ht="15.75" customHeight="1">
      <c r="A515" s="14"/>
      <c r="B515" s="14"/>
    </row>
    <row r="516" ht="15.75" customHeight="1">
      <c r="A516" s="14"/>
      <c r="B516" s="14"/>
    </row>
    <row r="517" ht="15.75" customHeight="1">
      <c r="A517" s="14"/>
      <c r="B517" s="14"/>
    </row>
    <row r="518" ht="15.75" customHeight="1">
      <c r="A518" s="14"/>
      <c r="B518" s="14"/>
    </row>
    <row r="519" ht="15.75" customHeight="1">
      <c r="A519" s="14"/>
      <c r="B519" s="14"/>
    </row>
    <row r="520" ht="15.75" customHeight="1">
      <c r="A520" s="14"/>
      <c r="B520" s="14"/>
    </row>
    <row r="521" ht="15.75" customHeight="1">
      <c r="A521" s="14"/>
      <c r="B521" s="14"/>
    </row>
    <row r="522" ht="15.75" customHeight="1">
      <c r="A522" s="14"/>
      <c r="B522" s="14"/>
    </row>
    <row r="523" ht="15.75" customHeight="1">
      <c r="A523" s="14"/>
      <c r="B523" s="14"/>
    </row>
    <row r="524" ht="15.75" customHeight="1">
      <c r="A524" s="14"/>
      <c r="B524" s="14"/>
    </row>
    <row r="525" ht="15.75" customHeight="1">
      <c r="A525" s="14"/>
      <c r="B525" s="14"/>
    </row>
    <row r="526" ht="15.75" customHeight="1">
      <c r="A526" s="14"/>
      <c r="B526" s="14"/>
    </row>
    <row r="527" ht="15.75" customHeight="1">
      <c r="A527" s="14"/>
      <c r="B527" s="14"/>
    </row>
    <row r="528" ht="15.75" customHeight="1">
      <c r="A528" s="14"/>
      <c r="B528" s="14"/>
    </row>
    <row r="529" ht="15.75" customHeight="1">
      <c r="A529" s="14"/>
      <c r="B529" s="14"/>
    </row>
    <row r="530" ht="15.75" customHeight="1">
      <c r="A530" s="14"/>
      <c r="B530" s="14"/>
    </row>
    <row r="531" ht="15.75" customHeight="1">
      <c r="A531" s="14"/>
      <c r="B531" s="14"/>
    </row>
    <row r="532" ht="15.75" customHeight="1">
      <c r="A532" s="14"/>
      <c r="B532" s="14"/>
    </row>
    <row r="533" ht="15.75" customHeight="1">
      <c r="A533" s="14"/>
      <c r="B533" s="14"/>
    </row>
    <row r="534" ht="15.75" customHeight="1">
      <c r="A534" s="14"/>
      <c r="B534" s="14"/>
    </row>
    <row r="535" ht="15.75" customHeight="1">
      <c r="A535" s="14"/>
      <c r="B535" s="14"/>
    </row>
    <row r="536" ht="15.75" customHeight="1">
      <c r="A536" s="14"/>
      <c r="B536" s="14"/>
    </row>
    <row r="537" ht="15.75" customHeight="1">
      <c r="A537" s="14"/>
      <c r="B537" s="14"/>
    </row>
    <row r="538" ht="15.75" customHeight="1">
      <c r="A538" s="14"/>
      <c r="B538" s="14"/>
    </row>
    <row r="539" ht="15.75" customHeight="1">
      <c r="A539" s="14"/>
      <c r="B539" s="14"/>
    </row>
    <row r="540" ht="15.75" customHeight="1">
      <c r="A540" s="14"/>
      <c r="B540" s="14"/>
    </row>
    <row r="541" ht="15.75" customHeight="1">
      <c r="A541" s="14"/>
      <c r="B541" s="14"/>
    </row>
    <row r="542" ht="15.75" customHeight="1">
      <c r="A542" s="14"/>
      <c r="B542" s="14"/>
    </row>
    <row r="543" ht="15.75" customHeight="1">
      <c r="A543" s="14"/>
      <c r="B543" s="14"/>
    </row>
    <row r="544" ht="15.75" customHeight="1">
      <c r="A544" s="14"/>
      <c r="B544" s="14"/>
    </row>
    <row r="545" ht="15.75" customHeight="1">
      <c r="A545" s="14"/>
      <c r="B545" s="14"/>
    </row>
    <row r="546" ht="15.75" customHeight="1">
      <c r="A546" s="14"/>
      <c r="B546" s="14"/>
    </row>
    <row r="547" ht="15.75" customHeight="1">
      <c r="A547" s="14"/>
      <c r="B547" s="14"/>
    </row>
    <row r="548" ht="15.75" customHeight="1">
      <c r="A548" s="14"/>
      <c r="B548" s="14"/>
    </row>
    <row r="549" ht="15.75" customHeight="1">
      <c r="A549" s="14"/>
      <c r="B549" s="14"/>
    </row>
    <row r="550" ht="15.75" customHeight="1">
      <c r="A550" s="14"/>
      <c r="B550" s="14"/>
    </row>
    <row r="551" ht="15.75" customHeight="1">
      <c r="A551" s="14"/>
      <c r="B551" s="14"/>
    </row>
    <row r="552" ht="15.75" customHeight="1">
      <c r="A552" s="14"/>
      <c r="B552" s="14"/>
    </row>
    <row r="553" ht="15.75" customHeight="1">
      <c r="A553" s="14"/>
      <c r="B553" s="14"/>
    </row>
    <row r="554" ht="15.75" customHeight="1">
      <c r="A554" s="14"/>
      <c r="B554" s="14"/>
    </row>
    <row r="555" ht="15.75" customHeight="1">
      <c r="A555" s="14"/>
      <c r="B555" s="14"/>
    </row>
    <row r="556" ht="15.75" customHeight="1">
      <c r="A556" s="14"/>
      <c r="B556" s="14"/>
    </row>
    <row r="557" ht="15.75" customHeight="1">
      <c r="A557" s="14"/>
      <c r="B557" s="14"/>
    </row>
    <row r="558" ht="15.75" customHeight="1">
      <c r="A558" s="14"/>
      <c r="B558" s="14"/>
    </row>
    <row r="559" ht="15.75" customHeight="1">
      <c r="A559" s="14"/>
      <c r="B559" s="14"/>
    </row>
    <row r="560" ht="15.75" customHeight="1">
      <c r="A560" s="14"/>
      <c r="B560" s="14"/>
    </row>
    <row r="561" ht="15.75" customHeight="1">
      <c r="A561" s="14"/>
      <c r="B561" s="14"/>
    </row>
    <row r="562" ht="15.75" customHeight="1">
      <c r="A562" s="14"/>
      <c r="B562" s="14"/>
    </row>
    <row r="563" ht="15.75" customHeight="1">
      <c r="A563" s="14"/>
      <c r="B563" s="14"/>
    </row>
    <row r="564" ht="15.75" customHeight="1">
      <c r="A564" s="14"/>
      <c r="B564" s="14"/>
    </row>
    <row r="565" ht="15.75" customHeight="1">
      <c r="A565" s="14"/>
      <c r="B565" s="14"/>
    </row>
    <row r="566" ht="15.75" customHeight="1">
      <c r="A566" s="14"/>
      <c r="B566" s="14"/>
    </row>
    <row r="567" ht="15.75" customHeight="1">
      <c r="A567" s="14"/>
      <c r="B567" s="14"/>
    </row>
    <row r="568" ht="15.75" customHeight="1">
      <c r="A568" s="14"/>
      <c r="B568" s="14"/>
    </row>
    <row r="569" ht="15.75" customHeight="1">
      <c r="A569" s="14"/>
      <c r="B569" s="14"/>
    </row>
    <row r="570" ht="15.75" customHeight="1">
      <c r="A570" s="14"/>
      <c r="B570" s="14"/>
    </row>
    <row r="571" ht="15.75" customHeight="1">
      <c r="A571" s="14"/>
      <c r="B571" s="14"/>
    </row>
    <row r="572" ht="15.75" customHeight="1">
      <c r="A572" s="14"/>
      <c r="B572" s="14"/>
    </row>
    <row r="573" ht="15.75" customHeight="1">
      <c r="A573" s="14"/>
      <c r="B573" s="14"/>
    </row>
    <row r="574" ht="15.75" customHeight="1">
      <c r="A574" s="14"/>
      <c r="B574" s="14"/>
    </row>
    <row r="575" ht="15.75" customHeight="1">
      <c r="A575" s="14"/>
      <c r="B575" s="14"/>
    </row>
    <row r="576" ht="15.75" customHeight="1">
      <c r="A576" s="14"/>
      <c r="B576" s="14"/>
    </row>
    <row r="577" ht="15.75" customHeight="1">
      <c r="A577" s="14"/>
      <c r="B577" s="14"/>
    </row>
    <row r="578" ht="15.75" customHeight="1">
      <c r="A578" s="14"/>
      <c r="B578" s="14"/>
    </row>
    <row r="579" ht="15.75" customHeight="1">
      <c r="A579" s="14"/>
      <c r="B579" s="14"/>
    </row>
    <row r="580" ht="15.75" customHeight="1">
      <c r="A580" s="14"/>
      <c r="B580" s="14"/>
    </row>
    <row r="581" ht="15.75" customHeight="1">
      <c r="A581" s="14"/>
      <c r="B581" s="14"/>
    </row>
    <row r="582" ht="15.75" customHeight="1">
      <c r="A582" s="14"/>
      <c r="B582" s="14"/>
    </row>
    <row r="583" ht="15.75" customHeight="1">
      <c r="A583" s="14"/>
      <c r="B583" s="14"/>
    </row>
    <row r="584" ht="15.75" customHeight="1">
      <c r="A584" s="14"/>
      <c r="B584" s="14"/>
    </row>
    <row r="585" ht="15.75" customHeight="1">
      <c r="A585" s="14"/>
      <c r="B585" s="14"/>
    </row>
    <row r="586" ht="15.75" customHeight="1">
      <c r="A586" s="14"/>
      <c r="B586" s="14"/>
    </row>
    <row r="587" ht="15.75" customHeight="1">
      <c r="A587" s="14"/>
      <c r="B587" s="14"/>
    </row>
    <row r="588" ht="15.75" customHeight="1">
      <c r="A588" s="14"/>
      <c r="B588" s="14"/>
    </row>
    <row r="589" ht="15.75" customHeight="1">
      <c r="A589" s="14"/>
      <c r="B589" s="14"/>
    </row>
    <row r="590" ht="15.75" customHeight="1">
      <c r="A590" s="14"/>
      <c r="B590" s="14"/>
    </row>
    <row r="591" ht="15.75" customHeight="1">
      <c r="A591" s="14"/>
      <c r="B591" s="14"/>
    </row>
    <row r="592" ht="15.75" customHeight="1">
      <c r="A592" s="14"/>
      <c r="B592" s="14"/>
    </row>
    <row r="593" ht="15.75" customHeight="1">
      <c r="A593" s="14"/>
      <c r="B593" s="14"/>
    </row>
    <row r="594" ht="15.75" customHeight="1">
      <c r="A594" s="14"/>
      <c r="B594" s="14"/>
    </row>
    <row r="595" ht="15.75" customHeight="1">
      <c r="A595" s="14"/>
      <c r="B595" s="14"/>
    </row>
    <row r="596" ht="15.75" customHeight="1">
      <c r="A596" s="14"/>
      <c r="B596" s="14"/>
    </row>
    <row r="597" ht="15.75" customHeight="1">
      <c r="A597" s="14"/>
      <c r="B597" s="14"/>
    </row>
    <row r="598" ht="15.75" customHeight="1">
      <c r="A598" s="14"/>
      <c r="B598" s="14"/>
    </row>
    <row r="599" ht="15.75" customHeight="1">
      <c r="A599" s="14"/>
      <c r="B599" s="14"/>
    </row>
    <row r="600" ht="15.75" customHeight="1">
      <c r="A600" s="14"/>
      <c r="B600" s="14"/>
    </row>
    <row r="601" ht="15.75" customHeight="1">
      <c r="A601" s="14"/>
      <c r="B601" s="14"/>
    </row>
    <row r="602" ht="15.75" customHeight="1">
      <c r="A602" s="14"/>
      <c r="B602" s="14"/>
    </row>
    <row r="603" ht="15.75" customHeight="1">
      <c r="A603" s="14"/>
      <c r="B603" s="14"/>
    </row>
    <row r="604" ht="15.75" customHeight="1">
      <c r="A604" s="14"/>
      <c r="B604" s="14"/>
    </row>
    <row r="605" ht="15.75" customHeight="1">
      <c r="A605" s="14"/>
      <c r="B605" s="14"/>
    </row>
    <row r="606" ht="15.75" customHeight="1">
      <c r="A606" s="14"/>
      <c r="B606" s="14"/>
    </row>
    <row r="607" ht="15.75" customHeight="1">
      <c r="A607" s="14"/>
      <c r="B607" s="14"/>
    </row>
    <row r="608" ht="15.75" customHeight="1">
      <c r="A608" s="14"/>
      <c r="B608" s="14"/>
    </row>
    <row r="609" ht="15.75" customHeight="1">
      <c r="A609" s="14"/>
      <c r="B609" s="14"/>
    </row>
    <row r="610" ht="15.75" customHeight="1">
      <c r="A610" s="14"/>
      <c r="B610" s="14"/>
    </row>
    <row r="611" ht="15.75" customHeight="1">
      <c r="A611" s="14"/>
      <c r="B611" s="14"/>
    </row>
    <row r="612" ht="15.75" customHeight="1">
      <c r="A612" s="14"/>
      <c r="B612" s="14"/>
    </row>
    <row r="613" ht="15.75" customHeight="1">
      <c r="A613" s="14"/>
      <c r="B613" s="14"/>
    </row>
    <row r="614" ht="15.75" customHeight="1">
      <c r="A614" s="14"/>
      <c r="B614" s="14"/>
    </row>
    <row r="615" ht="15.75" customHeight="1">
      <c r="A615" s="14"/>
      <c r="B615" s="14"/>
    </row>
    <row r="616" ht="15.75" customHeight="1">
      <c r="A616" s="14"/>
      <c r="B616" s="14"/>
    </row>
    <row r="617" ht="15.75" customHeight="1">
      <c r="A617" s="14"/>
      <c r="B617" s="14"/>
    </row>
    <row r="618" ht="15.75" customHeight="1">
      <c r="A618" s="14"/>
      <c r="B618" s="14"/>
    </row>
    <row r="619" ht="15.75" customHeight="1">
      <c r="A619" s="14"/>
      <c r="B619" s="14"/>
    </row>
    <row r="620" ht="15.75" customHeight="1">
      <c r="A620" s="14"/>
      <c r="B620" s="14"/>
    </row>
    <row r="621" ht="15.75" customHeight="1">
      <c r="A621" s="14"/>
      <c r="B621" s="14"/>
    </row>
    <row r="622" ht="15.75" customHeight="1">
      <c r="A622" s="14"/>
      <c r="B622" s="14"/>
    </row>
    <row r="623" ht="15.75" customHeight="1">
      <c r="A623" s="14"/>
      <c r="B623" s="14"/>
    </row>
    <row r="624" ht="15.75" customHeight="1">
      <c r="A624" s="14"/>
      <c r="B624" s="14"/>
    </row>
    <row r="625" ht="15.75" customHeight="1">
      <c r="A625" s="14"/>
      <c r="B625" s="14"/>
    </row>
    <row r="626" ht="15.75" customHeight="1">
      <c r="A626" s="14"/>
      <c r="B626" s="14"/>
    </row>
    <row r="627" ht="15.75" customHeight="1">
      <c r="A627" s="14"/>
      <c r="B627" s="14"/>
    </row>
    <row r="628" ht="15.75" customHeight="1">
      <c r="A628" s="14"/>
      <c r="B628" s="14"/>
    </row>
    <row r="629" ht="15.75" customHeight="1">
      <c r="A629" s="14"/>
      <c r="B629" s="14"/>
    </row>
    <row r="630" ht="15.75" customHeight="1">
      <c r="A630" s="14"/>
      <c r="B630" s="14"/>
    </row>
    <row r="631" ht="15.75" customHeight="1">
      <c r="A631" s="14"/>
      <c r="B631" s="14"/>
    </row>
    <row r="632" ht="15.75" customHeight="1">
      <c r="A632" s="14"/>
      <c r="B632" s="14"/>
    </row>
    <row r="633" ht="15.75" customHeight="1">
      <c r="A633" s="14"/>
      <c r="B633" s="14"/>
    </row>
    <row r="634" ht="15.75" customHeight="1">
      <c r="A634" s="14"/>
      <c r="B634" s="14"/>
    </row>
    <row r="635" ht="15.75" customHeight="1">
      <c r="A635" s="14"/>
      <c r="B635" s="14"/>
    </row>
    <row r="636" ht="15.75" customHeight="1">
      <c r="A636" s="14"/>
      <c r="B636" s="14"/>
    </row>
    <row r="637" ht="15.75" customHeight="1">
      <c r="A637" s="14"/>
      <c r="B637" s="14"/>
    </row>
    <row r="638" ht="15.75" customHeight="1">
      <c r="A638" s="14"/>
      <c r="B638" s="14"/>
    </row>
    <row r="639" ht="15.75" customHeight="1">
      <c r="A639" s="14"/>
      <c r="B639" s="14"/>
    </row>
    <row r="640" ht="15.75" customHeight="1">
      <c r="A640" s="14"/>
      <c r="B640" s="14"/>
    </row>
    <row r="641" ht="15.75" customHeight="1">
      <c r="A641" s="14"/>
      <c r="B641" s="14"/>
    </row>
    <row r="642" ht="15.75" customHeight="1">
      <c r="A642" s="14"/>
      <c r="B642" s="14"/>
    </row>
    <row r="643" ht="15.75" customHeight="1">
      <c r="A643" s="14"/>
      <c r="B643" s="14"/>
    </row>
    <row r="644" ht="15.75" customHeight="1">
      <c r="A644" s="14"/>
      <c r="B644" s="14"/>
    </row>
    <row r="645" ht="15.75" customHeight="1">
      <c r="A645" s="14"/>
      <c r="B645" s="14"/>
    </row>
    <row r="646" ht="15.75" customHeight="1">
      <c r="A646" s="14"/>
      <c r="B646" s="14"/>
    </row>
    <row r="647" ht="15.75" customHeight="1">
      <c r="A647" s="14"/>
      <c r="B647" s="14"/>
    </row>
    <row r="648" ht="15.75" customHeight="1">
      <c r="A648" s="14"/>
      <c r="B648" s="14"/>
    </row>
    <row r="649" ht="15.75" customHeight="1">
      <c r="A649" s="14"/>
      <c r="B649" s="14"/>
    </row>
    <row r="650" ht="15.75" customHeight="1">
      <c r="A650" s="14"/>
      <c r="B650" s="14"/>
    </row>
    <row r="651" ht="15.75" customHeight="1">
      <c r="A651" s="14"/>
      <c r="B651" s="14"/>
    </row>
    <row r="652" ht="15.75" customHeight="1">
      <c r="A652" s="14"/>
      <c r="B652" s="14"/>
    </row>
    <row r="653" ht="15.75" customHeight="1">
      <c r="A653" s="14"/>
      <c r="B653" s="14"/>
    </row>
    <row r="654" ht="15.75" customHeight="1">
      <c r="A654" s="14"/>
      <c r="B654" s="14"/>
    </row>
    <row r="655" ht="15.75" customHeight="1">
      <c r="A655" s="14"/>
      <c r="B655" s="14"/>
    </row>
    <row r="656" ht="15.75" customHeight="1">
      <c r="A656" s="14"/>
      <c r="B656" s="14"/>
    </row>
    <row r="657" ht="15.75" customHeight="1">
      <c r="A657" s="14"/>
      <c r="B657" s="14"/>
    </row>
    <row r="658" ht="15.75" customHeight="1">
      <c r="A658" s="14"/>
      <c r="B658" s="14"/>
    </row>
    <row r="659" ht="15.75" customHeight="1">
      <c r="A659" s="14"/>
      <c r="B659" s="14"/>
    </row>
    <row r="660" ht="15.75" customHeight="1">
      <c r="A660" s="14"/>
      <c r="B660" s="14"/>
    </row>
    <row r="661" ht="15.75" customHeight="1">
      <c r="A661" s="14"/>
      <c r="B661" s="14"/>
    </row>
    <row r="662" ht="15.75" customHeight="1">
      <c r="A662" s="14"/>
      <c r="B662" s="14"/>
    </row>
    <row r="663" ht="15.75" customHeight="1">
      <c r="A663" s="14"/>
      <c r="B663" s="14"/>
    </row>
    <row r="664" ht="15.75" customHeight="1">
      <c r="A664" s="14"/>
      <c r="B664" s="14"/>
    </row>
    <row r="665" ht="15.75" customHeight="1">
      <c r="A665" s="14"/>
      <c r="B665" s="14"/>
    </row>
    <row r="666" ht="15.75" customHeight="1">
      <c r="A666" s="14"/>
      <c r="B666" s="14"/>
    </row>
    <row r="667" ht="15.75" customHeight="1">
      <c r="A667" s="14"/>
      <c r="B667" s="14"/>
    </row>
    <row r="668" ht="15.75" customHeight="1">
      <c r="A668" s="14"/>
      <c r="B668" s="14"/>
    </row>
    <row r="669" ht="15.75" customHeight="1">
      <c r="A669" s="14"/>
      <c r="B669" s="14"/>
    </row>
    <row r="670" ht="15.75" customHeight="1">
      <c r="A670" s="14"/>
      <c r="B670" s="14"/>
    </row>
    <row r="671" ht="15.75" customHeight="1">
      <c r="A671" s="14"/>
      <c r="B671" s="14"/>
    </row>
    <row r="672" ht="15.75" customHeight="1">
      <c r="A672" s="14"/>
      <c r="B672" s="14"/>
    </row>
    <row r="673" ht="15.75" customHeight="1">
      <c r="A673" s="14"/>
      <c r="B673" s="14"/>
    </row>
    <row r="674" ht="15.75" customHeight="1">
      <c r="A674" s="14"/>
      <c r="B674" s="14"/>
    </row>
    <row r="675" ht="15.75" customHeight="1">
      <c r="A675" s="14"/>
      <c r="B675" s="14"/>
    </row>
    <row r="676" ht="15.75" customHeight="1">
      <c r="A676" s="14"/>
      <c r="B676" s="14"/>
    </row>
    <row r="677" ht="15.75" customHeight="1">
      <c r="A677" s="14"/>
      <c r="B677" s="14"/>
    </row>
    <row r="678" ht="15.75" customHeight="1">
      <c r="A678" s="14"/>
      <c r="B678" s="14"/>
    </row>
    <row r="679" ht="15.75" customHeight="1">
      <c r="A679" s="14"/>
      <c r="B679" s="14"/>
    </row>
    <row r="680" ht="15.75" customHeight="1">
      <c r="A680" s="14"/>
      <c r="B680" s="14"/>
    </row>
    <row r="681" ht="15.75" customHeight="1">
      <c r="A681" s="14"/>
      <c r="B681" s="14"/>
    </row>
    <row r="682" ht="15.75" customHeight="1">
      <c r="A682" s="14"/>
      <c r="B682" s="14"/>
    </row>
    <row r="683" ht="15.75" customHeight="1">
      <c r="A683" s="14"/>
      <c r="B683" s="14"/>
    </row>
    <row r="684" ht="15.75" customHeight="1">
      <c r="A684" s="14"/>
      <c r="B684" s="14"/>
    </row>
    <row r="685" ht="15.75" customHeight="1">
      <c r="A685" s="14"/>
      <c r="B685" s="14"/>
    </row>
    <row r="686" ht="15.75" customHeight="1">
      <c r="A686" s="14"/>
      <c r="B686" s="14"/>
    </row>
    <row r="687" ht="15.75" customHeight="1">
      <c r="A687" s="14"/>
      <c r="B687" s="14"/>
    </row>
    <row r="688" ht="15.75" customHeight="1">
      <c r="A688" s="14"/>
      <c r="B688" s="14"/>
    </row>
    <row r="689" ht="15.75" customHeight="1">
      <c r="A689" s="14"/>
      <c r="B689" s="14"/>
    </row>
    <row r="690" ht="15.75" customHeight="1">
      <c r="A690" s="14"/>
      <c r="B690" s="14"/>
    </row>
    <row r="691" ht="15.75" customHeight="1">
      <c r="A691" s="14"/>
      <c r="B691" s="14"/>
    </row>
    <row r="692" ht="15.75" customHeight="1">
      <c r="A692" s="14"/>
      <c r="B692" s="14"/>
    </row>
    <row r="693" ht="15.75" customHeight="1">
      <c r="A693" s="14"/>
      <c r="B693" s="14"/>
    </row>
    <row r="694" ht="15.75" customHeight="1">
      <c r="A694" s="14"/>
      <c r="B694" s="14"/>
    </row>
    <row r="695" ht="15.75" customHeight="1">
      <c r="A695" s="14"/>
      <c r="B695" s="14"/>
    </row>
    <row r="696" ht="15.75" customHeight="1">
      <c r="A696" s="14"/>
      <c r="B696" s="14"/>
    </row>
    <row r="697" ht="15.75" customHeight="1">
      <c r="A697" s="14"/>
      <c r="B697" s="14"/>
    </row>
    <row r="698" ht="15.75" customHeight="1">
      <c r="A698" s="14"/>
      <c r="B698" s="14"/>
    </row>
    <row r="699" ht="15.75" customHeight="1">
      <c r="A699" s="14"/>
      <c r="B699" s="14"/>
    </row>
    <row r="700" ht="15.75" customHeight="1">
      <c r="A700" s="14"/>
      <c r="B700" s="14"/>
    </row>
    <row r="701" ht="15.75" customHeight="1">
      <c r="A701" s="14"/>
      <c r="B701" s="14"/>
    </row>
    <row r="702" ht="15.75" customHeight="1">
      <c r="A702" s="14"/>
      <c r="B702" s="14"/>
    </row>
    <row r="703" ht="15.75" customHeight="1">
      <c r="A703" s="14"/>
      <c r="B703" s="14"/>
    </row>
    <row r="704" ht="15.75" customHeight="1">
      <c r="A704" s="14"/>
      <c r="B704" s="14"/>
    </row>
    <row r="705" ht="15.75" customHeight="1">
      <c r="A705" s="14"/>
      <c r="B705" s="14"/>
    </row>
    <row r="706" ht="15.75" customHeight="1">
      <c r="A706" s="14"/>
      <c r="B706" s="14"/>
    </row>
    <row r="707" ht="15.75" customHeight="1">
      <c r="A707" s="14"/>
      <c r="B707" s="14"/>
    </row>
    <row r="708" ht="15.75" customHeight="1">
      <c r="A708" s="14"/>
      <c r="B708" s="14"/>
    </row>
    <row r="709" ht="15.75" customHeight="1">
      <c r="A709" s="14"/>
      <c r="B709" s="14"/>
    </row>
    <row r="710" ht="15.75" customHeight="1">
      <c r="A710" s="14"/>
      <c r="B710" s="14"/>
    </row>
    <row r="711" ht="15.75" customHeight="1">
      <c r="A711" s="14"/>
      <c r="B711" s="14"/>
    </row>
    <row r="712" ht="15.75" customHeight="1">
      <c r="A712" s="14"/>
      <c r="B712" s="14"/>
    </row>
    <row r="713" ht="15.75" customHeight="1">
      <c r="A713" s="14"/>
      <c r="B713" s="14"/>
    </row>
    <row r="714" ht="15.75" customHeight="1">
      <c r="A714" s="14"/>
      <c r="B714" s="14"/>
    </row>
    <row r="715" ht="15.75" customHeight="1">
      <c r="A715" s="14"/>
      <c r="B715" s="14"/>
    </row>
    <row r="716" ht="15.75" customHeight="1">
      <c r="A716" s="14"/>
      <c r="B716" s="14"/>
    </row>
    <row r="717" ht="15.75" customHeight="1">
      <c r="A717" s="14"/>
      <c r="B717" s="14"/>
    </row>
    <row r="718" ht="15.75" customHeight="1">
      <c r="A718" s="14"/>
      <c r="B718" s="14"/>
    </row>
    <row r="719" ht="15.75" customHeight="1">
      <c r="A719" s="14"/>
      <c r="B719" s="14"/>
    </row>
    <row r="720" ht="15.75" customHeight="1">
      <c r="A720" s="14"/>
      <c r="B720" s="14"/>
    </row>
    <row r="721" ht="15.75" customHeight="1">
      <c r="A721" s="14"/>
      <c r="B721" s="14"/>
    </row>
    <row r="722" ht="15.75" customHeight="1">
      <c r="A722" s="14"/>
      <c r="B722" s="14"/>
    </row>
    <row r="723" ht="15.75" customHeight="1">
      <c r="A723" s="14"/>
      <c r="B723" s="14"/>
    </row>
    <row r="724" ht="15.75" customHeight="1">
      <c r="A724" s="14"/>
      <c r="B724" s="14"/>
    </row>
    <row r="725" ht="15.75" customHeight="1">
      <c r="A725" s="14"/>
      <c r="B725" s="14"/>
    </row>
    <row r="726" ht="15.75" customHeight="1">
      <c r="A726" s="14"/>
      <c r="B726" s="14"/>
    </row>
    <row r="727" ht="15.75" customHeight="1">
      <c r="A727" s="14"/>
      <c r="B727" s="14"/>
    </row>
    <row r="728" ht="15.75" customHeight="1">
      <c r="A728" s="14"/>
      <c r="B728" s="14"/>
    </row>
    <row r="729" ht="15.75" customHeight="1">
      <c r="A729" s="14"/>
      <c r="B729" s="14"/>
    </row>
    <row r="730" ht="15.75" customHeight="1">
      <c r="A730" s="14"/>
      <c r="B730" s="14"/>
    </row>
    <row r="731" ht="15.75" customHeight="1">
      <c r="A731" s="14"/>
      <c r="B731" s="14"/>
    </row>
    <row r="732" ht="15.75" customHeight="1">
      <c r="A732" s="14"/>
      <c r="B732" s="14"/>
    </row>
    <row r="733" ht="15.75" customHeight="1">
      <c r="A733" s="14"/>
      <c r="B733" s="14"/>
    </row>
    <row r="734" ht="15.75" customHeight="1">
      <c r="A734" s="14"/>
      <c r="B734" s="14"/>
    </row>
    <row r="735" ht="15.75" customHeight="1">
      <c r="A735" s="14"/>
      <c r="B735" s="14"/>
    </row>
    <row r="736" ht="15.75" customHeight="1">
      <c r="A736" s="14"/>
      <c r="B736" s="14"/>
    </row>
    <row r="737" ht="15.75" customHeight="1">
      <c r="A737" s="14"/>
      <c r="B737" s="14"/>
    </row>
    <row r="738" ht="15.75" customHeight="1">
      <c r="A738" s="14"/>
      <c r="B738" s="14"/>
    </row>
    <row r="739" ht="15.75" customHeight="1">
      <c r="A739" s="14"/>
      <c r="B739" s="14"/>
    </row>
    <row r="740" ht="15.75" customHeight="1">
      <c r="A740" s="14"/>
      <c r="B740" s="14"/>
    </row>
    <row r="741" ht="15.75" customHeight="1">
      <c r="A741" s="14"/>
      <c r="B741" s="14"/>
    </row>
    <row r="742" ht="15.75" customHeight="1">
      <c r="A742" s="14"/>
      <c r="B742" s="14"/>
    </row>
    <row r="743" ht="15.75" customHeight="1">
      <c r="A743" s="14"/>
      <c r="B743" s="14"/>
    </row>
    <row r="744" ht="15.75" customHeight="1">
      <c r="A744" s="14"/>
      <c r="B744" s="14"/>
    </row>
    <row r="745" ht="15.75" customHeight="1">
      <c r="A745" s="14"/>
      <c r="B745" s="14"/>
    </row>
    <row r="746" ht="15.75" customHeight="1">
      <c r="A746" s="14"/>
      <c r="B746" s="14"/>
    </row>
    <row r="747" ht="15.75" customHeight="1">
      <c r="A747" s="14"/>
      <c r="B747" s="14"/>
    </row>
    <row r="748" ht="15.75" customHeight="1">
      <c r="A748" s="14"/>
      <c r="B748" s="14"/>
    </row>
    <row r="749" ht="15.75" customHeight="1">
      <c r="A749" s="14"/>
      <c r="B749" s="14"/>
    </row>
    <row r="750" ht="15.75" customHeight="1">
      <c r="A750" s="14"/>
      <c r="B750" s="14"/>
    </row>
    <row r="751" ht="15.75" customHeight="1">
      <c r="A751" s="14"/>
      <c r="B751" s="14"/>
    </row>
    <row r="752" ht="15.75" customHeight="1">
      <c r="A752" s="14"/>
      <c r="B752" s="14"/>
    </row>
    <row r="753" ht="15.75" customHeight="1">
      <c r="A753" s="14"/>
      <c r="B753" s="14"/>
    </row>
    <row r="754" ht="15.75" customHeight="1">
      <c r="A754" s="14"/>
      <c r="B754" s="14"/>
    </row>
    <row r="755" ht="15.75" customHeight="1">
      <c r="A755" s="14"/>
      <c r="B755" s="14"/>
    </row>
    <row r="756" ht="15.75" customHeight="1">
      <c r="A756" s="14"/>
      <c r="B756" s="14"/>
    </row>
    <row r="757" ht="15.75" customHeight="1">
      <c r="A757" s="14"/>
      <c r="B757" s="14"/>
    </row>
    <row r="758" ht="15.75" customHeight="1">
      <c r="A758" s="14"/>
      <c r="B758" s="14"/>
    </row>
    <row r="759" ht="15.75" customHeight="1">
      <c r="A759" s="14"/>
      <c r="B759" s="14"/>
    </row>
    <row r="760" ht="15.75" customHeight="1">
      <c r="A760" s="14"/>
      <c r="B760" s="14"/>
    </row>
    <row r="761" ht="15.75" customHeight="1">
      <c r="A761" s="14"/>
      <c r="B761" s="14"/>
    </row>
    <row r="762" ht="15.75" customHeight="1">
      <c r="A762" s="14"/>
      <c r="B762" s="14"/>
    </row>
    <row r="763" ht="15.75" customHeight="1">
      <c r="A763" s="14"/>
      <c r="B763" s="14"/>
    </row>
    <row r="764" ht="15.75" customHeight="1">
      <c r="A764" s="14"/>
      <c r="B764" s="14"/>
    </row>
    <row r="765" ht="15.75" customHeight="1">
      <c r="A765" s="14"/>
      <c r="B765" s="14"/>
    </row>
    <row r="766" ht="15.75" customHeight="1">
      <c r="A766" s="14"/>
      <c r="B766" s="14"/>
    </row>
    <row r="767" ht="15.75" customHeight="1">
      <c r="A767" s="14"/>
      <c r="B767" s="14"/>
    </row>
    <row r="768" ht="15.75" customHeight="1">
      <c r="A768" s="14"/>
      <c r="B768" s="14"/>
    </row>
    <row r="769" ht="15.75" customHeight="1">
      <c r="A769" s="14"/>
      <c r="B769" s="14"/>
    </row>
    <row r="770" ht="15.75" customHeight="1">
      <c r="A770" s="14"/>
      <c r="B770" s="14"/>
    </row>
    <row r="771" ht="15.75" customHeight="1">
      <c r="A771" s="14"/>
      <c r="B771" s="14"/>
    </row>
    <row r="772" ht="15.75" customHeight="1">
      <c r="A772" s="14"/>
      <c r="B772" s="14"/>
    </row>
    <row r="773" ht="15.75" customHeight="1">
      <c r="A773" s="14"/>
      <c r="B773" s="14"/>
    </row>
    <row r="774" ht="15.75" customHeight="1">
      <c r="A774" s="14"/>
      <c r="B774" s="14"/>
    </row>
    <row r="775" ht="15.75" customHeight="1">
      <c r="A775" s="14"/>
      <c r="B775" s="14"/>
    </row>
    <row r="776" ht="15.75" customHeight="1">
      <c r="A776" s="14"/>
      <c r="B776" s="14"/>
    </row>
    <row r="777" ht="15.75" customHeight="1">
      <c r="A777" s="14"/>
      <c r="B777" s="14"/>
    </row>
    <row r="778" ht="15.75" customHeight="1">
      <c r="A778" s="14"/>
      <c r="B778" s="14"/>
    </row>
    <row r="779" ht="15.75" customHeight="1">
      <c r="A779" s="14"/>
      <c r="B779" s="14"/>
    </row>
    <row r="780" ht="15.75" customHeight="1">
      <c r="A780" s="14"/>
      <c r="B780" s="14"/>
    </row>
    <row r="781" ht="15.75" customHeight="1">
      <c r="A781" s="14"/>
      <c r="B781" s="14"/>
    </row>
    <row r="782" ht="15.75" customHeight="1">
      <c r="A782" s="14"/>
      <c r="B782" s="14"/>
    </row>
    <row r="783" ht="15.75" customHeight="1">
      <c r="A783" s="14"/>
      <c r="B783" s="14"/>
    </row>
    <row r="784" ht="15.75" customHeight="1">
      <c r="A784" s="14"/>
      <c r="B784" s="14"/>
    </row>
    <row r="785" ht="15.75" customHeight="1">
      <c r="A785" s="14"/>
      <c r="B785" s="14"/>
    </row>
    <row r="786" ht="15.75" customHeight="1">
      <c r="A786" s="14"/>
      <c r="B786" s="14"/>
    </row>
    <row r="787" ht="15.75" customHeight="1">
      <c r="A787" s="14"/>
      <c r="B787" s="14"/>
    </row>
    <row r="788" ht="15.75" customHeight="1">
      <c r="A788" s="14"/>
      <c r="B788" s="14"/>
    </row>
    <row r="789" ht="15.75" customHeight="1">
      <c r="A789" s="14"/>
      <c r="B789" s="14"/>
    </row>
    <row r="790" ht="15.75" customHeight="1">
      <c r="A790" s="14"/>
      <c r="B790" s="14"/>
    </row>
    <row r="791" ht="15.75" customHeight="1">
      <c r="A791" s="14"/>
      <c r="B791" s="14"/>
    </row>
    <row r="792" ht="15.75" customHeight="1">
      <c r="A792" s="14"/>
      <c r="B792" s="14"/>
    </row>
    <row r="793" ht="15.75" customHeight="1">
      <c r="A793" s="14"/>
      <c r="B793" s="14"/>
    </row>
    <row r="794" ht="15.75" customHeight="1">
      <c r="A794" s="14"/>
      <c r="B794" s="14"/>
    </row>
    <row r="795" ht="15.75" customHeight="1">
      <c r="A795" s="14"/>
      <c r="B795" s="14"/>
    </row>
    <row r="796" ht="15.75" customHeight="1">
      <c r="A796" s="14"/>
      <c r="B796" s="14"/>
    </row>
    <row r="797" ht="15.75" customHeight="1">
      <c r="A797" s="14"/>
      <c r="B797" s="14"/>
    </row>
    <row r="798" ht="15.75" customHeight="1">
      <c r="A798" s="14"/>
      <c r="B798" s="14"/>
    </row>
    <row r="799" ht="15.75" customHeight="1">
      <c r="A799" s="14"/>
      <c r="B799" s="14"/>
    </row>
    <row r="800" ht="15.75" customHeight="1">
      <c r="A800" s="14"/>
      <c r="B800" s="14"/>
    </row>
    <row r="801" ht="15.75" customHeight="1">
      <c r="A801" s="14"/>
      <c r="B801" s="14"/>
    </row>
    <row r="802" ht="15.75" customHeight="1">
      <c r="A802" s="14"/>
      <c r="B802" s="14"/>
    </row>
    <row r="803" ht="15.75" customHeight="1">
      <c r="A803" s="14"/>
      <c r="B803" s="14"/>
    </row>
    <row r="804" ht="15.75" customHeight="1">
      <c r="A804" s="14"/>
      <c r="B804" s="14"/>
    </row>
    <row r="805" ht="15.75" customHeight="1">
      <c r="A805" s="14"/>
      <c r="B805" s="14"/>
    </row>
    <row r="806" ht="15.75" customHeight="1">
      <c r="A806" s="14"/>
      <c r="B806" s="14"/>
    </row>
    <row r="807" ht="15.75" customHeight="1">
      <c r="A807" s="14"/>
      <c r="B807" s="14"/>
    </row>
    <row r="808" ht="15.75" customHeight="1">
      <c r="A808" s="14"/>
      <c r="B808" s="14"/>
    </row>
    <row r="809" ht="15.75" customHeight="1">
      <c r="A809" s="14"/>
      <c r="B809" s="14"/>
    </row>
    <row r="810" ht="15.75" customHeight="1">
      <c r="A810" s="14"/>
      <c r="B810" s="14"/>
    </row>
    <row r="811" ht="15.75" customHeight="1">
      <c r="A811" s="14"/>
      <c r="B811" s="14"/>
    </row>
    <row r="812" ht="15.75" customHeight="1">
      <c r="A812" s="14"/>
      <c r="B812" s="14"/>
    </row>
    <row r="813" ht="15.75" customHeight="1">
      <c r="A813" s="14"/>
      <c r="B813" s="14"/>
    </row>
    <row r="814" ht="15.75" customHeight="1">
      <c r="A814" s="14"/>
      <c r="B814" s="14"/>
    </row>
    <row r="815" ht="15.75" customHeight="1">
      <c r="A815" s="14"/>
      <c r="B815" s="14"/>
    </row>
    <row r="816" ht="15.75" customHeight="1">
      <c r="A816" s="14"/>
      <c r="B816" s="14"/>
    </row>
    <row r="817" ht="15.75" customHeight="1">
      <c r="A817" s="14"/>
      <c r="B817" s="14"/>
    </row>
    <row r="818" ht="15.75" customHeight="1">
      <c r="A818" s="14"/>
      <c r="B818" s="14"/>
    </row>
    <row r="819" ht="15.75" customHeight="1">
      <c r="A819" s="14"/>
      <c r="B819" s="14"/>
    </row>
    <row r="820" ht="15.75" customHeight="1">
      <c r="A820" s="14"/>
      <c r="B820" s="14"/>
    </row>
    <row r="821" ht="15.75" customHeight="1">
      <c r="A821" s="14"/>
      <c r="B821" s="14"/>
    </row>
    <row r="822" ht="15.75" customHeight="1">
      <c r="A822" s="14"/>
      <c r="B822" s="14"/>
    </row>
    <row r="823" ht="15.75" customHeight="1">
      <c r="A823" s="14"/>
      <c r="B823" s="14"/>
    </row>
    <row r="824" ht="15.75" customHeight="1">
      <c r="A824" s="14"/>
      <c r="B824" s="14"/>
    </row>
    <row r="825" ht="15.75" customHeight="1">
      <c r="A825" s="14"/>
      <c r="B825" s="14"/>
    </row>
    <row r="826" ht="15.75" customHeight="1">
      <c r="A826" s="14"/>
      <c r="B826" s="14"/>
    </row>
    <row r="827" ht="15.75" customHeight="1">
      <c r="A827" s="14"/>
      <c r="B827" s="14"/>
    </row>
    <row r="828" ht="15.75" customHeight="1">
      <c r="A828" s="14"/>
      <c r="B828" s="14"/>
    </row>
    <row r="829" ht="15.75" customHeight="1">
      <c r="A829" s="14"/>
      <c r="B829" s="14"/>
    </row>
    <row r="830" ht="15.75" customHeight="1">
      <c r="A830" s="14"/>
      <c r="B830" s="14"/>
    </row>
    <row r="831" ht="15.75" customHeight="1">
      <c r="A831" s="14"/>
      <c r="B831" s="14"/>
    </row>
    <row r="832" ht="15.75" customHeight="1">
      <c r="A832" s="14"/>
      <c r="B832" s="14"/>
    </row>
    <row r="833" ht="15.75" customHeight="1">
      <c r="A833" s="14"/>
      <c r="B833" s="14"/>
    </row>
    <row r="834" ht="15.75" customHeight="1">
      <c r="A834" s="14"/>
      <c r="B834" s="14"/>
    </row>
    <row r="835" ht="15.75" customHeight="1">
      <c r="A835" s="14"/>
      <c r="B835" s="14"/>
    </row>
    <row r="836" ht="15.75" customHeight="1">
      <c r="A836" s="14"/>
      <c r="B836" s="14"/>
    </row>
    <row r="837" ht="15.75" customHeight="1">
      <c r="A837" s="14"/>
      <c r="B837" s="14"/>
    </row>
    <row r="838" ht="15.75" customHeight="1">
      <c r="A838" s="14"/>
      <c r="B838" s="14"/>
    </row>
    <row r="839" ht="15.75" customHeight="1">
      <c r="A839" s="14"/>
      <c r="B839" s="14"/>
    </row>
    <row r="840" ht="15.75" customHeight="1">
      <c r="A840" s="14"/>
      <c r="B840" s="14"/>
    </row>
    <row r="841" ht="15.75" customHeight="1">
      <c r="A841" s="14"/>
      <c r="B841" s="14"/>
    </row>
    <row r="842" ht="15.75" customHeight="1">
      <c r="A842" s="14"/>
      <c r="B842" s="14"/>
    </row>
    <row r="843" ht="15.75" customHeight="1">
      <c r="A843" s="14"/>
      <c r="B843" s="14"/>
    </row>
    <row r="844" ht="15.75" customHeight="1">
      <c r="A844" s="14"/>
      <c r="B844" s="14"/>
    </row>
    <row r="845" ht="15.75" customHeight="1">
      <c r="A845" s="14"/>
      <c r="B845" s="14"/>
    </row>
    <row r="846" ht="15.75" customHeight="1">
      <c r="A846" s="14"/>
      <c r="B846" s="14"/>
    </row>
    <row r="847" ht="15.75" customHeight="1">
      <c r="A847" s="14"/>
      <c r="B847" s="14"/>
    </row>
    <row r="848" ht="15.75" customHeight="1">
      <c r="A848" s="14"/>
      <c r="B848" s="14"/>
    </row>
    <row r="849" ht="15.75" customHeight="1">
      <c r="A849" s="14"/>
      <c r="B849" s="14"/>
    </row>
    <row r="850" ht="15.75" customHeight="1">
      <c r="A850" s="14"/>
      <c r="B850" s="14"/>
    </row>
    <row r="851" ht="15.75" customHeight="1">
      <c r="A851" s="14"/>
      <c r="B851" s="14"/>
    </row>
    <row r="852" ht="15.75" customHeight="1">
      <c r="A852" s="14"/>
      <c r="B852" s="14"/>
    </row>
    <row r="853" ht="15.75" customHeight="1">
      <c r="A853" s="14"/>
      <c r="B853" s="14"/>
    </row>
    <row r="854" ht="15.75" customHeight="1">
      <c r="A854" s="14"/>
      <c r="B854" s="14"/>
    </row>
    <row r="855" ht="15.75" customHeight="1">
      <c r="A855" s="14"/>
      <c r="B855" s="14"/>
    </row>
    <row r="856" ht="15.75" customHeight="1">
      <c r="A856" s="14"/>
      <c r="B856" s="14"/>
    </row>
    <row r="857" ht="15.75" customHeight="1">
      <c r="A857" s="14"/>
      <c r="B857" s="14"/>
    </row>
    <row r="858" ht="15.75" customHeight="1">
      <c r="A858" s="14"/>
      <c r="B858" s="14"/>
    </row>
    <row r="859" ht="15.75" customHeight="1">
      <c r="A859" s="14"/>
      <c r="B859" s="14"/>
    </row>
    <row r="860" ht="15.75" customHeight="1">
      <c r="A860" s="14"/>
      <c r="B860" s="14"/>
    </row>
    <row r="861" ht="15.75" customHeight="1">
      <c r="A861" s="14"/>
      <c r="B861" s="14"/>
    </row>
    <row r="862" ht="15.75" customHeight="1">
      <c r="A862" s="14"/>
      <c r="B862" s="14"/>
    </row>
    <row r="863" ht="15.75" customHeight="1">
      <c r="A863" s="14"/>
      <c r="B863" s="14"/>
    </row>
    <row r="864" ht="15.75" customHeight="1">
      <c r="A864" s="14"/>
      <c r="B864" s="14"/>
    </row>
    <row r="865" ht="15.75" customHeight="1">
      <c r="A865" s="14"/>
      <c r="B865" s="14"/>
    </row>
    <row r="866" ht="15.75" customHeight="1">
      <c r="A866" s="14"/>
      <c r="B866" s="14"/>
    </row>
    <row r="867" ht="15.75" customHeight="1">
      <c r="A867" s="14"/>
      <c r="B867" s="14"/>
    </row>
    <row r="868" ht="15.75" customHeight="1">
      <c r="A868" s="14"/>
      <c r="B868" s="14"/>
    </row>
    <row r="869" ht="15.75" customHeight="1">
      <c r="A869" s="14"/>
      <c r="B869" s="14"/>
    </row>
    <row r="870" ht="15.75" customHeight="1">
      <c r="A870" s="14"/>
      <c r="B870" s="14"/>
    </row>
    <row r="871" ht="15.75" customHeight="1">
      <c r="A871" s="14"/>
      <c r="B871" s="14"/>
    </row>
    <row r="872" ht="15.75" customHeight="1">
      <c r="A872" s="14"/>
      <c r="B872" s="14"/>
    </row>
    <row r="873" ht="15.75" customHeight="1">
      <c r="A873" s="14"/>
      <c r="B873" s="14"/>
    </row>
    <row r="874" ht="15.75" customHeight="1">
      <c r="A874" s="14"/>
      <c r="B874" s="14"/>
    </row>
    <row r="875" ht="15.75" customHeight="1">
      <c r="A875" s="14"/>
      <c r="B875" s="14"/>
    </row>
    <row r="876" ht="15.75" customHeight="1">
      <c r="A876" s="14"/>
      <c r="B876" s="14"/>
    </row>
    <row r="877" ht="15.75" customHeight="1">
      <c r="A877" s="14"/>
      <c r="B877" s="14"/>
    </row>
    <row r="878" ht="15.75" customHeight="1">
      <c r="A878" s="14"/>
      <c r="B878" s="14"/>
    </row>
    <row r="879" ht="15.75" customHeight="1">
      <c r="A879" s="14"/>
      <c r="B879" s="14"/>
    </row>
    <row r="880" ht="15.75" customHeight="1">
      <c r="A880" s="14"/>
      <c r="B880" s="14"/>
    </row>
    <row r="881" ht="15.75" customHeight="1">
      <c r="A881" s="14"/>
      <c r="B881" s="14"/>
    </row>
    <row r="882" ht="15.75" customHeight="1">
      <c r="A882" s="14"/>
      <c r="B882" s="14"/>
    </row>
    <row r="883" ht="15.75" customHeight="1">
      <c r="A883" s="14"/>
      <c r="B883" s="14"/>
    </row>
    <row r="884" ht="15.75" customHeight="1">
      <c r="A884" s="14"/>
      <c r="B884" s="14"/>
    </row>
    <row r="885" ht="15.75" customHeight="1">
      <c r="A885" s="14"/>
      <c r="B885" s="14"/>
    </row>
    <row r="886" ht="15.75" customHeight="1">
      <c r="A886" s="14"/>
      <c r="B886" s="14"/>
    </row>
    <row r="887" ht="15.75" customHeight="1">
      <c r="A887" s="14"/>
      <c r="B887" s="14"/>
    </row>
    <row r="888" ht="15.75" customHeight="1">
      <c r="A888" s="14"/>
      <c r="B888" s="14"/>
    </row>
    <row r="889" ht="15.75" customHeight="1">
      <c r="A889" s="14"/>
      <c r="B889" s="14"/>
    </row>
    <row r="890" ht="15.75" customHeight="1">
      <c r="A890" s="14"/>
      <c r="B890" s="14"/>
    </row>
    <row r="891" ht="15.75" customHeight="1">
      <c r="A891" s="14"/>
      <c r="B891" s="14"/>
    </row>
    <row r="892" ht="15.75" customHeight="1">
      <c r="A892" s="14"/>
      <c r="B892" s="14"/>
    </row>
    <row r="893" ht="15.75" customHeight="1">
      <c r="A893" s="14"/>
      <c r="B893" s="14"/>
    </row>
    <row r="894" ht="15.75" customHeight="1">
      <c r="A894" s="14"/>
      <c r="B894" s="14"/>
    </row>
    <row r="895" ht="15.75" customHeight="1">
      <c r="A895" s="14"/>
      <c r="B895" s="14"/>
    </row>
    <row r="896" ht="15.75" customHeight="1">
      <c r="A896" s="14"/>
      <c r="B896" s="14"/>
    </row>
    <row r="897" ht="15.75" customHeight="1">
      <c r="A897" s="14"/>
      <c r="B897" s="14"/>
    </row>
    <row r="898" ht="15.75" customHeight="1">
      <c r="A898" s="14"/>
      <c r="B898" s="14"/>
    </row>
    <row r="899" ht="15.75" customHeight="1">
      <c r="A899" s="14"/>
      <c r="B899" s="14"/>
    </row>
    <row r="900" ht="15.75" customHeight="1">
      <c r="A900" s="14"/>
      <c r="B900" s="14"/>
    </row>
    <row r="901" ht="15.75" customHeight="1">
      <c r="A901" s="14"/>
      <c r="B901" s="14"/>
    </row>
    <row r="902" ht="15.75" customHeight="1">
      <c r="A902" s="14"/>
      <c r="B902" s="14"/>
    </row>
    <row r="903" ht="15.75" customHeight="1">
      <c r="A903" s="14"/>
      <c r="B903" s="14"/>
    </row>
    <row r="904" ht="15.75" customHeight="1">
      <c r="A904" s="14"/>
      <c r="B904" s="14"/>
    </row>
    <row r="905" ht="15.75" customHeight="1">
      <c r="A905" s="14"/>
      <c r="B905" s="14"/>
    </row>
    <row r="906" ht="15.75" customHeight="1">
      <c r="A906" s="14"/>
      <c r="B906" s="14"/>
    </row>
    <row r="907" ht="15.75" customHeight="1">
      <c r="A907" s="14"/>
      <c r="B907" s="14"/>
    </row>
    <row r="908" ht="15.75" customHeight="1">
      <c r="A908" s="14"/>
      <c r="B908" s="14"/>
    </row>
    <row r="909" ht="15.75" customHeight="1">
      <c r="A909" s="14"/>
      <c r="B909" s="14"/>
    </row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1" max="1" width="41.88"/>
    <col customWidth="1" min="2" max="2" width="17.5"/>
    <col customWidth="1" min="3" max="3" width="19.25"/>
    <col customWidth="1" min="4" max="4" width="18.5"/>
    <col customWidth="1" min="5" max="5" width="17.63"/>
    <col customWidth="1" min="6" max="6" width="18.13"/>
    <col customWidth="1" min="11" max="11" width="16.88"/>
    <col customWidth="1" min="12" max="12" width="20.0"/>
  </cols>
  <sheetData>
    <row r="1" ht="15.75" customHeight="1">
      <c r="B1" s="3" t="s">
        <v>0</v>
      </c>
      <c r="C1" s="3" t="str">
        <f>TEXT(C3,"MMMM-YYY")</f>
        <v>April-2025</v>
      </c>
    </row>
    <row r="2" ht="15.75" customHeight="1">
      <c r="A2" s="7"/>
      <c r="B2" s="3" t="s">
        <v>1</v>
      </c>
      <c r="C2" s="8">
        <v>45748.0</v>
      </c>
      <c r="E2" s="9" t="s">
        <v>2</v>
      </c>
      <c r="F2" s="10" t="str">
        <f>IF(SUM(D:D) = SUM(E:E), "✅ Balanced", "⚠️ Unbalanced")</f>
        <v>#REF!</v>
      </c>
    </row>
    <row r="3" ht="15.75" customHeight="1">
      <c r="B3" s="3" t="s">
        <v>3</v>
      </c>
      <c r="C3" s="8">
        <f>EOMONTH(C2,0)</f>
        <v>45777</v>
      </c>
      <c r="E3" s="11"/>
    </row>
    <row r="4" ht="15.75" customHeight="1"/>
    <row r="5" ht="15.75" customHeight="1">
      <c r="D5" s="12" t="str">
        <f t="shared" ref="D5:E5" si="1">SUM(D8:D1000)</f>
        <v>#REF!</v>
      </c>
      <c r="E5" s="12" t="str">
        <f t="shared" si="1"/>
        <v>#REF!</v>
      </c>
      <c r="F5" s="12" t="str">
        <f>D5-E5</f>
        <v>#REF!</v>
      </c>
    </row>
    <row r="6" ht="15.75" customHeight="1"/>
    <row r="7" ht="15.75" customHeight="1">
      <c r="A7" s="1" t="s">
        <v>4</v>
      </c>
      <c r="B7" s="1" t="s">
        <v>5</v>
      </c>
      <c r="C7" s="1" t="s">
        <v>6</v>
      </c>
      <c r="D7" s="1" t="s">
        <v>7</v>
      </c>
      <c r="E7" s="1" t="s">
        <v>8</v>
      </c>
      <c r="F7" s="1" t="s">
        <v>9</v>
      </c>
    </row>
    <row r="8" ht="15.75" customHeight="1">
      <c r="A8" s="1" t="str">
        <f t="array" ref="A8:A909">Helper!E99:E1000</f>
        <v/>
      </c>
      <c r="B8" s="1" t="str">
        <f t="array" ref="B8:B909">Helper!D99:D1000</f>
        <v/>
      </c>
      <c r="C8" s="13" t="str">
        <f>Mar_2025!F8</f>
        <v>#N/A</v>
      </c>
      <c r="D8" s="13" t="str">
        <f>IFERROR(__xludf.DUMMYFUNCTION("IFNA(QUERY(IMPORTRANGE(""https://docs.google.com/spreadsheets/d/1EHL-jm_NiShR1a2JqKbpaJGazYH90DJO150spY6io4k/edit?gid=0#gid=0"", 
""Gen_Ledger!A:N""), 
""SELECT SUM(Col10) WHERE Col7 = ""&amp;B8&amp;"" AND Col1 &gt;= DATE '"" &amp; TEXT($C$2, ""YYYY-MM-DD"") &amp; ""' AND C"&amp;"ol1 &lt;= DATE '"" &amp; TEXT($C$3, ""YYYY-MM-DD"") &amp; ""' LABEL SUM(Col10) ''"", 0), """")"),"#REF!")</f>
        <v>#REF!</v>
      </c>
      <c r="E8" s="13"/>
      <c r="F8" s="13" t="str">
        <f t="shared" ref="F8:F21" si="2">C8+D8-E8</f>
        <v>#N/A</v>
      </c>
    </row>
    <row r="9" ht="15.75" customHeight="1">
      <c r="A9" s="1"/>
      <c r="B9" s="1"/>
      <c r="C9" s="13" t="str">
        <f>Mar_2025!F9</f>
        <v>#N/A</v>
      </c>
      <c r="D9" s="13" t="str">
        <f>IFERROR(__xludf.DUMMYFUNCTION("IFNA(QUERY(IMPORTRANGE(""https://docs.google.com/spreadsheets/d/1EHL-jm_NiShR1a2JqKbpaJGazYH90DJO150spY6io4k/edit?gid=0#gid=0"", 
""Gen_Ledger!A:N""), 
""SELECT SUM(Col10) WHERE Col7 = ""&amp;B9&amp;"" AND Col1 &gt;= DATE '"" &amp; TEXT($C$2, ""YYYY-MM-DD"") &amp; ""' AND C"&amp;"ol1 &lt;= DATE '"" &amp; TEXT($C$3, ""YYYY-MM-DD"") &amp; ""' LABEL SUM(Col10) ''"", 0), """")"),"#REF!")</f>
        <v>#REF!</v>
      </c>
      <c r="E9" s="13" t="str">
        <f>IFERROR(__xludf.DUMMYFUNCTION("IFNA(QUERY(IMPORTRANGE(""https://docs.google.com/spreadsheets/d/1EHL-jm_NiShR1a2JqKbpaJGazYH90DJO150spY6io4k/edit?gid=0#gid=0"", 
""Gen_Ledger!A:N""), 
""SELECT SUM(Col11) WHERE Col7 = ""&amp;B9&amp;"" AND Col1 &gt;= DATE '"" &amp; TEXT($C$2, ""YYYY-MM-DD"") &amp; ""' AND C"&amp;"ol1 &lt;= DATE '"" &amp; TEXT($C$3, ""YYYY-MM-DD"") &amp; ""' LABEL SUM(Col11) ''"", 0), """")"),"#REF!")</f>
        <v>#REF!</v>
      </c>
      <c r="F9" s="13" t="str">
        <f t="shared" si="2"/>
        <v>#N/A</v>
      </c>
    </row>
    <row r="10" ht="15.75" customHeight="1">
      <c r="A10" s="1"/>
      <c r="B10" s="1"/>
      <c r="C10" s="13" t="str">
        <f>Mar_2025!F10</f>
        <v>#N/A</v>
      </c>
      <c r="D10" s="13" t="str">
        <f>IFERROR(__xludf.DUMMYFUNCTION("IFNA(QUERY(IMPORTRANGE(""https://docs.google.com/spreadsheets/d/1EHL-jm_NiShR1a2JqKbpaJGazYH90DJO150spY6io4k/edit?gid=0#gid=0"", 
""Gen_Ledger!A:N""), 
""SELECT SUM(Col10) WHERE Col7 = ""&amp;B10&amp;"" AND Col1 &gt;= DATE '"" &amp; TEXT($C$2, ""YYYY-MM-DD"") &amp; ""' AND "&amp;"Col1 &lt;= DATE '"" &amp; TEXT($C$3, ""YYYY-MM-DD"") &amp; ""' LABEL SUM(Col10) ''"", 0), """")"),"#REF!")</f>
        <v>#REF!</v>
      </c>
      <c r="E10" s="13" t="str">
        <f>IFERROR(__xludf.DUMMYFUNCTION("IFNA(QUERY(IMPORTRANGE(""https://docs.google.com/spreadsheets/d/1EHL-jm_NiShR1a2JqKbpaJGazYH90DJO150spY6io4k/edit?gid=0#gid=0"", 
""Gen_Ledger!A:N""), 
""SELECT SUM(Col11) WHERE Col7 = ""&amp;B10&amp;"" AND Col1 &gt;= DATE '"" &amp; TEXT($C$2, ""YYYY-MM-DD"") &amp; ""' AND "&amp;"Col1 &lt;= DATE '"" &amp; TEXT($C$3, ""YYYY-MM-DD"") &amp; ""' LABEL SUM(Col11) ''"", 0), """")"),"#REF!")</f>
        <v>#REF!</v>
      </c>
      <c r="F10" s="13" t="str">
        <f t="shared" si="2"/>
        <v>#N/A</v>
      </c>
    </row>
    <row r="11" ht="15.75" customHeight="1">
      <c r="A11" s="1"/>
      <c r="B11" s="1"/>
      <c r="C11" s="13" t="str">
        <f>Mar_2025!F11</f>
        <v>#N/A</v>
      </c>
      <c r="D11" s="13" t="str">
        <f>IFERROR(__xludf.DUMMYFUNCTION("IFNA(QUERY(IMPORTRANGE(""https://docs.google.com/spreadsheets/d/1EHL-jm_NiShR1a2JqKbpaJGazYH90DJO150spY6io4k/edit?gid=0#gid=0"", 
""Gen_Ledger!A:N""), 
""SELECT SUM(Col10) WHERE Col7 = ""&amp;B11&amp;"" AND Col1 &gt;= DATE '"" &amp; TEXT($C$2, ""YYYY-MM-DD"") &amp; ""' AND "&amp;"Col1 &lt;= DATE '"" &amp; TEXT($C$3, ""YYYY-MM-DD"") &amp; ""' LABEL SUM(Col10) ''"", 0), """")"),"#REF!")</f>
        <v>#REF!</v>
      </c>
      <c r="E11" s="13" t="str">
        <f>IFERROR(__xludf.DUMMYFUNCTION("IFNA(QUERY(IMPORTRANGE(""https://docs.google.com/spreadsheets/d/1EHL-jm_NiShR1a2JqKbpaJGazYH90DJO150spY6io4k/edit?gid=0#gid=0"", 
""Gen_Ledger!A:N""), 
""SELECT SUM(Col11) WHERE Col7 = ""&amp;B11&amp;"" AND Col1 &gt;= DATE '"" &amp; TEXT($C$2, ""YYYY-MM-DD"") &amp; ""' AND "&amp;"Col1 &lt;= DATE '"" &amp; TEXT($C$3, ""YYYY-MM-DD"") &amp; ""' LABEL SUM(Col11) ''"", 0), """")"),"#REF!")</f>
        <v>#REF!</v>
      </c>
      <c r="F11" s="13" t="str">
        <f t="shared" si="2"/>
        <v>#N/A</v>
      </c>
    </row>
    <row r="12" ht="15.75" customHeight="1">
      <c r="A12" s="1"/>
      <c r="B12" s="1"/>
      <c r="C12" s="13" t="str">
        <f>Mar_2025!F12</f>
        <v>#N/A</v>
      </c>
      <c r="D12" s="13" t="str">
        <f>IFERROR(__xludf.DUMMYFUNCTION("IFNA(QUERY(IMPORTRANGE(""https://docs.google.com/spreadsheets/d/1EHL-jm_NiShR1a2JqKbpaJGazYH90DJO150spY6io4k/edit?gid=0#gid=0"", 
""Gen_Ledger!A:N""), 
""SELECT SUM(Col10) WHERE Col7 = ""&amp;B12&amp;"" AND Col1 &gt;= DATE '"" &amp; TEXT($C$2, ""YYYY-MM-DD"") &amp; ""' AND "&amp;"Col1 &lt;= DATE '"" &amp; TEXT($C$3, ""YYYY-MM-DD"") &amp; ""' LABEL SUM(Col10) ''"", 0), """")"),"#REF!")</f>
        <v>#REF!</v>
      </c>
      <c r="E12" s="13" t="str">
        <f>IFERROR(__xludf.DUMMYFUNCTION("IFNA(QUERY(IMPORTRANGE(""https://docs.google.com/spreadsheets/d/1EHL-jm_NiShR1a2JqKbpaJGazYH90DJO150spY6io4k/edit?gid=0#gid=0"", 
""Gen_Ledger!A:N""), 
""SELECT SUM(Col11) WHERE Col7 = ""&amp;B12&amp;"" AND Col1 &gt;= DATE '"" &amp; TEXT($C$2, ""YYYY-MM-DD"") &amp; ""' AND "&amp;"Col1 &lt;= DATE '"" &amp; TEXT($C$3, ""YYYY-MM-DD"") &amp; ""' LABEL SUM(Col11) ''"", 0), """")"),"#REF!")</f>
        <v>#REF!</v>
      </c>
      <c r="F12" s="13" t="str">
        <f t="shared" si="2"/>
        <v>#N/A</v>
      </c>
    </row>
    <row r="13" ht="15.75" customHeight="1">
      <c r="A13" s="1"/>
      <c r="B13" s="1"/>
      <c r="C13" s="13" t="str">
        <f>Mar_2025!F13</f>
        <v>#N/A</v>
      </c>
      <c r="D13" s="13" t="str">
        <f>IFERROR(__xludf.DUMMYFUNCTION("IFNA(QUERY(IMPORTRANGE(""https://docs.google.com/spreadsheets/d/1EHL-jm_NiShR1a2JqKbpaJGazYH90DJO150spY6io4k/edit?gid=0#gid=0"", 
""Gen_Ledger!A:N""), 
""SELECT SUM(Col10) WHERE Col7 = ""&amp;B13&amp;"" AND Col1 &gt;= DATE '"" &amp; TEXT($C$2, ""YYYY-MM-DD"") &amp; ""' AND "&amp;"Col1 &lt;= DATE '"" &amp; TEXT($C$3, ""YYYY-MM-DD"") &amp; ""' LABEL SUM(Col10) ''"", 0), """")"),"#REF!")</f>
        <v>#REF!</v>
      </c>
      <c r="E13" s="13" t="str">
        <f>IFERROR(__xludf.DUMMYFUNCTION("IFNA(QUERY(IMPORTRANGE(""https://docs.google.com/spreadsheets/d/1EHL-jm_NiShR1a2JqKbpaJGazYH90DJO150spY6io4k/edit?gid=0#gid=0"", 
""Gen_Ledger!A:N""), 
""SELECT SUM(Col11) WHERE Col7 = ""&amp;B13&amp;"" AND Col1 &gt;= DATE '"" &amp; TEXT($C$2, ""YYYY-MM-DD"") &amp; ""' AND "&amp;"Col1 &lt;= DATE '"" &amp; TEXT($C$3, ""YYYY-MM-DD"") &amp; ""' LABEL SUM(Col11) ''"", 0), """")"),"#REF!")</f>
        <v>#REF!</v>
      </c>
      <c r="F13" s="13" t="str">
        <f t="shared" si="2"/>
        <v>#N/A</v>
      </c>
      <c r="I13" s="4"/>
    </row>
    <row r="14" ht="15.75" customHeight="1">
      <c r="A14" s="1"/>
      <c r="B14" s="1"/>
      <c r="C14" s="13" t="str">
        <f>Mar_2025!F14</f>
        <v>#N/A</v>
      </c>
      <c r="D14" s="13" t="str">
        <f>IFERROR(__xludf.DUMMYFUNCTION("IFNA(QUERY(IMPORTRANGE(""https://docs.google.com/spreadsheets/d/1EHL-jm_NiShR1a2JqKbpaJGazYH90DJO150spY6io4k/edit?gid=0#gid=0"", 
""Gen_Ledger!A:N""), 
""SELECT SUM(Col10) WHERE Col7 = ""&amp;B14&amp;"" AND Col1 &gt;= DATE '"" &amp; TEXT($C$2, ""YYYY-MM-DD"") &amp; ""' AND "&amp;"Col1 &lt;= DATE '"" &amp; TEXT($C$3, ""YYYY-MM-DD"") &amp; ""' LABEL SUM(Col10) ''"", 0), """")"),"#REF!")</f>
        <v>#REF!</v>
      </c>
      <c r="E14" s="13" t="str">
        <f>IFERROR(__xludf.DUMMYFUNCTION("IFNA(QUERY(IMPORTRANGE(""https://docs.google.com/spreadsheets/d/1EHL-jm_NiShR1a2JqKbpaJGazYH90DJO150spY6io4k/edit?gid=0#gid=0"", 
""Gen_Ledger!A:N""), 
""SELECT SUM(Col11) WHERE Col7 = ""&amp;B14&amp;"" AND Col1 &gt;= DATE '"" &amp; TEXT($C$2, ""YYYY-MM-DD"") &amp; ""' AND "&amp;"Col1 &lt;= DATE '"" &amp; TEXT($C$3, ""YYYY-MM-DD"") &amp; ""' LABEL SUM(Col11) ''"", 0), """")"),"#REF!")</f>
        <v>#REF!</v>
      </c>
      <c r="F14" s="13" t="str">
        <f t="shared" si="2"/>
        <v>#N/A</v>
      </c>
    </row>
    <row r="15" ht="15.75" customHeight="1">
      <c r="A15" s="1"/>
      <c r="B15" s="1"/>
      <c r="C15" s="13" t="str">
        <f>Mar_2025!F15</f>
        <v>#N/A</v>
      </c>
      <c r="D15" s="13" t="str">
        <f>IFERROR(__xludf.DUMMYFUNCTION("IFNA(QUERY(IMPORTRANGE(""https://docs.google.com/spreadsheets/d/1EHL-jm_NiShR1a2JqKbpaJGazYH90DJO150spY6io4k/edit?gid=0#gid=0"", 
""Gen_Ledger!A:N""), 
""SELECT SUM(Col10) WHERE Col7 = ""&amp;B15&amp;"" AND Col1 &gt;= DATE '"" &amp; TEXT($C$2, ""YYYY-MM-DD"") &amp; ""' AND "&amp;"Col1 &lt;= DATE '"" &amp; TEXT($C$3, ""YYYY-MM-DD"") &amp; ""' LABEL SUM(Col10) ''"", 0), """")"),"#REF!")</f>
        <v>#REF!</v>
      </c>
      <c r="E15" s="13" t="str">
        <f>IFERROR(__xludf.DUMMYFUNCTION("IFNA(QUERY(IMPORTRANGE(""https://docs.google.com/spreadsheets/d/1EHL-jm_NiShR1a2JqKbpaJGazYH90DJO150spY6io4k/edit?gid=0#gid=0"", 
""Gen_Ledger!A:N""), 
""SELECT SUM(Col11) WHERE Col7 = ""&amp;B15&amp;"" AND Col1 &gt;= DATE '"" &amp; TEXT($C$2, ""YYYY-MM-DD"") &amp; ""' AND "&amp;"Col1 &lt;= DATE '"" &amp; TEXT($C$3, ""YYYY-MM-DD"") &amp; ""' LABEL SUM(Col11) ''"", 0), """")"),"#REF!")</f>
        <v>#REF!</v>
      </c>
      <c r="F15" s="13" t="str">
        <f t="shared" si="2"/>
        <v>#N/A</v>
      </c>
    </row>
    <row r="16" ht="15.75" customHeight="1">
      <c r="A16" s="1"/>
      <c r="B16" s="1"/>
      <c r="C16" s="13" t="str">
        <f>Mar_2025!F16</f>
        <v>#N/A</v>
      </c>
      <c r="D16" s="13" t="str">
        <f>IFERROR(__xludf.DUMMYFUNCTION("IFNA(QUERY(IMPORTRANGE(""https://docs.google.com/spreadsheets/d/1EHL-jm_NiShR1a2JqKbpaJGazYH90DJO150spY6io4k/edit?gid=0#gid=0"", 
""Gen_Ledger!A:N""), 
""SELECT SUM(Col10) WHERE Col7 = ""&amp;B16&amp;"" AND Col1 &gt;= DATE '"" &amp; TEXT($C$2, ""YYYY-MM-DD"") &amp; ""' AND "&amp;"Col1 &lt;= DATE '"" &amp; TEXT($C$3, ""YYYY-MM-DD"") &amp; ""' LABEL SUM(Col10) ''"", 0), """")"),"#REF!")</f>
        <v>#REF!</v>
      </c>
      <c r="E16" s="13" t="str">
        <f>IFERROR(__xludf.DUMMYFUNCTION("IFNA(QUERY(IMPORTRANGE(""https://docs.google.com/spreadsheets/d/1EHL-jm_NiShR1a2JqKbpaJGazYH90DJO150spY6io4k/edit?gid=0#gid=0"", 
""Gen_Ledger!A:N""), 
""SELECT SUM(Col11) WHERE Col7 = ""&amp;B16&amp;"" AND Col1 &gt;= DATE '"" &amp; TEXT($C$2, ""YYYY-MM-DD"") &amp; ""' AND "&amp;"Col1 &lt;= DATE '"" &amp; TEXT($C$3, ""YYYY-MM-DD"") &amp; ""' LABEL SUM(Col11) ''"", 0), """")"),"#REF!")</f>
        <v>#REF!</v>
      </c>
      <c r="F16" s="13" t="str">
        <f t="shared" si="2"/>
        <v>#N/A</v>
      </c>
    </row>
    <row r="17" ht="15.75" customHeight="1">
      <c r="A17" s="1"/>
      <c r="B17" s="1"/>
      <c r="C17" s="13" t="str">
        <f>Mar_2025!F17</f>
        <v>#N/A</v>
      </c>
      <c r="D17" s="13" t="str">
        <f>IFERROR(__xludf.DUMMYFUNCTION("IFNA(QUERY(IMPORTRANGE(""https://docs.google.com/spreadsheets/d/1EHL-jm_NiShR1a2JqKbpaJGazYH90DJO150spY6io4k/edit?gid=0#gid=0"", 
""Gen_Ledger!A:N""), 
""SELECT SUM(Col10) WHERE Col7 = ""&amp;B17&amp;"" AND Col1 &gt;= DATE '"" &amp; TEXT($C$2, ""YYYY-MM-DD"") &amp; ""' AND "&amp;"Col1 &lt;= DATE '"" &amp; TEXT($C$3, ""YYYY-MM-DD"") &amp; ""' LABEL SUM(Col10) ''"", 0), """")"),"#REF!")</f>
        <v>#REF!</v>
      </c>
      <c r="E17" s="13" t="str">
        <f>IFERROR(__xludf.DUMMYFUNCTION("IFNA(QUERY(IMPORTRANGE(""https://docs.google.com/spreadsheets/d/1EHL-jm_NiShR1a2JqKbpaJGazYH90DJO150spY6io4k/edit?gid=0#gid=0"", 
""Gen_Ledger!A:N""), 
""SELECT SUM(Col11) WHERE Col7 = ""&amp;B17&amp;"" AND Col1 &gt;= DATE '"" &amp; TEXT($C$2, ""YYYY-MM-DD"") &amp; ""' AND "&amp;"Col1 &lt;= DATE '"" &amp; TEXT($C$3, ""YYYY-MM-DD"") &amp; ""' LABEL SUM(Col11) ''"", 0), """")"),"#REF!")</f>
        <v>#REF!</v>
      </c>
      <c r="F17" s="13" t="str">
        <f t="shared" si="2"/>
        <v>#N/A</v>
      </c>
    </row>
    <row r="18" ht="15.75" customHeight="1">
      <c r="A18" s="1"/>
      <c r="B18" s="1"/>
      <c r="C18" s="13" t="str">
        <f>Mar_2025!F18</f>
        <v>#N/A</v>
      </c>
      <c r="D18" s="13" t="str">
        <f>IFERROR(__xludf.DUMMYFUNCTION("IFNA(QUERY(IMPORTRANGE(""https://docs.google.com/spreadsheets/d/1EHL-jm_NiShR1a2JqKbpaJGazYH90DJO150spY6io4k/edit?gid=0#gid=0"", 
""Gen_Ledger!A:N""), 
""SELECT SUM(Col10) WHERE Col7 = ""&amp;B18&amp;"" AND Col1 &gt;= DATE '"" &amp; TEXT($C$2, ""YYYY-MM-DD"") &amp; ""' AND "&amp;"Col1 &lt;= DATE '"" &amp; TEXT($C$3, ""YYYY-MM-DD"") &amp; ""' LABEL SUM(Col10) ''"", 0), """")"),"#REF!")</f>
        <v>#REF!</v>
      </c>
      <c r="E18" s="13" t="str">
        <f>IFERROR(__xludf.DUMMYFUNCTION("IFNA(QUERY(IMPORTRANGE(""https://docs.google.com/spreadsheets/d/1EHL-jm_NiShR1a2JqKbpaJGazYH90DJO150spY6io4k/edit?gid=0#gid=0"", 
""Gen_Ledger!A:N""), 
""SELECT SUM(Col11) WHERE Col7 = ""&amp;B18&amp;"" AND Col1 &gt;= DATE '"" &amp; TEXT($C$2, ""YYYY-MM-DD"") &amp; ""' AND "&amp;"Col1 &lt;= DATE '"" &amp; TEXT($C$3, ""YYYY-MM-DD"") &amp; ""' LABEL SUM(Col11) ''"", 0), """")"),"#REF!")</f>
        <v>#REF!</v>
      </c>
      <c r="F18" s="13" t="str">
        <f t="shared" si="2"/>
        <v>#N/A</v>
      </c>
    </row>
    <row r="19" ht="15.75" customHeight="1">
      <c r="A19" s="1"/>
      <c r="B19" s="1"/>
      <c r="C19" s="13" t="str">
        <f>Mar_2025!F19</f>
        <v>#N/A</v>
      </c>
      <c r="D19" s="13" t="str">
        <f>IFERROR(__xludf.DUMMYFUNCTION("IFNA(QUERY(IMPORTRANGE(""https://docs.google.com/spreadsheets/d/1EHL-jm_NiShR1a2JqKbpaJGazYH90DJO150spY6io4k/edit?gid=0#gid=0"", 
""Gen_Ledger!A:N""), 
""SELECT SUM(Col10) WHERE Col7 = ""&amp;B19&amp;"" AND Col1 &gt;= DATE '"" &amp; TEXT($C$2, ""YYYY-MM-DD"") &amp; ""' AND "&amp;"Col1 &lt;= DATE '"" &amp; TEXT($C$3, ""YYYY-MM-DD"") &amp; ""' LABEL SUM(Col10) ''"", 0), """")"),"#REF!")</f>
        <v>#REF!</v>
      </c>
      <c r="E19" s="13" t="str">
        <f>IFERROR(__xludf.DUMMYFUNCTION("IFNA(QUERY(IMPORTRANGE(""https://docs.google.com/spreadsheets/d/1EHL-jm_NiShR1a2JqKbpaJGazYH90DJO150spY6io4k/edit?gid=0#gid=0"", 
""Gen_Ledger!A:N""), 
""SELECT SUM(Col11) WHERE Col7 = ""&amp;B19&amp;"" AND Col1 &gt;= DATE '"" &amp; TEXT($C$2, ""YYYY-MM-DD"") &amp; ""' AND "&amp;"Col1 &lt;= DATE '"" &amp; TEXT($C$3, ""YYYY-MM-DD"") &amp; ""' LABEL SUM(Col11) ''"", 0), """")"),"#REF!")</f>
        <v>#REF!</v>
      </c>
      <c r="F19" s="13" t="str">
        <f t="shared" si="2"/>
        <v>#N/A</v>
      </c>
    </row>
    <row r="20" ht="15.75" customHeight="1">
      <c r="A20" s="1"/>
      <c r="B20" s="1"/>
      <c r="C20" s="13" t="str">
        <f>Mar_2025!F20</f>
        <v>#N/A</v>
      </c>
      <c r="D20" s="13" t="str">
        <f>IFERROR(__xludf.DUMMYFUNCTION("IFNA(QUERY(IMPORTRANGE(""https://docs.google.com/spreadsheets/d/1EHL-jm_NiShR1a2JqKbpaJGazYH90DJO150spY6io4k/edit?gid=0#gid=0"", 
""Gen_Ledger!A:N""), 
""SELECT SUM(Col10) WHERE Col7 = ""&amp;B20&amp;"" AND Col1 &gt;= DATE '"" &amp; TEXT($C$2, ""YYYY-MM-DD"") &amp; ""' AND "&amp;"Col1 &lt;= DATE '"" &amp; TEXT($C$3, ""YYYY-MM-DD"") &amp; ""' LABEL SUM(Col10) ''"", 0), """")"),"#REF!")</f>
        <v>#REF!</v>
      </c>
      <c r="E20" s="13" t="str">
        <f>IFERROR(__xludf.DUMMYFUNCTION("IFNA(QUERY(IMPORTRANGE(""https://docs.google.com/spreadsheets/d/1EHL-jm_NiShR1a2JqKbpaJGazYH90DJO150spY6io4k/edit?gid=0#gid=0"", 
""Gen_Ledger!A:N""), 
""SELECT SUM(Col11) WHERE Col7 = ""&amp;B20&amp;"" AND Col1 &gt;= DATE '"" &amp; TEXT($C$2, ""YYYY-MM-DD"") &amp; ""' AND "&amp;"Col1 &lt;= DATE '"" &amp; TEXT($C$3, ""YYYY-MM-DD"") &amp; ""' LABEL SUM(Col11) ''"", 0), """")"),"#REF!")</f>
        <v>#REF!</v>
      </c>
      <c r="F20" s="13" t="str">
        <f t="shared" si="2"/>
        <v>#N/A</v>
      </c>
    </row>
    <row r="21" ht="15.75" customHeight="1">
      <c r="A21" s="1"/>
      <c r="B21" s="1"/>
      <c r="C21" s="13" t="str">
        <f>Mar_2025!F21</f>
        <v>#N/A</v>
      </c>
      <c r="D21" s="13" t="str">
        <f>IFERROR(__xludf.DUMMYFUNCTION("IFNA(QUERY(IMPORTRANGE(""https://docs.google.com/spreadsheets/d/1EHL-jm_NiShR1a2JqKbpaJGazYH90DJO150spY6io4k/edit?gid=0#gid=0"", 
""Gen_Ledger!A:N""), 
""SELECT SUM(Col10) WHERE Col7 = ""&amp;B21&amp;"" AND Col1 &gt;= DATE '"" &amp; TEXT($C$2, ""YYYY-MM-DD"") &amp; ""' AND "&amp;"Col1 &lt;= DATE '"" &amp; TEXT($C$3, ""YYYY-MM-DD"") &amp; ""' LABEL SUM(Col10) ''"", 0), """")"),"#REF!")</f>
        <v>#REF!</v>
      </c>
      <c r="E21" s="13" t="str">
        <f>IFERROR(__xludf.DUMMYFUNCTION("IFNA(QUERY(IMPORTRANGE(""https://docs.google.com/spreadsheets/d/1EHL-jm_NiShR1a2JqKbpaJGazYH90DJO150spY6io4k/edit?gid=0#gid=0"", 
""Gen_Ledger!A:N""), 
""SELECT SUM(Col11) WHERE Col7 = ""&amp;B21&amp;"" AND Col1 &gt;= DATE '"" &amp; TEXT($C$2, ""YYYY-MM-DD"") &amp; ""' AND "&amp;"Col1 &lt;= DATE '"" &amp; TEXT($C$3, ""YYYY-MM-DD"") &amp; ""' LABEL SUM(Col11) ''"", 0), """")"),"#REF!")</f>
        <v>#REF!</v>
      </c>
      <c r="F21" s="13" t="str">
        <f t="shared" si="2"/>
        <v>#N/A</v>
      </c>
      <c r="M21" s="12"/>
    </row>
    <row r="22" ht="15.75" customHeight="1">
      <c r="A22" s="1"/>
      <c r="B22" s="1"/>
      <c r="C22" s="13" t="str">
        <f>Mar_2025!F22</f>
        <v>#N/A</v>
      </c>
      <c r="D22" s="13" t="str">
        <f>IFERROR(__xludf.DUMMYFUNCTION("IFNA(QUERY(IMPORTRANGE(""https://docs.google.com/spreadsheets/d/1EHL-jm_NiShR1a2JqKbpaJGazYH90DJO150spY6io4k/edit?gid=0#gid=0"", 
""Gen_Ledger!A:N""), 
""SELECT SUM(Col10) WHERE Col7 = ""&amp;B22&amp;"" AND Col1 &gt;= DATE '"" &amp; TEXT($C$2, ""YYYY-MM-DD"") &amp; ""' AND "&amp;"Col1 &lt;= DATE '"" &amp; TEXT($C$3, ""YYYY-MM-DD"") &amp; ""' LABEL SUM(Col10) ''"", 0), """")"),"#REF!")</f>
        <v>#REF!</v>
      </c>
      <c r="E22" s="13" t="str">
        <f>IFERROR(__xludf.DUMMYFUNCTION("IFNA(QUERY(IMPORTRANGE(""https://docs.google.com/spreadsheets/d/1EHL-jm_NiShR1a2JqKbpaJGazYH90DJO150spY6io4k/edit?gid=0#gid=0"", 
""Gen_Ledger!A:N""), 
""SELECT SUM(Col11) WHERE Col7 = ""&amp;B22&amp;"" AND Col1 &gt;= DATE '"" &amp; TEXT($C$2, ""YYYY-MM-DD"") &amp; ""' AND "&amp;"Col1 &lt;= DATE '"" &amp; TEXT($C$3, ""YYYY-MM-DD"") &amp; ""' LABEL SUM(Col11) ''"", 0), """")"),"#REF!")</f>
        <v>#REF!</v>
      </c>
      <c r="F22" s="13" t="str">
        <f t="shared" ref="F22:F25" si="3">C22+E22</f>
        <v>#N/A</v>
      </c>
      <c r="M22" s="12"/>
    </row>
    <row r="23" ht="15.75" customHeight="1">
      <c r="A23" s="1"/>
      <c r="B23" s="1"/>
      <c r="C23" s="13" t="str">
        <f>Mar_2025!F23</f>
        <v>#N/A</v>
      </c>
      <c r="D23" s="13" t="str">
        <f>IFERROR(__xludf.DUMMYFUNCTION("IFNA(QUERY(IMPORTRANGE(""https://docs.google.com/spreadsheets/d/1EHL-jm_NiShR1a2JqKbpaJGazYH90DJO150spY6io4k/edit?gid=0#gid=0"", 
""Gen_Ledger!A:N""), 
""SELECT SUM(Col10) WHERE Col7 = ""&amp;B23&amp;"" AND Col1 &gt;= DATE '"" &amp; TEXT($C$2, ""YYYY-MM-DD"") &amp; ""' AND "&amp;"Col1 &lt;= DATE '"" &amp; TEXT($C$3, ""YYYY-MM-DD"") &amp; ""' LABEL SUM(Col10) ''"", 0), """")"),"#REF!")</f>
        <v>#REF!</v>
      </c>
      <c r="E23" s="13" t="str">
        <f>IFERROR(__xludf.DUMMYFUNCTION("IFNA(QUERY(IMPORTRANGE(""https://docs.google.com/spreadsheets/d/1EHL-jm_NiShR1a2JqKbpaJGazYH90DJO150spY6io4k/edit?gid=0#gid=0"", 
""Gen_Ledger!A:N""), 
""SELECT SUM(Col11) WHERE Col7 = ""&amp;B23&amp;"" AND Col1 &gt;= DATE '"" &amp; TEXT($C$2, ""YYYY-MM-DD"") &amp; ""' AND "&amp;"Col1 &lt;= DATE '"" &amp; TEXT($C$3, ""YYYY-MM-DD"") &amp; ""' LABEL SUM(Col11) ''"", 0), """")"),"#REF!")</f>
        <v>#REF!</v>
      </c>
      <c r="F23" s="13" t="str">
        <f t="shared" si="3"/>
        <v>#N/A</v>
      </c>
      <c r="M23" s="12"/>
    </row>
    <row r="24" ht="15.75" customHeight="1">
      <c r="A24" s="1"/>
      <c r="B24" s="1"/>
      <c r="C24" s="13" t="str">
        <f>Mar_2025!F24</f>
        <v>#N/A</v>
      </c>
      <c r="D24" s="13" t="str">
        <f>IFERROR(__xludf.DUMMYFUNCTION("IFNA(QUERY(IMPORTRANGE(""https://docs.google.com/spreadsheets/d/1EHL-jm_NiShR1a2JqKbpaJGazYH90DJO150spY6io4k/edit?gid=0#gid=0"", 
""Gen_Ledger!A:N""), 
""SELECT SUM(Col10) WHERE Col7 = ""&amp;B24&amp;"" AND Col1 &gt;= DATE '"" &amp; TEXT($C$2, ""YYYY-MM-DD"") &amp; ""' AND "&amp;"Col1 &lt;= DATE '"" &amp; TEXT($C$3, ""YYYY-MM-DD"") &amp; ""' LABEL SUM(Col10) ''"", 0), """")"),"#REF!")</f>
        <v>#REF!</v>
      </c>
      <c r="E24" s="13" t="str">
        <f>IFERROR(__xludf.DUMMYFUNCTION("IFNA(QUERY(IMPORTRANGE(""https://docs.google.com/spreadsheets/d/1EHL-jm_NiShR1a2JqKbpaJGazYH90DJO150spY6io4k/edit?gid=0#gid=0"", 
""Gen_Ledger!A:N""), 
""SELECT SUM(Col11) WHERE Col7 = ""&amp;B24&amp;"" AND Col1 &gt;= DATE '"" &amp; TEXT($C$2, ""YYYY-MM-DD"") &amp; ""' AND "&amp;"Col1 &lt;= DATE '"" &amp; TEXT($C$3, ""YYYY-MM-DD"") &amp; ""' LABEL SUM(Col11) ''"", 0), """")"),"#REF!")</f>
        <v>#REF!</v>
      </c>
      <c r="F24" s="13" t="str">
        <f t="shared" si="3"/>
        <v>#N/A</v>
      </c>
      <c r="M24" s="12"/>
    </row>
    <row r="25" ht="15.75" customHeight="1">
      <c r="A25" s="1"/>
      <c r="B25" s="1"/>
      <c r="C25" s="13" t="str">
        <f>Mar_2025!F25</f>
        <v>#N/A</v>
      </c>
      <c r="D25" s="13" t="str">
        <f>IFERROR(__xludf.DUMMYFUNCTION("IFNA(QUERY(IMPORTRANGE(""https://docs.google.com/spreadsheets/d/1EHL-jm_NiShR1a2JqKbpaJGazYH90DJO150spY6io4k/edit?gid=0#gid=0"", 
""Gen_Ledger!A:N""), 
""SELECT SUM(Col10) WHERE Col7 = ""&amp;B25&amp;"" AND Col1 &gt;= DATE '"" &amp; TEXT($C$2, ""YYYY-MM-DD"") &amp; ""' AND "&amp;"Col1 &lt;= DATE '"" &amp; TEXT($C$3, ""YYYY-MM-DD"") &amp; ""' LABEL SUM(Col10) ''"", 0), """")"),"#REF!")</f>
        <v>#REF!</v>
      </c>
      <c r="E25" s="13" t="str">
        <f>IFERROR(__xludf.DUMMYFUNCTION("IFNA(QUERY(IMPORTRANGE(""https://docs.google.com/spreadsheets/d/1EHL-jm_NiShR1a2JqKbpaJGazYH90DJO150spY6io4k/edit?gid=0#gid=0"", 
""Gen_Ledger!A:N""), 
""SELECT SUM(Col11) WHERE Col7 = ""&amp;B25&amp;"" AND Col1 &gt;= DATE '"" &amp; TEXT($C$2, ""YYYY-MM-DD"") &amp; ""' AND "&amp;"Col1 &lt;= DATE '"" &amp; TEXT($C$3, ""YYYY-MM-DD"") &amp; ""' LABEL SUM(Col11) ''"", 0), """")"),"#REF!")</f>
        <v>#REF!</v>
      </c>
      <c r="F25" s="13" t="str">
        <f t="shared" si="3"/>
        <v>#N/A</v>
      </c>
    </row>
    <row r="26" ht="15.75" customHeight="1">
      <c r="A26" s="1"/>
      <c r="B26" s="1"/>
      <c r="C26" s="13" t="str">
        <f>Mar_2025!F26</f>
        <v>#N/A</v>
      </c>
      <c r="D26" s="13" t="str">
        <f>IFERROR(__xludf.DUMMYFUNCTION("IFNA(QUERY(IMPORTRANGE(""https://docs.google.com/spreadsheets/d/1EHL-jm_NiShR1a2JqKbpaJGazYH90DJO150spY6io4k/edit?gid=0#gid=0"", 
""Gen_Ledger!A:N""), 
""SELECT SUM(Col10) WHERE Col7 = ""&amp;B26&amp;"" AND Col1 &gt;= DATE '"" &amp; TEXT($C$2, ""YYYY-MM-DD"") &amp; ""' AND "&amp;"Col1 &lt;= DATE '"" &amp; TEXT($C$3, ""YYYY-MM-DD"") &amp; ""' LABEL SUM(Col10) ''"", 0), """")"),"#REF!")</f>
        <v>#REF!</v>
      </c>
      <c r="E26" s="13" t="str">
        <f>IFERROR(__xludf.DUMMYFUNCTION("IFNA(QUERY(IMPORTRANGE(""https://docs.google.com/spreadsheets/d/1EHL-jm_NiShR1a2JqKbpaJGazYH90DJO150spY6io4k/edit?gid=0#gid=0"", 
""Gen_Ledger!A:N""), 
""SELECT SUM(Col11) WHERE Col7 = ""&amp;B26&amp;"" AND Col1 &gt;= DATE '"" &amp; TEXT($C$2, ""YYYY-MM-DD"") &amp; ""' AND "&amp;"Col1 &lt;= DATE '"" &amp; TEXT($C$3, ""YYYY-MM-DD"") &amp; ""' LABEL SUM(Col11) ''"", 0), """")"),"#REF!")</f>
        <v>#REF!</v>
      </c>
      <c r="F26" s="13" t="str">
        <f t="shared" ref="F26:F36" si="4">C26+E26-D26</f>
        <v>#N/A</v>
      </c>
    </row>
    <row r="27" ht="15.75" customHeight="1">
      <c r="A27" s="1"/>
      <c r="B27" s="1"/>
      <c r="C27" s="13" t="str">
        <f>Mar_2025!F27</f>
        <v>#N/A</v>
      </c>
      <c r="D27" s="13" t="str">
        <f>IFERROR(__xludf.DUMMYFUNCTION("IFNA(QUERY(IMPORTRANGE(""https://docs.google.com/spreadsheets/d/1EHL-jm_NiShR1a2JqKbpaJGazYH90DJO150spY6io4k/edit?gid=0#gid=0"", 
""Gen_Ledger!A:N""), 
""SELECT SUM(Col10) WHERE Col7 = ""&amp;B27&amp;"" AND Col1 &gt;= DATE '"" &amp; TEXT($C$2, ""YYYY-MM-DD"") &amp; ""' AND "&amp;"Col1 &lt;= DATE '"" &amp; TEXT($C$3, ""YYYY-MM-DD"") &amp; ""' LABEL SUM(Col10) ''"", 0), """")"),"#REF!")</f>
        <v>#REF!</v>
      </c>
      <c r="E27" s="13" t="str">
        <f>IFERROR(__xludf.DUMMYFUNCTION("IFNA(QUERY(IMPORTRANGE(""https://docs.google.com/spreadsheets/d/1EHL-jm_NiShR1a2JqKbpaJGazYH90DJO150spY6io4k/edit?gid=0#gid=0"", 
""Gen_Ledger!A:N""), 
""SELECT SUM(Col11) WHERE Col7 = ""&amp;B27&amp;"" AND Col1 &gt;= DATE '"" &amp; TEXT($C$2, ""YYYY-MM-DD"") &amp; ""' AND "&amp;"Col1 &lt;= DATE '"" &amp; TEXT($C$3, ""YYYY-MM-DD"") &amp; ""' LABEL SUM(Col11) ''"", 0), """")"),"#REF!")</f>
        <v>#REF!</v>
      </c>
      <c r="F27" s="13" t="str">
        <f t="shared" si="4"/>
        <v>#N/A</v>
      </c>
    </row>
    <row r="28" ht="15.75" customHeight="1">
      <c r="A28" s="1"/>
      <c r="B28" s="1"/>
      <c r="C28" s="13" t="str">
        <f>Mar_2025!F28</f>
        <v>#N/A</v>
      </c>
      <c r="D28" s="13" t="str">
        <f>IFERROR(__xludf.DUMMYFUNCTION("IFNA(QUERY(IMPORTRANGE(""https://docs.google.com/spreadsheets/d/1EHL-jm_NiShR1a2JqKbpaJGazYH90DJO150spY6io4k/edit?gid=0#gid=0"", 
""Gen_Ledger!A:N""), 
""SELECT SUM(Col10) WHERE Col7 = ""&amp;B28&amp;"" AND Col1 &gt;= DATE '"" &amp; TEXT($C$2, ""YYYY-MM-DD"") &amp; ""' AND "&amp;"Col1 &lt;= DATE '"" &amp; TEXT($C$3, ""YYYY-MM-DD"") &amp; ""' LABEL SUM(Col10) ''"", 0), """")"),"#REF!")</f>
        <v>#REF!</v>
      </c>
      <c r="E28" s="13" t="str">
        <f>IFERROR(__xludf.DUMMYFUNCTION("IFNA(QUERY(IMPORTRANGE(""https://docs.google.com/spreadsheets/d/1EHL-jm_NiShR1a2JqKbpaJGazYH90DJO150spY6io4k/edit?gid=0#gid=0"", 
""Gen_Ledger!A:N""), 
""SELECT SUM(Col11) WHERE Col7 = ""&amp;B28&amp;"" AND Col1 &gt;= DATE '"" &amp; TEXT($C$2, ""YYYY-MM-DD"") &amp; ""' AND "&amp;"Col1 &lt;= DATE '"" &amp; TEXT($C$3, ""YYYY-MM-DD"") &amp; ""' LABEL SUM(Col11) ''"", 0), """")"),"#REF!")</f>
        <v>#REF!</v>
      </c>
      <c r="F28" s="13" t="str">
        <f t="shared" si="4"/>
        <v>#N/A</v>
      </c>
    </row>
    <row r="29" ht="15.75" customHeight="1">
      <c r="A29" s="1"/>
      <c r="B29" s="1"/>
      <c r="C29" s="13" t="str">
        <f>Mar_2025!F29</f>
        <v>#N/A</v>
      </c>
      <c r="D29" s="13" t="str">
        <f>IFERROR(__xludf.DUMMYFUNCTION("IFNA(QUERY(IMPORTRANGE(""https://docs.google.com/spreadsheets/d/1EHL-jm_NiShR1a2JqKbpaJGazYH90DJO150spY6io4k/edit?gid=0#gid=0"", 
""Gen_Ledger!A:N""), 
""SELECT SUM(Col10) WHERE Col7 = ""&amp;B29&amp;"" AND Col1 &gt;= DATE '"" &amp; TEXT($C$2, ""YYYY-MM-DD"") &amp; ""' AND "&amp;"Col1 &lt;= DATE '"" &amp; TEXT($C$3, ""YYYY-MM-DD"") &amp; ""' LABEL SUM(Col10) ''"", 0), """")"),"#REF!")</f>
        <v>#REF!</v>
      </c>
      <c r="E29" s="13" t="str">
        <f>IFERROR(__xludf.DUMMYFUNCTION("IFNA(QUERY(IMPORTRANGE(""https://docs.google.com/spreadsheets/d/1EHL-jm_NiShR1a2JqKbpaJGazYH90DJO150spY6io4k/edit?gid=0#gid=0"", 
""Gen_Ledger!A:N""), 
""SELECT SUM(Col11) WHERE Col7 = ""&amp;B29&amp;"" AND Col1 &gt;= DATE '"" &amp; TEXT($C$2, ""YYYY-MM-DD"") &amp; ""' AND "&amp;"Col1 &lt;= DATE '"" &amp; TEXT($C$3, ""YYYY-MM-DD"") &amp; ""' LABEL SUM(Col11) ''"", 0), """")"),"#REF!")</f>
        <v>#REF!</v>
      </c>
      <c r="F29" s="13" t="str">
        <f t="shared" si="4"/>
        <v>#N/A</v>
      </c>
    </row>
    <row r="30" ht="15.75" customHeight="1">
      <c r="A30" s="1"/>
      <c r="B30" s="1"/>
      <c r="C30" s="13" t="str">
        <f>Mar_2025!F30</f>
        <v>#N/A</v>
      </c>
      <c r="D30" s="13" t="str">
        <f>IFERROR(__xludf.DUMMYFUNCTION("IFNA(QUERY(IMPORTRANGE(""https://docs.google.com/spreadsheets/d/1EHL-jm_NiShR1a2JqKbpaJGazYH90DJO150spY6io4k/edit?gid=0#gid=0"", 
""Gen_Ledger!A:N""), 
""SELECT SUM(Col10) WHERE Col7 = ""&amp;B30&amp;"" AND Col1 &gt;= DATE '"" &amp; TEXT($C$2, ""YYYY-MM-DD"") &amp; ""' AND "&amp;"Col1 &lt;= DATE '"" &amp; TEXT($C$3, ""YYYY-MM-DD"") &amp; ""' LABEL SUM(Col10) ''"", 0), """")"),"#REF!")</f>
        <v>#REF!</v>
      </c>
      <c r="E30" s="13" t="str">
        <f>IFERROR(__xludf.DUMMYFUNCTION("IFNA(QUERY(IMPORTRANGE(""https://docs.google.com/spreadsheets/d/1EHL-jm_NiShR1a2JqKbpaJGazYH90DJO150spY6io4k/edit?gid=0#gid=0"", 
""Gen_Ledger!A:N""), 
""SELECT SUM(Col11) WHERE Col7 = ""&amp;B30&amp;"" AND Col1 &gt;= DATE '"" &amp; TEXT($C$2, ""YYYY-MM-DD"") &amp; ""' AND "&amp;"Col1 &lt;= DATE '"" &amp; TEXT($C$3, ""YYYY-MM-DD"") &amp; ""' LABEL SUM(Col11) ''"", 0), """")"),"#REF!")</f>
        <v>#REF!</v>
      </c>
      <c r="F30" s="13" t="str">
        <f t="shared" si="4"/>
        <v>#N/A</v>
      </c>
    </row>
    <row r="31" ht="15.75" customHeight="1">
      <c r="A31" s="1"/>
      <c r="B31" s="1"/>
      <c r="C31" s="13" t="str">
        <f>Mar_2025!F31</f>
        <v>#N/A</v>
      </c>
      <c r="D31" s="13" t="str">
        <f>IFERROR(__xludf.DUMMYFUNCTION("IFNA(QUERY(IMPORTRANGE(""https://docs.google.com/spreadsheets/d/1EHL-jm_NiShR1a2JqKbpaJGazYH90DJO150spY6io4k/edit?gid=0#gid=0"", 
""Gen_Ledger!A:N""), 
""SELECT SUM(Col10) WHERE Col7 = ""&amp;B31&amp;"" AND Col1 &gt;= DATE '"" &amp; TEXT($C$2, ""YYYY-MM-DD"") &amp; ""' AND "&amp;"Col1 &lt;= DATE '"" &amp; TEXT($C$3, ""YYYY-MM-DD"") &amp; ""' LABEL SUM(Col10) ''"", 0), """")"),"#REF!")</f>
        <v>#REF!</v>
      </c>
      <c r="E31" s="13" t="str">
        <f>IFERROR(__xludf.DUMMYFUNCTION("IFNA(QUERY(IMPORTRANGE(""https://docs.google.com/spreadsheets/d/1EHL-jm_NiShR1a2JqKbpaJGazYH90DJO150spY6io4k/edit?gid=0#gid=0"", 
""Gen_Ledger!A:N""), 
""SELECT SUM(Col11) WHERE Col7 = ""&amp;B31&amp;"" AND Col1 &gt;= DATE '"" &amp; TEXT($C$2, ""YYYY-MM-DD"") &amp; ""' AND "&amp;"Col1 &lt;= DATE '"" &amp; TEXT($C$3, ""YYYY-MM-DD"") &amp; ""' LABEL SUM(Col11) ''"", 0), """")"),"#REF!")</f>
        <v>#REF!</v>
      </c>
      <c r="F31" s="13" t="str">
        <f t="shared" si="4"/>
        <v>#N/A</v>
      </c>
    </row>
    <row r="32" ht="15.75" customHeight="1">
      <c r="A32" s="1"/>
      <c r="B32" s="1"/>
      <c r="C32" s="13" t="str">
        <f>Mar_2025!F32</f>
        <v>#N/A</v>
      </c>
      <c r="D32" s="13" t="str">
        <f>IFERROR(__xludf.DUMMYFUNCTION("IFNA(QUERY(IMPORTRANGE(""https://docs.google.com/spreadsheets/d/1EHL-jm_NiShR1a2JqKbpaJGazYH90DJO150spY6io4k/edit?gid=0#gid=0"", 
""Gen_Ledger!A:N""), 
""SELECT SUM(Col10) WHERE Col7 = ""&amp;B32&amp;"" AND Col1 &gt;= DATE '"" &amp; TEXT($C$2, ""YYYY-MM-DD"") &amp; ""' AND "&amp;"Col1 &lt;= DATE '"" &amp; TEXT($C$3, ""YYYY-MM-DD"") &amp; ""' LABEL SUM(Col10) ''"", 0), """")"),"#REF!")</f>
        <v>#REF!</v>
      </c>
      <c r="E32" s="13" t="str">
        <f>IFERROR(__xludf.DUMMYFUNCTION("IFNA(QUERY(IMPORTRANGE(""https://docs.google.com/spreadsheets/d/1EHL-jm_NiShR1a2JqKbpaJGazYH90DJO150spY6io4k/edit?gid=0#gid=0"", 
""Gen_Ledger!A:N""), 
""SELECT SUM(Col11) WHERE Col7 = ""&amp;B32&amp;"" AND Col1 &gt;= DATE '"" &amp; TEXT($C$2, ""YYYY-MM-DD"") &amp; ""' AND "&amp;"Col1 &lt;= DATE '"" &amp; TEXT($C$3, ""YYYY-MM-DD"") &amp; ""' LABEL SUM(Col11) ''"", 0), """")"),"#REF!")</f>
        <v>#REF!</v>
      </c>
      <c r="F32" s="13" t="str">
        <f t="shared" si="4"/>
        <v>#N/A</v>
      </c>
    </row>
    <row r="33" ht="15.75" customHeight="1">
      <c r="A33" s="1"/>
      <c r="B33" s="1"/>
      <c r="C33" s="13" t="str">
        <f>Mar_2025!F33</f>
        <v>#N/A</v>
      </c>
      <c r="D33" s="13" t="str">
        <f>IFERROR(__xludf.DUMMYFUNCTION("IFNA(QUERY(IMPORTRANGE(""https://docs.google.com/spreadsheets/d/1EHL-jm_NiShR1a2JqKbpaJGazYH90DJO150spY6io4k/edit?gid=0#gid=0"", 
""Gen_Ledger!A:N""), 
""SELECT SUM(Col10) WHERE Col7 = ""&amp;B33&amp;"" AND Col1 &gt;= DATE '"" &amp; TEXT($C$2, ""YYYY-MM-DD"") &amp; ""' AND "&amp;"Col1 &lt;= DATE '"" &amp; TEXT($C$3, ""YYYY-MM-DD"") &amp; ""' LABEL SUM(Col10) ''"", 0), """")"),"#REF!")</f>
        <v>#REF!</v>
      </c>
      <c r="E33" s="13" t="str">
        <f>IFERROR(__xludf.DUMMYFUNCTION("IFNA(QUERY(IMPORTRANGE(""https://docs.google.com/spreadsheets/d/1EHL-jm_NiShR1a2JqKbpaJGazYH90DJO150spY6io4k/edit?gid=0#gid=0"", 
""Gen_Ledger!A:N""), 
""SELECT SUM(Col11) WHERE Col7 = ""&amp;B33&amp;"" AND Col1 &gt;= DATE '"" &amp; TEXT($C$2, ""YYYY-MM-DD"") &amp; ""' AND "&amp;"Col1 &lt;= DATE '"" &amp; TEXT($C$3, ""YYYY-MM-DD"") &amp; ""' LABEL SUM(Col11) ''"", 0), """")"),"#REF!")</f>
        <v>#REF!</v>
      </c>
      <c r="F33" s="13" t="str">
        <f t="shared" si="4"/>
        <v>#N/A</v>
      </c>
    </row>
    <row r="34" ht="15.75" customHeight="1">
      <c r="A34" s="1"/>
      <c r="B34" s="1"/>
      <c r="C34" s="13" t="str">
        <f>Mar_2025!F34</f>
        <v>#N/A</v>
      </c>
      <c r="D34" s="13" t="str">
        <f>IFERROR(__xludf.DUMMYFUNCTION("IFNA(QUERY(IMPORTRANGE(""https://docs.google.com/spreadsheets/d/1EHL-jm_NiShR1a2JqKbpaJGazYH90DJO150spY6io4k/edit?gid=0#gid=0"", 
""Gen_Ledger!A:N""), 
""SELECT SUM(Col10) WHERE Col7 = ""&amp;B34&amp;"" AND Col1 &gt;= DATE '"" &amp; TEXT($C$2, ""YYYY-MM-DD"") &amp; ""' AND "&amp;"Col1 &lt;= DATE '"" &amp; TEXT($C$3, ""YYYY-MM-DD"") &amp; ""' LABEL SUM(Col10) ''"", 0), """")"),"#REF!")</f>
        <v>#REF!</v>
      </c>
      <c r="E34" s="13" t="str">
        <f>IFERROR(__xludf.DUMMYFUNCTION("IFNA(QUERY(IMPORTRANGE(""https://docs.google.com/spreadsheets/d/1EHL-jm_NiShR1a2JqKbpaJGazYH90DJO150spY6io4k/edit?gid=0#gid=0"", 
""Gen_Ledger!A:N""), 
""SELECT SUM(Col11) WHERE Col7 = ""&amp;B34&amp;"" AND Col1 &gt;= DATE '"" &amp; TEXT($C$2, ""YYYY-MM-DD"") &amp; ""' AND "&amp;"Col1 &lt;= DATE '"" &amp; TEXT($C$3, ""YYYY-MM-DD"") &amp; ""' LABEL SUM(Col11) ''"", 0), """")"),"#REF!")</f>
        <v>#REF!</v>
      </c>
      <c r="F34" s="13" t="str">
        <f t="shared" si="4"/>
        <v>#N/A</v>
      </c>
    </row>
    <row r="35" ht="15.75" customHeight="1">
      <c r="A35" s="1"/>
      <c r="B35" s="1"/>
      <c r="C35" s="13" t="str">
        <f>Mar_2025!F35</f>
        <v>#N/A</v>
      </c>
      <c r="D35" s="13" t="str">
        <f>IFERROR(__xludf.DUMMYFUNCTION("IFNA(QUERY(IMPORTRANGE(""https://docs.google.com/spreadsheets/d/1EHL-jm_NiShR1a2JqKbpaJGazYH90DJO150spY6io4k/edit?gid=0#gid=0"", 
""Gen_Ledger!A:N""), 
""SELECT SUM(Col10) WHERE Col7 = ""&amp;B35&amp;"" AND Col1 &gt;= DATE '"" &amp; TEXT($C$2, ""YYYY-MM-DD"") &amp; ""' AND "&amp;"Col1 &lt;= DATE '"" &amp; TEXT($C$3, ""YYYY-MM-DD"") &amp; ""' LABEL SUM(Col10) ''"", 0), """")"),"#REF!")</f>
        <v>#REF!</v>
      </c>
      <c r="E35" s="13" t="str">
        <f>IFERROR(__xludf.DUMMYFUNCTION("IFNA(QUERY(IMPORTRANGE(""https://docs.google.com/spreadsheets/d/1EHL-jm_NiShR1a2JqKbpaJGazYH90DJO150spY6io4k/edit?gid=0#gid=0"", 
""Gen_Ledger!A:N""), 
""SELECT SUM(Col11) WHERE Col7 = ""&amp;B35&amp;"" AND Col1 &gt;= DATE '"" &amp; TEXT($C$2, ""YYYY-MM-DD"") &amp; ""' AND "&amp;"Col1 &lt;= DATE '"" &amp; TEXT($C$3, ""YYYY-MM-DD"") &amp; ""' LABEL SUM(Col11) ''"", 0), """")"),"#REF!")</f>
        <v>#REF!</v>
      </c>
      <c r="F35" s="13" t="str">
        <f t="shared" si="4"/>
        <v>#N/A</v>
      </c>
    </row>
    <row r="36" ht="15.75" customHeight="1">
      <c r="A36" s="1"/>
      <c r="B36" s="1"/>
      <c r="C36" s="2" t="str">
        <f>VLOOKUP(B36,Helper!$D$99:$F1000,3,FALSE)</f>
        <v>#N/A</v>
      </c>
      <c r="D36" s="13" t="str">
        <f>IFERROR(__xludf.DUMMYFUNCTION("IFNA(QUERY(IMPORTRANGE(""https://docs.google.com/spreadsheets/d/1EHL-jm_NiShR1a2JqKbpaJGazYH90DJO150spY6io4k/edit?gid=0#gid=0"", 
""Gen_Ledger!A:N""), 
""SELECT SUM(Col10) WHERE Col7 = ""&amp;B36&amp;"" AND Col1 &gt;= DATE '"" &amp; TEXT($C$2, ""YYYY-MM-DD"") &amp; ""' AND "&amp;"Col1 &lt;= DATE '"" &amp; TEXT($C$3, ""YYYY-MM-DD"") &amp; ""' LABEL SUM(Col10) ''"", 0), """")"),"#REF!")</f>
        <v>#REF!</v>
      </c>
      <c r="E36" s="13" t="str">
        <f>IFERROR(__xludf.DUMMYFUNCTION("IFNA(QUERY(IMPORTRANGE(""https://docs.google.com/spreadsheets/d/1EHL-jm_NiShR1a2JqKbpaJGazYH90DJO150spY6io4k/edit?gid=0#gid=0"", 
""Gen_Ledger!A:N""), 
""SELECT SUM(Col11) WHERE Col7 = ""&amp;B36&amp;"" AND Col1 &gt;= DATE '"" &amp; TEXT($C$2, ""YYYY-MM-DD"") &amp; ""' AND "&amp;"Col1 &lt;= DATE '"" &amp; TEXT($C$3, ""YYYY-MM-DD"") &amp; ""' LABEL SUM(Col11) ''"", 0), """")"),"#REF!")</f>
        <v>#REF!</v>
      </c>
      <c r="F36" s="13" t="str">
        <f t="shared" si="4"/>
        <v>#N/A</v>
      </c>
    </row>
    <row r="37" ht="15.75" customHeight="1">
      <c r="A37" s="1"/>
      <c r="B37" s="1"/>
      <c r="C37" s="2" t="str">
        <f>VLOOKUP(B37,Helper!$D$99:$F1000,3,FALSE)</f>
        <v>#N/A</v>
      </c>
      <c r="D37" s="13" t="str">
        <f>IFERROR(__xludf.DUMMYFUNCTION("IFNA(QUERY(IMPORTRANGE(""https://docs.google.com/spreadsheets/d/1EHL-jm_NiShR1a2JqKbpaJGazYH90DJO150spY6io4k/edit?gid=0#gid=0"", 
""Gen_Ledger!A:N""), 
""SELECT SUM(Col10) WHERE Col7 = ""&amp;B37&amp;"" AND Col1 &gt;= DATE '"" &amp; TEXT($C$2, ""YYYY-MM-DD"") &amp; ""' AND "&amp;"Col1 &lt;= DATE '"" &amp; TEXT($C$3, ""YYYY-MM-DD"") &amp; ""' LABEL SUM(Col10) ''"", 0), """")"),"#REF!")</f>
        <v>#REF!</v>
      </c>
      <c r="E37" s="13" t="str">
        <f>IFERROR(__xludf.DUMMYFUNCTION("IFNA(QUERY(IMPORTRANGE(""https://docs.google.com/spreadsheets/d/1EHL-jm_NiShR1a2JqKbpaJGazYH90DJO150spY6io4k/edit?gid=0#gid=0"", 
""Gen_Ledger!A:N""), 
""SELECT SUM(Col11) WHERE Col7 = ""&amp;B37&amp;"" AND Col1 &gt;= DATE '"" &amp; TEXT($C$2, ""YYYY-MM-DD"") &amp; ""' AND "&amp;"Col1 &lt;= DATE '"" &amp; TEXT($C$3, ""YYYY-MM-DD"") &amp; ""' LABEL SUM(Col11) ''"", 0), """")"),"#REF!")</f>
        <v>#REF!</v>
      </c>
      <c r="F37" s="13" t="str">
        <f t="shared" ref="F37:F38" si="5">E37</f>
        <v>#REF!</v>
      </c>
    </row>
    <row r="38" ht="15.75" customHeight="1">
      <c r="A38" s="1"/>
      <c r="B38" s="1"/>
      <c r="C38" s="2" t="str">
        <f>VLOOKUP(B38,Helper!$D$99:$F1000,3,FALSE)</f>
        <v>#N/A</v>
      </c>
      <c r="D38" s="13" t="str">
        <f>IFERROR(__xludf.DUMMYFUNCTION("IFNA(QUERY(IMPORTRANGE(""https://docs.google.com/spreadsheets/d/1EHL-jm_NiShR1a2JqKbpaJGazYH90DJO150spY6io4k/edit?gid=0#gid=0"", 
""Gen_Ledger!A:N""), 
""SELECT SUM(Col10) WHERE Col7 = ""&amp;B38&amp;"" AND Col1 &gt;= DATE '"" &amp; TEXT($C$2, ""YYYY-MM-DD"") &amp; ""' AND "&amp;"Col1 &lt;= DATE '"" &amp; TEXT($C$3, ""YYYY-MM-DD"") &amp; ""' LABEL SUM(Col10) ''"", 0), """")"),"#REF!")</f>
        <v>#REF!</v>
      </c>
      <c r="E38" s="13" t="str">
        <f>IFERROR(__xludf.DUMMYFUNCTION("IFNA(QUERY(IMPORTRANGE(""https://docs.google.com/spreadsheets/d/1EHL-jm_NiShR1a2JqKbpaJGazYH90DJO150spY6io4k/edit?gid=0#gid=0"", 
""Gen_Ledger!A:N""), 
""SELECT SUM(Col11) WHERE Col7 = ""&amp;B38&amp;"" AND Col1 &gt;= DATE '"" &amp; TEXT($C$2, ""YYYY-MM-DD"") &amp; ""' AND "&amp;"Col1 &lt;= DATE '"" &amp; TEXT($C$3, ""YYYY-MM-DD"") &amp; ""' LABEL SUM(Col11) ''"", 0), """")"),"#REF!")</f>
        <v>#REF!</v>
      </c>
      <c r="F38" s="13" t="str">
        <f t="shared" si="5"/>
        <v>#REF!</v>
      </c>
    </row>
    <row r="39" ht="15.75" customHeight="1">
      <c r="A39" s="1"/>
      <c r="B39" s="1"/>
      <c r="C39" s="2" t="str">
        <f>VLOOKUP(B39,Helper!$D$99:$F1000,3,FALSE)</f>
        <v>#N/A</v>
      </c>
      <c r="D39" s="13" t="str">
        <f>IFERROR(__xludf.DUMMYFUNCTION("IFNA(QUERY(IMPORTRANGE(""https://docs.google.com/spreadsheets/d/1EHL-jm_NiShR1a2JqKbpaJGazYH90DJO150spY6io4k/edit?gid=0#gid=0"", 
""Gen_Ledger!A:N""), 
""SELECT SUM(Col10) WHERE Col7 = ""&amp;B39&amp;"" AND Col1 &gt;= DATE '"" &amp; TEXT($C$2, ""YYYY-MM-DD"") &amp; ""' AND "&amp;"Col1 &lt;= DATE '"" &amp; TEXT($C$3, ""YYYY-MM-DD"") &amp; ""' LABEL SUM(Col10) ''"", 0), """")"),"#REF!")</f>
        <v>#REF!</v>
      </c>
      <c r="E39" s="13" t="str">
        <f>IFERROR(__xludf.DUMMYFUNCTION("IFNA(QUERY(IMPORTRANGE(""https://docs.google.com/spreadsheets/d/1EHL-jm_NiShR1a2JqKbpaJGazYH90DJO150spY6io4k/edit?gid=0#gid=0"", 
""Gen_Ledger!A:N""), 
""SELECT SUM(Col11) WHERE Col7 = ""&amp;B39&amp;"" AND Col1 &gt;= DATE '"" &amp; TEXT($C$2, ""YYYY-MM-DD"") &amp; ""' AND "&amp;"Col1 &lt;= DATE '"" &amp; TEXT($C$3, ""YYYY-MM-DD"") &amp; ""' LABEL SUM(Col11) ''"", 0), """")"),"#REF!")</f>
        <v>#REF!</v>
      </c>
      <c r="F39" s="13" t="str">
        <f t="shared" ref="F39:F60" si="6">C39-E39+D39</f>
        <v>#N/A</v>
      </c>
    </row>
    <row r="40" ht="15.75" customHeight="1">
      <c r="A40" s="1"/>
      <c r="B40" s="1"/>
      <c r="C40" s="2" t="str">
        <f>VLOOKUP(B40,Helper!$D$99:$F1000,3,FALSE)</f>
        <v>#N/A</v>
      </c>
      <c r="D40" s="13" t="str">
        <f>IFERROR(__xludf.DUMMYFUNCTION("IFNA(QUERY(IMPORTRANGE(""https://docs.google.com/spreadsheets/d/1EHL-jm_NiShR1a2JqKbpaJGazYH90DJO150spY6io4k/edit?gid=0#gid=0"", 
""Gen_Ledger!A:N""), 
""SELECT SUM(Col10) WHERE Col7 = ""&amp;B40&amp;"" AND Col1 &gt;= DATE '"" &amp; TEXT($C$2, ""YYYY-MM-DD"") &amp; ""' AND "&amp;"Col1 &lt;= DATE '"" &amp; TEXT($C$3, ""YYYY-MM-DD"") &amp; ""' LABEL SUM(Col10) ''"", 0), """")"),"#REF!")</f>
        <v>#REF!</v>
      </c>
      <c r="E40" s="13" t="str">
        <f>IFERROR(__xludf.DUMMYFUNCTION("IFNA(QUERY(IMPORTRANGE(""https://docs.google.com/spreadsheets/d/1EHL-jm_NiShR1a2JqKbpaJGazYH90DJO150spY6io4k/edit?gid=0#gid=0"", 
""Gen_Ledger!A:N""), 
""SELECT SUM(Col11) WHERE Col7 = ""&amp;B40&amp;"" AND Col1 &gt;= DATE '"" &amp; TEXT($C$2, ""YYYY-MM-DD"") &amp; ""' AND "&amp;"Col1 &lt;= DATE '"" &amp; TEXT($C$3, ""YYYY-MM-DD"") &amp; ""' LABEL SUM(Col11) ''"", 0), """")"),"#REF!")</f>
        <v>#REF!</v>
      </c>
      <c r="F40" s="13" t="str">
        <f t="shared" si="6"/>
        <v>#N/A</v>
      </c>
    </row>
    <row r="41" ht="15.75" customHeight="1">
      <c r="A41" s="1"/>
      <c r="B41" s="1"/>
      <c r="C41" s="2" t="str">
        <f>VLOOKUP(B41,Helper!$D$99:$F1000,3,FALSE)</f>
        <v>#N/A</v>
      </c>
      <c r="D41" s="13" t="str">
        <f>IFERROR(__xludf.DUMMYFUNCTION("IFNA(QUERY(IMPORTRANGE(""https://docs.google.com/spreadsheets/d/1EHL-jm_NiShR1a2JqKbpaJGazYH90DJO150spY6io4k/edit?gid=0#gid=0"", 
""Gen_Ledger!A:N""), 
""SELECT SUM(Col10) WHERE Col7 = ""&amp;B41&amp;"" AND Col1 &gt;= DATE '"" &amp; TEXT($C$2, ""YYYY-MM-DD"") &amp; ""' AND "&amp;"Col1 &lt;= DATE '"" &amp; TEXT($C$3, ""YYYY-MM-DD"") &amp; ""' LABEL SUM(Col10) ''"", 0), """")"),"#REF!")</f>
        <v>#REF!</v>
      </c>
      <c r="E41" s="13" t="str">
        <f>IFERROR(__xludf.DUMMYFUNCTION("IFNA(QUERY(IMPORTRANGE(""https://docs.google.com/spreadsheets/d/1EHL-jm_NiShR1a2JqKbpaJGazYH90DJO150spY6io4k/edit?gid=0#gid=0"", 
""Gen_Ledger!A:N""), 
""SELECT SUM(Col11) WHERE Col7 = ""&amp;B41&amp;"" AND Col1 &gt;= DATE '"" &amp; TEXT($C$2, ""YYYY-MM-DD"") &amp; ""' AND "&amp;"Col1 &lt;= DATE '"" &amp; TEXT($C$3, ""YYYY-MM-DD"") &amp; ""' LABEL SUM(Col11) ''"", 0), """")"),"#REF!")</f>
        <v>#REF!</v>
      </c>
      <c r="F41" s="13" t="str">
        <f t="shared" si="6"/>
        <v>#N/A</v>
      </c>
    </row>
    <row r="42" ht="15.75" customHeight="1">
      <c r="A42" s="1"/>
      <c r="B42" s="1"/>
      <c r="C42" s="2" t="str">
        <f>VLOOKUP(B42,Helper!$D$99:$F1000,3,FALSE)</f>
        <v>#N/A</v>
      </c>
      <c r="D42" s="13" t="str">
        <f>IFERROR(__xludf.DUMMYFUNCTION("IFNA(QUERY(IMPORTRANGE(""https://docs.google.com/spreadsheets/d/1EHL-jm_NiShR1a2JqKbpaJGazYH90DJO150spY6io4k/edit?gid=0#gid=0"", 
""Gen_Ledger!A:N""), 
""SELECT SUM(Col10) WHERE Col7 = ""&amp;B42&amp;"" AND Col1 &gt;= DATE '"" &amp; TEXT($C$2, ""YYYY-MM-DD"") &amp; ""' AND "&amp;"Col1 &lt;= DATE '"" &amp; TEXT($C$3, ""YYYY-MM-DD"") &amp; ""' LABEL SUM(Col10) ''"", 0), """")"),"#REF!")</f>
        <v>#REF!</v>
      </c>
      <c r="E42" s="13" t="str">
        <f>IFERROR(__xludf.DUMMYFUNCTION("IFNA(QUERY(IMPORTRANGE(""https://docs.google.com/spreadsheets/d/1EHL-jm_NiShR1a2JqKbpaJGazYH90DJO150spY6io4k/edit?gid=0#gid=0"", 
""Gen_Ledger!A:N""), 
""SELECT SUM(Col11) WHERE Col7 = ""&amp;B42&amp;"" AND Col1 &gt;= DATE '"" &amp; TEXT($C$2, ""YYYY-MM-DD"") &amp; ""' AND "&amp;"Col1 &lt;= DATE '"" &amp; TEXT($C$3, ""YYYY-MM-DD"") &amp; ""' LABEL SUM(Col11) ''"", 0), """")"),"#REF!")</f>
        <v>#REF!</v>
      </c>
      <c r="F42" s="13" t="str">
        <f t="shared" si="6"/>
        <v>#N/A</v>
      </c>
    </row>
    <row r="43" ht="15.75" customHeight="1">
      <c r="A43" s="1"/>
      <c r="B43" s="1"/>
      <c r="C43" s="2" t="str">
        <f>VLOOKUP(B43,Helper!$D$99:$F1000,3,FALSE)</f>
        <v>#N/A</v>
      </c>
      <c r="D43" s="13" t="str">
        <f>IFERROR(__xludf.DUMMYFUNCTION("IFNA(QUERY(IMPORTRANGE(""https://docs.google.com/spreadsheets/d/1EHL-jm_NiShR1a2JqKbpaJGazYH90DJO150spY6io4k/edit?gid=0#gid=0"", 
""Gen_Ledger!A:N""), 
""SELECT SUM(Col10) WHERE Col7 = ""&amp;B43&amp;"" AND Col1 &gt;= DATE '"" &amp; TEXT($C$2, ""YYYY-MM-DD"") &amp; ""' AND "&amp;"Col1 &lt;= DATE '"" &amp; TEXT($C$3, ""YYYY-MM-DD"") &amp; ""' LABEL SUM(Col10) ''"", 0), """")"),"#REF!")</f>
        <v>#REF!</v>
      </c>
      <c r="E43" s="13" t="str">
        <f>IFERROR(__xludf.DUMMYFUNCTION("IFNA(QUERY(IMPORTRANGE(""https://docs.google.com/spreadsheets/d/1EHL-jm_NiShR1a2JqKbpaJGazYH90DJO150spY6io4k/edit?gid=0#gid=0"", 
""Gen_Ledger!A:N""), 
""SELECT SUM(Col11) WHERE Col7 = ""&amp;B43&amp;"" AND Col1 &gt;= DATE '"" &amp; TEXT($C$2, ""YYYY-MM-DD"") &amp; ""' AND "&amp;"Col1 &lt;= DATE '"" &amp; TEXT($C$3, ""YYYY-MM-DD"") &amp; ""' LABEL SUM(Col11) ''"", 0), """")"),"#REF!")</f>
        <v>#REF!</v>
      </c>
      <c r="F43" s="13" t="str">
        <f t="shared" si="6"/>
        <v>#N/A</v>
      </c>
    </row>
    <row r="44" ht="15.75" customHeight="1">
      <c r="A44" s="1"/>
      <c r="B44" s="1"/>
      <c r="C44" s="2" t="str">
        <f>VLOOKUP(B44,Helper!$D$99:$F1000,3,FALSE)</f>
        <v>#N/A</v>
      </c>
      <c r="D44" s="13" t="str">
        <f>IFERROR(__xludf.DUMMYFUNCTION("IFNA(QUERY(IMPORTRANGE(""https://docs.google.com/spreadsheets/d/1EHL-jm_NiShR1a2JqKbpaJGazYH90DJO150spY6io4k/edit?gid=0#gid=0"", 
""Gen_Ledger!A:N""), 
""SELECT SUM(Col10) WHERE Col7 = ""&amp;B44&amp;"" AND Col1 &gt;= DATE '"" &amp; TEXT($C$2, ""YYYY-MM-DD"") &amp; ""' AND "&amp;"Col1 &lt;= DATE '"" &amp; TEXT($C$3, ""YYYY-MM-DD"") &amp; ""' LABEL SUM(Col10) ''"", 0), """")"),"#REF!")</f>
        <v>#REF!</v>
      </c>
      <c r="E44" s="13" t="str">
        <f>IFERROR(__xludf.DUMMYFUNCTION("IFNA(QUERY(IMPORTRANGE(""https://docs.google.com/spreadsheets/d/1EHL-jm_NiShR1a2JqKbpaJGazYH90DJO150spY6io4k/edit?gid=0#gid=0"", 
""Gen_Ledger!A:N""), 
""SELECT SUM(Col11) WHERE Col7 = ""&amp;B44&amp;"" AND Col1 &gt;= DATE '"" &amp; TEXT($C$2, ""YYYY-MM-DD"") &amp; ""' AND "&amp;"Col1 &lt;= DATE '"" &amp; TEXT($C$3, ""YYYY-MM-DD"") &amp; ""' LABEL SUM(Col11) ''"", 0), """")"),"#REF!")</f>
        <v>#REF!</v>
      </c>
      <c r="F44" s="13" t="str">
        <f t="shared" si="6"/>
        <v>#N/A</v>
      </c>
    </row>
    <row r="45" ht="15.75" customHeight="1">
      <c r="A45" s="1"/>
      <c r="B45" s="1"/>
      <c r="C45" s="2" t="str">
        <f>VLOOKUP(B45,Helper!$D$99:$F1000,3,FALSE)</f>
        <v>#N/A</v>
      </c>
      <c r="D45" s="13" t="str">
        <f>IFERROR(__xludf.DUMMYFUNCTION("IFNA(QUERY(IMPORTRANGE(""https://docs.google.com/spreadsheets/d/1EHL-jm_NiShR1a2JqKbpaJGazYH90DJO150spY6io4k/edit?gid=0#gid=0"", 
""Gen_Ledger!A:N""), 
""SELECT SUM(Col10) WHERE Col7 = ""&amp;B45&amp;"" AND Col1 &gt;= DATE '"" &amp; TEXT($C$2, ""YYYY-MM-DD"") &amp; ""' AND "&amp;"Col1 &lt;= DATE '"" &amp; TEXT($C$3, ""YYYY-MM-DD"") &amp; ""' LABEL SUM(Col10) ''"", 0), """")"),"#REF!")</f>
        <v>#REF!</v>
      </c>
      <c r="E45" s="13" t="str">
        <f>IFERROR(__xludf.DUMMYFUNCTION("IFNA(QUERY(IMPORTRANGE(""https://docs.google.com/spreadsheets/d/1EHL-jm_NiShR1a2JqKbpaJGazYH90DJO150spY6io4k/edit?gid=0#gid=0"", 
""Gen_Ledger!A:N""), 
""SELECT SUM(Col11) WHERE Col7 = ""&amp;B45&amp;"" AND Col1 &gt;= DATE '"" &amp; TEXT($C$2, ""YYYY-MM-DD"") &amp; ""' AND "&amp;"Col1 &lt;= DATE '"" &amp; TEXT($C$3, ""YYYY-MM-DD"") &amp; ""' LABEL SUM(Col11) ''"", 0), """")"),"#REF!")</f>
        <v>#REF!</v>
      </c>
      <c r="F45" s="13" t="str">
        <f t="shared" si="6"/>
        <v>#N/A</v>
      </c>
    </row>
    <row r="46" ht="15.75" customHeight="1">
      <c r="A46" s="1"/>
      <c r="B46" s="1"/>
      <c r="C46" s="2" t="str">
        <f>VLOOKUP(B46,Helper!$D$99:$F1000,3,FALSE)</f>
        <v>#N/A</v>
      </c>
      <c r="D46" s="13" t="str">
        <f>IFERROR(__xludf.DUMMYFUNCTION("IFNA(QUERY(IMPORTRANGE(""https://docs.google.com/spreadsheets/d/1EHL-jm_NiShR1a2JqKbpaJGazYH90DJO150spY6io4k/edit?gid=0#gid=0"", 
""Gen_Ledger!A:N""), 
""SELECT SUM(Col10) WHERE Col7 = ""&amp;B46&amp;"" AND Col1 &gt;= DATE '"" &amp; TEXT($C$2, ""YYYY-MM-DD"") &amp; ""' AND "&amp;"Col1 &lt;= DATE '"" &amp; TEXT($C$3, ""YYYY-MM-DD"") &amp; ""' LABEL SUM(Col10) ''"", 0), """")"),"#REF!")</f>
        <v>#REF!</v>
      </c>
      <c r="E46" s="13" t="str">
        <f>IFERROR(__xludf.DUMMYFUNCTION("IFNA(QUERY(IMPORTRANGE(""https://docs.google.com/spreadsheets/d/1EHL-jm_NiShR1a2JqKbpaJGazYH90DJO150spY6io4k/edit?gid=0#gid=0"", 
""Gen_Ledger!A:N""), 
""SELECT SUM(Col11) WHERE Col7 = ""&amp;B46&amp;"" AND Col1 &gt;= DATE '"" &amp; TEXT($C$2, ""YYYY-MM-DD"") &amp; ""' AND "&amp;"Col1 &lt;= DATE '"" &amp; TEXT($C$3, ""YYYY-MM-DD"") &amp; ""' LABEL SUM(Col11) ''"", 0), """")"),"#REF!")</f>
        <v>#REF!</v>
      </c>
      <c r="F46" s="13" t="str">
        <f t="shared" si="6"/>
        <v>#N/A</v>
      </c>
    </row>
    <row r="47" ht="15.75" customHeight="1">
      <c r="A47" s="1"/>
      <c r="B47" s="1"/>
      <c r="C47" s="2" t="str">
        <f>VLOOKUP(B47,Helper!$D$99:$F1000,3,FALSE)</f>
        <v>#N/A</v>
      </c>
      <c r="D47" s="13" t="str">
        <f>IFERROR(__xludf.DUMMYFUNCTION("IFNA(QUERY(IMPORTRANGE(""https://docs.google.com/spreadsheets/d/1EHL-jm_NiShR1a2JqKbpaJGazYH90DJO150spY6io4k/edit?gid=0#gid=0"", 
""Gen_Ledger!A:N""), 
""SELECT SUM(Col10) WHERE Col7 = ""&amp;B47&amp;"" AND Col1 &gt;= DATE '"" &amp; TEXT($C$2, ""YYYY-MM-DD"") &amp; ""' AND "&amp;"Col1 &lt;= DATE '"" &amp; TEXT($C$3, ""YYYY-MM-DD"") &amp; ""' LABEL SUM(Col10) ''"", 0), """")"),"#REF!")</f>
        <v>#REF!</v>
      </c>
      <c r="E47" s="13" t="str">
        <f>IFERROR(__xludf.DUMMYFUNCTION("IFNA(QUERY(IMPORTRANGE(""https://docs.google.com/spreadsheets/d/1EHL-jm_NiShR1a2JqKbpaJGazYH90DJO150spY6io4k/edit?gid=0#gid=0"", 
""Gen_Ledger!A:N""), 
""SELECT SUM(Col11) WHERE Col7 = ""&amp;B47&amp;"" AND Col1 &gt;= DATE '"" &amp; TEXT($C$2, ""YYYY-MM-DD"") &amp; ""' AND "&amp;"Col1 &lt;= DATE '"" &amp; TEXT($C$3, ""YYYY-MM-DD"") &amp; ""' LABEL SUM(Col11) ''"", 0), """")"),"#REF!")</f>
        <v>#REF!</v>
      </c>
      <c r="F47" s="13" t="str">
        <f t="shared" si="6"/>
        <v>#N/A</v>
      </c>
    </row>
    <row r="48" ht="15.75" customHeight="1">
      <c r="A48" s="1"/>
      <c r="B48" s="1"/>
      <c r="C48" s="2" t="str">
        <f>VLOOKUP(B48,Helper!$D$99:$F1000,3,FALSE)</f>
        <v>#N/A</v>
      </c>
      <c r="D48" s="13" t="str">
        <f>IFERROR(__xludf.DUMMYFUNCTION("IFNA(QUERY(IMPORTRANGE(""https://docs.google.com/spreadsheets/d/1EHL-jm_NiShR1a2JqKbpaJGazYH90DJO150spY6io4k/edit?gid=0#gid=0"", 
""Gen_Ledger!A:N""), 
""SELECT SUM(Col10) WHERE Col7 = ""&amp;B48&amp;"" AND Col1 &gt;= DATE '"" &amp; TEXT($C$2, ""YYYY-MM-DD"") &amp; ""' AND "&amp;"Col1 &lt;= DATE '"" &amp; TEXT($C$3, ""YYYY-MM-DD"") &amp; ""' LABEL SUM(Col10) ''"", 0), """")"),"#REF!")</f>
        <v>#REF!</v>
      </c>
      <c r="E48" s="13" t="str">
        <f>IFERROR(__xludf.DUMMYFUNCTION("IFNA(QUERY(IMPORTRANGE(""https://docs.google.com/spreadsheets/d/1EHL-jm_NiShR1a2JqKbpaJGazYH90DJO150spY6io4k/edit?gid=0#gid=0"", 
""Gen_Ledger!A:N""), 
""SELECT SUM(Col11) WHERE Col7 = ""&amp;B48&amp;"" AND Col1 &gt;= DATE '"" &amp; TEXT($C$2, ""YYYY-MM-DD"") &amp; ""' AND "&amp;"Col1 &lt;= DATE '"" &amp; TEXT($C$3, ""YYYY-MM-DD"") &amp; ""' LABEL SUM(Col11) ''"", 0), """")"),"#REF!")</f>
        <v>#REF!</v>
      </c>
      <c r="F48" s="13" t="str">
        <f t="shared" si="6"/>
        <v>#N/A</v>
      </c>
    </row>
    <row r="49" ht="15.75" customHeight="1">
      <c r="A49" s="1"/>
      <c r="B49" s="1"/>
      <c r="C49" s="2" t="str">
        <f>VLOOKUP(B49,Helper!$D$99:$F1000,3,FALSE)</f>
        <v>#N/A</v>
      </c>
      <c r="D49" s="13" t="str">
        <f>IFERROR(__xludf.DUMMYFUNCTION("IFNA(QUERY(IMPORTRANGE(""https://docs.google.com/spreadsheets/d/1EHL-jm_NiShR1a2JqKbpaJGazYH90DJO150spY6io4k/edit?gid=0#gid=0"", 
""Gen_Ledger!A:N""), 
""SELECT SUM(Col10) WHERE Col7 = ""&amp;B49&amp;"" AND Col1 &gt;= DATE '"" &amp; TEXT($C$2, ""YYYY-MM-DD"") &amp; ""' AND "&amp;"Col1 &lt;= DATE '"" &amp; TEXT($C$3, ""YYYY-MM-DD"") &amp; ""' LABEL SUM(Col10) ''"", 0), """")"),"#REF!")</f>
        <v>#REF!</v>
      </c>
      <c r="E49" s="13" t="str">
        <f>IFERROR(__xludf.DUMMYFUNCTION("IFNA(QUERY(IMPORTRANGE(""https://docs.google.com/spreadsheets/d/1EHL-jm_NiShR1a2JqKbpaJGazYH90DJO150spY6io4k/edit?gid=0#gid=0"", 
""Gen_Ledger!A:N""), 
""SELECT SUM(Col11) WHERE Col7 = ""&amp;B49&amp;"" AND Col1 &gt;= DATE '"" &amp; TEXT($C$2, ""YYYY-MM-DD"") &amp; ""' AND "&amp;"Col1 &lt;= DATE '"" &amp; TEXT($C$3, ""YYYY-MM-DD"") &amp; ""' LABEL SUM(Col11) ''"", 0), """")"),"#REF!")</f>
        <v>#REF!</v>
      </c>
      <c r="F49" s="13" t="str">
        <f t="shared" si="6"/>
        <v>#N/A</v>
      </c>
    </row>
    <row r="50" ht="15.75" customHeight="1">
      <c r="A50" s="1"/>
      <c r="B50" s="1"/>
      <c r="C50" s="2" t="str">
        <f>VLOOKUP(B50,Helper!$D$99:$F1000,3,FALSE)</f>
        <v>#N/A</v>
      </c>
      <c r="D50" s="13" t="str">
        <f>IFERROR(__xludf.DUMMYFUNCTION("IFNA(QUERY(IMPORTRANGE(""https://docs.google.com/spreadsheets/d/1EHL-jm_NiShR1a2JqKbpaJGazYH90DJO150spY6io4k/edit?gid=0#gid=0"", 
""Gen_Ledger!A:N""), 
""SELECT SUM(Col10) WHERE Col7 = ""&amp;B50&amp;"" AND Col1 &gt;= DATE '"" &amp; TEXT($C$2, ""YYYY-MM-DD"") &amp; ""' AND "&amp;"Col1 &lt;= DATE '"" &amp; TEXT($C$3, ""YYYY-MM-DD"") &amp; ""' LABEL SUM(Col10) ''"", 0), """")"),"#REF!")</f>
        <v>#REF!</v>
      </c>
      <c r="E50" s="13" t="str">
        <f>IFERROR(__xludf.DUMMYFUNCTION("IFNA(QUERY(IMPORTRANGE(""https://docs.google.com/spreadsheets/d/1EHL-jm_NiShR1a2JqKbpaJGazYH90DJO150spY6io4k/edit?gid=0#gid=0"", 
""Gen_Ledger!A:N""), 
""SELECT SUM(Col11) WHERE Col7 = ""&amp;B50&amp;"" AND Col1 &gt;= DATE '"" &amp; TEXT($C$2, ""YYYY-MM-DD"") &amp; ""' AND "&amp;"Col1 &lt;= DATE '"" &amp; TEXT($C$3, ""YYYY-MM-DD"") &amp; ""' LABEL SUM(Col11) ''"", 0), """")"),"#REF!")</f>
        <v>#REF!</v>
      </c>
      <c r="F50" s="13" t="str">
        <f t="shared" si="6"/>
        <v>#N/A</v>
      </c>
    </row>
    <row r="51" ht="15.75" customHeight="1">
      <c r="A51" s="1"/>
      <c r="B51" s="1"/>
      <c r="C51" s="2" t="str">
        <f>VLOOKUP(B51,Helper!$D$99:$F1000,3,FALSE)</f>
        <v>#N/A</v>
      </c>
      <c r="D51" s="13" t="str">
        <f>IFERROR(__xludf.DUMMYFUNCTION("IFNA(QUERY(IMPORTRANGE(""https://docs.google.com/spreadsheets/d/1EHL-jm_NiShR1a2JqKbpaJGazYH90DJO150spY6io4k/edit?gid=0#gid=0"", 
""Gen_Ledger!A:N""), 
""SELECT SUM(Col10) WHERE Col7 = ""&amp;B51&amp;"" AND Col1 &gt;= DATE '"" &amp; TEXT($C$2, ""YYYY-MM-DD"") &amp; ""' AND "&amp;"Col1 &lt;= DATE '"" &amp; TEXT($C$3, ""YYYY-MM-DD"") &amp; ""' LABEL SUM(Col10) ''"", 0), """")"),"#REF!")</f>
        <v>#REF!</v>
      </c>
      <c r="E51" s="13" t="str">
        <f>IFERROR(__xludf.DUMMYFUNCTION("IFNA(QUERY(IMPORTRANGE(""https://docs.google.com/spreadsheets/d/1EHL-jm_NiShR1a2JqKbpaJGazYH90DJO150spY6io4k/edit?gid=0#gid=0"", 
""Gen_Ledger!A:N""), 
""SELECT SUM(Col11) WHERE Col7 = ""&amp;B51&amp;"" AND Col1 &gt;= DATE '"" &amp; TEXT($C$2, ""YYYY-MM-DD"") &amp; ""' AND "&amp;"Col1 &lt;= DATE '"" &amp; TEXT($C$3, ""YYYY-MM-DD"") &amp; ""' LABEL SUM(Col11) ''"", 0), """")"),"#REF!")</f>
        <v>#REF!</v>
      </c>
      <c r="F51" s="13" t="str">
        <f t="shared" si="6"/>
        <v>#N/A</v>
      </c>
    </row>
    <row r="52" ht="15.75" customHeight="1">
      <c r="A52" s="1"/>
      <c r="B52" s="1"/>
      <c r="C52" s="2" t="str">
        <f>VLOOKUP(B52,Helper!$D$99:$F1000,3,FALSE)</f>
        <v>#N/A</v>
      </c>
      <c r="D52" s="13" t="str">
        <f>IFERROR(__xludf.DUMMYFUNCTION("IFNA(QUERY(IMPORTRANGE(""https://docs.google.com/spreadsheets/d/1EHL-jm_NiShR1a2JqKbpaJGazYH90DJO150spY6io4k/edit?gid=0#gid=0"", 
""Gen_Ledger!A:N""), 
""SELECT SUM(Col10) WHERE Col7 = ""&amp;B52&amp;"" AND Col1 &gt;= DATE '"" &amp; TEXT($C$2, ""YYYY-MM-DD"") &amp; ""' AND "&amp;"Col1 &lt;= DATE '"" &amp; TEXT($C$3, ""YYYY-MM-DD"") &amp; ""' LABEL SUM(Col10) ''"", 0), """")"),"#REF!")</f>
        <v>#REF!</v>
      </c>
      <c r="E52" s="13" t="str">
        <f>IFERROR(__xludf.DUMMYFUNCTION("IFNA(QUERY(IMPORTRANGE(""https://docs.google.com/spreadsheets/d/1EHL-jm_NiShR1a2JqKbpaJGazYH90DJO150spY6io4k/edit?gid=0#gid=0"", 
""Gen_Ledger!A:N""), 
""SELECT SUM(Col11) WHERE Col7 = ""&amp;B52&amp;"" AND Col1 &gt;= DATE '"" &amp; TEXT($C$2, ""YYYY-MM-DD"") &amp; ""' AND "&amp;"Col1 &lt;= DATE '"" &amp; TEXT($C$3, ""YYYY-MM-DD"") &amp; ""' LABEL SUM(Col11) ''"", 0), """")"),"#REF!")</f>
        <v>#REF!</v>
      </c>
      <c r="F52" s="13" t="str">
        <f t="shared" si="6"/>
        <v>#N/A</v>
      </c>
    </row>
    <row r="53" ht="15.75" customHeight="1">
      <c r="A53" s="1"/>
      <c r="B53" s="1"/>
      <c r="C53" s="2" t="str">
        <f>VLOOKUP(B53,Helper!$D$99:$F1000,3,FALSE)</f>
        <v>#N/A</v>
      </c>
      <c r="D53" s="13" t="str">
        <f>IFERROR(__xludf.DUMMYFUNCTION("IFNA(QUERY(IMPORTRANGE(""https://docs.google.com/spreadsheets/d/1EHL-jm_NiShR1a2JqKbpaJGazYH90DJO150spY6io4k/edit?gid=0#gid=0"", 
""Gen_Ledger!A:N""), 
""SELECT SUM(Col10) WHERE Col7 = ""&amp;B53&amp;"" AND Col1 &gt;= DATE '"" &amp; TEXT($C$2, ""YYYY-MM-DD"") &amp; ""' AND "&amp;"Col1 &lt;= DATE '"" &amp; TEXT($C$3, ""YYYY-MM-DD"") &amp; ""' LABEL SUM(Col10) ''"", 0), """")"),"#REF!")</f>
        <v>#REF!</v>
      </c>
      <c r="E53" s="13" t="str">
        <f>IFERROR(__xludf.DUMMYFUNCTION("IFNA(QUERY(IMPORTRANGE(""https://docs.google.com/spreadsheets/d/1EHL-jm_NiShR1a2JqKbpaJGazYH90DJO150spY6io4k/edit?gid=0#gid=0"", 
""Gen_Ledger!A:N""), 
""SELECT SUM(Col11) WHERE Col7 = ""&amp;B53&amp;"" AND Col1 &gt;= DATE '"" &amp; TEXT($C$2, ""YYYY-MM-DD"") &amp; ""' AND "&amp;"Col1 &lt;= DATE '"" &amp; TEXT($C$3, ""YYYY-MM-DD"") &amp; ""' LABEL SUM(Col11) ''"", 0), """")"),"#REF!")</f>
        <v>#REF!</v>
      </c>
      <c r="F53" s="13" t="str">
        <f t="shared" si="6"/>
        <v>#N/A</v>
      </c>
    </row>
    <row r="54" ht="15.75" customHeight="1">
      <c r="A54" s="1"/>
      <c r="B54" s="1"/>
      <c r="C54" s="2" t="str">
        <f>VLOOKUP(B54,Helper!$D$99:$F1000,3,FALSE)</f>
        <v>#N/A</v>
      </c>
      <c r="D54" s="13" t="str">
        <f>IFERROR(__xludf.DUMMYFUNCTION("IFNA(QUERY(IMPORTRANGE(""https://docs.google.com/spreadsheets/d/1EHL-jm_NiShR1a2JqKbpaJGazYH90DJO150spY6io4k/edit?gid=0#gid=0"", 
""Gen_Ledger!A:N""), 
""SELECT SUM(Col10) WHERE Col7 = ""&amp;B54&amp;"" AND Col1 &gt;= DATE '"" &amp; TEXT($C$2, ""YYYY-MM-DD"") &amp; ""' AND "&amp;"Col1 &lt;= DATE '"" &amp; TEXT($C$3, ""YYYY-MM-DD"") &amp; ""' LABEL SUM(Col10) ''"", 0), """")"),"#REF!")</f>
        <v>#REF!</v>
      </c>
      <c r="E54" s="13" t="str">
        <f>IFERROR(__xludf.DUMMYFUNCTION("IFNA(QUERY(IMPORTRANGE(""https://docs.google.com/spreadsheets/d/1EHL-jm_NiShR1a2JqKbpaJGazYH90DJO150spY6io4k/edit?gid=0#gid=0"", 
""Gen_Ledger!A:N""), 
""SELECT SUM(Col11) WHERE Col7 = ""&amp;B54&amp;"" AND Col1 &gt;= DATE '"" &amp; TEXT($C$2, ""YYYY-MM-DD"") &amp; ""' AND "&amp;"Col1 &lt;= DATE '"" &amp; TEXT($C$3, ""YYYY-MM-DD"") &amp; ""' LABEL SUM(Col11) ''"", 0), """")"),"#REF!")</f>
        <v>#REF!</v>
      </c>
      <c r="F54" s="13" t="str">
        <f t="shared" si="6"/>
        <v>#N/A</v>
      </c>
    </row>
    <row r="55" ht="15.75" customHeight="1">
      <c r="A55" s="1"/>
      <c r="B55" s="1"/>
      <c r="C55" s="2" t="str">
        <f>VLOOKUP(B55,Helper!$D$99:$F1000,3,FALSE)</f>
        <v>#N/A</v>
      </c>
      <c r="D55" s="13" t="str">
        <f>IFERROR(__xludf.DUMMYFUNCTION("IFNA(QUERY(IMPORTRANGE(""https://docs.google.com/spreadsheets/d/1EHL-jm_NiShR1a2JqKbpaJGazYH90DJO150spY6io4k/edit?gid=0#gid=0"", 
""Gen_Ledger!A:N""), 
""SELECT SUM(Col10) WHERE Col7 = ""&amp;B55&amp;"" AND Col1 &gt;= DATE '"" &amp; TEXT($C$2, ""YYYY-MM-DD"") &amp; ""' AND "&amp;"Col1 &lt;= DATE '"" &amp; TEXT($C$3, ""YYYY-MM-DD"") &amp; ""' LABEL SUM(Col10) ''"", 0), """")"),"#REF!")</f>
        <v>#REF!</v>
      </c>
      <c r="E55" s="13" t="str">
        <f>IFERROR(__xludf.DUMMYFUNCTION("IFNA(QUERY(IMPORTRANGE(""https://docs.google.com/spreadsheets/d/1EHL-jm_NiShR1a2JqKbpaJGazYH90DJO150spY6io4k/edit?gid=0#gid=0"", 
""Gen_Ledger!A:N""), 
""SELECT SUM(Col11) WHERE Col7 = ""&amp;B55&amp;"" AND Col1 &gt;= DATE '"" &amp; TEXT($C$2, ""YYYY-MM-DD"") &amp; ""' AND "&amp;"Col1 &lt;= DATE '"" &amp; TEXT($C$3, ""YYYY-MM-DD"") &amp; ""' LABEL SUM(Col11) ''"", 0), """")"),"#REF!")</f>
        <v>#REF!</v>
      </c>
      <c r="F55" s="13" t="str">
        <f t="shared" si="6"/>
        <v>#N/A</v>
      </c>
    </row>
    <row r="56" ht="15.75" customHeight="1">
      <c r="A56" s="1"/>
      <c r="B56" s="1"/>
      <c r="C56" s="2" t="str">
        <f>VLOOKUP(B56,Helper!$D$99:$F1000,3,FALSE)</f>
        <v>#N/A</v>
      </c>
      <c r="D56" s="13" t="str">
        <f>IFERROR(__xludf.DUMMYFUNCTION("IFNA(QUERY(IMPORTRANGE(""https://docs.google.com/spreadsheets/d/1EHL-jm_NiShR1a2JqKbpaJGazYH90DJO150spY6io4k/edit?gid=0#gid=0"", 
""Gen_Ledger!A:N""), 
""SELECT SUM(Col10) WHERE Col7 = ""&amp;B56&amp;"" AND Col1 &gt;= DATE '"" &amp; TEXT($C$2, ""YYYY-MM-DD"") &amp; ""' AND "&amp;"Col1 &lt;= DATE '"" &amp; TEXT($C$3, ""YYYY-MM-DD"") &amp; ""' LABEL SUM(Col10) ''"", 0), """")"),"#REF!")</f>
        <v>#REF!</v>
      </c>
      <c r="E56" s="13" t="str">
        <f>IFERROR(__xludf.DUMMYFUNCTION("IFNA(QUERY(IMPORTRANGE(""https://docs.google.com/spreadsheets/d/1EHL-jm_NiShR1a2JqKbpaJGazYH90DJO150spY6io4k/edit?gid=0#gid=0"", 
""Gen_Ledger!A:N""), 
""SELECT SUM(Col11) WHERE Col7 = ""&amp;B56&amp;"" AND Col1 &gt;= DATE '"" &amp; TEXT($C$2, ""YYYY-MM-DD"") &amp; ""' AND "&amp;"Col1 &lt;= DATE '"" &amp; TEXT($C$3, ""YYYY-MM-DD"") &amp; ""' LABEL SUM(Col11) ''"", 0), """")"),"#REF!")</f>
        <v>#REF!</v>
      </c>
      <c r="F56" s="13" t="str">
        <f t="shared" si="6"/>
        <v>#N/A</v>
      </c>
    </row>
    <row r="57" ht="15.75" customHeight="1">
      <c r="A57" s="1"/>
      <c r="B57" s="1"/>
      <c r="C57" s="2" t="str">
        <f>VLOOKUP(B57,Helper!$D$99:$F1000,3,FALSE)</f>
        <v>#N/A</v>
      </c>
      <c r="D57" s="13" t="str">
        <f>IFERROR(__xludf.DUMMYFUNCTION("IFNA(QUERY(IMPORTRANGE(""https://docs.google.com/spreadsheets/d/1EHL-jm_NiShR1a2JqKbpaJGazYH90DJO150spY6io4k/edit?gid=0#gid=0"", 
""Gen_Ledger!A:N""), 
""SELECT SUM(Col10) WHERE Col7 = ""&amp;B57&amp;"" AND Col1 &gt;= DATE '"" &amp; TEXT($C$2, ""YYYY-MM-DD"") &amp; ""' AND "&amp;"Col1 &lt;= DATE '"" &amp; TEXT($C$3, ""YYYY-MM-DD"") &amp; ""' LABEL SUM(Col10) ''"", 0), """")"),"#REF!")</f>
        <v>#REF!</v>
      </c>
      <c r="E57" s="13" t="str">
        <f>IFERROR(__xludf.DUMMYFUNCTION("IFNA(QUERY(IMPORTRANGE(""https://docs.google.com/spreadsheets/d/1EHL-jm_NiShR1a2JqKbpaJGazYH90DJO150spY6io4k/edit?gid=0#gid=0"", 
""Gen_Ledger!A:N""), 
""SELECT SUM(Col11) WHERE Col7 = ""&amp;B57&amp;"" AND Col1 &gt;= DATE '"" &amp; TEXT($C$2, ""YYYY-MM-DD"") &amp; ""' AND "&amp;"Col1 &lt;= DATE '"" &amp; TEXT($C$3, ""YYYY-MM-DD"") &amp; ""' LABEL SUM(Col11) ''"", 0), """")"),"#REF!")</f>
        <v>#REF!</v>
      </c>
      <c r="F57" s="13" t="str">
        <f t="shared" si="6"/>
        <v>#N/A</v>
      </c>
    </row>
    <row r="58" ht="15.75" customHeight="1">
      <c r="A58" s="1"/>
      <c r="B58" s="1"/>
      <c r="C58" s="2" t="str">
        <f>VLOOKUP(B58,Helper!$D$99:$F1000,3,FALSE)</f>
        <v>#N/A</v>
      </c>
      <c r="D58" s="13" t="str">
        <f>IFERROR(__xludf.DUMMYFUNCTION("IFNA(QUERY(IMPORTRANGE(""https://docs.google.com/spreadsheets/d/1EHL-jm_NiShR1a2JqKbpaJGazYH90DJO150spY6io4k/edit?gid=0#gid=0"", 
""Gen_Ledger!A:N""), 
""SELECT SUM(Col10) WHERE Col7 = ""&amp;B58&amp;"" AND Col1 &gt;= DATE '"" &amp; TEXT($C$2, ""YYYY-MM-DD"") &amp; ""' AND "&amp;"Col1 &lt;= DATE '"" &amp; TEXT($C$3, ""YYYY-MM-DD"") &amp; ""' LABEL SUM(Col10) ''"", 0), """")"),"#REF!")</f>
        <v>#REF!</v>
      </c>
      <c r="E58" s="13" t="str">
        <f>IFERROR(__xludf.DUMMYFUNCTION("IFNA(QUERY(IMPORTRANGE(""https://docs.google.com/spreadsheets/d/1EHL-jm_NiShR1a2JqKbpaJGazYH90DJO150spY6io4k/edit?gid=0#gid=0"", 
""Gen_Ledger!A:N""), 
""SELECT SUM(Col11) WHERE Col7 = ""&amp;B58&amp;"" AND Col1 &gt;= DATE '"" &amp; TEXT($C$2, ""YYYY-MM-DD"") &amp; ""' AND "&amp;"Col1 &lt;= DATE '"" &amp; TEXT($C$3, ""YYYY-MM-DD"") &amp; ""' LABEL SUM(Col11) ''"", 0), """")"),"#REF!")</f>
        <v>#REF!</v>
      </c>
      <c r="F58" s="13" t="str">
        <f t="shared" si="6"/>
        <v>#N/A</v>
      </c>
    </row>
    <row r="59" ht="15.75" customHeight="1">
      <c r="A59" s="1"/>
      <c r="B59" s="1"/>
      <c r="C59" s="2" t="str">
        <f>VLOOKUP(B59,Helper!$D$99:$F1000,3,FALSE)</f>
        <v>#N/A</v>
      </c>
      <c r="D59" s="13" t="str">
        <f>IFERROR(__xludf.DUMMYFUNCTION("IFNA(QUERY(IMPORTRANGE(""https://docs.google.com/spreadsheets/d/1EHL-jm_NiShR1a2JqKbpaJGazYH90DJO150spY6io4k/edit?gid=0#gid=0"", 
""Gen_Ledger!A:N""), 
""SELECT SUM(Col10) WHERE Col7 = ""&amp;B59&amp;"" AND Col1 &gt;= DATE '"" &amp; TEXT($C$2, ""YYYY-MM-DD"") &amp; ""' AND "&amp;"Col1 &lt;= DATE '"" &amp; TEXT($C$3, ""YYYY-MM-DD"") &amp; ""' LABEL SUM(Col10) ''"", 0), """")"),"#REF!")</f>
        <v>#REF!</v>
      </c>
      <c r="E59" s="13" t="str">
        <f>IFERROR(__xludf.DUMMYFUNCTION("IFNA(QUERY(IMPORTRANGE(""https://docs.google.com/spreadsheets/d/1EHL-jm_NiShR1a2JqKbpaJGazYH90DJO150spY6io4k/edit?gid=0#gid=0"", 
""Gen_Ledger!A:N""), 
""SELECT SUM(Col11) WHERE Col7 = ""&amp;B59&amp;"" AND Col1 &gt;= DATE '"" &amp; TEXT($C$2, ""YYYY-MM-DD"") &amp; ""' AND "&amp;"Col1 &lt;= DATE '"" &amp; TEXT($C$3, ""YYYY-MM-DD"") &amp; ""' LABEL SUM(Col11) ''"", 0), """")"),"#REF!")</f>
        <v>#REF!</v>
      </c>
      <c r="F59" s="13" t="str">
        <f t="shared" si="6"/>
        <v>#N/A</v>
      </c>
    </row>
    <row r="60" ht="15.75" customHeight="1">
      <c r="A60" s="1"/>
      <c r="B60" s="1"/>
      <c r="C60" s="2" t="str">
        <f>VLOOKUP(B60,Helper!$D$99:$F1000,3,FALSE)</f>
        <v>#N/A</v>
      </c>
      <c r="D60" s="13" t="str">
        <f>IFERROR(__xludf.DUMMYFUNCTION("IFNA(QUERY(IMPORTRANGE(""https://docs.google.com/spreadsheets/d/1EHL-jm_NiShR1a2JqKbpaJGazYH90DJO150spY6io4k/edit?gid=0#gid=0"", 
""Gen_Ledger!A:N""), 
""SELECT SUM(Col10) WHERE Col7 = ""&amp;B60&amp;"" AND Col1 &gt;= DATE '"" &amp; TEXT($C$2, ""YYYY-MM-DD"") &amp; ""' AND "&amp;"Col1 &lt;= DATE '"" &amp; TEXT($C$3, ""YYYY-MM-DD"") &amp; ""' LABEL SUM(Col10) ''"", 0), """")"),"#REF!")</f>
        <v>#REF!</v>
      </c>
      <c r="E60" s="13" t="str">
        <f>IFERROR(__xludf.DUMMYFUNCTION("IFNA(QUERY(IMPORTRANGE(""https://docs.google.com/spreadsheets/d/1EHL-jm_NiShR1a2JqKbpaJGazYH90DJO150spY6io4k/edit?gid=0#gid=0"", 
""Gen_Ledger!A:N""), 
""SELECT SUM(Col11) WHERE Col7 = ""&amp;B60&amp;"" AND Col1 &gt;= DATE '"" &amp; TEXT($C$2, ""YYYY-MM-DD"") &amp; ""' AND "&amp;"Col1 &lt;= DATE '"" &amp; TEXT($C$3, ""YYYY-MM-DD"") &amp; ""' LABEL SUM(Col11) ''"", 0), """")"),"#REF!")</f>
        <v>#REF!</v>
      </c>
      <c r="F60" s="13" t="str">
        <f t="shared" si="6"/>
        <v>#N/A</v>
      </c>
    </row>
    <row r="61" ht="15.75" customHeight="1">
      <c r="A61" s="1"/>
      <c r="B61" s="1"/>
      <c r="C61" s="2" t="str">
        <f>VLOOKUP(B61,Helper!$D$99:$F1000,3,FALSE)</f>
        <v>#N/A</v>
      </c>
      <c r="D61" s="13" t="str">
        <f>IFERROR(__xludf.DUMMYFUNCTION("IFNA(QUERY(IMPORTRANGE(""https://docs.google.com/spreadsheets/d/1EHL-jm_NiShR1a2JqKbpaJGazYH90DJO150spY6io4k/edit?gid=0#gid=0"", 
""Gen_Ledger!A:N""), 
""SELECT SUM(Col10) WHERE Col7 = ""&amp;B61&amp;"" AND Col1 &gt;= DATE '"" &amp; TEXT($C$2, ""YYYY-MM-DD"") &amp; ""' AND "&amp;"Col1 &lt;= DATE '"" &amp; TEXT($C$3, ""YYYY-MM-DD"") &amp; ""' LABEL SUM(Col10) ''"", 0), """")"),"#REF!")</f>
        <v>#REF!</v>
      </c>
      <c r="E61" s="13" t="str">
        <f>IFERROR(__xludf.DUMMYFUNCTION("IFNA(QUERY(IMPORTRANGE(""https://docs.google.com/spreadsheets/d/1EHL-jm_NiShR1a2JqKbpaJGazYH90DJO150spY6io4k/edit?gid=0#gid=0"", 
""Gen_Ledger!A:N""), 
""SELECT SUM(Col11) WHERE Col7 = ""&amp;B61&amp;"" AND Col1 &gt;= DATE '"" &amp; TEXT($C$2, ""YYYY-MM-DD"") &amp; ""' AND "&amp;"Col1 &lt;= DATE '"" &amp; TEXT($C$3, ""YYYY-MM-DD"") &amp; ""' LABEL SUM(Col11) ''"", 0), """")"),"#REF!")</f>
        <v>#REF!</v>
      </c>
      <c r="F61" s="13" t="str">
        <f>E61</f>
        <v>#REF!</v>
      </c>
    </row>
    <row r="62" ht="15.75" customHeight="1">
      <c r="A62" s="1"/>
      <c r="B62" s="1"/>
      <c r="C62" s="2" t="str">
        <f>VLOOKUP(B62,Helper!$D$99:$F1000,3,FALSE)</f>
        <v>#N/A</v>
      </c>
      <c r="D62" s="13" t="str">
        <f>IFERROR(__xludf.DUMMYFUNCTION("IFNA(QUERY(IMPORTRANGE(""https://docs.google.com/spreadsheets/d/1EHL-jm_NiShR1a2JqKbpaJGazYH90DJO150spY6io4k/edit?gid=0#gid=0"", 
""Gen_Ledger!A:N""), 
""SELECT SUM(Col10) WHERE Col7 = ""&amp;B62&amp;"" AND Col1 &gt;= DATE '"" &amp; TEXT($C$2, ""YYYY-MM-DD"") &amp; ""' AND "&amp;"Col1 &lt;= DATE '"" &amp; TEXT($C$3, ""YYYY-MM-DD"") &amp; ""' LABEL SUM(Col10) ''"", 0), """")"),"#REF!")</f>
        <v>#REF!</v>
      </c>
      <c r="E62" s="13" t="str">
        <f>IFERROR(__xludf.DUMMYFUNCTION("IFNA(QUERY(IMPORTRANGE(""https://docs.google.com/spreadsheets/d/1EHL-jm_NiShR1a2JqKbpaJGazYH90DJO150spY6io4k/edit?gid=0#gid=0"", 
""Gen_Ledger!A:N""), 
""SELECT SUM(Col11) WHERE Col7 = ""&amp;B62&amp;"" AND Col1 &gt;= DATE '"" &amp; TEXT($C$2, ""YYYY-MM-DD"") &amp; ""' AND "&amp;"Col1 &lt;= DATE '"" &amp; TEXT($C$3, ""YYYY-MM-DD"") &amp; ""' LABEL SUM(Col11) ''"", 0), """")"),"#REF!")</f>
        <v>#REF!</v>
      </c>
      <c r="F62" s="13" t="str">
        <f t="shared" ref="F62:F63" si="7">C62+E62-D62</f>
        <v>#N/A</v>
      </c>
    </row>
    <row r="63" ht="15.75" customHeight="1">
      <c r="A63" s="1"/>
      <c r="B63" s="1"/>
      <c r="C63" s="2" t="str">
        <f>VLOOKUP(B63,Helper!$D$99:$F1000,3,FALSE)</f>
        <v>#N/A</v>
      </c>
      <c r="D63" s="13" t="str">
        <f>IFERROR(__xludf.DUMMYFUNCTION("IFNA(QUERY(IMPORTRANGE(""https://docs.google.com/spreadsheets/d/1EHL-jm_NiShR1a2JqKbpaJGazYH90DJO150spY6io4k/edit?gid=0#gid=0"", 
""Gen_Ledger!A:N""), 
""SELECT SUM(Col10) WHERE Col7 = ""&amp;B63&amp;"" AND Col1 &gt;= DATE '"" &amp; TEXT($C$2, ""YYYY-MM-DD"") &amp; ""' AND "&amp;"Col1 &lt;= DATE '"" &amp; TEXT($C$3, ""YYYY-MM-DD"") &amp; ""' LABEL SUM(Col10) ''"", 0), """")"),"#REF!")</f>
        <v>#REF!</v>
      </c>
      <c r="E63" s="13" t="str">
        <f>IFERROR(__xludf.DUMMYFUNCTION("IFNA(QUERY(IMPORTRANGE(""https://docs.google.com/spreadsheets/d/1EHL-jm_NiShR1a2JqKbpaJGazYH90DJO150spY6io4k/edit?gid=0#gid=0"", 
""Gen_Ledger!A:N""), 
""SELECT SUM(Col11) WHERE Col7 = ""&amp;B63&amp;"" AND Col1 &gt;= DATE '"" &amp; TEXT($C$2, ""YYYY-MM-DD"") &amp; ""' AND "&amp;"Col1 &lt;= DATE '"" &amp; TEXT($C$3, ""YYYY-MM-DD"") &amp; ""' LABEL SUM(Col11) ''"", 0), """")"),"#REF!")</f>
        <v>#REF!</v>
      </c>
      <c r="F63" s="13" t="str">
        <f t="shared" si="7"/>
        <v>#N/A</v>
      </c>
    </row>
    <row r="64" ht="15.75" customHeight="1">
      <c r="A64" s="3"/>
      <c r="B64" s="3"/>
    </row>
    <row r="65" ht="15.75" customHeight="1">
      <c r="A65" s="3"/>
      <c r="B65" s="3"/>
    </row>
    <row r="66" ht="15.75" customHeight="1">
      <c r="A66" s="3"/>
      <c r="B66" s="3"/>
    </row>
    <row r="67" ht="15.75" customHeight="1">
      <c r="A67" s="3"/>
      <c r="B67" s="3"/>
    </row>
    <row r="68" ht="15.75" customHeight="1">
      <c r="A68" s="3"/>
      <c r="B68" s="3"/>
    </row>
    <row r="69" ht="15.75" customHeight="1">
      <c r="A69" s="3"/>
      <c r="B69" s="3"/>
    </row>
    <row r="70" ht="15.75" customHeight="1">
      <c r="A70" s="3"/>
      <c r="B70" s="3"/>
    </row>
    <row r="71" ht="15.75" customHeight="1">
      <c r="A71" s="3"/>
      <c r="B71" s="3"/>
    </row>
    <row r="72" ht="15.75" customHeight="1">
      <c r="A72" s="3"/>
      <c r="B72" s="3"/>
    </row>
    <row r="73" ht="15.75" customHeight="1">
      <c r="A73" s="3"/>
      <c r="B73" s="3"/>
    </row>
    <row r="74" ht="15.75" customHeight="1">
      <c r="A74" s="3"/>
      <c r="B74" s="3"/>
    </row>
    <row r="75" ht="15.75" customHeight="1">
      <c r="A75" s="3"/>
      <c r="B75" s="3"/>
    </row>
    <row r="76" ht="15.75" customHeight="1">
      <c r="A76" s="3"/>
      <c r="B76" s="3"/>
    </row>
    <row r="77" ht="15.75" customHeight="1">
      <c r="A77" s="3"/>
      <c r="B77" s="3"/>
    </row>
    <row r="78" ht="15.75" customHeight="1">
      <c r="A78" s="3"/>
      <c r="B78" s="3"/>
    </row>
    <row r="79" ht="15.75" customHeight="1">
      <c r="A79" s="3"/>
      <c r="B79" s="3"/>
    </row>
    <row r="80" ht="15.75" customHeight="1">
      <c r="A80" s="3"/>
      <c r="B80" s="3"/>
    </row>
    <row r="81" ht="15.75" customHeight="1">
      <c r="A81" s="3"/>
      <c r="B81" s="3"/>
    </row>
    <row r="82" ht="15.75" customHeight="1">
      <c r="A82" s="3"/>
      <c r="B82" s="3"/>
    </row>
    <row r="83" ht="15.75" customHeight="1">
      <c r="A83" s="3"/>
      <c r="B83" s="3"/>
    </row>
    <row r="84" ht="15.75" customHeight="1">
      <c r="A84" s="3"/>
      <c r="B84" s="3"/>
    </row>
    <row r="85" ht="15.75" customHeight="1">
      <c r="A85" s="3"/>
      <c r="B85" s="3"/>
    </row>
    <row r="86" ht="15.75" customHeight="1">
      <c r="A86" s="3"/>
      <c r="B86" s="3"/>
    </row>
    <row r="87" ht="15.75" customHeight="1">
      <c r="A87" s="3"/>
      <c r="B87" s="3"/>
    </row>
    <row r="88" ht="15.75" customHeight="1">
      <c r="A88" s="3"/>
      <c r="B88" s="3"/>
    </row>
    <row r="89" ht="15.75" customHeight="1">
      <c r="A89" s="3"/>
      <c r="B89" s="3"/>
    </row>
    <row r="90" ht="15.75" customHeight="1">
      <c r="A90" s="3"/>
      <c r="B90" s="3"/>
    </row>
    <row r="91" ht="15.75" customHeight="1">
      <c r="A91" s="3"/>
      <c r="B91" s="3"/>
    </row>
    <row r="92" ht="15.75" customHeight="1">
      <c r="A92" s="3"/>
      <c r="B92" s="3"/>
    </row>
    <row r="93" ht="15.75" customHeight="1">
      <c r="A93" s="3"/>
      <c r="B93" s="3"/>
    </row>
    <row r="94" ht="15.75" customHeight="1">
      <c r="A94" s="3"/>
      <c r="B94" s="3"/>
    </row>
    <row r="95" ht="15.75" customHeight="1">
      <c r="A95" s="3"/>
      <c r="B95" s="3"/>
    </row>
    <row r="96" ht="15.75" customHeight="1">
      <c r="A96" s="3"/>
      <c r="B96" s="3"/>
    </row>
    <row r="97" ht="15.75" customHeight="1">
      <c r="A97" s="3"/>
      <c r="B97" s="3"/>
    </row>
    <row r="98" ht="15.75" customHeight="1">
      <c r="A98" s="3"/>
      <c r="B98" s="3"/>
    </row>
    <row r="99" ht="15.75" customHeight="1">
      <c r="A99" s="3"/>
      <c r="B99" s="3"/>
    </row>
    <row r="100" ht="15.75" customHeight="1">
      <c r="A100" s="3"/>
      <c r="B100" s="3"/>
    </row>
    <row r="101" ht="15.75" customHeight="1">
      <c r="A101" s="3"/>
      <c r="B101" s="3"/>
    </row>
    <row r="102" ht="15.75" customHeight="1">
      <c r="A102" s="3"/>
      <c r="B102" s="3"/>
    </row>
    <row r="103" ht="15.75" customHeight="1">
      <c r="A103" s="3"/>
      <c r="B103" s="3"/>
    </row>
    <row r="104" ht="15.75" customHeight="1">
      <c r="A104" s="3"/>
      <c r="B104" s="3"/>
    </row>
    <row r="105" ht="15.75" customHeight="1">
      <c r="A105" s="3"/>
      <c r="B105" s="3"/>
    </row>
    <row r="106" ht="15.75" customHeight="1">
      <c r="A106" s="3"/>
      <c r="B106" s="3"/>
    </row>
    <row r="107" ht="15.75" customHeight="1">
      <c r="A107" s="3"/>
      <c r="B107" s="3"/>
    </row>
    <row r="108" ht="15.75" customHeight="1">
      <c r="A108" s="3"/>
      <c r="B108" s="3"/>
    </row>
    <row r="109" ht="15.75" customHeight="1">
      <c r="A109" s="3"/>
      <c r="B109" s="3"/>
    </row>
    <row r="110" ht="15.75" customHeight="1">
      <c r="A110" s="3"/>
      <c r="B110" s="3"/>
    </row>
    <row r="111" ht="15.75" customHeight="1">
      <c r="A111" s="3"/>
      <c r="B111" s="3"/>
    </row>
    <row r="112" ht="15.75" customHeight="1">
      <c r="A112" s="3"/>
      <c r="B112" s="3"/>
    </row>
    <row r="113" ht="15.75" customHeight="1">
      <c r="A113" s="3"/>
      <c r="B113" s="3"/>
    </row>
    <row r="114" ht="15.75" customHeight="1">
      <c r="A114" s="3"/>
      <c r="B114" s="3"/>
    </row>
    <row r="115" ht="15.75" customHeight="1">
      <c r="A115" s="3"/>
      <c r="B115" s="3"/>
    </row>
    <row r="116" ht="15.75" customHeight="1">
      <c r="A116" s="3"/>
      <c r="B116" s="3"/>
    </row>
    <row r="117" ht="15.75" customHeight="1">
      <c r="A117" s="3"/>
      <c r="B117" s="3"/>
    </row>
    <row r="118" ht="15.75" customHeight="1">
      <c r="A118" s="3"/>
      <c r="B118" s="3"/>
    </row>
    <row r="119" ht="15.75" customHeight="1">
      <c r="A119" s="3"/>
      <c r="B119" s="3"/>
    </row>
    <row r="120" ht="15.75" customHeight="1">
      <c r="A120" s="3"/>
      <c r="B120" s="3"/>
    </row>
    <row r="121" ht="15.75" customHeight="1">
      <c r="A121" s="3"/>
      <c r="B121" s="3"/>
    </row>
    <row r="122" ht="15.75" customHeight="1">
      <c r="A122" s="3"/>
      <c r="B122" s="3"/>
    </row>
    <row r="123" ht="15.75" customHeight="1">
      <c r="A123" s="3"/>
      <c r="B123" s="3"/>
    </row>
    <row r="124" ht="15.75" customHeight="1">
      <c r="A124" s="3"/>
      <c r="B124" s="3"/>
    </row>
    <row r="125" ht="15.75" customHeight="1">
      <c r="A125" s="3"/>
      <c r="B125" s="3"/>
    </row>
    <row r="126" ht="15.75" customHeight="1">
      <c r="A126" s="3"/>
      <c r="B126" s="3"/>
    </row>
    <row r="127" ht="15.75" customHeight="1">
      <c r="A127" s="3"/>
      <c r="B127" s="3"/>
    </row>
    <row r="128" ht="15.75" customHeight="1">
      <c r="A128" s="3"/>
      <c r="B128" s="3"/>
    </row>
    <row r="129" ht="15.75" customHeight="1">
      <c r="A129" s="3"/>
      <c r="B129" s="3"/>
    </row>
    <row r="130" ht="15.75" customHeight="1">
      <c r="A130" s="3"/>
      <c r="B130" s="3"/>
    </row>
    <row r="131" ht="15.75" customHeight="1">
      <c r="A131" s="3"/>
      <c r="B131" s="3"/>
    </row>
    <row r="132" ht="15.75" customHeight="1">
      <c r="A132" s="3"/>
      <c r="B132" s="3"/>
    </row>
    <row r="133" ht="15.75" customHeight="1">
      <c r="A133" s="3"/>
      <c r="B133" s="3"/>
    </row>
    <row r="134" ht="15.75" customHeight="1">
      <c r="A134" s="3"/>
      <c r="B134" s="3"/>
    </row>
    <row r="135" ht="15.75" customHeight="1">
      <c r="A135" s="3"/>
      <c r="B135" s="3"/>
    </row>
    <row r="136" ht="15.75" customHeight="1">
      <c r="A136" s="3"/>
      <c r="B136" s="3"/>
    </row>
    <row r="137" ht="15.75" customHeight="1">
      <c r="A137" s="3"/>
      <c r="B137" s="3"/>
    </row>
    <row r="138" ht="15.75" customHeight="1">
      <c r="A138" s="3"/>
      <c r="B138" s="3"/>
    </row>
    <row r="139" ht="15.75" customHeight="1">
      <c r="A139" s="3"/>
      <c r="B139" s="3"/>
    </row>
    <row r="140" ht="15.75" customHeight="1">
      <c r="A140" s="3"/>
      <c r="B140" s="3"/>
    </row>
    <row r="141" ht="15.75" customHeight="1">
      <c r="A141" s="3"/>
      <c r="B141" s="3"/>
    </row>
    <row r="142" ht="15.75" customHeight="1">
      <c r="A142" s="3"/>
      <c r="B142" s="3"/>
    </row>
    <row r="143" ht="15.75" customHeight="1">
      <c r="A143" s="3"/>
      <c r="B143" s="3"/>
    </row>
    <row r="144" ht="15.75" customHeight="1">
      <c r="A144" s="3"/>
      <c r="B144" s="3"/>
    </row>
    <row r="145" ht="15.75" customHeight="1">
      <c r="A145" s="3"/>
      <c r="B145" s="3"/>
    </row>
    <row r="146" ht="15.75" customHeight="1">
      <c r="A146" s="3"/>
      <c r="B146" s="3"/>
    </row>
    <row r="147" ht="15.75" customHeight="1">
      <c r="A147" s="3"/>
      <c r="B147" s="3"/>
    </row>
    <row r="148" ht="15.75" customHeight="1">
      <c r="A148" s="3"/>
      <c r="B148" s="3"/>
    </row>
    <row r="149" ht="15.75" customHeight="1">
      <c r="A149" s="3"/>
      <c r="B149" s="3"/>
    </row>
    <row r="150" ht="15.75" customHeight="1">
      <c r="A150" s="3"/>
      <c r="B150" s="3"/>
    </row>
    <row r="151" ht="15.75" customHeight="1">
      <c r="A151" s="3"/>
      <c r="B151" s="3"/>
    </row>
    <row r="152" ht="15.75" customHeight="1">
      <c r="A152" s="3"/>
      <c r="B152" s="3"/>
    </row>
    <row r="153" ht="15.75" customHeight="1">
      <c r="A153" s="3"/>
      <c r="B153" s="3"/>
    </row>
    <row r="154" ht="15.75" customHeight="1">
      <c r="A154" s="3"/>
      <c r="B154" s="3"/>
    </row>
    <row r="155" ht="15.75" customHeight="1">
      <c r="A155" s="3"/>
      <c r="B155" s="3"/>
    </row>
    <row r="156" ht="15.75" customHeight="1">
      <c r="A156" s="3"/>
      <c r="B156" s="3"/>
    </row>
    <row r="157" ht="15.75" customHeight="1">
      <c r="A157" s="3"/>
      <c r="B157" s="3"/>
    </row>
    <row r="158" ht="15.75" customHeight="1">
      <c r="A158" s="3"/>
      <c r="B158" s="3"/>
    </row>
    <row r="159" ht="15.75" customHeight="1">
      <c r="A159" s="3"/>
      <c r="B159" s="3"/>
    </row>
    <row r="160" ht="15.75" customHeight="1">
      <c r="A160" s="3"/>
      <c r="B160" s="3"/>
    </row>
    <row r="161" ht="15.75" customHeight="1">
      <c r="A161" s="3"/>
      <c r="B161" s="3"/>
    </row>
    <row r="162" ht="15.75" customHeight="1">
      <c r="A162" s="3"/>
      <c r="B162" s="3"/>
    </row>
    <row r="163" ht="15.75" customHeight="1">
      <c r="A163" s="3"/>
      <c r="B163" s="3"/>
    </row>
    <row r="164" ht="15.75" customHeight="1">
      <c r="A164" s="3"/>
      <c r="B164" s="3"/>
    </row>
    <row r="165" ht="15.75" customHeight="1">
      <c r="A165" s="3"/>
      <c r="B165" s="3"/>
    </row>
    <row r="166" ht="15.75" customHeight="1">
      <c r="A166" s="3"/>
      <c r="B166" s="3"/>
    </row>
    <row r="167" ht="15.75" customHeight="1">
      <c r="A167" s="3"/>
      <c r="B167" s="3"/>
    </row>
    <row r="168" ht="15.75" customHeight="1">
      <c r="A168" s="3"/>
      <c r="B168" s="3"/>
    </row>
    <row r="169" ht="15.75" customHeight="1">
      <c r="A169" s="3"/>
      <c r="B169" s="3"/>
    </row>
    <row r="170" ht="15.75" customHeight="1">
      <c r="A170" s="3"/>
      <c r="B170" s="3"/>
    </row>
    <row r="171" ht="15.75" customHeight="1">
      <c r="A171" s="3"/>
      <c r="B171" s="3"/>
    </row>
    <row r="172" ht="15.75" customHeight="1">
      <c r="A172" s="3"/>
      <c r="B172" s="3"/>
    </row>
    <row r="173" ht="15.75" customHeight="1">
      <c r="A173" s="3"/>
      <c r="B173" s="3"/>
    </row>
    <row r="174" ht="15.75" customHeight="1">
      <c r="A174" s="3"/>
      <c r="B174" s="3"/>
    </row>
    <row r="175" ht="15.75" customHeight="1">
      <c r="A175" s="3"/>
      <c r="B175" s="3"/>
    </row>
    <row r="176" ht="15.75" customHeight="1">
      <c r="A176" s="3"/>
      <c r="B176" s="3"/>
    </row>
    <row r="177" ht="15.75" customHeight="1">
      <c r="A177" s="3"/>
      <c r="B177" s="3"/>
    </row>
    <row r="178" ht="15.75" customHeight="1">
      <c r="A178" s="3"/>
      <c r="B178" s="3"/>
    </row>
    <row r="179" ht="15.75" customHeight="1">
      <c r="A179" s="3"/>
      <c r="B179" s="3"/>
    </row>
    <row r="180" ht="15.75" customHeight="1">
      <c r="A180" s="3"/>
      <c r="B180" s="3"/>
    </row>
    <row r="181" ht="15.75" customHeight="1">
      <c r="A181" s="3"/>
      <c r="B181" s="3"/>
    </row>
    <row r="182" ht="15.75" customHeight="1">
      <c r="A182" s="3"/>
      <c r="B182" s="3"/>
    </row>
    <row r="183" ht="15.75" customHeight="1">
      <c r="A183" s="3"/>
      <c r="B183" s="3"/>
    </row>
    <row r="184" ht="15.75" customHeight="1">
      <c r="A184" s="3"/>
      <c r="B184" s="3"/>
    </row>
    <row r="185" ht="15.75" customHeight="1">
      <c r="A185" s="3"/>
      <c r="B185" s="3"/>
    </row>
    <row r="186" ht="15.75" customHeight="1">
      <c r="A186" s="3"/>
      <c r="B186" s="3"/>
    </row>
    <row r="187" ht="15.75" customHeight="1">
      <c r="A187" s="3"/>
      <c r="B187" s="3"/>
    </row>
    <row r="188" ht="15.75" customHeight="1">
      <c r="A188" s="3"/>
      <c r="B188" s="3"/>
    </row>
    <row r="189" ht="15.75" customHeight="1">
      <c r="A189" s="3"/>
      <c r="B189" s="3"/>
    </row>
    <row r="190" ht="15.75" customHeight="1">
      <c r="A190" s="3"/>
      <c r="B190" s="3"/>
    </row>
    <row r="191" ht="15.75" customHeight="1">
      <c r="A191" s="3"/>
      <c r="B191" s="3"/>
    </row>
    <row r="192" ht="15.75" customHeight="1">
      <c r="A192" s="3"/>
      <c r="B192" s="3"/>
    </row>
    <row r="193" ht="15.75" customHeight="1">
      <c r="A193" s="3"/>
      <c r="B193" s="3"/>
    </row>
    <row r="194" ht="15.75" customHeight="1">
      <c r="A194" s="3"/>
      <c r="B194" s="3"/>
    </row>
    <row r="195" ht="15.75" customHeight="1">
      <c r="A195" s="3"/>
      <c r="B195" s="3"/>
    </row>
    <row r="196" ht="15.75" customHeight="1">
      <c r="A196" s="3"/>
      <c r="B196" s="3"/>
    </row>
    <row r="197" ht="15.75" customHeight="1">
      <c r="A197" s="3"/>
      <c r="B197" s="3"/>
    </row>
    <row r="198" ht="15.75" customHeight="1">
      <c r="A198" s="3"/>
      <c r="B198" s="3"/>
    </row>
    <row r="199" ht="15.75" customHeight="1">
      <c r="A199" s="3"/>
      <c r="B199" s="3"/>
    </row>
    <row r="200" ht="15.75" customHeight="1">
      <c r="A200" s="3"/>
      <c r="B200" s="3"/>
    </row>
    <row r="201" ht="15.75" customHeight="1">
      <c r="A201" s="3"/>
      <c r="B201" s="3"/>
    </row>
    <row r="202" ht="15.75" customHeight="1">
      <c r="A202" s="3"/>
      <c r="B202" s="3"/>
    </row>
    <row r="203" ht="15.75" customHeight="1">
      <c r="A203" s="3"/>
      <c r="B203" s="3"/>
    </row>
    <row r="204" ht="15.75" customHeight="1">
      <c r="A204" s="3"/>
      <c r="B204" s="3"/>
    </row>
    <row r="205" ht="15.75" customHeight="1">
      <c r="A205" s="3"/>
      <c r="B205" s="3"/>
    </row>
    <row r="206" ht="15.75" customHeight="1">
      <c r="A206" s="3"/>
      <c r="B206" s="3"/>
    </row>
    <row r="207" ht="15.75" customHeight="1">
      <c r="A207" s="3"/>
      <c r="B207" s="3"/>
    </row>
    <row r="208" ht="15.75" customHeight="1">
      <c r="A208" s="3"/>
      <c r="B208" s="3"/>
    </row>
    <row r="209" ht="15.75" customHeight="1">
      <c r="A209" s="3"/>
      <c r="B209" s="3"/>
    </row>
    <row r="210" ht="15.75" customHeight="1">
      <c r="A210" s="3"/>
      <c r="B210" s="3"/>
    </row>
    <row r="211" ht="15.75" customHeight="1">
      <c r="A211" s="3"/>
      <c r="B211" s="3"/>
    </row>
    <row r="212" ht="15.75" customHeight="1">
      <c r="A212" s="3"/>
      <c r="B212" s="3"/>
    </row>
    <row r="213" ht="15.75" customHeight="1">
      <c r="A213" s="3"/>
      <c r="B213" s="3"/>
    </row>
    <row r="214" ht="15.75" customHeight="1">
      <c r="A214" s="3"/>
      <c r="B214" s="3"/>
    </row>
    <row r="215" ht="15.75" customHeight="1">
      <c r="A215" s="3"/>
      <c r="B215" s="3"/>
    </row>
    <row r="216" ht="15.75" customHeight="1">
      <c r="A216" s="3"/>
      <c r="B216" s="3"/>
    </row>
    <row r="217" ht="15.75" customHeight="1">
      <c r="A217" s="3"/>
      <c r="B217" s="3"/>
    </row>
    <row r="218" ht="15.75" customHeight="1">
      <c r="A218" s="3"/>
      <c r="B218" s="3"/>
    </row>
    <row r="219" ht="15.75" customHeight="1">
      <c r="A219" s="3"/>
      <c r="B219" s="3"/>
    </row>
    <row r="220" ht="15.75" customHeight="1">
      <c r="A220" s="3"/>
      <c r="B220" s="3"/>
    </row>
    <row r="221" ht="15.75" customHeight="1">
      <c r="A221" s="3"/>
      <c r="B221" s="3"/>
    </row>
    <row r="222" ht="15.75" customHeight="1">
      <c r="A222" s="3"/>
      <c r="B222" s="3"/>
    </row>
    <row r="223" ht="15.75" customHeight="1">
      <c r="A223" s="3"/>
      <c r="B223" s="3"/>
    </row>
    <row r="224" ht="15.75" customHeight="1">
      <c r="A224" s="3"/>
      <c r="B224" s="3"/>
    </row>
    <row r="225" ht="15.75" customHeight="1">
      <c r="A225" s="3"/>
      <c r="B225" s="3"/>
    </row>
    <row r="226" ht="15.75" customHeight="1">
      <c r="A226" s="3"/>
      <c r="B226" s="3"/>
    </row>
    <row r="227" ht="15.75" customHeight="1">
      <c r="A227" s="3"/>
      <c r="B227" s="3"/>
    </row>
    <row r="228" ht="15.75" customHeight="1">
      <c r="A228" s="3"/>
      <c r="B228" s="3"/>
    </row>
    <row r="229" ht="15.75" customHeight="1">
      <c r="A229" s="3"/>
      <c r="B229" s="3"/>
    </row>
    <row r="230" ht="15.75" customHeight="1">
      <c r="A230" s="3"/>
      <c r="B230" s="3"/>
    </row>
    <row r="231" ht="15.75" customHeight="1">
      <c r="A231" s="3"/>
      <c r="B231" s="3"/>
    </row>
    <row r="232" ht="15.75" customHeight="1">
      <c r="A232" s="3"/>
      <c r="B232" s="3"/>
    </row>
    <row r="233" ht="15.75" customHeight="1">
      <c r="A233" s="3"/>
      <c r="B233" s="3"/>
    </row>
    <row r="234" ht="15.75" customHeight="1">
      <c r="A234" s="3"/>
      <c r="B234" s="3"/>
    </row>
    <row r="235" ht="15.75" customHeight="1">
      <c r="A235" s="3"/>
      <c r="B235" s="3"/>
    </row>
    <row r="236" ht="15.75" customHeight="1">
      <c r="A236" s="3"/>
      <c r="B236" s="3"/>
    </row>
    <row r="237" ht="15.75" customHeight="1">
      <c r="A237" s="3"/>
      <c r="B237" s="3"/>
    </row>
    <row r="238" ht="15.75" customHeight="1">
      <c r="A238" s="3"/>
      <c r="B238" s="3"/>
    </row>
    <row r="239" ht="15.75" customHeight="1">
      <c r="A239" s="3"/>
      <c r="B239" s="3"/>
    </row>
    <row r="240" ht="15.75" customHeight="1">
      <c r="A240" s="3"/>
      <c r="B240" s="3"/>
    </row>
    <row r="241" ht="15.75" customHeight="1">
      <c r="A241" s="3"/>
      <c r="B241" s="3"/>
    </row>
    <row r="242" ht="15.75" customHeight="1">
      <c r="A242" s="3"/>
      <c r="B242" s="3"/>
    </row>
    <row r="243" ht="15.75" customHeight="1">
      <c r="A243" s="3"/>
      <c r="B243" s="3"/>
    </row>
    <row r="244" ht="15.75" customHeight="1">
      <c r="A244" s="3"/>
      <c r="B244" s="3"/>
    </row>
    <row r="245" ht="15.75" customHeight="1">
      <c r="A245" s="3"/>
      <c r="B245" s="3"/>
    </row>
    <row r="246" ht="15.75" customHeight="1">
      <c r="A246" s="3"/>
      <c r="B246" s="3"/>
    </row>
    <row r="247" ht="15.75" customHeight="1">
      <c r="A247" s="3"/>
      <c r="B247" s="3"/>
    </row>
    <row r="248" ht="15.75" customHeight="1">
      <c r="A248" s="3"/>
      <c r="B248" s="3"/>
    </row>
    <row r="249" ht="15.75" customHeight="1">
      <c r="A249" s="3"/>
      <c r="B249" s="3"/>
    </row>
    <row r="250" ht="15.75" customHeight="1">
      <c r="A250" s="3"/>
      <c r="B250" s="3"/>
    </row>
    <row r="251" ht="15.75" customHeight="1">
      <c r="A251" s="3"/>
      <c r="B251" s="3"/>
    </row>
    <row r="252" ht="15.75" customHeight="1">
      <c r="A252" s="3"/>
      <c r="B252" s="3"/>
    </row>
    <row r="253" ht="15.75" customHeight="1">
      <c r="A253" s="3"/>
      <c r="B253" s="3"/>
    </row>
    <row r="254" ht="15.75" customHeight="1">
      <c r="A254" s="3"/>
      <c r="B254" s="3"/>
    </row>
    <row r="255" ht="15.75" customHeight="1">
      <c r="A255" s="3"/>
      <c r="B255" s="3"/>
    </row>
    <row r="256" ht="15.75" customHeight="1">
      <c r="A256" s="3"/>
      <c r="B256" s="3"/>
    </row>
    <row r="257" ht="15.75" customHeight="1">
      <c r="A257" s="3"/>
      <c r="B257" s="3"/>
    </row>
    <row r="258" ht="15.75" customHeight="1">
      <c r="A258" s="3"/>
      <c r="B258" s="3"/>
    </row>
    <row r="259" ht="15.75" customHeight="1">
      <c r="A259" s="3"/>
      <c r="B259" s="3"/>
    </row>
    <row r="260" ht="15.75" customHeight="1">
      <c r="A260" s="3"/>
      <c r="B260" s="3"/>
    </row>
    <row r="261" ht="15.75" customHeight="1">
      <c r="A261" s="3"/>
      <c r="B261" s="3"/>
    </row>
    <row r="262" ht="15.75" customHeight="1">
      <c r="A262" s="3"/>
      <c r="B262" s="3"/>
    </row>
    <row r="263" ht="15.75" customHeight="1">
      <c r="A263" s="3"/>
      <c r="B263" s="3"/>
    </row>
    <row r="264" ht="15.75" customHeight="1">
      <c r="A264" s="14"/>
      <c r="B264" s="14"/>
    </row>
    <row r="265" ht="15.75" customHeight="1">
      <c r="A265" s="14"/>
      <c r="B265" s="14"/>
    </row>
    <row r="266" ht="15.75" customHeight="1">
      <c r="A266" s="14"/>
      <c r="B266" s="14"/>
    </row>
    <row r="267" ht="15.75" customHeight="1">
      <c r="A267" s="14"/>
      <c r="B267" s="14"/>
    </row>
    <row r="268" ht="15.75" customHeight="1">
      <c r="A268" s="14"/>
      <c r="B268" s="14"/>
    </row>
    <row r="269" ht="15.75" customHeight="1">
      <c r="A269" s="14"/>
      <c r="B269" s="14"/>
    </row>
    <row r="270" ht="15.75" customHeight="1">
      <c r="A270" s="14"/>
      <c r="B270" s="14"/>
    </row>
    <row r="271" ht="15.75" customHeight="1">
      <c r="A271" s="14"/>
      <c r="B271" s="14"/>
    </row>
    <row r="272" ht="15.75" customHeight="1">
      <c r="A272" s="14"/>
      <c r="B272" s="14"/>
    </row>
    <row r="273" ht="15.75" customHeight="1">
      <c r="A273" s="14"/>
      <c r="B273" s="14"/>
    </row>
    <row r="274" ht="15.75" customHeight="1">
      <c r="A274" s="14"/>
      <c r="B274" s="14"/>
    </row>
    <row r="275" ht="15.75" customHeight="1">
      <c r="A275" s="14"/>
      <c r="B275" s="14"/>
    </row>
    <row r="276" ht="15.75" customHeight="1">
      <c r="A276" s="14"/>
      <c r="B276" s="14"/>
    </row>
    <row r="277" ht="15.75" customHeight="1">
      <c r="A277" s="14"/>
      <c r="B277" s="14"/>
    </row>
    <row r="278" ht="15.75" customHeight="1">
      <c r="A278" s="14"/>
      <c r="B278" s="14"/>
    </row>
    <row r="279" ht="15.75" customHeight="1">
      <c r="A279" s="14"/>
      <c r="B279" s="14"/>
    </row>
    <row r="280" ht="15.75" customHeight="1">
      <c r="A280" s="14"/>
      <c r="B280" s="14"/>
    </row>
    <row r="281" ht="15.75" customHeight="1">
      <c r="A281" s="14"/>
      <c r="B281" s="14"/>
    </row>
    <row r="282" ht="15.75" customHeight="1">
      <c r="A282" s="14"/>
      <c r="B282" s="14"/>
    </row>
    <row r="283" ht="15.75" customHeight="1">
      <c r="A283" s="14"/>
      <c r="B283" s="14"/>
    </row>
    <row r="284" ht="15.75" customHeight="1">
      <c r="A284" s="14"/>
      <c r="B284" s="14"/>
    </row>
    <row r="285" ht="15.75" customHeight="1">
      <c r="A285" s="14"/>
      <c r="B285" s="14"/>
    </row>
    <row r="286" ht="15.75" customHeight="1">
      <c r="A286" s="14"/>
      <c r="B286" s="14"/>
    </row>
    <row r="287" ht="15.75" customHeight="1">
      <c r="A287" s="14"/>
      <c r="B287" s="14"/>
    </row>
    <row r="288" ht="15.75" customHeight="1">
      <c r="A288" s="14"/>
      <c r="B288" s="14"/>
    </row>
    <row r="289" ht="15.75" customHeight="1">
      <c r="A289" s="14"/>
      <c r="B289" s="14"/>
    </row>
    <row r="290" ht="15.75" customHeight="1">
      <c r="A290" s="14"/>
      <c r="B290" s="14"/>
    </row>
    <row r="291" ht="15.75" customHeight="1">
      <c r="A291" s="14"/>
      <c r="B291" s="14"/>
    </row>
    <row r="292" ht="15.75" customHeight="1">
      <c r="A292" s="14"/>
      <c r="B292" s="14"/>
    </row>
    <row r="293" ht="15.75" customHeight="1">
      <c r="A293" s="14"/>
      <c r="B293" s="14"/>
    </row>
    <row r="294" ht="15.75" customHeight="1">
      <c r="A294" s="14"/>
      <c r="B294" s="14"/>
    </row>
    <row r="295" ht="15.75" customHeight="1">
      <c r="A295" s="14"/>
      <c r="B295" s="14"/>
    </row>
    <row r="296" ht="15.75" customHeight="1">
      <c r="A296" s="14"/>
      <c r="B296" s="14"/>
    </row>
    <row r="297" ht="15.75" customHeight="1">
      <c r="A297" s="14"/>
      <c r="B297" s="14"/>
    </row>
    <row r="298" ht="15.75" customHeight="1">
      <c r="A298" s="14"/>
      <c r="B298" s="14"/>
    </row>
    <row r="299" ht="15.75" customHeight="1">
      <c r="A299" s="14"/>
      <c r="B299" s="14"/>
    </row>
    <row r="300" ht="15.75" customHeight="1">
      <c r="A300" s="14"/>
      <c r="B300" s="14"/>
    </row>
    <row r="301" ht="15.75" customHeight="1">
      <c r="A301" s="14"/>
      <c r="B301" s="14"/>
    </row>
    <row r="302" ht="15.75" customHeight="1">
      <c r="A302" s="14"/>
      <c r="B302" s="14"/>
    </row>
    <row r="303" ht="15.75" customHeight="1">
      <c r="A303" s="14"/>
      <c r="B303" s="14"/>
    </row>
    <row r="304" ht="15.75" customHeight="1">
      <c r="A304" s="14"/>
      <c r="B304" s="14"/>
    </row>
    <row r="305" ht="15.75" customHeight="1">
      <c r="A305" s="14"/>
      <c r="B305" s="14"/>
    </row>
    <row r="306" ht="15.75" customHeight="1">
      <c r="A306" s="14"/>
      <c r="B306" s="14"/>
    </row>
    <row r="307" ht="15.75" customHeight="1">
      <c r="A307" s="14"/>
      <c r="B307" s="14"/>
    </row>
    <row r="308" ht="15.75" customHeight="1">
      <c r="A308" s="14"/>
      <c r="B308" s="14"/>
    </row>
    <row r="309" ht="15.75" customHeight="1">
      <c r="A309" s="14"/>
      <c r="B309" s="14"/>
    </row>
    <row r="310" ht="15.75" customHeight="1">
      <c r="A310" s="14"/>
      <c r="B310" s="14"/>
    </row>
    <row r="311" ht="15.75" customHeight="1">
      <c r="A311" s="14"/>
      <c r="B311" s="14"/>
    </row>
    <row r="312" ht="15.75" customHeight="1">
      <c r="A312" s="14"/>
      <c r="B312" s="14"/>
    </row>
    <row r="313" ht="15.75" customHeight="1">
      <c r="A313" s="14"/>
      <c r="B313" s="14"/>
    </row>
    <row r="314" ht="15.75" customHeight="1">
      <c r="A314" s="14"/>
      <c r="B314" s="14"/>
    </row>
    <row r="315" ht="15.75" customHeight="1">
      <c r="A315" s="14"/>
      <c r="B315" s="14"/>
    </row>
    <row r="316" ht="15.75" customHeight="1">
      <c r="A316" s="14"/>
      <c r="B316" s="14"/>
    </row>
    <row r="317" ht="15.75" customHeight="1">
      <c r="A317" s="14"/>
      <c r="B317" s="14"/>
    </row>
    <row r="318" ht="15.75" customHeight="1">
      <c r="A318" s="14"/>
      <c r="B318" s="14"/>
    </row>
    <row r="319" ht="15.75" customHeight="1">
      <c r="A319" s="14"/>
      <c r="B319" s="14"/>
    </row>
    <row r="320" ht="15.75" customHeight="1">
      <c r="A320" s="14"/>
      <c r="B320" s="14"/>
    </row>
    <row r="321" ht="15.75" customHeight="1">
      <c r="A321" s="14"/>
      <c r="B321" s="14"/>
    </row>
    <row r="322" ht="15.75" customHeight="1">
      <c r="A322" s="14"/>
      <c r="B322" s="14"/>
    </row>
    <row r="323" ht="15.75" customHeight="1">
      <c r="A323" s="14"/>
      <c r="B323" s="14"/>
    </row>
    <row r="324" ht="15.75" customHeight="1">
      <c r="A324" s="14"/>
      <c r="B324" s="14"/>
    </row>
    <row r="325" ht="15.75" customHeight="1">
      <c r="A325" s="14"/>
      <c r="B325" s="14"/>
    </row>
    <row r="326" ht="15.75" customHeight="1">
      <c r="A326" s="14"/>
      <c r="B326" s="14"/>
    </row>
    <row r="327" ht="15.75" customHeight="1">
      <c r="A327" s="14"/>
      <c r="B327" s="14"/>
    </row>
    <row r="328" ht="15.75" customHeight="1">
      <c r="A328" s="14"/>
      <c r="B328" s="14"/>
    </row>
    <row r="329" ht="15.75" customHeight="1">
      <c r="A329" s="14"/>
      <c r="B329" s="14"/>
    </row>
    <row r="330" ht="15.75" customHeight="1">
      <c r="A330" s="14"/>
      <c r="B330" s="14"/>
    </row>
    <row r="331" ht="15.75" customHeight="1">
      <c r="A331" s="14"/>
      <c r="B331" s="14"/>
    </row>
    <row r="332" ht="15.75" customHeight="1">
      <c r="A332" s="14"/>
      <c r="B332" s="14"/>
    </row>
    <row r="333" ht="15.75" customHeight="1">
      <c r="A333" s="14"/>
      <c r="B333" s="14"/>
    </row>
    <row r="334" ht="15.75" customHeight="1">
      <c r="A334" s="14"/>
      <c r="B334" s="14"/>
    </row>
    <row r="335" ht="15.75" customHeight="1">
      <c r="A335" s="14"/>
      <c r="B335" s="14"/>
    </row>
    <row r="336" ht="15.75" customHeight="1">
      <c r="A336" s="14"/>
      <c r="B336" s="14"/>
    </row>
    <row r="337" ht="15.75" customHeight="1">
      <c r="A337" s="14"/>
      <c r="B337" s="14"/>
    </row>
    <row r="338" ht="15.75" customHeight="1">
      <c r="A338" s="14"/>
      <c r="B338" s="14"/>
    </row>
    <row r="339" ht="15.75" customHeight="1">
      <c r="A339" s="14"/>
      <c r="B339" s="14"/>
    </row>
    <row r="340" ht="15.75" customHeight="1">
      <c r="A340" s="14"/>
      <c r="B340" s="14"/>
    </row>
    <row r="341" ht="15.75" customHeight="1">
      <c r="A341" s="14"/>
      <c r="B341" s="14"/>
    </row>
    <row r="342" ht="15.75" customHeight="1">
      <c r="A342" s="14"/>
      <c r="B342" s="14"/>
    </row>
    <row r="343" ht="15.75" customHeight="1">
      <c r="A343" s="14"/>
      <c r="B343" s="14"/>
    </row>
    <row r="344" ht="15.75" customHeight="1">
      <c r="A344" s="14"/>
      <c r="B344" s="14"/>
    </row>
    <row r="345" ht="15.75" customHeight="1">
      <c r="A345" s="14"/>
      <c r="B345" s="14"/>
    </row>
    <row r="346" ht="15.75" customHeight="1">
      <c r="A346" s="14"/>
      <c r="B346" s="14"/>
    </row>
    <row r="347" ht="15.75" customHeight="1">
      <c r="A347" s="14"/>
      <c r="B347" s="14"/>
    </row>
    <row r="348" ht="15.75" customHeight="1">
      <c r="A348" s="14"/>
      <c r="B348" s="14"/>
    </row>
    <row r="349" ht="15.75" customHeight="1">
      <c r="A349" s="14"/>
      <c r="B349" s="14"/>
    </row>
    <row r="350" ht="15.75" customHeight="1">
      <c r="A350" s="14"/>
      <c r="B350" s="14"/>
    </row>
    <row r="351" ht="15.75" customHeight="1">
      <c r="A351" s="14"/>
      <c r="B351" s="14"/>
    </row>
    <row r="352" ht="15.75" customHeight="1">
      <c r="A352" s="14"/>
      <c r="B352" s="14"/>
    </row>
    <row r="353" ht="15.75" customHeight="1">
      <c r="A353" s="14"/>
      <c r="B353" s="14"/>
    </row>
    <row r="354" ht="15.75" customHeight="1">
      <c r="A354" s="14"/>
      <c r="B354" s="14"/>
    </row>
    <row r="355" ht="15.75" customHeight="1">
      <c r="A355" s="14"/>
      <c r="B355" s="14"/>
    </row>
    <row r="356" ht="15.75" customHeight="1">
      <c r="A356" s="14"/>
      <c r="B356" s="14"/>
    </row>
    <row r="357" ht="15.75" customHeight="1">
      <c r="A357" s="14"/>
      <c r="B357" s="14"/>
    </row>
    <row r="358" ht="15.75" customHeight="1">
      <c r="A358" s="14"/>
      <c r="B358" s="14"/>
    </row>
    <row r="359" ht="15.75" customHeight="1">
      <c r="A359" s="14"/>
      <c r="B359" s="14"/>
    </row>
    <row r="360" ht="15.75" customHeight="1">
      <c r="A360" s="14"/>
      <c r="B360" s="14"/>
    </row>
    <row r="361" ht="15.75" customHeight="1">
      <c r="A361" s="14"/>
      <c r="B361" s="14"/>
    </row>
    <row r="362" ht="15.75" customHeight="1">
      <c r="A362" s="14"/>
      <c r="B362" s="14"/>
    </row>
    <row r="363" ht="15.75" customHeight="1">
      <c r="A363" s="14"/>
      <c r="B363" s="14"/>
    </row>
    <row r="364" ht="15.75" customHeight="1">
      <c r="A364" s="14"/>
      <c r="B364" s="14"/>
    </row>
    <row r="365" ht="15.75" customHeight="1">
      <c r="A365" s="14"/>
      <c r="B365" s="14"/>
    </row>
    <row r="366" ht="15.75" customHeight="1">
      <c r="A366" s="14"/>
      <c r="B366" s="14"/>
    </row>
    <row r="367" ht="15.75" customHeight="1">
      <c r="A367" s="14"/>
      <c r="B367" s="14"/>
    </row>
    <row r="368" ht="15.75" customHeight="1">
      <c r="A368" s="14"/>
      <c r="B368" s="14"/>
    </row>
    <row r="369" ht="15.75" customHeight="1">
      <c r="A369" s="14"/>
      <c r="B369" s="14"/>
    </row>
    <row r="370" ht="15.75" customHeight="1">
      <c r="A370" s="14"/>
      <c r="B370" s="14"/>
    </row>
    <row r="371" ht="15.75" customHeight="1">
      <c r="A371" s="14"/>
      <c r="B371" s="14"/>
    </row>
    <row r="372" ht="15.75" customHeight="1">
      <c r="A372" s="14"/>
      <c r="B372" s="14"/>
    </row>
    <row r="373" ht="15.75" customHeight="1">
      <c r="A373" s="14"/>
      <c r="B373" s="14"/>
    </row>
    <row r="374" ht="15.75" customHeight="1">
      <c r="A374" s="14"/>
      <c r="B374" s="14"/>
    </row>
    <row r="375" ht="15.75" customHeight="1">
      <c r="A375" s="14"/>
      <c r="B375" s="14"/>
    </row>
    <row r="376" ht="15.75" customHeight="1">
      <c r="A376" s="14"/>
      <c r="B376" s="14"/>
    </row>
    <row r="377" ht="15.75" customHeight="1">
      <c r="A377" s="14"/>
      <c r="B377" s="14"/>
    </row>
    <row r="378" ht="15.75" customHeight="1">
      <c r="A378" s="14"/>
      <c r="B378" s="14"/>
    </row>
    <row r="379" ht="15.75" customHeight="1">
      <c r="A379" s="14"/>
      <c r="B379" s="14"/>
    </row>
    <row r="380" ht="15.75" customHeight="1">
      <c r="A380" s="14"/>
      <c r="B380" s="14"/>
    </row>
    <row r="381" ht="15.75" customHeight="1">
      <c r="A381" s="14"/>
      <c r="B381" s="14"/>
    </row>
    <row r="382" ht="15.75" customHeight="1">
      <c r="A382" s="14"/>
      <c r="B382" s="14"/>
    </row>
    <row r="383" ht="15.75" customHeight="1">
      <c r="A383" s="14"/>
      <c r="B383" s="14"/>
    </row>
    <row r="384" ht="15.75" customHeight="1">
      <c r="A384" s="14"/>
      <c r="B384" s="14"/>
    </row>
    <row r="385" ht="15.75" customHeight="1">
      <c r="A385" s="14"/>
      <c r="B385" s="14"/>
    </row>
    <row r="386" ht="15.75" customHeight="1">
      <c r="A386" s="14"/>
      <c r="B386" s="14"/>
    </row>
    <row r="387" ht="15.75" customHeight="1">
      <c r="A387" s="14"/>
      <c r="B387" s="14"/>
    </row>
    <row r="388" ht="15.75" customHeight="1">
      <c r="A388" s="14"/>
      <c r="B388" s="14"/>
    </row>
    <row r="389" ht="15.75" customHeight="1">
      <c r="A389" s="14"/>
      <c r="B389" s="14"/>
    </row>
    <row r="390" ht="15.75" customHeight="1">
      <c r="A390" s="14"/>
      <c r="B390" s="14"/>
    </row>
    <row r="391" ht="15.75" customHeight="1">
      <c r="A391" s="14"/>
      <c r="B391" s="14"/>
    </row>
    <row r="392" ht="15.75" customHeight="1">
      <c r="A392" s="14"/>
      <c r="B392" s="14"/>
    </row>
    <row r="393" ht="15.75" customHeight="1">
      <c r="A393" s="14"/>
      <c r="B393" s="14"/>
    </row>
    <row r="394" ht="15.75" customHeight="1">
      <c r="A394" s="14"/>
      <c r="B394" s="14"/>
    </row>
    <row r="395" ht="15.75" customHeight="1">
      <c r="A395" s="14"/>
      <c r="B395" s="14"/>
    </row>
    <row r="396" ht="15.75" customHeight="1">
      <c r="A396" s="14"/>
      <c r="B396" s="14"/>
    </row>
    <row r="397" ht="15.75" customHeight="1">
      <c r="A397" s="14"/>
      <c r="B397" s="14"/>
    </row>
    <row r="398" ht="15.75" customHeight="1">
      <c r="A398" s="14"/>
      <c r="B398" s="14"/>
    </row>
    <row r="399" ht="15.75" customHeight="1">
      <c r="A399" s="14"/>
      <c r="B399" s="14"/>
    </row>
    <row r="400" ht="15.75" customHeight="1">
      <c r="A400" s="14"/>
      <c r="B400" s="14"/>
    </row>
    <row r="401" ht="15.75" customHeight="1">
      <c r="A401" s="14"/>
      <c r="B401" s="14"/>
    </row>
    <row r="402" ht="15.75" customHeight="1">
      <c r="A402" s="14"/>
      <c r="B402" s="14"/>
    </row>
    <row r="403" ht="15.75" customHeight="1">
      <c r="A403" s="14"/>
      <c r="B403" s="14"/>
    </row>
    <row r="404" ht="15.75" customHeight="1">
      <c r="A404" s="14"/>
      <c r="B404" s="14"/>
    </row>
    <row r="405" ht="15.75" customHeight="1">
      <c r="A405" s="14"/>
      <c r="B405" s="14"/>
    </row>
    <row r="406" ht="15.75" customHeight="1">
      <c r="A406" s="14"/>
      <c r="B406" s="14"/>
    </row>
    <row r="407" ht="15.75" customHeight="1">
      <c r="A407" s="14"/>
      <c r="B407" s="14"/>
    </row>
    <row r="408" ht="15.75" customHeight="1">
      <c r="A408" s="14"/>
      <c r="B408" s="14"/>
    </row>
    <row r="409" ht="15.75" customHeight="1">
      <c r="A409" s="14"/>
      <c r="B409" s="14"/>
    </row>
    <row r="410" ht="15.75" customHeight="1">
      <c r="A410" s="14"/>
      <c r="B410" s="14"/>
    </row>
    <row r="411" ht="15.75" customHeight="1">
      <c r="A411" s="14"/>
      <c r="B411" s="14"/>
    </row>
    <row r="412" ht="15.75" customHeight="1">
      <c r="A412" s="14"/>
      <c r="B412" s="14"/>
    </row>
    <row r="413" ht="15.75" customHeight="1">
      <c r="A413" s="14"/>
      <c r="B413" s="14"/>
    </row>
    <row r="414" ht="15.75" customHeight="1">
      <c r="A414" s="14"/>
      <c r="B414" s="14"/>
    </row>
    <row r="415" ht="15.75" customHeight="1">
      <c r="A415" s="14"/>
      <c r="B415" s="14"/>
    </row>
    <row r="416" ht="15.75" customHeight="1">
      <c r="A416" s="14"/>
      <c r="B416" s="14"/>
    </row>
    <row r="417" ht="15.75" customHeight="1">
      <c r="A417" s="14"/>
      <c r="B417" s="14"/>
    </row>
    <row r="418" ht="15.75" customHeight="1">
      <c r="A418" s="14"/>
      <c r="B418" s="14"/>
    </row>
    <row r="419" ht="15.75" customHeight="1">
      <c r="A419" s="14"/>
      <c r="B419" s="14"/>
    </row>
    <row r="420" ht="15.75" customHeight="1">
      <c r="A420" s="14"/>
      <c r="B420" s="14"/>
    </row>
    <row r="421" ht="15.75" customHeight="1">
      <c r="A421" s="14"/>
      <c r="B421" s="14"/>
    </row>
    <row r="422" ht="15.75" customHeight="1">
      <c r="A422" s="14"/>
      <c r="B422" s="14"/>
    </row>
    <row r="423" ht="15.75" customHeight="1">
      <c r="A423" s="14"/>
      <c r="B423" s="14"/>
    </row>
    <row r="424" ht="15.75" customHeight="1">
      <c r="A424" s="14"/>
      <c r="B424" s="14"/>
    </row>
    <row r="425" ht="15.75" customHeight="1">
      <c r="A425" s="14"/>
      <c r="B425" s="14"/>
    </row>
    <row r="426" ht="15.75" customHeight="1">
      <c r="A426" s="14"/>
      <c r="B426" s="14"/>
    </row>
    <row r="427" ht="15.75" customHeight="1">
      <c r="A427" s="14"/>
      <c r="B427" s="14"/>
    </row>
    <row r="428" ht="15.75" customHeight="1">
      <c r="A428" s="14"/>
      <c r="B428" s="14"/>
    </row>
    <row r="429" ht="15.75" customHeight="1">
      <c r="A429" s="14"/>
      <c r="B429" s="14"/>
    </row>
    <row r="430" ht="15.75" customHeight="1">
      <c r="A430" s="14"/>
      <c r="B430" s="14"/>
    </row>
    <row r="431" ht="15.75" customHeight="1">
      <c r="A431" s="14"/>
      <c r="B431" s="14"/>
    </row>
    <row r="432" ht="15.75" customHeight="1">
      <c r="A432" s="14"/>
      <c r="B432" s="14"/>
    </row>
    <row r="433" ht="15.75" customHeight="1">
      <c r="A433" s="14"/>
      <c r="B433" s="14"/>
    </row>
    <row r="434" ht="15.75" customHeight="1">
      <c r="A434" s="14"/>
      <c r="B434" s="14"/>
    </row>
    <row r="435" ht="15.75" customHeight="1">
      <c r="A435" s="14"/>
      <c r="B435" s="14"/>
    </row>
    <row r="436" ht="15.75" customHeight="1">
      <c r="A436" s="14"/>
      <c r="B436" s="14"/>
    </row>
    <row r="437" ht="15.75" customHeight="1">
      <c r="A437" s="14"/>
      <c r="B437" s="14"/>
    </row>
    <row r="438" ht="15.75" customHeight="1">
      <c r="A438" s="14"/>
      <c r="B438" s="14"/>
    </row>
    <row r="439" ht="15.75" customHeight="1">
      <c r="A439" s="14"/>
      <c r="B439" s="14"/>
    </row>
    <row r="440" ht="15.75" customHeight="1">
      <c r="A440" s="14"/>
      <c r="B440" s="14"/>
    </row>
    <row r="441" ht="15.75" customHeight="1">
      <c r="A441" s="14"/>
      <c r="B441" s="14"/>
    </row>
    <row r="442" ht="15.75" customHeight="1">
      <c r="A442" s="14"/>
      <c r="B442" s="14"/>
    </row>
    <row r="443" ht="15.75" customHeight="1">
      <c r="A443" s="14"/>
      <c r="B443" s="14"/>
    </row>
    <row r="444" ht="15.75" customHeight="1">
      <c r="A444" s="14"/>
      <c r="B444" s="14"/>
    </row>
    <row r="445" ht="15.75" customHeight="1">
      <c r="A445" s="14"/>
      <c r="B445" s="14"/>
    </row>
    <row r="446" ht="15.75" customHeight="1">
      <c r="A446" s="14"/>
      <c r="B446" s="14"/>
    </row>
    <row r="447" ht="15.75" customHeight="1">
      <c r="A447" s="14"/>
      <c r="B447" s="14"/>
    </row>
    <row r="448" ht="15.75" customHeight="1">
      <c r="A448" s="14"/>
      <c r="B448" s="14"/>
    </row>
    <row r="449" ht="15.75" customHeight="1">
      <c r="A449" s="14"/>
      <c r="B449" s="14"/>
    </row>
    <row r="450" ht="15.75" customHeight="1">
      <c r="A450" s="14"/>
      <c r="B450" s="14"/>
    </row>
    <row r="451" ht="15.75" customHeight="1">
      <c r="A451" s="14"/>
      <c r="B451" s="14"/>
    </row>
    <row r="452" ht="15.75" customHeight="1">
      <c r="A452" s="14"/>
      <c r="B452" s="14"/>
    </row>
    <row r="453" ht="15.75" customHeight="1">
      <c r="A453" s="14"/>
      <c r="B453" s="14"/>
    </row>
    <row r="454" ht="15.75" customHeight="1">
      <c r="A454" s="14"/>
      <c r="B454" s="14"/>
    </row>
    <row r="455" ht="15.75" customHeight="1">
      <c r="A455" s="14"/>
      <c r="B455" s="14"/>
    </row>
    <row r="456" ht="15.75" customHeight="1">
      <c r="A456" s="14"/>
      <c r="B456" s="14"/>
    </row>
    <row r="457" ht="15.75" customHeight="1">
      <c r="A457" s="14"/>
      <c r="B457" s="14"/>
    </row>
    <row r="458" ht="15.75" customHeight="1">
      <c r="A458" s="14"/>
      <c r="B458" s="14"/>
    </row>
    <row r="459" ht="15.75" customHeight="1">
      <c r="A459" s="14"/>
      <c r="B459" s="14"/>
    </row>
    <row r="460" ht="15.75" customHeight="1">
      <c r="A460" s="14"/>
      <c r="B460" s="14"/>
    </row>
    <row r="461" ht="15.75" customHeight="1">
      <c r="A461" s="14"/>
      <c r="B461" s="14"/>
    </row>
    <row r="462" ht="15.75" customHeight="1">
      <c r="A462" s="14"/>
      <c r="B462" s="14"/>
    </row>
    <row r="463" ht="15.75" customHeight="1">
      <c r="A463" s="14"/>
      <c r="B463" s="14"/>
    </row>
    <row r="464" ht="15.75" customHeight="1">
      <c r="A464" s="14"/>
      <c r="B464" s="14"/>
    </row>
    <row r="465" ht="15.75" customHeight="1">
      <c r="A465" s="14"/>
      <c r="B465" s="14"/>
    </row>
    <row r="466" ht="15.75" customHeight="1">
      <c r="A466" s="14"/>
      <c r="B466" s="14"/>
    </row>
    <row r="467" ht="15.75" customHeight="1">
      <c r="A467" s="14"/>
      <c r="B467" s="14"/>
    </row>
    <row r="468" ht="15.75" customHeight="1">
      <c r="A468" s="14"/>
      <c r="B468" s="14"/>
    </row>
    <row r="469" ht="15.75" customHeight="1">
      <c r="A469" s="14"/>
      <c r="B469" s="14"/>
    </row>
    <row r="470" ht="15.75" customHeight="1">
      <c r="A470" s="14"/>
      <c r="B470" s="14"/>
    </row>
    <row r="471" ht="15.75" customHeight="1">
      <c r="A471" s="14"/>
      <c r="B471" s="14"/>
    </row>
    <row r="472" ht="15.75" customHeight="1">
      <c r="A472" s="14"/>
      <c r="B472" s="14"/>
    </row>
    <row r="473" ht="15.75" customHeight="1">
      <c r="A473" s="14"/>
      <c r="B473" s="14"/>
    </row>
    <row r="474" ht="15.75" customHeight="1">
      <c r="A474" s="14"/>
      <c r="B474" s="14"/>
    </row>
    <row r="475" ht="15.75" customHeight="1">
      <c r="A475" s="14"/>
      <c r="B475" s="14"/>
    </row>
    <row r="476" ht="15.75" customHeight="1">
      <c r="A476" s="14"/>
      <c r="B476" s="14"/>
    </row>
    <row r="477" ht="15.75" customHeight="1">
      <c r="A477" s="14"/>
      <c r="B477" s="14"/>
    </row>
    <row r="478" ht="15.75" customHeight="1">
      <c r="A478" s="14"/>
      <c r="B478" s="14"/>
    </row>
    <row r="479" ht="15.75" customHeight="1">
      <c r="A479" s="14"/>
      <c r="B479" s="14"/>
    </row>
    <row r="480" ht="15.75" customHeight="1">
      <c r="A480" s="14"/>
      <c r="B480" s="14"/>
    </row>
    <row r="481" ht="15.75" customHeight="1">
      <c r="A481" s="14"/>
      <c r="B481" s="14"/>
    </row>
    <row r="482" ht="15.75" customHeight="1">
      <c r="A482" s="14"/>
      <c r="B482" s="14"/>
    </row>
    <row r="483" ht="15.75" customHeight="1">
      <c r="A483" s="14"/>
      <c r="B483" s="14"/>
    </row>
    <row r="484" ht="15.75" customHeight="1">
      <c r="A484" s="14"/>
      <c r="B484" s="14"/>
    </row>
    <row r="485" ht="15.75" customHeight="1">
      <c r="A485" s="14"/>
      <c r="B485" s="14"/>
    </row>
    <row r="486" ht="15.75" customHeight="1">
      <c r="A486" s="14"/>
      <c r="B486" s="14"/>
    </row>
    <row r="487" ht="15.75" customHeight="1">
      <c r="A487" s="14"/>
      <c r="B487" s="14"/>
    </row>
    <row r="488" ht="15.75" customHeight="1">
      <c r="A488" s="14"/>
      <c r="B488" s="14"/>
    </row>
    <row r="489" ht="15.75" customHeight="1">
      <c r="A489" s="14"/>
      <c r="B489" s="14"/>
    </row>
    <row r="490" ht="15.75" customHeight="1">
      <c r="A490" s="14"/>
      <c r="B490" s="14"/>
    </row>
    <row r="491" ht="15.75" customHeight="1">
      <c r="A491" s="14"/>
      <c r="B491" s="14"/>
    </row>
    <row r="492" ht="15.75" customHeight="1">
      <c r="A492" s="14"/>
      <c r="B492" s="14"/>
    </row>
    <row r="493" ht="15.75" customHeight="1">
      <c r="A493" s="14"/>
      <c r="B493" s="14"/>
    </row>
    <row r="494" ht="15.75" customHeight="1">
      <c r="A494" s="14"/>
      <c r="B494" s="14"/>
    </row>
    <row r="495" ht="15.75" customHeight="1">
      <c r="A495" s="14"/>
      <c r="B495" s="14"/>
    </row>
    <row r="496" ht="15.75" customHeight="1">
      <c r="A496" s="14"/>
      <c r="B496" s="14"/>
    </row>
    <row r="497" ht="15.75" customHeight="1">
      <c r="A497" s="14"/>
      <c r="B497" s="14"/>
    </row>
    <row r="498" ht="15.75" customHeight="1">
      <c r="A498" s="14"/>
      <c r="B498" s="14"/>
    </row>
    <row r="499" ht="15.75" customHeight="1">
      <c r="A499" s="14"/>
      <c r="B499" s="14"/>
    </row>
    <row r="500" ht="15.75" customHeight="1">
      <c r="A500" s="14"/>
      <c r="B500" s="14"/>
    </row>
    <row r="501" ht="15.75" customHeight="1">
      <c r="A501" s="14"/>
      <c r="B501" s="14"/>
    </row>
    <row r="502" ht="15.75" customHeight="1">
      <c r="A502" s="14"/>
      <c r="B502" s="14"/>
    </row>
    <row r="503" ht="15.75" customHeight="1">
      <c r="A503" s="14"/>
      <c r="B503" s="14"/>
    </row>
    <row r="504" ht="15.75" customHeight="1">
      <c r="A504" s="14"/>
      <c r="B504" s="14"/>
    </row>
    <row r="505" ht="15.75" customHeight="1">
      <c r="A505" s="14"/>
      <c r="B505" s="14"/>
    </row>
    <row r="506" ht="15.75" customHeight="1">
      <c r="A506" s="14"/>
      <c r="B506" s="14"/>
    </row>
    <row r="507" ht="15.75" customHeight="1">
      <c r="A507" s="14"/>
      <c r="B507" s="14"/>
    </row>
    <row r="508" ht="15.75" customHeight="1">
      <c r="A508" s="14"/>
      <c r="B508" s="14"/>
    </row>
    <row r="509" ht="15.75" customHeight="1">
      <c r="A509" s="14"/>
      <c r="B509" s="14"/>
    </row>
    <row r="510" ht="15.75" customHeight="1">
      <c r="A510" s="14"/>
      <c r="B510" s="14"/>
    </row>
    <row r="511" ht="15.75" customHeight="1">
      <c r="A511" s="14"/>
      <c r="B511" s="14"/>
    </row>
    <row r="512" ht="15.75" customHeight="1">
      <c r="A512" s="14"/>
      <c r="B512" s="14"/>
    </row>
    <row r="513" ht="15.75" customHeight="1">
      <c r="A513" s="14"/>
      <c r="B513" s="14"/>
    </row>
    <row r="514" ht="15.75" customHeight="1">
      <c r="A514" s="14"/>
      <c r="B514" s="14"/>
    </row>
    <row r="515" ht="15.75" customHeight="1">
      <c r="A515" s="14"/>
      <c r="B515" s="14"/>
    </row>
    <row r="516" ht="15.75" customHeight="1">
      <c r="A516" s="14"/>
      <c r="B516" s="14"/>
    </row>
    <row r="517" ht="15.75" customHeight="1">
      <c r="A517" s="14"/>
      <c r="B517" s="14"/>
    </row>
    <row r="518" ht="15.75" customHeight="1">
      <c r="A518" s="14"/>
      <c r="B518" s="14"/>
    </row>
    <row r="519" ht="15.75" customHeight="1">
      <c r="A519" s="14"/>
      <c r="B519" s="14"/>
    </row>
    <row r="520" ht="15.75" customHeight="1">
      <c r="A520" s="14"/>
      <c r="B520" s="14"/>
    </row>
    <row r="521" ht="15.75" customHeight="1">
      <c r="A521" s="14"/>
      <c r="B521" s="14"/>
    </row>
    <row r="522" ht="15.75" customHeight="1">
      <c r="A522" s="14"/>
      <c r="B522" s="14"/>
    </row>
    <row r="523" ht="15.75" customHeight="1">
      <c r="A523" s="14"/>
      <c r="B523" s="14"/>
    </row>
    <row r="524" ht="15.75" customHeight="1">
      <c r="A524" s="14"/>
      <c r="B524" s="14"/>
    </row>
    <row r="525" ht="15.75" customHeight="1">
      <c r="A525" s="14"/>
      <c r="B525" s="14"/>
    </row>
    <row r="526" ht="15.75" customHeight="1">
      <c r="A526" s="14"/>
      <c r="B526" s="14"/>
    </row>
    <row r="527" ht="15.75" customHeight="1">
      <c r="A527" s="14"/>
      <c r="B527" s="14"/>
    </row>
    <row r="528" ht="15.75" customHeight="1">
      <c r="A528" s="14"/>
      <c r="B528" s="14"/>
    </row>
    <row r="529" ht="15.75" customHeight="1">
      <c r="A529" s="14"/>
      <c r="B529" s="14"/>
    </row>
    <row r="530" ht="15.75" customHeight="1">
      <c r="A530" s="14"/>
      <c r="B530" s="14"/>
    </row>
    <row r="531" ht="15.75" customHeight="1">
      <c r="A531" s="14"/>
      <c r="B531" s="14"/>
    </row>
    <row r="532" ht="15.75" customHeight="1">
      <c r="A532" s="14"/>
      <c r="B532" s="14"/>
    </row>
    <row r="533" ht="15.75" customHeight="1">
      <c r="A533" s="14"/>
      <c r="B533" s="14"/>
    </row>
    <row r="534" ht="15.75" customHeight="1">
      <c r="A534" s="14"/>
      <c r="B534" s="14"/>
    </row>
    <row r="535" ht="15.75" customHeight="1">
      <c r="A535" s="14"/>
      <c r="B535" s="14"/>
    </row>
    <row r="536" ht="15.75" customHeight="1">
      <c r="A536" s="14"/>
      <c r="B536" s="14"/>
    </row>
    <row r="537" ht="15.75" customHeight="1">
      <c r="A537" s="14"/>
      <c r="B537" s="14"/>
    </row>
    <row r="538" ht="15.75" customHeight="1">
      <c r="A538" s="14"/>
      <c r="B538" s="14"/>
    </row>
    <row r="539" ht="15.75" customHeight="1">
      <c r="A539" s="14"/>
      <c r="B539" s="14"/>
    </row>
    <row r="540" ht="15.75" customHeight="1">
      <c r="A540" s="14"/>
      <c r="B540" s="14"/>
    </row>
    <row r="541" ht="15.75" customHeight="1">
      <c r="A541" s="14"/>
      <c r="B541" s="14"/>
    </row>
    <row r="542" ht="15.75" customHeight="1">
      <c r="A542" s="14"/>
      <c r="B542" s="14"/>
    </row>
    <row r="543" ht="15.75" customHeight="1">
      <c r="A543" s="14"/>
      <c r="B543" s="14"/>
    </row>
    <row r="544" ht="15.75" customHeight="1">
      <c r="A544" s="14"/>
      <c r="B544" s="14"/>
    </row>
    <row r="545" ht="15.75" customHeight="1">
      <c r="A545" s="14"/>
      <c r="B545" s="14"/>
    </row>
    <row r="546" ht="15.75" customHeight="1">
      <c r="A546" s="14"/>
      <c r="B546" s="14"/>
    </row>
    <row r="547" ht="15.75" customHeight="1">
      <c r="A547" s="14"/>
      <c r="B547" s="14"/>
    </row>
    <row r="548" ht="15.75" customHeight="1">
      <c r="A548" s="14"/>
      <c r="B548" s="14"/>
    </row>
    <row r="549" ht="15.75" customHeight="1">
      <c r="A549" s="14"/>
      <c r="B549" s="14"/>
    </row>
    <row r="550" ht="15.75" customHeight="1">
      <c r="A550" s="14"/>
      <c r="B550" s="14"/>
    </row>
    <row r="551" ht="15.75" customHeight="1">
      <c r="A551" s="14"/>
      <c r="B551" s="14"/>
    </row>
    <row r="552" ht="15.75" customHeight="1">
      <c r="A552" s="14"/>
      <c r="B552" s="14"/>
    </row>
    <row r="553" ht="15.75" customHeight="1">
      <c r="A553" s="14"/>
      <c r="B553" s="14"/>
    </row>
    <row r="554" ht="15.75" customHeight="1">
      <c r="A554" s="14"/>
      <c r="B554" s="14"/>
    </row>
    <row r="555" ht="15.75" customHeight="1">
      <c r="A555" s="14"/>
      <c r="B555" s="14"/>
    </row>
    <row r="556" ht="15.75" customHeight="1">
      <c r="A556" s="14"/>
      <c r="B556" s="14"/>
    </row>
    <row r="557" ht="15.75" customHeight="1">
      <c r="A557" s="14"/>
      <c r="B557" s="14"/>
    </row>
    <row r="558" ht="15.75" customHeight="1">
      <c r="A558" s="14"/>
      <c r="B558" s="14"/>
    </row>
    <row r="559" ht="15.75" customHeight="1">
      <c r="A559" s="14"/>
      <c r="B559" s="14"/>
    </row>
    <row r="560" ht="15.75" customHeight="1">
      <c r="A560" s="14"/>
      <c r="B560" s="14"/>
    </row>
    <row r="561" ht="15.75" customHeight="1">
      <c r="A561" s="14"/>
      <c r="B561" s="14"/>
    </row>
    <row r="562" ht="15.75" customHeight="1">
      <c r="A562" s="14"/>
      <c r="B562" s="14"/>
    </row>
    <row r="563" ht="15.75" customHeight="1">
      <c r="A563" s="14"/>
      <c r="B563" s="14"/>
    </row>
    <row r="564" ht="15.75" customHeight="1">
      <c r="A564" s="14"/>
      <c r="B564" s="14"/>
    </row>
    <row r="565" ht="15.75" customHeight="1">
      <c r="A565" s="14"/>
      <c r="B565" s="14"/>
    </row>
    <row r="566" ht="15.75" customHeight="1">
      <c r="A566" s="14"/>
      <c r="B566" s="14"/>
    </row>
    <row r="567" ht="15.75" customHeight="1">
      <c r="A567" s="14"/>
      <c r="B567" s="14"/>
    </row>
    <row r="568" ht="15.75" customHeight="1">
      <c r="A568" s="14"/>
      <c r="B568" s="14"/>
    </row>
    <row r="569" ht="15.75" customHeight="1">
      <c r="A569" s="14"/>
      <c r="B569" s="14"/>
    </row>
    <row r="570" ht="15.75" customHeight="1">
      <c r="A570" s="14"/>
      <c r="B570" s="14"/>
    </row>
    <row r="571" ht="15.75" customHeight="1">
      <c r="A571" s="14"/>
      <c r="B571" s="14"/>
    </row>
    <row r="572" ht="15.75" customHeight="1">
      <c r="A572" s="14"/>
      <c r="B572" s="14"/>
    </row>
    <row r="573" ht="15.75" customHeight="1">
      <c r="A573" s="14"/>
      <c r="B573" s="14"/>
    </row>
    <row r="574" ht="15.75" customHeight="1">
      <c r="A574" s="14"/>
      <c r="B574" s="14"/>
    </row>
    <row r="575" ht="15.75" customHeight="1">
      <c r="A575" s="14"/>
      <c r="B575" s="14"/>
    </row>
    <row r="576" ht="15.75" customHeight="1">
      <c r="A576" s="14"/>
      <c r="B576" s="14"/>
    </row>
    <row r="577" ht="15.75" customHeight="1">
      <c r="A577" s="14"/>
      <c r="B577" s="14"/>
    </row>
    <row r="578" ht="15.75" customHeight="1">
      <c r="A578" s="14"/>
      <c r="B578" s="14"/>
    </row>
    <row r="579" ht="15.75" customHeight="1">
      <c r="A579" s="14"/>
      <c r="B579" s="14"/>
    </row>
    <row r="580" ht="15.75" customHeight="1">
      <c r="A580" s="14"/>
      <c r="B580" s="14"/>
    </row>
    <row r="581" ht="15.75" customHeight="1">
      <c r="A581" s="14"/>
      <c r="B581" s="14"/>
    </row>
    <row r="582" ht="15.75" customHeight="1">
      <c r="A582" s="14"/>
      <c r="B582" s="14"/>
    </row>
    <row r="583" ht="15.75" customHeight="1">
      <c r="A583" s="14"/>
      <c r="B583" s="14"/>
    </row>
    <row r="584" ht="15.75" customHeight="1">
      <c r="A584" s="14"/>
      <c r="B584" s="14"/>
    </row>
    <row r="585" ht="15.75" customHeight="1">
      <c r="A585" s="14"/>
      <c r="B585" s="14"/>
    </row>
    <row r="586" ht="15.75" customHeight="1">
      <c r="A586" s="14"/>
      <c r="B586" s="14"/>
    </row>
    <row r="587" ht="15.75" customHeight="1">
      <c r="A587" s="14"/>
      <c r="B587" s="14"/>
    </row>
    <row r="588" ht="15.75" customHeight="1">
      <c r="A588" s="14"/>
      <c r="B588" s="14"/>
    </row>
    <row r="589" ht="15.75" customHeight="1">
      <c r="A589" s="14"/>
      <c r="B589" s="14"/>
    </row>
    <row r="590" ht="15.75" customHeight="1">
      <c r="A590" s="14"/>
      <c r="B590" s="14"/>
    </row>
    <row r="591" ht="15.75" customHeight="1">
      <c r="A591" s="14"/>
      <c r="B591" s="14"/>
    </row>
    <row r="592" ht="15.75" customHeight="1">
      <c r="A592" s="14"/>
      <c r="B592" s="14"/>
    </row>
    <row r="593" ht="15.75" customHeight="1">
      <c r="A593" s="14"/>
      <c r="B593" s="14"/>
    </row>
    <row r="594" ht="15.75" customHeight="1">
      <c r="A594" s="14"/>
      <c r="B594" s="14"/>
    </row>
    <row r="595" ht="15.75" customHeight="1">
      <c r="A595" s="14"/>
      <c r="B595" s="14"/>
    </row>
    <row r="596" ht="15.75" customHeight="1">
      <c r="A596" s="14"/>
      <c r="B596" s="14"/>
    </row>
    <row r="597" ht="15.75" customHeight="1">
      <c r="A597" s="14"/>
      <c r="B597" s="14"/>
    </row>
    <row r="598" ht="15.75" customHeight="1">
      <c r="A598" s="14"/>
      <c r="B598" s="14"/>
    </row>
    <row r="599" ht="15.75" customHeight="1">
      <c r="A599" s="14"/>
      <c r="B599" s="14"/>
    </row>
    <row r="600" ht="15.75" customHeight="1">
      <c r="A600" s="14"/>
      <c r="B600" s="14"/>
    </row>
    <row r="601" ht="15.75" customHeight="1">
      <c r="A601" s="14"/>
      <c r="B601" s="14"/>
    </row>
    <row r="602" ht="15.75" customHeight="1">
      <c r="A602" s="14"/>
      <c r="B602" s="14"/>
    </row>
    <row r="603" ht="15.75" customHeight="1">
      <c r="A603" s="14"/>
      <c r="B603" s="14"/>
    </row>
    <row r="604" ht="15.75" customHeight="1">
      <c r="A604" s="14"/>
      <c r="B604" s="14"/>
    </row>
    <row r="605" ht="15.75" customHeight="1">
      <c r="A605" s="14"/>
      <c r="B605" s="14"/>
    </row>
    <row r="606" ht="15.75" customHeight="1">
      <c r="A606" s="14"/>
      <c r="B606" s="14"/>
    </row>
    <row r="607" ht="15.75" customHeight="1">
      <c r="A607" s="14"/>
      <c r="B607" s="14"/>
    </row>
    <row r="608" ht="15.75" customHeight="1">
      <c r="A608" s="14"/>
      <c r="B608" s="14"/>
    </row>
    <row r="609" ht="15.75" customHeight="1">
      <c r="A609" s="14"/>
      <c r="B609" s="14"/>
    </row>
    <row r="610" ht="15.75" customHeight="1">
      <c r="A610" s="14"/>
      <c r="B610" s="14"/>
    </row>
    <row r="611" ht="15.75" customHeight="1">
      <c r="A611" s="14"/>
      <c r="B611" s="14"/>
    </row>
    <row r="612" ht="15.75" customHeight="1">
      <c r="A612" s="14"/>
      <c r="B612" s="14"/>
    </row>
    <row r="613" ht="15.75" customHeight="1">
      <c r="A613" s="14"/>
      <c r="B613" s="14"/>
    </row>
    <row r="614" ht="15.75" customHeight="1">
      <c r="A614" s="14"/>
      <c r="B614" s="14"/>
    </row>
    <row r="615" ht="15.75" customHeight="1">
      <c r="A615" s="14"/>
      <c r="B615" s="14"/>
    </row>
    <row r="616" ht="15.75" customHeight="1">
      <c r="A616" s="14"/>
      <c r="B616" s="14"/>
    </row>
    <row r="617" ht="15.75" customHeight="1">
      <c r="A617" s="14"/>
      <c r="B617" s="14"/>
    </row>
    <row r="618" ht="15.75" customHeight="1">
      <c r="A618" s="14"/>
      <c r="B618" s="14"/>
    </row>
    <row r="619" ht="15.75" customHeight="1">
      <c r="A619" s="14"/>
      <c r="B619" s="14"/>
    </row>
    <row r="620" ht="15.75" customHeight="1">
      <c r="A620" s="14"/>
      <c r="B620" s="14"/>
    </row>
    <row r="621" ht="15.75" customHeight="1">
      <c r="A621" s="14"/>
      <c r="B621" s="14"/>
    </row>
    <row r="622" ht="15.75" customHeight="1">
      <c r="A622" s="14"/>
      <c r="B622" s="14"/>
    </row>
    <row r="623" ht="15.75" customHeight="1">
      <c r="A623" s="14"/>
      <c r="B623" s="14"/>
    </row>
    <row r="624" ht="15.75" customHeight="1">
      <c r="A624" s="14"/>
      <c r="B624" s="14"/>
    </row>
    <row r="625" ht="15.75" customHeight="1">
      <c r="A625" s="14"/>
      <c r="B625" s="14"/>
    </row>
    <row r="626" ht="15.75" customHeight="1">
      <c r="A626" s="14"/>
      <c r="B626" s="14"/>
    </row>
    <row r="627" ht="15.75" customHeight="1">
      <c r="A627" s="14"/>
      <c r="B627" s="14"/>
    </row>
    <row r="628" ht="15.75" customHeight="1">
      <c r="A628" s="14"/>
      <c r="B628" s="14"/>
    </row>
    <row r="629" ht="15.75" customHeight="1">
      <c r="A629" s="14"/>
      <c r="B629" s="14"/>
    </row>
    <row r="630" ht="15.75" customHeight="1">
      <c r="A630" s="14"/>
      <c r="B630" s="14"/>
    </row>
    <row r="631" ht="15.75" customHeight="1">
      <c r="A631" s="14"/>
      <c r="B631" s="14"/>
    </row>
    <row r="632" ht="15.75" customHeight="1">
      <c r="A632" s="14"/>
      <c r="B632" s="14"/>
    </row>
    <row r="633" ht="15.75" customHeight="1">
      <c r="A633" s="14"/>
      <c r="B633" s="14"/>
    </row>
    <row r="634" ht="15.75" customHeight="1">
      <c r="A634" s="14"/>
      <c r="B634" s="14"/>
    </row>
    <row r="635" ht="15.75" customHeight="1">
      <c r="A635" s="14"/>
      <c r="B635" s="14"/>
    </row>
    <row r="636" ht="15.75" customHeight="1">
      <c r="A636" s="14"/>
      <c r="B636" s="14"/>
    </row>
    <row r="637" ht="15.75" customHeight="1">
      <c r="A637" s="14"/>
      <c r="B637" s="14"/>
    </row>
    <row r="638" ht="15.75" customHeight="1">
      <c r="A638" s="14"/>
      <c r="B638" s="14"/>
    </row>
    <row r="639" ht="15.75" customHeight="1">
      <c r="A639" s="14"/>
      <c r="B639" s="14"/>
    </row>
    <row r="640" ht="15.75" customHeight="1">
      <c r="A640" s="14"/>
      <c r="B640" s="14"/>
    </row>
    <row r="641" ht="15.75" customHeight="1">
      <c r="A641" s="14"/>
      <c r="B641" s="14"/>
    </row>
    <row r="642" ht="15.75" customHeight="1">
      <c r="A642" s="14"/>
      <c r="B642" s="14"/>
    </row>
    <row r="643" ht="15.75" customHeight="1">
      <c r="A643" s="14"/>
      <c r="B643" s="14"/>
    </row>
    <row r="644" ht="15.75" customHeight="1">
      <c r="A644" s="14"/>
      <c r="B644" s="14"/>
    </row>
    <row r="645" ht="15.75" customHeight="1">
      <c r="A645" s="14"/>
      <c r="B645" s="14"/>
    </row>
    <row r="646" ht="15.75" customHeight="1">
      <c r="A646" s="14"/>
      <c r="B646" s="14"/>
    </row>
    <row r="647" ht="15.75" customHeight="1">
      <c r="A647" s="14"/>
      <c r="B647" s="14"/>
    </row>
    <row r="648" ht="15.75" customHeight="1">
      <c r="A648" s="14"/>
      <c r="B648" s="14"/>
    </row>
    <row r="649" ht="15.75" customHeight="1">
      <c r="A649" s="14"/>
      <c r="B649" s="14"/>
    </row>
    <row r="650" ht="15.75" customHeight="1">
      <c r="A650" s="14"/>
      <c r="B650" s="14"/>
    </row>
    <row r="651" ht="15.75" customHeight="1">
      <c r="A651" s="14"/>
      <c r="B651" s="14"/>
    </row>
    <row r="652" ht="15.75" customHeight="1">
      <c r="A652" s="14"/>
      <c r="B652" s="14"/>
    </row>
    <row r="653" ht="15.75" customHeight="1">
      <c r="A653" s="14"/>
      <c r="B653" s="14"/>
    </row>
    <row r="654" ht="15.75" customHeight="1">
      <c r="A654" s="14"/>
      <c r="B654" s="14"/>
    </row>
    <row r="655" ht="15.75" customHeight="1">
      <c r="A655" s="14"/>
      <c r="B655" s="14"/>
    </row>
    <row r="656" ht="15.75" customHeight="1">
      <c r="A656" s="14"/>
      <c r="B656" s="14"/>
    </row>
    <row r="657" ht="15.75" customHeight="1">
      <c r="A657" s="14"/>
      <c r="B657" s="14"/>
    </row>
    <row r="658" ht="15.75" customHeight="1">
      <c r="A658" s="14"/>
      <c r="B658" s="14"/>
    </row>
    <row r="659" ht="15.75" customHeight="1">
      <c r="A659" s="14"/>
      <c r="B659" s="14"/>
    </row>
    <row r="660" ht="15.75" customHeight="1">
      <c r="A660" s="14"/>
      <c r="B660" s="14"/>
    </row>
    <row r="661" ht="15.75" customHeight="1">
      <c r="A661" s="14"/>
      <c r="B661" s="14"/>
    </row>
    <row r="662" ht="15.75" customHeight="1">
      <c r="A662" s="14"/>
      <c r="B662" s="14"/>
    </row>
    <row r="663" ht="15.75" customHeight="1">
      <c r="A663" s="14"/>
      <c r="B663" s="14"/>
    </row>
    <row r="664" ht="15.75" customHeight="1">
      <c r="A664" s="14"/>
      <c r="B664" s="14"/>
    </row>
    <row r="665" ht="15.75" customHeight="1">
      <c r="A665" s="14"/>
      <c r="B665" s="14"/>
    </row>
    <row r="666" ht="15.75" customHeight="1">
      <c r="A666" s="14"/>
      <c r="B666" s="14"/>
    </row>
    <row r="667" ht="15.75" customHeight="1">
      <c r="A667" s="14"/>
      <c r="B667" s="14"/>
    </row>
    <row r="668" ht="15.75" customHeight="1">
      <c r="A668" s="14"/>
      <c r="B668" s="14"/>
    </row>
    <row r="669" ht="15.75" customHeight="1">
      <c r="A669" s="14"/>
      <c r="B669" s="14"/>
    </row>
    <row r="670" ht="15.75" customHeight="1">
      <c r="A670" s="14"/>
      <c r="B670" s="14"/>
    </row>
    <row r="671" ht="15.75" customHeight="1">
      <c r="A671" s="14"/>
      <c r="B671" s="14"/>
    </row>
    <row r="672" ht="15.75" customHeight="1">
      <c r="A672" s="14"/>
      <c r="B672" s="14"/>
    </row>
    <row r="673" ht="15.75" customHeight="1">
      <c r="A673" s="14"/>
      <c r="B673" s="14"/>
    </row>
    <row r="674" ht="15.75" customHeight="1">
      <c r="A674" s="14"/>
      <c r="B674" s="14"/>
    </row>
    <row r="675" ht="15.75" customHeight="1">
      <c r="A675" s="14"/>
      <c r="B675" s="14"/>
    </row>
    <row r="676" ht="15.75" customHeight="1">
      <c r="A676" s="14"/>
      <c r="B676" s="14"/>
    </row>
    <row r="677" ht="15.75" customHeight="1">
      <c r="A677" s="14"/>
      <c r="B677" s="14"/>
    </row>
    <row r="678" ht="15.75" customHeight="1">
      <c r="A678" s="14"/>
      <c r="B678" s="14"/>
    </row>
    <row r="679" ht="15.75" customHeight="1">
      <c r="A679" s="14"/>
      <c r="B679" s="14"/>
    </row>
    <row r="680" ht="15.75" customHeight="1">
      <c r="A680" s="14"/>
      <c r="B680" s="14"/>
    </row>
    <row r="681" ht="15.75" customHeight="1">
      <c r="A681" s="14"/>
      <c r="B681" s="14"/>
    </row>
    <row r="682" ht="15.75" customHeight="1">
      <c r="A682" s="14"/>
      <c r="B682" s="14"/>
    </row>
    <row r="683" ht="15.75" customHeight="1">
      <c r="A683" s="14"/>
      <c r="B683" s="14"/>
    </row>
    <row r="684" ht="15.75" customHeight="1">
      <c r="A684" s="14"/>
      <c r="B684" s="14"/>
    </row>
    <row r="685" ht="15.75" customHeight="1">
      <c r="A685" s="14"/>
      <c r="B685" s="14"/>
    </row>
    <row r="686" ht="15.75" customHeight="1">
      <c r="A686" s="14"/>
      <c r="B686" s="14"/>
    </row>
    <row r="687" ht="15.75" customHeight="1">
      <c r="A687" s="14"/>
      <c r="B687" s="14"/>
    </row>
    <row r="688" ht="15.75" customHeight="1">
      <c r="A688" s="14"/>
      <c r="B688" s="14"/>
    </row>
    <row r="689" ht="15.75" customHeight="1">
      <c r="A689" s="14"/>
      <c r="B689" s="14"/>
    </row>
    <row r="690" ht="15.75" customHeight="1">
      <c r="A690" s="14"/>
      <c r="B690" s="14"/>
    </row>
    <row r="691" ht="15.75" customHeight="1">
      <c r="A691" s="14"/>
      <c r="B691" s="14"/>
    </row>
    <row r="692" ht="15.75" customHeight="1">
      <c r="A692" s="14"/>
      <c r="B692" s="14"/>
    </row>
    <row r="693" ht="15.75" customHeight="1">
      <c r="A693" s="14"/>
      <c r="B693" s="14"/>
    </row>
    <row r="694" ht="15.75" customHeight="1">
      <c r="A694" s="14"/>
      <c r="B694" s="14"/>
    </row>
    <row r="695" ht="15.75" customHeight="1">
      <c r="A695" s="14"/>
      <c r="B695" s="14"/>
    </row>
    <row r="696" ht="15.75" customHeight="1">
      <c r="A696" s="14"/>
      <c r="B696" s="14"/>
    </row>
    <row r="697" ht="15.75" customHeight="1">
      <c r="A697" s="14"/>
      <c r="B697" s="14"/>
    </row>
    <row r="698" ht="15.75" customHeight="1">
      <c r="A698" s="14"/>
      <c r="B698" s="14"/>
    </row>
    <row r="699" ht="15.75" customHeight="1">
      <c r="A699" s="14"/>
      <c r="B699" s="14"/>
    </row>
    <row r="700" ht="15.75" customHeight="1">
      <c r="A700" s="14"/>
      <c r="B700" s="14"/>
    </row>
    <row r="701" ht="15.75" customHeight="1">
      <c r="A701" s="14"/>
      <c r="B701" s="14"/>
    </row>
    <row r="702" ht="15.75" customHeight="1">
      <c r="A702" s="14"/>
      <c r="B702" s="14"/>
    </row>
    <row r="703" ht="15.75" customHeight="1">
      <c r="A703" s="14"/>
      <c r="B703" s="14"/>
    </row>
    <row r="704" ht="15.75" customHeight="1">
      <c r="A704" s="14"/>
      <c r="B704" s="14"/>
    </row>
    <row r="705" ht="15.75" customHeight="1">
      <c r="A705" s="14"/>
      <c r="B705" s="14"/>
    </row>
    <row r="706" ht="15.75" customHeight="1">
      <c r="A706" s="14"/>
      <c r="B706" s="14"/>
    </row>
    <row r="707" ht="15.75" customHeight="1">
      <c r="A707" s="14"/>
      <c r="B707" s="14"/>
    </row>
    <row r="708" ht="15.75" customHeight="1">
      <c r="A708" s="14"/>
      <c r="B708" s="14"/>
    </row>
    <row r="709" ht="15.75" customHeight="1">
      <c r="A709" s="14"/>
      <c r="B709" s="14"/>
    </row>
    <row r="710" ht="15.75" customHeight="1">
      <c r="A710" s="14"/>
      <c r="B710" s="14"/>
    </row>
    <row r="711" ht="15.75" customHeight="1">
      <c r="A711" s="14"/>
      <c r="B711" s="14"/>
    </row>
    <row r="712" ht="15.75" customHeight="1">
      <c r="A712" s="14"/>
      <c r="B712" s="14"/>
    </row>
    <row r="713" ht="15.75" customHeight="1">
      <c r="A713" s="14"/>
      <c r="B713" s="14"/>
    </row>
    <row r="714" ht="15.75" customHeight="1">
      <c r="A714" s="14"/>
      <c r="B714" s="14"/>
    </row>
    <row r="715" ht="15.75" customHeight="1">
      <c r="A715" s="14"/>
      <c r="B715" s="14"/>
    </row>
    <row r="716" ht="15.75" customHeight="1">
      <c r="A716" s="14"/>
      <c r="B716" s="14"/>
    </row>
    <row r="717" ht="15.75" customHeight="1">
      <c r="A717" s="14"/>
      <c r="B717" s="14"/>
    </row>
    <row r="718" ht="15.75" customHeight="1">
      <c r="A718" s="14"/>
      <c r="B718" s="14"/>
    </row>
    <row r="719" ht="15.75" customHeight="1">
      <c r="A719" s="14"/>
      <c r="B719" s="14"/>
    </row>
    <row r="720" ht="15.75" customHeight="1">
      <c r="A720" s="14"/>
      <c r="B720" s="14"/>
    </row>
    <row r="721" ht="15.75" customHeight="1">
      <c r="A721" s="14"/>
      <c r="B721" s="14"/>
    </row>
    <row r="722" ht="15.75" customHeight="1">
      <c r="A722" s="14"/>
      <c r="B722" s="14"/>
    </row>
    <row r="723" ht="15.75" customHeight="1">
      <c r="A723" s="14"/>
      <c r="B723" s="14"/>
    </row>
    <row r="724" ht="15.75" customHeight="1">
      <c r="A724" s="14"/>
      <c r="B724" s="14"/>
    </row>
    <row r="725" ht="15.75" customHeight="1">
      <c r="A725" s="14"/>
      <c r="B725" s="14"/>
    </row>
    <row r="726" ht="15.75" customHeight="1">
      <c r="A726" s="14"/>
      <c r="B726" s="14"/>
    </row>
    <row r="727" ht="15.75" customHeight="1">
      <c r="A727" s="14"/>
      <c r="B727" s="14"/>
    </row>
    <row r="728" ht="15.75" customHeight="1">
      <c r="A728" s="14"/>
      <c r="B728" s="14"/>
    </row>
    <row r="729" ht="15.75" customHeight="1">
      <c r="A729" s="14"/>
      <c r="B729" s="14"/>
    </row>
    <row r="730" ht="15.75" customHeight="1">
      <c r="A730" s="14"/>
      <c r="B730" s="14"/>
    </row>
    <row r="731" ht="15.75" customHeight="1">
      <c r="A731" s="14"/>
      <c r="B731" s="14"/>
    </row>
    <row r="732" ht="15.75" customHeight="1">
      <c r="A732" s="14"/>
      <c r="B732" s="14"/>
    </row>
    <row r="733" ht="15.75" customHeight="1">
      <c r="A733" s="14"/>
      <c r="B733" s="14"/>
    </row>
    <row r="734" ht="15.75" customHeight="1">
      <c r="A734" s="14"/>
      <c r="B734" s="14"/>
    </row>
    <row r="735" ht="15.75" customHeight="1">
      <c r="A735" s="14"/>
      <c r="B735" s="14"/>
    </row>
    <row r="736" ht="15.75" customHeight="1">
      <c r="A736" s="14"/>
      <c r="B736" s="14"/>
    </row>
    <row r="737" ht="15.75" customHeight="1">
      <c r="A737" s="14"/>
      <c r="B737" s="14"/>
    </row>
    <row r="738" ht="15.75" customHeight="1">
      <c r="A738" s="14"/>
      <c r="B738" s="14"/>
    </row>
    <row r="739" ht="15.75" customHeight="1">
      <c r="A739" s="14"/>
      <c r="B739" s="14"/>
    </row>
    <row r="740" ht="15.75" customHeight="1">
      <c r="A740" s="14"/>
      <c r="B740" s="14"/>
    </row>
    <row r="741" ht="15.75" customHeight="1">
      <c r="A741" s="14"/>
      <c r="B741" s="14"/>
    </row>
    <row r="742" ht="15.75" customHeight="1">
      <c r="A742" s="14"/>
      <c r="B742" s="14"/>
    </row>
    <row r="743" ht="15.75" customHeight="1">
      <c r="A743" s="14"/>
      <c r="B743" s="14"/>
    </row>
    <row r="744" ht="15.75" customHeight="1">
      <c r="A744" s="14"/>
      <c r="B744" s="14"/>
    </row>
    <row r="745" ht="15.75" customHeight="1">
      <c r="A745" s="14"/>
      <c r="B745" s="14"/>
    </row>
    <row r="746" ht="15.75" customHeight="1">
      <c r="A746" s="14"/>
      <c r="B746" s="14"/>
    </row>
    <row r="747" ht="15.75" customHeight="1">
      <c r="A747" s="14"/>
      <c r="B747" s="14"/>
    </row>
    <row r="748" ht="15.75" customHeight="1">
      <c r="A748" s="14"/>
      <c r="B748" s="14"/>
    </row>
    <row r="749" ht="15.75" customHeight="1">
      <c r="A749" s="14"/>
      <c r="B749" s="14"/>
    </row>
    <row r="750" ht="15.75" customHeight="1">
      <c r="A750" s="14"/>
      <c r="B750" s="14"/>
    </row>
    <row r="751" ht="15.75" customHeight="1">
      <c r="A751" s="14"/>
      <c r="B751" s="14"/>
    </row>
    <row r="752" ht="15.75" customHeight="1">
      <c r="A752" s="14"/>
      <c r="B752" s="14"/>
    </row>
    <row r="753" ht="15.75" customHeight="1">
      <c r="A753" s="14"/>
      <c r="B753" s="14"/>
    </row>
    <row r="754" ht="15.75" customHeight="1">
      <c r="A754" s="14"/>
      <c r="B754" s="14"/>
    </row>
    <row r="755" ht="15.75" customHeight="1">
      <c r="A755" s="14"/>
      <c r="B755" s="14"/>
    </row>
    <row r="756" ht="15.75" customHeight="1">
      <c r="A756" s="14"/>
      <c r="B756" s="14"/>
    </row>
    <row r="757" ht="15.75" customHeight="1">
      <c r="A757" s="14"/>
      <c r="B757" s="14"/>
    </row>
    <row r="758" ht="15.75" customHeight="1">
      <c r="A758" s="14"/>
      <c r="B758" s="14"/>
    </row>
    <row r="759" ht="15.75" customHeight="1">
      <c r="A759" s="14"/>
      <c r="B759" s="14"/>
    </row>
    <row r="760" ht="15.75" customHeight="1">
      <c r="A760" s="14"/>
      <c r="B760" s="14"/>
    </row>
    <row r="761" ht="15.75" customHeight="1">
      <c r="A761" s="14"/>
      <c r="B761" s="14"/>
    </row>
    <row r="762" ht="15.75" customHeight="1">
      <c r="A762" s="14"/>
      <c r="B762" s="14"/>
    </row>
    <row r="763" ht="15.75" customHeight="1">
      <c r="A763" s="14"/>
      <c r="B763" s="14"/>
    </row>
    <row r="764" ht="15.75" customHeight="1">
      <c r="A764" s="14"/>
      <c r="B764" s="14"/>
    </row>
    <row r="765" ht="15.75" customHeight="1">
      <c r="A765" s="14"/>
      <c r="B765" s="14"/>
    </row>
    <row r="766" ht="15.75" customHeight="1">
      <c r="A766" s="14"/>
      <c r="B766" s="14"/>
    </row>
    <row r="767" ht="15.75" customHeight="1">
      <c r="A767" s="14"/>
      <c r="B767" s="14"/>
    </row>
    <row r="768" ht="15.75" customHeight="1">
      <c r="A768" s="14"/>
      <c r="B768" s="14"/>
    </row>
    <row r="769" ht="15.75" customHeight="1">
      <c r="A769" s="14"/>
      <c r="B769" s="14"/>
    </row>
    <row r="770" ht="15.75" customHeight="1">
      <c r="A770" s="14"/>
      <c r="B770" s="14"/>
    </row>
    <row r="771" ht="15.75" customHeight="1">
      <c r="A771" s="14"/>
      <c r="B771" s="14"/>
    </row>
    <row r="772" ht="15.75" customHeight="1">
      <c r="A772" s="14"/>
      <c r="B772" s="14"/>
    </row>
    <row r="773" ht="15.75" customHeight="1">
      <c r="A773" s="14"/>
      <c r="B773" s="14"/>
    </row>
    <row r="774" ht="15.75" customHeight="1">
      <c r="A774" s="14"/>
      <c r="B774" s="14"/>
    </row>
    <row r="775" ht="15.75" customHeight="1">
      <c r="A775" s="14"/>
      <c r="B775" s="14"/>
    </row>
    <row r="776" ht="15.75" customHeight="1">
      <c r="A776" s="14"/>
      <c r="B776" s="14"/>
    </row>
    <row r="777" ht="15.75" customHeight="1">
      <c r="A777" s="14"/>
      <c r="B777" s="14"/>
    </row>
    <row r="778" ht="15.75" customHeight="1">
      <c r="A778" s="14"/>
      <c r="B778" s="14"/>
    </row>
    <row r="779" ht="15.75" customHeight="1">
      <c r="A779" s="14"/>
      <c r="B779" s="14"/>
    </row>
    <row r="780" ht="15.75" customHeight="1">
      <c r="A780" s="14"/>
      <c r="B780" s="14"/>
    </row>
    <row r="781" ht="15.75" customHeight="1">
      <c r="A781" s="14"/>
      <c r="B781" s="14"/>
    </row>
    <row r="782" ht="15.75" customHeight="1">
      <c r="A782" s="14"/>
      <c r="B782" s="14"/>
    </row>
    <row r="783" ht="15.75" customHeight="1">
      <c r="A783" s="14"/>
      <c r="B783" s="14"/>
    </row>
    <row r="784" ht="15.75" customHeight="1">
      <c r="A784" s="14"/>
      <c r="B784" s="14"/>
    </row>
    <row r="785" ht="15.75" customHeight="1">
      <c r="A785" s="14"/>
      <c r="B785" s="14"/>
    </row>
    <row r="786" ht="15.75" customHeight="1">
      <c r="A786" s="14"/>
      <c r="B786" s="14"/>
    </row>
    <row r="787" ht="15.75" customHeight="1">
      <c r="A787" s="14"/>
      <c r="B787" s="14"/>
    </row>
    <row r="788" ht="15.75" customHeight="1">
      <c r="A788" s="14"/>
      <c r="B788" s="14"/>
    </row>
    <row r="789" ht="15.75" customHeight="1">
      <c r="A789" s="14"/>
      <c r="B789" s="14"/>
    </row>
    <row r="790" ht="15.75" customHeight="1">
      <c r="A790" s="14"/>
      <c r="B790" s="14"/>
    </row>
    <row r="791" ht="15.75" customHeight="1">
      <c r="A791" s="14"/>
      <c r="B791" s="14"/>
    </row>
    <row r="792" ht="15.75" customHeight="1">
      <c r="A792" s="14"/>
      <c r="B792" s="14"/>
    </row>
    <row r="793" ht="15.75" customHeight="1">
      <c r="A793" s="14"/>
      <c r="B793" s="14"/>
    </row>
    <row r="794" ht="15.75" customHeight="1">
      <c r="A794" s="14"/>
      <c r="B794" s="14"/>
    </row>
    <row r="795" ht="15.75" customHeight="1">
      <c r="A795" s="14"/>
      <c r="B795" s="14"/>
    </row>
    <row r="796" ht="15.75" customHeight="1">
      <c r="A796" s="14"/>
      <c r="B796" s="14"/>
    </row>
    <row r="797" ht="15.75" customHeight="1">
      <c r="A797" s="14"/>
      <c r="B797" s="14"/>
    </row>
    <row r="798" ht="15.75" customHeight="1">
      <c r="A798" s="14"/>
      <c r="B798" s="14"/>
    </row>
    <row r="799" ht="15.75" customHeight="1">
      <c r="A799" s="14"/>
      <c r="B799" s="14"/>
    </row>
    <row r="800" ht="15.75" customHeight="1">
      <c r="A800" s="14"/>
      <c r="B800" s="14"/>
    </row>
    <row r="801" ht="15.75" customHeight="1">
      <c r="A801" s="14"/>
      <c r="B801" s="14"/>
    </row>
    <row r="802" ht="15.75" customHeight="1">
      <c r="A802" s="14"/>
      <c r="B802" s="14"/>
    </row>
    <row r="803" ht="15.75" customHeight="1">
      <c r="A803" s="14"/>
      <c r="B803" s="14"/>
    </row>
    <row r="804" ht="15.75" customHeight="1">
      <c r="A804" s="14"/>
      <c r="B804" s="14"/>
    </row>
    <row r="805" ht="15.75" customHeight="1">
      <c r="A805" s="14"/>
      <c r="B805" s="14"/>
    </row>
    <row r="806" ht="15.75" customHeight="1">
      <c r="A806" s="14"/>
      <c r="B806" s="14"/>
    </row>
    <row r="807" ht="15.75" customHeight="1">
      <c r="A807" s="14"/>
      <c r="B807" s="14"/>
    </row>
    <row r="808" ht="15.75" customHeight="1">
      <c r="A808" s="14"/>
      <c r="B808" s="14"/>
    </row>
    <row r="809" ht="15.75" customHeight="1">
      <c r="A809" s="14"/>
      <c r="B809" s="14"/>
    </row>
    <row r="810" ht="15.75" customHeight="1">
      <c r="A810" s="14"/>
      <c r="B810" s="14"/>
    </row>
    <row r="811" ht="15.75" customHeight="1">
      <c r="A811" s="14"/>
      <c r="B811" s="14"/>
    </row>
    <row r="812" ht="15.75" customHeight="1">
      <c r="A812" s="14"/>
      <c r="B812" s="14"/>
    </row>
    <row r="813" ht="15.75" customHeight="1">
      <c r="A813" s="14"/>
      <c r="B813" s="14"/>
    </row>
    <row r="814" ht="15.75" customHeight="1">
      <c r="A814" s="14"/>
      <c r="B814" s="14"/>
    </row>
    <row r="815" ht="15.75" customHeight="1">
      <c r="A815" s="14"/>
      <c r="B815" s="14"/>
    </row>
    <row r="816" ht="15.75" customHeight="1">
      <c r="A816" s="14"/>
      <c r="B816" s="14"/>
    </row>
    <row r="817" ht="15.75" customHeight="1">
      <c r="A817" s="14"/>
      <c r="B817" s="14"/>
    </row>
    <row r="818" ht="15.75" customHeight="1">
      <c r="A818" s="14"/>
      <c r="B818" s="14"/>
    </row>
    <row r="819" ht="15.75" customHeight="1">
      <c r="A819" s="14"/>
      <c r="B819" s="14"/>
    </row>
    <row r="820" ht="15.75" customHeight="1">
      <c r="A820" s="14"/>
      <c r="B820" s="14"/>
    </row>
    <row r="821" ht="15.75" customHeight="1">
      <c r="A821" s="14"/>
      <c r="B821" s="14"/>
    </row>
    <row r="822" ht="15.75" customHeight="1">
      <c r="A822" s="14"/>
      <c r="B822" s="14"/>
    </row>
    <row r="823" ht="15.75" customHeight="1">
      <c r="A823" s="14"/>
      <c r="B823" s="14"/>
    </row>
    <row r="824" ht="15.75" customHeight="1">
      <c r="A824" s="14"/>
      <c r="B824" s="14"/>
    </row>
    <row r="825" ht="15.75" customHeight="1">
      <c r="A825" s="14"/>
      <c r="B825" s="14"/>
    </row>
    <row r="826" ht="15.75" customHeight="1">
      <c r="A826" s="14"/>
      <c r="B826" s="14"/>
    </row>
    <row r="827" ht="15.75" customHeight="1">
      <c r="A827" s="14"/>
      <c r="B827" s="14"/>
    </row>
    <row r="828" ht="15.75" customHeight="1">
      <c r="A828" s="14"/>
      <c r="B828" s="14"/>
    </row>
    <row r="829" ht="15.75" customHeight="1">
      <c r="A829" s="14"/>
      <c r="B829" s="14"/>
    </row>
    <row r="830" ht="15.75" customHeight="1">
      <c r="A830" s="14"/>
      <c r="B830" s="14"/>
    </row>
    <row r="831" ht="15.75" customHeight="1">
      <c r="A831" s="14"/>
      <c r="B831" s="14"/>
    </row>
    <row r="832" ht="15.75" customHeight="1">
      <c r="A832" s="14"/>
      <c r="B832" s="14"/>
    </row>
    <row r="833" ht="15.75" customHeight="1">
      <c r="A833" s="14"/>
      <c r="B833" s="14"/>
    </row>
    <row r="834" ht="15.75" customHeight="1">
      <c r="A834" s="14"/>
      <c r="B834" s="14"/>
    </row>
    <row r="835" ht="15.75" customHeight="1">
      <c r="A835" s="14"/>
      <c r="B835" s="14"/>
    </row>
    <row r="836" ht="15.75" customHeight="1">
      <c r="A836" s="14"/>
      <c r="B836" s="14"/>
    </row>
    <row r="837" ht="15.75" customHeight="1">
      <c r="A837" s="14"/>
      <c r="B837" s="14"/>
    </row>
    <row r="838" ht="15.75" customHeight="1">
      <c r="A838" s="14"/>
      <c r="B838" s="14"/>
    </row>
    <row r="839" ht="15.75" customHeight="1">
      <c r="A839" s="14"/>
      <c r="B839" s="14"/>
    </row>
    <row r="840" ht="15.75" customHeight="1">
      <c r="A840" s="14"/>
      <c r="B840" s="14"/>
    </row>
    <row r="841" ht="15.75" customHeight="1">
      <c r="A841" s="14"/>
      <c r="B841" s="14"/>
    </row>
    <row r="842" ht="15.75" customHeight="1">
      <c r="A842" s="14"/>
      <c r="B842" s="14"/>
    </row>
    <row r="843" ht="15.75" customHeight="1">
      <c r="A843" s="14"/>
      <c r="B843" s="14"/>
    </row>
    <row r="844" ht="15.75" customHeight="1">
      <c r="A844" s="14"/>
      <c r="B844" s="14"/>
    </row>
    <row r="845" ht="15.75" customHeight="1">
      <c r="A845" s="14"/>
      <c r="B845" s="14"/>
    </row>
    <row r="846" ht="15.75" customHeight="1">
      <c r="A846" s="14"/>
      <c r="B846" s="14"/>
    </row>
    <row r="847" ht="15.75" customHeight="1">
      <c r="A847" s="14"/>
      <c r="B847" s="14"/>
    </row>
    <row r="848" ht="15.75" customHeight="1">
      <c r="A848" s="14"/>
      <c r="B848" s="14"/>
    </row>
    <row r="849" ht="15.75" customHeight="1">
      <c r="A849" s="14"/>
      <c r="B849" s="14"/>
    </row>
    <row r="850" ht="15.75" customHeight="1">
      <c r="A850" s="14"/>
      <c r="B850" s="14"/>
    </row>
    <row r="851" ht="15.75" customHeight="1">
      <c r="A851" s="14"/>
      <c r="B851" s="14"/>
    </row>
    <row r="852" ht="15.75" customHeight="1">
      <c r="A852" s="14"/>
      <c r="B852" s="14"/>
    </row>
    <row r="853" ht="15.75" customHeight="1">
      <c r="A853" s="14"/>
      <c r="B853" s="14"/>
    </row>
    <row r="854" ht="15.75" customHeight="1">
      <c r="A854" s="14"/>
      <c r="B854" s="14"/>
    </row>
    <row r="855" ht="15.75" customHeight="1">
      <c r="A855" s="14"/>
      <c r="B855" s="14"/>
    </row>
    <row r="856" ht="15.75" customHeight="1">
      <c r="A856" s="14"/>
      <c r="B856" s="14"/>
    </row>
    <row r="857" ht="15.75" customHeight="1">
      <c r="A857" s="14"/>
      <c r="B857" s="14"/>
    </row>
    <row r="858" ht="15.75" customHeight="1">
      <c r="A858" s="14"/>
      <c r="B858" s="14"/>
    </row>
    <row r="859" ht="15.75" customHeight="1">
      <c r="A859" s="14"/>
      <c r="B859" s="14"/>
    </row>
    <row r="860" ht="15.75" customHeight="1">
      <c r="A860" s="14"/>
      <c r="B860" s="14"/>
    </row>
    <row r="861" ht="15.75" customHeight="1">
      <c r="A861" s="14"/>
      <c r="B861" s="14"/>
    </row>
    <row r="862" ht="15.75" customHeight="1">
      <c r="A862" s="14"/>
      <c r="B862" s="14"/>
    </row>
    <row r="863" ht="15.75" customHeight="1">
      <c r="A863" s="14"/>
      <c r="B863" s="14"/>
    </row>
    <row r="864" ht="15.75" customHeight="1">
      <c r="A864" s="14"/>
      <c r="B864" s="14"/>
    </row>
    <row r="865" ht="15.75" customHeight="1">
      <c r="A865" s="14"/>
      <c r="B865" s="14"/>
    </row>
    <row r="866" ht="15.75" customHeight="1">
      <c r="A866" s="14"/>
      <c r="B866" s="14"/>
    </row>
    <row r="867" ht="15.75" customHeight="1">
      <c r="A867" s="14"/>
      <c r="B867" s="14"/>
    </row>
    <row r="868" ht="15.75" customHeight="1">
      <c r="A868" s="14"/>
      <c r="B868" s="14"/>
    </row>
    <row r="869" ht="15.75" customHeight="1">
      <c r="A869" s="14"/>
      <c r="B869" s="14"/>
    </row>
    <row r="870" ht="15.75" customHeight="1">
      <c r="A870" s="14"/>
      <c r="B870" s="14"/>
    </row>
    <row r="871" ht="15.75" customHeight="1">
      <c r="A871" s="14"/>
      <c r="B871" s="14"/>
    </row>
    <row r="872" ht="15.75" customHeight="1">
      <c r="A872" s="14"/>
      <c r="B872" s="14"/>
    </row>
    <row r="873" ht="15.75" customHeight="1">
      <c r="A873" s="14"/>
      <c r="B873" s="14"/>
    </row>
    <row r="874" ht="15.75" customHeight="1">
      <c r="A874" s="14"/>
      <c r="B874" s="14"/>
    </row>
    <row r="875" ht="15.75" customHeight="1">
      <c r="A875" s="14"/>
      <c r="B875" s="14"/>
    </row>
    <row r="876" ht="15.75" customHeight="1">
      <c r="A876" s="14"/>
      <c r="B876" s="14"/>
    </row>
    <row r="877" ht="15.75" customHeight="1">
      <c r="A877" s="14"/>
      <c r="B877" s="14"/>
    </row>
    <row r="878" ht="15.75" customHeight="1">
      <c r="A878" s="14"/>
      <c r="B878" s="14"/>
    </row>
    <row r="879" ht="15.75" customHeight="1">
      <c r="A879" s="14"/>
      <c r="B879" s="14"/>
    </row>
    <row r="880" ht="15.75" customHeight="1">
      <c r="A880" s="14"/>
      <c r="B880" s="14"/>
    </row>
    <row r="881" ht="15.75" customHeight="1">
      <c r="A881" s="14"/>
      <c r="B881" s="14"/>
    </row>
    <row r="882" ht="15.75" customHeight="1">
      <c r="A882" s="14"/>
      <c r="B882" s="14"/>
    </row>
    <row r="883" ht="15.75" customHeight="1">
      <c r="A883" s="14"/>
      <c r="B883" s="14"/>
    </row>
    <row r="884" ht="15.75" customHeight="1">
      <c r="A884" s="14"/>
      <c r="B884" s="14"/>
    </row>
    <row r="885" ht="15.75" customHeight="1">
      <c r="A885" s="14"/>
      <c r="B885" s="14"/>
    </row>
    <row r="886" ht="15.75" customHeight="1">
      <c r="A886" s="14"/>
      <c r="B886" s="14"/>
    </row>
    <row r="887" ht="15.75" customHeight="1">
      <c r="A887" s="14"/>
      <c r="B887" s="14"/>
    </row>
    <row r="888" ht="15.75" customHeight="1">
      <c r="A888" s="14"/>
      <c r="B888" s="14"/>
    </row>
    <row r="889" ht="15.75" customHeight="1">
      <c r="A889" s="14"/>
      <c r="B889" s="14"/>
    </row>
    <row r="890" ht="15.75" customHeight="1">
      <c r="A890" s="14"/>
      <c r="B890" s="14"/>
    </row>
    <row r="891" ht="15.75" customHeight="1">
      <c r="A891" s="14"/>
      <c r="B891" s="14"/>
    </row>
    <row r="892" ht="15.75" customHeight="1">
      <c r="A892" s="14"/>
      <c r="B892" s="14"/>
    </row>
    <row r="893" ht="15.75" customHeight="1">
      <c r="A893" s="14"/>
      <c r="B893" s="14"/>
    </row>
    <row r="894" ht="15.75" customHeight="1">
      <c r="A894" s="14"/>
      <c r="B894" s="14"/>
    </row>
    <row r="895" ht="15.75" customHeight="1">
      <c r="A895" s="14"/>
      <c r="B895" s="14"/>
    </row>
    <row r="896" ht="15.75" customHeight="1">
      <c r="A896" s="14"/>
      <c r="B896" s="14"/>
    </row>
    <row r="897" ht="15.75" customHeight="1">
      <c r="A897" s="14"/>
      <c r="B897" s="14"/>
    </row>
    <row r="898" ht="15.75" customHeight="1">
      <c r="A898" s="14"/>
      <c r="B898" s="14"/>
    </row>
    <row r="899" ht="15.75" customHeight="1">
      <c r="A899" s="14"/>
      <c r="B899" s="14"/>
    </row>
    <row r="900" ht="15.75" customHeight="1">
      <c r="A900" s="14"/>
      <c r="B900" s="14"/>
    </row>
    <row r="901" ht="15.75" customHeight="1">
      <c r="A901" s="14"/>
      <c r="B901" s="14"/>
    </row>
    <row r="902" ht="15.75" customHeight="1">
      <c r="A902" s="14"/>
      <c r="B902" s="14"/>
    </row>
    <row r="903" ht="15.75" customHeight="1">
      <c r="A903" s="14"/>
      <c r="B903" s="14"/>
    </row>
    <row r="904" ht="15.75" customHeight="1">
      <c r="A904" s="14"/>
      <c r="B904" s="14"/>
    </row>
    <row r="905" ht="15.75" customHeight="1">
      <c r="A905" s="14"/>
      <c r="B905" s="14"/>
    </row>
    <row r="906" ht="15.75" customHeight="1">
      <c r="A906" s="14"/>
      <c r="B906" s="14"/>
    </row>
    <row r="907" ht="15.75" customHeight="1">
      <c r="A907" s="14"/>
      <c r="B907" s="14"/>
    </row>
    <row r="908" ht="15.75" customHeight="1">
      <c r="A908" s="14"/>
      <c r="B908" s="14"/>
    </row>
    <row r="909" ht="15.75" customHeight="1">
      <c r="A909" s="14"/>
      <c r="B909" s="14"/>
    </row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1" max="1" width="41.88"/>
    <col customWidth="1" min="2" max="2" width="17.5"/>
    <col customWidth="1" min="3" max="3" width="19.25"/>
    <col customWidth="1" min="4" max="4" width="18.5"/>
    <col customWidth="1" min="5" max="5" width="17.63"/>
    <col customWidth="1" min="6" max="6" width="18.13"/>
    <col customWidth="1" min="11" max="11" width="16.88"/>
    <col customWidth="1" min="12" max="12" width="20.0"/>
  </cols>
  <sheetData>
    <row r="1" ht="15.75" customHeight="1">
      <c r="B1" s="3" t="s">
        <v>0</v>
      </c>
      <c r="C1" s="3" t="str">
        <f>TEXT(C3,"MMMM-YYY")</f>
        <v>May-2025</v>
      </c>
    </row>
    <row r="2" ht="15.75" customHeight="1">
      <c r="A2" s="7"/>
      <c r="B2" s="3" t="s">
        <v>1</v>
      </c>
      <c r="C2" s="8">
        <v>45778.0</v>
      </c>
      <c r="E2" s="9" t="s">
        <v>2</v>
      </c>
      <c r="F2" s="10" t="str">
        <f>IF(SUM(D:D) = SUM(E:E), "✅ Balanced", "⚠️ Unbalanced")</f>
        <v>#REF!</v>
      </c>
    </row>
    <row r="3" ht="15.75" customHeight="1">
      <c r="B3" s="3" t="s">
        <v>3</v>
      </c>
      <c r="C3" s="8">
        <f>EOMONTH(C2,0)</f>
        <v>45808</v>
      </c>
      <c r="E3" s="11"/>
    </row>
    <row r="4" ht="15.75" customHeight="1"/>
    <row r="5" ht="15.75" customHeight="1">
      <c r="D5" s="12" t="str">
        <f t="shared" ref="D5:E5" si="1">SUM(D8:D1000)</f>
        <v>#REF!</v>
      </c>
      <c r="E5" s="12" t="str">
        <f t="shared" si="1"/>
        <v>#REF!</v>
      </c>
      <c r="F5" s="12" t="str">
        <f>D5-E5</f>
        <v>#REF!</v>
      </c>
    </row>
    <row r="6" ht="15.75" customHeight="1"/>
    <row r="7" ht="15.75" customHeight="1">
      <c r="A7" s="1" t="s">
        <v>4</v>
      </c>
      <c r="B7" s="1" t="s">
        <v>5</v>
      </c>
      <c r="C7" s="1" t="s">
        <v>6</v>
      </c>
      <c r="D7" s="1" t="s">
        <v>7</v>
      </c>
      <c r="E7" s="1" t="s">
        <v>8</v>
      </c>
      <c r="F7" s="1" t="s">
        <v>9</v>
      </c>
    </row>
    <row r="8" ht="15.75" customHeight="1">
      <c r="A8" s="1" t="str">
        <f t="array" ref="A8:A909">Helper!E99:E1000</f>
        <v/>
      </c>
      <c r="B8" s="1" t="str">
        <f t="array" ref="B8:B909">Helper!D99:D1000</f>
        <v/>
      </c>
      <c r="C8" s="13" t="str">
        <f>April_2025!F8</f>
        <v>#N/A</v>
      </c>
      <c r="D8" s="13" t="str">
        <f>IFERROR(__xludf.DUMMYFUNCTION("IFNA(QUERY(IMPORTRANGE(""https://docs.google.com/spreadsheets/d/1EHL-jm_NiShR1a2JqKbpaJGazYH90DJO150spY6io4k/edit?gid=0#gid=0"", 
""Gen_Ledger!A:N""), 
""SELECT SUM(Col10) WHERE Col7 = ""&amp;B8&amp;"" AND Col1 &gt;= DATE '"" &amp; TEXT($C$2, ""YYYY-MM-DD"") &amp; ""' AND C"&amp;"ol1 &lt;= DATE '"" &amp; TEXT($C$3, ""YYYY-MM-DD"") &amp; ""' LABEL SUM(Col10) ''"", 0), """")"),"#REF!")</f>
        <v>#REF!</v>
      </c>
      <c r="E8" s="13" t="str">
        <f>IFERROR(__xludf.DUMMYFUNCTION("IFNA(QUERY(IMPORTRANGE(""https://docs.google.com/spreadsheets/d/1EHL-jm_NiShR1a2JqKbpaJGazYH90DJO150spY6io4k/edit?gid=0#gid=0"", 
""Gen_Ledger!A:N""), 
""SELECT SUM(Col11) WHERE Col7 = ""&amp;B8&amp;"" AND Col1 &gt;= DATE '"" &amp; TEXT($C$2, ""YYYY-MM-DD"") &amp; ""' AND C"&amp;"ol1 &lt;= DATE '"" &amp; TEXT($C$3, ""YYYY-MM-DD"") &amp; ""' LABEL SUM(Col11) ''"", 0), """")"),"#REF!")</f>
        <v>#REF!</v>
      </c>
      <c r="F8" s="13" t="str">
        <f t="shared" ref="F8:F21" si="2">C8+D8-E8</f>
        <v>#N/A</v>
      </c>
    </row>
    <row r="9" ht="15.75" customHeight="1">
      <c r="A9" s="1"/>
      <c r="B9" s="1"/>
      <c r="C9" s="13" t="str">
        <f>April_2025!F9</f>
        <v>#N/A</v>
      </c>
      <c r="D9" s="13" t="str">
        <f>IFERROR(__xludf.DUMMYFUNCTION("IFNA(QUERY(IMPORTRANGE(""https://docs.google.com/spreadsheets/d/1EHL-jm_NiShR1a2JqKbpaJGazYH90DJO150spY6io4k/edit?gid=0#gid=0"", 
""Gen_Ledger!A:N""), 
""SELECT SUM(Col10) WHERE Col7 = ""&amp;B9&amp;"" AND Col1 &gt;= DATE '"" &amp; TEXT($C$2, ""YYYY-MM-DD"") &amp; ""' AND C"&amp;"ol1 &lt;= DATE '"" &amp; TEXT($C$3, ""YYYY-MM-DD"") &amp; ""' LABEL SUM(Col10) ''"", 0), """")"),"#REF!")</f>
        <v>#REF!</v>
      </c>
      <c r="E9" s="13" t="str">
        <f>IFERROR(__xludf.DUMMYFUNCTION("IFNA(QUERY(IMPORTRANGE(""https://docs.google.com/spreadsheets/d/1EHL-jm_NiShR1a2JqKbpaJGazYH90DJO150spY6io4k/edit?gid=0#gid=0"", 
""Gen_Ledger!A:N""), 
""SELECT SUM(Col11) WHERE Col7 = ""&amp;B9&amp;"" AND Col1 &gt;= DATE '"" &amp; TEXT($C$2, ""YYYY-MM-DD"") &amp; ""' AND C"&amp;"ol1 &lt;= DATE '"" &amp; TEXT($C$3, ""YYYY-MM-DD"") &amp; ""' LABEL SUM(Col11) ''"", 0), """")"),"#REF!")</f>
        <v>#REF!</v>
      </c>
      <c r="F9" s="13" t="str">
        <f t="shared" si="2"/>
        <v>#N/A</v>
      </c>
    </row>
    <row r="10" ht="15.75" customHeight="1">
      <c r="A10" s="1"/>
      <c r="B10" s="1"/>
      <c r="C10" s="13" t="str">
        <f>April_2025!F10</f>
        <v>#N/A</v>
      </c>
      <c r="D10" s="13" t="str">
        <f>IFERROR(__xludf.DUMMYFUNCTION("IFNA(QUERY(IMPORTRANGE(""https://docs.google.com/spreadsheets/d/1EHL-jm_NiShR1a2JqKbpaJGazYH90DJO150spY6io4k/edit?gid=0#gid=0"", 
""Gen_Ledger!A:N""), 
""SELECT SUM(Col10) WHERE Col7 = ""&amp;B10&amp;"" AND Col1 &gt;= DATE '"" &amp; TEXT($C$2, ""YYYY-MM-DD"") &amp; ""' AND "&amp;"Col1 &lt;= DATE '"" &amp; TEXT($C$3, ""YYYY-MM-DD"") &amp; ""' LABEL SUM(Col10) ''"", 0), """")"),"#REF!")</f>
        <v>#REF!</v>
      </c>
      <c r="E10" s="13" t="str">
        <f>IFERROR(__xludf.DUMMYFUNCTION("IFNA(QUERY(IMPORTRANGE(""https://docs.google.com/spreadsheets/d/1EHL-jm_NiShR1a2JqKbpaJGazYH90DJO150spY6io4k/edit?gid=0#gid=0"", 
""Gen_Ledger!A:N""), 
""SELECT SUM(Col11) WHERE Col7 = ""&amp;B10&amp;"" AND Col1 &gt;= DATE '"" &amp; TEXT($C$2, ""YYYY-MM-DD"") &amp; ""' AND "&amp;"Col1 &lt;= DATE '"" &amp; TEXT($C$3, ""YYYY-MM-DD"") &amp; ""' LABEL SUM(Col11) ''"", 0), """")"),"#REF!")</f>
        <v>#REF!</v>
      </c>
      <c r="F10" s="13" t="str">
        <f t="shared" si="2"/>
        <v>#N/A</v>
      </c>
    </row>
    <row r="11" ht="15.75" customHeight="1">
      <c r="A11" s="1"/>
      <c r="B11" s="1"/>
      <c r="C11" s="13" t="str">
        <f>April_2025!F11</f>
        <v>#N/A</v>
      </c>
      <c r="D11" s="13" t="str">
        <f>IFERROR(__xludf.DUMMYFUNCTION("IFNA(QUERY(IMPORTRANGE(""https://docs.google.com/spreadsheets/d/1EHL-jm_NiShR1a2JqKbpaJGazYH90DJO150spY6io4k/edit?gid=0#gid=0"", 
""Gen_Ledger!A:N""), 
""SELECT SUM(Col10) WHERE Col7 = ""&amp;B11&amp;"" AND Col1 &gt;= DATE '"" &amp; TEXT($C$2, ""YYYY-MM-DD"") &amp; ""' AND "&amp;"Col1 &lt;= DATE '"" &amp; TEXT($C$3, ""YYYY-MM-DD"") &amp; ""' LABEL SUM(Col10) ''"", 0), """")"),"#REF!")</f>
        <v>#REF!</v>
      </c>
      <c r="E11" s="13" t="str">
        <f>IFERROR(__xludf.DUMMYFUNCTION("IFNA(QUERY(IMPORTRANGE(""https://docs.google.com/spreadsheets/d/1EHL-jm_NiShR1a2JqKbpaJGazYH90DJO150spY6io4k/edit?gid=0#gid=0"", 
""Gen_Ledger!A:N""), 
""SELECT SUM(Col11) WHERE Col7 = ""&amp;B11&amp;"" AND Col1 &gt;= DATE '"" &amp; TEXT($C$2, ""YYYY-MM-DD"") &amp; ""' AND "&amp;"Col1 &lt;= DATE '"" &amp; TEXT($C$3, ""YYYY-MM-DD"") &amp; ""' LABEL SUM(Col11) ''"", 0), """")"),"#REF!")</f>
        <v>#REF!</v>
      </c>
      <c r="F11" s="13" t="str">
        <f t="shared" si="2"/>
        <v>#N/A</v>
      </c>
    </row>
    <row r="12" ht="15.75" customHeight="1">
      <c r="A12" s="1"/>
      <c r="B12" s="1"/>
      <c r="C12" s="13" t="str">
        <f>April_2025!F12</f>
        <v>#N/A</v>
      </c>
      <c r="D12" s="13" t="str">
        <f>IFERROR(__xludf.DUMMYFUNCTION("IFNA(QUERY(IMPORTRANGE(""https://docs.google.com/spreadsheets/d/1EHL-jm_NiShR1a2JqKbpaJGazYH90DJO150spY6io4k/edit?gid=0#gid=0"", 
""Gen_Ledger!A:N""), 
""SELECT SUM(Col10) WHERE Col7 = ""&amp;B12&amp;"" AND Col1 &gt;= DATE '"" &amp; TEXT($C$2, ""YYYY-MM-DD"") &amp; ""' AND "&amp;"Col1 &lt;= DATE '"" &amp; TEXT($C$3, ""YYYY-MM-DD"") &amp; ""' LABEL SUM(Col10) ''"", 0), """")"),"#REF!")</f>
        <v>#REF!</v>
      </c>
      <c r="E12" s="13" t="str">
        <f>IFERROR(__xludf.DUMMYFUNCTION("IFNA(QUERY(IMPORTRANGE(""https://docs.google.com/spreadsheets/d/1EHL-jm_NiShR1a2JqKbpaJGazYH90DJO150spY6io4k/edit?gid=0#gid=0"", 
""Gen_Ledger!A:N""), 
""SELECT SUM(Col11) WHERE Col7 = ""&amp;B12&amp;"" AND Col1 &gt;= DATE '"" &amp; TEXT($C$2, ""YYYY-MM-DD"") &amp; ""' AND "&amp;"Col1 &lt;= DATE '"" &amp; TEXT($C$3, ""YYYY-MM-DD"") &amp; ""' LABEL SUM(Col11) ''"", 0), """")"),"#REF!")</f>
        <v>#REF!</v>
      </c>
      <c r="F12" s="13" t="str">
        <f t="shared" si="2"/>
        <v>#N/A</v>
      </c>
    </row>
    <row r="13" ht="15.75" customHeight="1">
      <c r="A13" s="1"/>
      <c r="B13" s="1"/>
      <c r="C13" s="13" t="str">
        <f>April_2025!F13</f>
        <v>#N/A</v>
      </c>
      <c r="D13" s="13" t="str">
        <f>IFERROR(__xludf.DUMMYFUNCTION("IFNA(QUERY(IMPORTRANGE(""https://docs.google.com/spreadsheets/d/1EHL-jm_NiShR1a2JqKbpaJGazYH90DJO150spY6io4k/edit?gid=0#gid=0"", 
""Gen_Ledger!A:N""), 
""SELECT SUM(Col10) WHERE Col7 = ""&amp;B13&amp;"" AND Col1 &gt;= DATE '"" &amp; TEXT($C$2, ""YYYY-MM-DD"") &amp; ""' AND "&amp;"Col1 &lt;= DATE '"" &amp; TEXT($C$3, ""YYYY-MM-DD"") &amp; ""' LABEL SUM(Col10) ''"", 0), """")"),"#REF!")</f>
        <v>#REF!</v>
      </c>
      <c r="E13" s="13" t="str">
        <f>IFERROR(__xludf.DUMMYFUNCTION("IFNA(QUERY(IMPORTRANGE(""https://docs.google.com/spreadsheets/d/1EHL-jm_NiShR1a2JqKbpaJGazYH90DJO150spY6io4k/edit?gid=0#gid=0"", 
""Gen_Ledger!A:N""), 
""SELECT SUM(Col11) WHERE Col7 = ""&amp;B13&amp;"" AND Col1 &gt;= DATE '"" &amp; TEXT($C$2, ""YYYY-MM-DD"") &amp; ""' AND "&amp;"Col1 &lt;= DATE '"" &amp; TEXT($C$3, ""YYYY-MM-DD"") &amp; ""' LABEL SUM(Col11) ''"", 0), """")"),"#REF!")</f>
        <v>#REF!</v>
      </c>
      <c r="F13" s="13" t="str">
        <f t="shared" si="2"/>
        <v>#N/A</v>
      </c>
      <c r="I13" s="4"/>
    </row>
    <row r="14" ht="15.75" customHeight="1">
      <c r="A14" s="1"/>
      <c r="B14" s="1"/>
      <c r="C14" s="13" t="str">
        <f>April_2025!F14</f>
        <v>#N/A</v>
      </c>
      <c r="D14" s="13" t="str">
        <f>IFERROR(__xludf.DUMMYFUNCTION("IFNA(QUERY(IMPORTRANGE(""https://docs.google.com/spreadsheets/d/1EHL-jm_NiShR1a2JqKbpaJGazYH90DJO150spY6io4k/edit?gid=0#gid=0"", 
""Gen_Ledger!A:N""), 
""SELECT SUM(Col10) WHERE Col7 = ""&amp;B14&amp;"" AND Col1 &gt;= DATE '"" &amp; TEXT($C$2, ""YYYY-MM-DD"") &amp; ""' AND "&amp;"Col1 &lt;= DATE '"" &amp; TEXT($C$3, ""YYYY-MM-DD"") &amp; ""' LABEL SUM(Col10) ''"", 0), """")"),"#REF!")</f>
        <v>#REF!</v>
      </c>
      <c r="E14" s="13" t="str">
        <f>IFERROR(__xludf.DUMMYFUNCTION("IFNA(QUERY(IMPORTRANGE(""https://docs.google.com/spreadsheets/d/1EHL-jm_NiShR1a2JqKbpaJGazYH90DJO150spY6io4k/edit?gid=0#gid=0"", 
""Gen_Ledger!A:N""), 
""SELECT SUM(Col11) WHERE Col7 = ""&amp;B14&amp;"" AND Col1 &gt;= DATE '"" &amp; TEXT($C$2, ""YYYY-MM-DD"") &amp; ""' AND "&amp;"Col1 &lt;= DATE '"" &amp; TEXT($C$3, ""YYYY-MM-DD"") &amp; ""' LABEL SUM(Col11) ''"", 0), """")"),"#REF!")</f>
        <v>#REF!</v>
      </c>
      <c r="F14" s="13" t="str">
        <f t="shared" si="2"/>
        <v>#N/A</v>
      </c>
    </row>
    <row r="15" ht="15.75" customHeight="1">
      <c r="A15" s="1"/>
      <c r="B15" s="1"/>
      <c r="C15" s="13" t="str">
        <f>April_2025!F15</f>
        <v>#N/A</v>
      </c>
      <c r="D15" s="13" t="str">
        <f>IFERROR(__xludf.DUMMYFUNCTION("IFNA(QUERY(IMPORTRANGE(""https://docs.google.com/spreadsheets/d/1EHL-jm_NiShR1a2JqKbpaJGazYH90DJO150spY6io4k/edit?gid=0#gid=0"", 
""Gen_Ledger!A:N""), 
""SELECT SUM(Col10) WHERE Col7 = ""&amp;B15&amp;"" AND Col1 &gt;= DATE '"" &amp; TEXT($C$2, ""YYYY-MM-DD"") &amp; ""' AND "&amp;"Col1 &lt;= DATE '"" &amp; TEXT($C$3, ""YYYY-MM-DD"") &amp; ""' LABEL SUM(Col10) ''"", 0), """")"),"#REF!")</f>
        <v>#REF!</v>
      </c>
      <c r="E15" s="13" t="str">
        <f>IFERROR(__xludf.DUMMYFUNCTION("IFNA(QUERY(IMPORTRANGE(""https://docs.google.com/spreadsheets/d/1EHL-jm_NiShR1a2JqKbpaJGazYH90DJO150spY6io4k/edit?gid=0#gid=0"", 
""Gen_Ledger!A:N""), 
""SELECT SUM(Col11) WHERE Col7 = ""&amp;B15&amp;"" AND Col1 &gt;= DATE '"" &amp; TEXT($C$2, ""YYYY-MM-DD"") &amp; ""' AND "&amp;"Col1 &lt;= DATE '"" &amp; TEXT($C$3, ""YYYY-MM-DD"") &amp; ""' LABEL SUM(Col11) ''"", 0), """")"),"#REF!")</f>
        <v>#REF!</v>
      </c>
      <c r="F15" s="13" t="str">
        <f t="shared" si="2"/>
        <v>#N/A</v>
      </c>
    </row>
    <row r="16" ht="15.75" customHeight="1">
      <c r="A16" s="1"/>
      <c r="B16" s="1"/>
      <c r="C16" s="13" t="str">
        <f>April_2025!F16</f>
        <v>#N/A</v>
      </c>
      <c r="D16" s="13" t="str">
        <f>IFERROR(__xludf.DUMMYFUNCTION("IFNA(QUERY(IMPORTRANGE(""https://docs.google.com/spreadsheets/d/1EHL-jm_NiShR1a2JqKbpaJGazYH90DJO150spY6io4k/edit?gid=0#gid=0"", 
""Gen_Ledger!A:N""), 
""SELECT SUM(Col10) WHERE Col7 = ""&amp;B16&amp;"" AND Col1 &gt;= DATE '"" &amp; TEXT($C$2, ""YYYY-MM-DD"") &amp; ""' AND "&amp;"Col1 &lt;= DATE '"" &amp; TEXT($C$3, ""YYYY-MM-DD"") &amp; ""' LABEL SUM(Col10) ''"", 0), """")"),"#REF!")</f>
        <v>#REF!</v>
      </c>
      <c r="E16" s="13" t="str">
        <f>IFERROR(__xludf.DUMMYFUNCTION("IFNA(QUERY(IMPORTRANGE(""https://docs.google.com/spreadsheets/d/1EHL-jm_NiShR1a2JqKbpaJGazYH90DJO150spY6io4k/edit?gid=0#gid=0"", 
""Gen_Ledger!A:N""), 
""SELECT SUM(Col11) WHERE Col7 = ""&amp;B16&amp;"" AND Col1 &gt;= DATE '"" &amp; TEXT($C$2, ""YYYY-MM-DD"") &amp; ""' AND "&amp;"Col1 &lt;= DATE '"" &amp; TEXT($C$3, ""YYYY-MM-DD"") &amp; ""' LABEL SUM(Col11) ''"", 0), """")"),"#REF!")</f>
        <v>#REF!</v>
      </c>
      <c r="F16" s="13" t="str">
        <f t="shared" si="2"/>
        <v>#N/A</v>
      </c>
    </row>
    <row r="17" ht="15.75" customHeight="1">
      <c r="A17" s="1"/>
      <c r="B17" s="1"/>
      <c r="C17" s="13" t="str">
        <f>April_2025!F17</f>
        <v>#N/A</v>
      </c>
      <c r="D17" s="13" t="str">
        <f>IFERROR(__xludf.DUMMYFUNCTION("IFNA(QUERY(IMPORTRANGE(""https://docs.google.com/spreadsheets/d/1EHL-jm_NiShR1a2JqKbpaJGazYH90DJO150spY6io4k/edit?gid=0#gid=0"", 
""Gen_Ledger!A:N""), 
""SELECT SUM(Col10) WHERE Col7 = ""&amp;B17&amp;"" AND Col1 &gt;= DATE '"" &amp; TEXT($C$2, ""YYYY-MM-DD"") &amp; ""' AND "&amp;"Col1 &lt;= DATE '"" &amp; TEXT($C$3, ""YYYY-MM-DD"") &amp; ""' LABEL SUM(Col10) ''"", 0), """")"),"#REF!")</f>
        <v>#REF!</v>
      </c>
      <c r="E17" s="13" t="str">
        <f>IFERROR(__xludf.DUMMYFUNCTION("IFNA(QUERY(IMPORTRANGE(""https://docs.google.com/spreadsheets/d/1EHL-jm_NiShR1a2JqKbpaJGazYH90DJO150spY6io4k/edit?gid=0#gid=0"", 
""Gen_Ledger!A:N""), 
""SELECT SUM(Col11) WHERE Col7 = ""&amp;B17&amp;"" AND Col1 &gt;= DATE '"" &amp; TEXT($C$2, ""YYYY-MM-DD"") &amp; ""' AND "&amp;"Col1 &lt;= DATE '"" &amp; TEXT($C$3, ""YYYY-MM-DD"") &amp; ""' LABEL SUM(Col11) ''"", 0), """")"),"#REF!")</f>
        <v>#REF!</v>
      </c>
      <c r="F17" s="13" t="str">
        <f t="shared" si="2"/>
        <v>#N/A</v>
      </c>
    </row>
    <row r="18" ht="15.75" customHeight="1">
      <c r="A18" s="1"/>
      <c r="B18" s="1"/>
      <c r="C18" s="13" t="str">
        <f>April_2025!F18</f>
        <v>#N/A</v>
      </c>
      <c r="D18" s="13" t="str">
        <f>IFERROR(__xludf.DUMMYFUNCTION("IFNA(QUERY(IMPORTRANGE(""https://docs.google.com/spreadsheets/d/1EHL-jm_NiShR1a2JqKbpaJGazYH90DJO150spY6io4k/edit?gid=0#gid=0"", 
""Gen_Ledger!A:N""), 
""SELECT SUM(Col10) WHERE Col7 = ""&amp;B18&amp;"" AND Col1 &gt;= DATE '"" &amp; TEXT($C$2, ""YYYY-MM-DD"") &amp; ""' AND "&amp;"Col1 &lt;= DATE '"" &amp; TEXT($C$3, ""YYYY-MM-DD"") &amp; ""' LABEL SUM(Col10) ''"", 0), """")"),"#REF!")</f>
        <v>#REF!</v>
      </c>
      <c r="E18" s="13" t="str">
        <f>IFERROR(__xludf.DUMMYFUNCTION("IFNA(QUERY(IMPORTRANGE(""https://docs.google.com/spreadsheets/d/1EHL-jm_NiShR1a2JqKbpaJGazYH90DJO150spY6io4k/edit?gid=0#gid=0"", 
""Gen_Ledger!A:N""), 
""SELECT SUM(Col11) WHERE Col7 = ""&amp;B18&amp;"" AND Col1 &gt;= DATE '"" &amp; TEXT($C$2, ""YYYY-MM-DD"") &amp; ""' AND "&amp;"Col1 &lt;= DATE '"" &amp; TEXT($C$3, ""YYYY-MM-DD"") &amp; ""' LABEL SUM(Col11) ''"", 0), """")"),"#REF!")</f>
        <v>#REF!</v>
      </c>
      <c r="F18" s="13" t="str">
        <f t="shared" si="2"/>
        <v>#N/A</v>
      </c>
    </row>
    <row r="19" ht="15.75" customHeight="1">
      <c r="A19" s="1"/>
      <c r="B19" s="1"/>
      <c r="C19" s="13" t="str">
        <f>April_2025!F19</f>
        <v>#N/A</v>
      </c>
      <c r="D19" s="13" t="str">
        <f>IFERROR(__xludf.DUMMYFUNCTION("IFNA(QUERY(IMPORTRANGE(""https://docs.google.com/spreadsheets/d/1EHL-jm_NiShR1a2JqKbpaJGazYH90DJO150spY6io4k/edit?gid=0#gid=0"", 
""Gen_Ledger!A:N""), 
""SELECT SUM(Col10) WHERE Col7 = ""&amp;B19&amp;"" AND Col1 &gt;= DATE '"" &amp; TEXT($C$2, ""YYYY-MM-DD"") &amp; ""' AND "&amp;"Col1 &lt;= DATE '"" &amp; TEXT($C$3, ""YYYY-MM-DD"") &amp; ""' LABEL SUM(Col10) ''"", 0), """")"),"#REF!")</f>
        <v>#REF!</v>
      </c>
      <c r="E19" s="13" t="str">
        <f>IFERROR(__xludf.DUMMYFUNCTION("IFNA(QUERY(IMPORTRANGE(""https://docs.google.com/spreadsheets/d/1EHL-jm_NiShR1a2JqKbpaJGazYH90DJO150spY6io4k/edit?gid=0#gid=0"", 
""Gen_Ledger!A:N""), 
""SELECT SUM(Col11) WHERE Col7 = ""&amp;B19&amp;"" AND Col1 &gt;= DATE '"" &amp; TEXT($C$2, ""YYYY-MM-DD"") &amp; ""' AND "&amp;"Col1 &lt;= DATE '"" &amp; TEXT($C$3, ""YYYY-MM-DD"") &amp; ""' LABEL SUM(Col11) ''"", 0), """")"),"#REF!")</f>
        <v>#REF!</v>
      </c>
      <c r="F19" s="13" t="str">
        <f t="shared" si="2"/>
        <v>#N/A</v>
      </c>
    </row>
    <row r="20" ht="15.75" customHeight="1">
      <c r="A20" s="1"/>
      <c r="B20" s="1"/>
      <c r="C20" s="13" t="str">
        <f>April_2025!F20</f>
        <v>#N/A</v>
      </c>
      <c r="D20" s="13" t="str">
        <f>IFERROR(__xludf.DUMMYFUNCTION("IFNA(QUERY(IMPORTRANGE(""https://docs.google.com/spreadsheets/d/1EHL-jm_NiShR1a2JqKbpaJGazYH90DJO150spY6io4k/edit?gid=0#gid=0"", 
""Gen_Ledger!A:N""), 
""SELECT SUM(Col10) WHERE Col7 = ""&amp;B20&amp;"" AND Col1 &gt;= DATE '"" &amp; TEXT($C$2, ""YYYY-MM-DD"") &amp; ""' AND "&amp;"Col1 &lt;= DATE '"" &amp; TEXT($C$3, ""YYYY-MM-DD"") &amp; ""' LABEL SUM(Col10) ''"", 0), """")"),"#REF!")</f>
        <v>#REF!</v>
      </c>
      <c r="E20" s="13" t="str">
        <f>IFERROR(__xludf.DUMMYFUNCTION("IFNA(QUERY(IMPORTRANGE(""https://docs.google.com/spreadsheets/d/1EHL-jm_NiShR1a2JqKbpaJGazYH90DJO150spY6io4k/edit?gid=0#gid=0"", 
""Gen_Ledger!A:N""), 
""SELECT SUM(Col11) WHERE Col7 = ""&amp;B20&amp;"" AND Col1 &gt;= DATE '"" &amp; TEXT($C$2, ""YYYY-MM-DD"") &amp; ""' AND "&amp;"Col1 &lt;= DATE '"" &amp; TEXT($C$3, ""YYYY-MM-DD"") &amp; ""' LABEL SUM(Col11) ''"", 0), """")"),"#REF!")</f>
        <v>#REF!</v>
      </c>
      <c r="F20" s="13" t="str">
        <f t="shared" si="2"/>
        <v>#N/A</v>
      </c>
    </row>
    <row r="21" ht="15.75" customHeight="1">
      <c r="A21" s="1"/>
      <c r="B21" s="1"/>
      <c r="C21" s="13" t="str">
        <f>April_2025!F21</f>
        <v>#N/A</v>
      </c>
      <c r="D21" s="13" t="str">
        <f>IFERROR(__xludf.DUMMYFUNCTION("IFNA(QUERY(IMPORTRANGE(""https://docs.google.com/spreadsheets/d/1EHL-jm_NiShR1a2JqKbpaJGazYH90DJO150spY6io4k/edit?gid=0#gid=0"", 
""Gen_Ledger!A:N""), 
""SELECT SUM(Col10) WHERE Col7 = ""&amp;B21&amp;"" AND Col1 &gt;= DATE '"" &amp; TEXT($C$2, ""YYYY-MM-DD"") &amp; ""' AND "&amp;"Col1 &lt;= DATE '"" &amp; TEXT($C$3, ""YYYY-MM-DD"") &amp; ""' LABEL SUM(Col10) ''"", 0), """")"),"#REF!")</f>
        <v>#REF!</v>
      </c>
      <c r="E21" s="13" t="str">
        <f>IFERROR(__xludf.DUMMYFUNCTION("IFNA(QUERY(IMPORTRANGE(""https://docs.google.com/spreadsheets/d/1EHL-jm_NiShR1a2JqKbpaJGazYH90DJO150spY6io4k/edit?gid=0#gid=0"", 
""Gen_Ledger!A:N""), 
""SELECT SUM(Col11) WHERE Col7 = ""&amp;B21&amp;"" AND Col1 &gt;= DATE '"" &amp; TEXT($C$2, ""YYYY-MM-DD"") &amp; ""' AND "&amp;"Col1 &lt;= DATE '"" &amp; TEXT($C$3, ""YYYY-MM-DD"") &amp; ""' LABEL SUM(Col11) ''"", 0), """")"),"#REF!")</f>
        <v>#REF!</v>
      </c>
      <c r="F21" s="13" t="str">
        <f t="shared" si="2"/>
        <v>#N/A</v>
      </c>
      <c r="M21" s="12"/>
    </row>
    <row r="22" ht="15.75" customHeight="1">
      <c r="A22" s="1"/>
      <c r="B22" s="1"/>
      <c r="C22" s="13" t="str">
        <f>April_2025!F22</f>
        <v>#N/A</v>
      </c>
      <c r="D22" s="13" t="str">
        <f>IFERROR(__xludf.DUMMYFUNCTION("IFNA(QUERY(IMPORTRANGE(""https://docs.google.com/spreadsheets/d/1EHL-jm_NiShR1a2JqKbpaJGazYH90DJO150spY6io4k/edit?gid=0#gid=0"", 
""Gen_Ledger!A:N""), 
""SELECT SUM(Col10) WHERE Col7 = ""&amp;B22&amp;"" AND Col1 &gt;= DATE '"" &amp; TEXT($C$2, ""YYYY-MM-DD"") &amp; ""' AND "&amp;"Col1 &lt;= DATE '"" &amp; TEXT($C$3, ""YYYY-MM-DD"") &amp; ""' LABEL SUM(Col10) ''"", 0), """")"),"#REF!")</f>
        <v>#REF!</v>
      </c>
      <c r="E22" s="13" t="str">
        <f>IFERROR(__xludf.DUMMYFUNCTION("IFNA(QUERY(IMPORTRANGE(""https://docs.google.com/spreadsheets/d/1EHL-jm_NiShR1a2JqKbpaJGazYH90DJO150spY6io4k/edit?gid=0#gid=0"", 
""Gen_Ledger!A:N""), 
""SELECT SUM(Col11) WHERE Col7 = ""&amp;B22&amp;"" AND Col1 &gt;= DATE '"" &amp; TEXT($C$2, ""YYYY-MM-DD"") &amp; ""' AND "&amp;"Col1 &lt;= DATE '"" &amp; TEXT($C$3, ""YYYY-MM-DD"") &amp; ""' LABEL SUM(Col11) ''"", 0), """")"),"#REF!")</f>
        <v>#REF!</v>
      </c>
      <c r="F22" s="13" t="str">
        <f t="shared" ref="F22:F25" si="3">C22+E22</f>
        <v>#N/A</v>
      </c>
      <c r="M22" s="12"/>
    </row>
    <row r="23" ht="15.75" customHeight="1">
      <c r="A23" s="1"/>
      <c r="B23" s="1"/>
      <c r="C23" s="13" t="str">
        <f>April_2025!F23</f>
        <v>#N/A</v>
      </c>
      <c r="D23" s="13" t="str">
        <f>IFERROR(__xludf.DUMMYFUNCTION("IFNA(QUERY(IMPORTRANGE(""https://docs.google.com/spreadsheets/d/1EHL-jm_NiShR1a2JqKbpaJGazYH90DJO150spY6io4k/edit?gid=0#gid=0"", 
""Gen_Ledger!A:N""), 
""SELECT SUM(Col10) WHERE Col7 = ""&amp;B23&amp;"" AND Col1 &gt;= DATE '"" &amp; TEXT($C$2, ""YYYY-MM-DD"") &amp; ""' AND "&amp;"Col1 &lt;= DATE '"" &amp; TEXT($C$3, ""YYYY-MM-DD"") &amp; ""' LABEL SUM(Col10) ''"", 0), """")"),"#REF!")</f>
        <v>#REF!</v>
      </c>
      <c r="E23" s="13" t="str">
        <f>IFERROR(__xludf.DUMMYFUNCTION("IFNA(QUERY(IMPORTRANGE(""https://docs.google.com/spreadsheets/d/1EHL-jm_NiShR1a2JqKbpaJGazYH90DJO150spY6io4k/edit?gid=0#gid=0"", 
""Gen_Ledger!A:N""), 
""SELECT SUM(Col11) WHERE Col7 = ""&amp;B23&amp;"" AND Col1 &gt;= DATE '"" &amp; TEXT($C$2, ""YYYY-MM-DD"") &amp; ""' AND "&amp;"Col1 &lt;= DATE '"" &amp; TEXT($C$3, ""YYYY-MM-DD"") &amp; ""' LABEL SUM(Col11) ''"", 0), """")"),"#REF!")</f>
        <v>#REF!</v>
      </c>
      <c r="F23" s="13" t="str">
        <f t="shared" si="3"/>
        <v>#N/A</v>
      </c>
      <c r="M23" s="12"/>
    </row>
    <row r="24" ht="15.75" customHeight="1">
      <c r="A24" s="1"/>
      <c r="B24" s="1"/>
      <c r="C24" s="13" t="str">
        <f>April_2025!F24</f>
        <v>#N/A</v>
      </c>
      <c r="D24" s="13" t="str">
        <f>IFERROR(__xludf.DUMMYFUNCTION("IFNA(QUERY(IMPORTRANGE(""https://docs.google.com/spreadsheets/d/1EHL-jm_NiShR1a2JqKbpaJGazYH90DJO150spY6io4k/edit?gid=0#gid=0"", 
""Gen_Ledger!A:N""), 
""SELECT SUM(Col10) WHERE Col7 = ""&amp;B24&amp;"" AND Col1 &gt;= DATE '"" &amp; TEXT($C$2, ""YYYY-MM-DD"") &amp; ""' AND "&amp;"Col1 &lt;= DATE '"" &amp; TEXT($C$3, ""YYYY-MM-DD"") &amp; ""' LABEL SUM(Col10) ''"", 0), """")"),"#REF!")</f>
        <v>#REF!</v>
      </c>
      <c r="E24" s="13" t="str">
        <f>IFERROR(__xludf.DUMMYFUNCTION("IFNA(QUERY(IMPORTRANGE(""https://docs.google.com/spreadsheets/d/1EHL-jm_NiShR1a2JqKbpaJGazYH90DJO150spY6io4k/edit?gid=0#gid=0"", 
""Gen_Ledger!A:N""), 
""SELECT SUM(Col11) WHERE Col7 = ""&amp;B24&amp;"" AND Col1 &gt;= DATE '"" &amp; TEXT($C$2, ""YYYY-MM-DD"") &amp; ""' AND "&amp;"Col1 &lt;= DATE '"" &amp; TEXT($C$3, ""YYYY-MM-DD"") &amp; ""' LABEL SUM(Col11) ''"", 0), """")"),"#REF!")</f>
        <v>#REF!</v>
      </c>
      <c r="F24" s="13" t="str">
        <f t="shared" si="3"/>
        <v>#N/A</v>
      </c>
      <c r="M24" s="12"/>
    </row>
    <row r="25" ht="15.75" customHeight="1">
      <c r="A25" s="1"/>
      <c r="B25" s="1"/>
      <c r="C25" s="13" t="str">
        <f>April_2025!F25</f>
        <v>#N/A</v>
      </c>
      <c r="D25" s="13" t="str">
        <f>IFERROR(__xludf.DUMMYFUNCTION("IFNA(QUERY(IMPORTRANGE(""https://docs.google.com/spreadsheets/d/1EHL-jm_NiShR1a2JqKbpaJGazYH90DJO150spY6io4k/edit?gid=0#gid=0"", 
""Gen_Ledger!A:N""), 
""SELECT SUM(Col10) WHERE Col7 = ""&amp;B25&amp;"" AND Col1 &gt;= DATE '"" &amp; TEXT($C$2, ""YYYY-MM-DD"") &amp; ""' AND "&amp;"Col1 &lt;= DATE '"" &amp; TEXT($C$3, ""YYYY-MM-DD"") &amp; ""' LABEL SUM(Col10) ''"", 0), """")"),"#REF!")</f>
        <v>#REF!</v>
      </c>
      <c r="E25" s="13" t="str">
        <f>IFERROR(__xludf.DUMMYFUNCTION("IFNA(QUERY(IMPORTRANGE(""https://docs.google.com/spreadsheets/d/1EHL-jm_NiShR1a2JqKbpaJGazYH90DJO150spY6io4k/edit?gid=0#gid=0"", 
""Gen_Ledger!A:N""), 
""SELECT SUM(Col11) WHERE Col7 = ""&amp;B25&amp;"" AND Col1 &gt;= DATE '"" &amp; TEXT($C$2, ""YYYY-MM-DD"") &amp; ""' AND "&amp;"Col1 &lt;= DATE '"" &amp; TEXT($C$3, ""YYYY-MM-DD"") &amp; ""' LABEL SUM(Col11) ''"", 0), """")"),"#REF!")</f>
        <v>#REF!</v>
      </c>
      <c r="F25" s="13" t="str">
        <f t="shared" si="3"/>
        <v>#N/A</v>
      </c>
    </row>
    <row r="26" ht="15.75" customHeight="1">
      <c r="A26" s="1"/>
      <c r="B26" s="1"/>
      <c r="C26" s="13" t="str">
        <f>April_2025!F26</f>
        <v>#N/A</v>
      </c>
      <c r="D26" s="13" t="str">
        <f>IFERROR(__xludf.DUMMYFUNCTION("IFNA(QUERY(IMPORTRANGE(""https://docs.google.com/spreadsheets/d/1EHL-jm_NiShR1a2JqKbpaJGazYH90DJO150spY6io4k/edit?gid=0#gid=0"", 
""Gen_Ledger!A:N""), 
""SELECT SUM(Col10) WHERE Col7 = ""&amp;B26&amp;"" AND Col1 &gt;= DATE '"" &amp; TEXT($C$2, ""YYYY-MM-DD"") &amp; ""' AND "&amp;"Col1 &lt;= DATE '"" &amp; TEXT($C$3, ""YYYY-MM-DD"") &amp; ""' LABEL SUM(Col10) ''"", 0), """")"),"#REF!")</f>
        <v>#REF!</v>
      </c>
      <c r="E26" s="13" t="str">
        <f>IFERROR(__xludf.DUMMYFUNCTION("IFNA(QUERY(IMPORTRANGE(""https://docs.google.com/spreadsheets/d/1EHL-jm_NiShR1a2JqKbpaJGazYH90DJO150spY6io4k/edit?gid=0#gid=0"", 
""Gen_Ledger!A:N""), 
""SELECT SUM(Col11) WHERE Col7 = ""&amp;B26&amp;"" AND Col1 &gt;= DATE '"" &amp; TEXT($C$2, ""YYYY-MM-DD"") &amp; ""' AND "&amp;"Col1 &lt;= DATE '"" &amp; TEXT($C$3, ""YYYY-MM-DD"") &amp; ""' LABEL SUM(Col11) ''"", 0), """")"),"#REF!")</f>
        <v>#REF!</v>
      </c>
      <c r="F26" s="13" t="str">
        <f t="shared" ref="F26:F36" si="4">C26+E26-D26</f>
        <v>#N/A</v>
      </c>
    </row>
    <row r="27" ht="15.75" customHeight="1">
      <c r="A27" s="1"/>
      <c r="B27" s="1"/>
      <c r="C27" s="13" t="str">
        <f>April_2025!F27</f>
        <v>#N/A</v>
      </c>
      <c r="D27" s="13" t="str">
        <f>IFERROR(__xludf.DUMMYFUNCTION("IFNA(QUERY(IMPORTRANGE(""https://docs.google.com/spreadsheets/d/1EHL-jm_NiShR1a2JqKbpaJGazYH90DJO150spY6io4k/edit?gid=0#gid=0"", 
""Gen_Ledger!A:N""), 
""SELECT SUM(Col10) WHERE Col7 = ""&amp;B27&amp;"" AND Col1 &gt;= DATE '"" &amp; TEXT($C$2, ""YYYY-MM-DD"") &amp; ""' AND "&amp;"Col1 &lt;= DATE '"" &amp; TEXT($C$3, ""YYYY-MM-DD"") &amp; ""' LABEL SUM(Col10) ''"", 0), """")"),"#REF!")</f>
        <v>#REF!</v>
      </c>
      <c r="E27" s="13" t="str">
        <f>IFERROR(__xludf.DUMMYFUNCTION("IFNA(QUERY(IMPORTRANGE(""https://docs.google.com/spreadsheets/d/1EHL-jm_NiShR1a2JqKbpaJGazYH90DJO150spY6io4k/edit?gid=0#gid=0"", 
""Gen_Ledger!A:N""), 
""SELECT SUM(Col11) WHERE Col7 = ""&amp;B27&amp;"" AND Col1 &gt;= DATE '"" &amp; TEXT($C$2, ""YYYY-MM-DD"") &amp; ""' AND "&amp;"Col1 &lt;= DATE '"" &amp; TEXT($C$3, ""YYYY-MM-DD"") &amp; ""' LABEL SUM(Col11) ''"", 0), """")"),"#REF!")</f>
        <v>#REF!</v>
      </c>
      <c r="F27" s="13" t="str">
        <f t="shared" si="4"/>
        <v>#N/A</v>
      </c>
    </row>
    <row r="28" ht="15.75" customHeight="1">
      <c r="A28" s="1"/>
      <c r="B28" s="1"/>
      <c r="C28" s="13" t="str">
        <f>April_2025!F28</f>
        <v>#N/A</v>
      </c>
      <c r="D28" s="13" t="str">
        <f>IFERROR(__xludf.DUMMYFUNCTION("IFNA(QUERY(IMPORTRANGE(""https://docs.google.com/spreadsheets/d/1EHL-jm_NiShR1a2JqKbpaJGazYH90DJO150spY6io4k/edit?gid=0#gid=0"", 
""Gen_Ledger!A:N""), 
""SELECT SUM(Col10) WHERE Col7 = ""&amp;B28&amp;"" AND Col1 &gt;= DATE '"" &amp; TEXT($C$2, ""YYYY-MM-DD"") &amp; ""' AND "&amp;"Col1 &lt;= DATE '"" &amp; TEXT($C$3, ""YYYY-MM-DD"") &amp; ""' LABEL SUM(Col10) ''"", 0), """")"),"#REF!")</f>
        <v>#REF!</v>
      </c>
      <c r="E28" s="13" t="str">
        <f>IFERROR(__xludf.DUMMYFUNCTION("IFNA(QUERY(IMPORTRANGE(""https://docs.google.com/spreadsheets/d/1EHL-jm_NiShR1a2JqKbpaJGazYH90DJO150spY6io4k/edit?gid=0#gid=0"", 
""Gen_Ledger!A:N""), 
""SELECT SUM(Col11) WHERE Col7 = ""&amp;B28&amp;"" AND Col1 &gt;= DATE '"" &amp; TEXT($C$2, ""YYYY-MM-DD"") &amp; ""' AND "&amp;"Col1 &lt;= DATE '"" &amp; TEXT($C$3, ""YYYY-MM-DD"") &amp; ""' LABEL SUM(Col11) ''"", 0), """")"),"#REF!")</f>
        <v>#REF!</v>
      </c>
      <c r="F28" s="13" t="str">
        <f t="shared" si="4"/>
        <v>#N/A</v>
      </c>
    </row>
    <row r="29" ht="15.75" customHeight="1">
      <c r="A29" s="1"/>
      <c r="B29" s="1"/>
      <c r="C29" s="13" t="str">
        <f>April_2025!F29</f>
        <v>#N/A</v>
      </c>
      <c r="D29" s="13" t="str">
        <f>IFERROR(__xludf.DUMMYFUNCTION("IFNA(QUERY(IMPORTRANGE(""https://docs.google.com/spreadsheets/d/1EHL-jm_NiShR1a2JqKbpaJGazYH90DJO150spY6io4k/edit?gid=0#gid=0"", 
""Gen_Ledger!A:N""), 
""SELECT SUM(Col10) WHERE Col7 = ""&amp;B29&amp;"" AND Col1 &gt;= DATE '"" &amp; TEXT($C$2, ""YYYY-MM-DD"") &amp; ""' AND "&amp;"Col1 &lt;= DATE '"" &amp; TEXT($C$3, ""YYYY-MM-DD"") &amp; ""' LABEL SUM(Col10) ''"", 0), """")"),"#REF!")</f>
        <v>#REF!</v>
      </c>
      <c r="E29" s="13" t="str">
        <f>IFERROR(__xludf.DUMMYFUNCTION("IFNA(QUERY(IMPORTRANGE(""https://docs.google.com/spreadsheets/d/1EHL-jm_NiShR1a2JqKbpaJGazYH90DJO150spY6io4k/edit?gid=0#gid=0"", 
""Gen_Ledger!A:N""), 
""SELECT SUM(Col11) WHERE Col7 = ""&amp;B29&amp;"" AND Col1 &gt;= DATE '"" &amp; TEXT($C$2, ""YYYY-MM-DD"") &amp; ""' AND "&amp;"Col1 &lt;= DATE '"" &amp; TEXT($C$3, ""YYYY-MM-DD"") &amp; ""' LABEL SUM(Col11) ''"", 0), """")"),"#REF!")</f>
        <v>#REF!</v>
      </c>
      <c r="F29" s="13" t="str">
        <f t="shared" si="4"/>
        <v>#N/A</v>
      </c>
    </row>
    <row r="30" ht="15.75" customHeight="1">
      <c r="A30" s="1"/>
      <c r="B30" s="1"/>
      <c r="C30" s="13" t="str">
        <f>April_2025!F30</f>
        <v>#N/A</v>
      </c>
      <c r="D30" s="13" t="str">
        <f>IFERROR(__xludf.DUMMYFUNCTION("IFNA(QUERY(IMPORTRANGE(""https://docs.google.com/spreadsheets/d/1EHL-jm_NiShR1a2JqKbpaJGazYH90DJO150spY6io4k/edit?gid=0#gid=0"", 
""Gen_Ledger!A:N""), 
""SELECT SUM(Col10) WHERE Col7 = ""&amp;B30&amp;"" AND Col1 &gt;= DATE '"" &amp; TEXT($C$2, ""YYYY-MM-DD"") &amp; ""' AND "&amp;"Col1 &lt;= DATE '"" &amp; TEXT($C$3, ""YYYY-MM-DD"") &amp; ""' LABEL SUM(Col10) ''"", 0), """")"),"#REF!")</f>
        <v>#REF!</v>
      </c>
      <c r="E30" s="13" t="str">
        <f>IFERROR(__xludf.DUMMYFUNCTION("IFNA(QUERY(IMPORTRANGE(""https://docs.google.com/spreadsheets/d/1EHL-jm_NiShR1a2JqKbpaJGazYH90DJO150spY6io4k/edit?gid=0#gid=0"", 
""Gen_Ledger!A:N""), 
""SELECT SUM(Col11) WHERE Col7 = ""&amp;B30&amp;"" AND Col1 &gt;= DATE '"" &amp; TEXT($C$2, ""YYYY-MM-DD"") &amp; ""' AND "&amp;"Col1 &lt;= DATE '"" &amp; TEXT($C$3, ""YYYY-MM-DD"") &amp; ""' LABEL SUM(Col11) ''"", 0), """")"),"#REF!")</f>
        <v>#REF!</v>
      </c>
      <c r="F30" s="13" t="str">
        <f t="shared" si="4"/>
        <v>#N/A</v>
      </c>
    </row>
    <row r="31" ht="15.75" customHeight="1">
      <c r="A31" s="1"/>
      <c r="B31" s="1"/>
      <c r="C31" s="13" t="str">
        <f>April_2025!F31</f>
        <v>#N/A</v>
      </c>
      <c r="D31" s="13" t="str">
        <f>IFERROR(__xludf.DUMMYFUNCTION("IFNA(QUERY(IMPORTRANGE(""https://docs.google.com/spreadsheets/d/1EHL-jm_NiShR1a2JqKbpaJGazYH90DJO150spY6io4k/edit?gid=0#gid=0"", 
""Gen_Ledger!A:N""), 
""SELECT SUM(Col10) WHERE Col7 = ""&amp;B31&amp;"" AND Col1 &gt;= DATE '"" &amp; TEXT($C$2, ""YYYY-MM-DD"") &amp; ""' AND "&amp;"Col1 &lt;= DATE '"" &amp; TEXT($C$3, ""YYYY-MM-DD"") &amp; ""' LABEL SUM(Col10) ''"", 0), """")"),"#REF!")</f>
        <v>#REF!</v>
      </c>
      <c r="E31" s="13" t="str">
        <f>IFERROR(__xludf.DUMMYFUNCTION("IFNA(QUERY(IMPORTRANGE(""https://docs.google.com/spreadsheets/d/1EHL-jm_NiShR1a2JqKbpaJGazYH90DJO150spY6io4k/edit?gid=0#gid=0"", 
""Gen_Ledger!A:N""), 
""SELECT SUM(Col11) WHERE Col7 = ""&amp;B31&amp;"" AND Col1 &gt;= DATE '"" &amp; TEXT($C$2, ""YYYY-MM-DD"") &amp; ""' AND "&amp;"Col1 &lt;= DATE '"" &amp; TEXT($C$3, ""YYYY-MM-DD"") &amp; ""' LABEL SUM(Col11) ''"", 0), """")"),"#REF!")</f>
        <v>#REF!</v>
      </c>
      <c r="F31" s="13" t="str">
        <f t="shared" si="4"/>
        <v>#N/A</v>
      </c>
    </row>
    <row r="32" ht="15.75" customHeight="1">
      <c r="A32" s="1"/>
      <c r="B32" s="1"/>
      <c r="C32" s="13" t="str">
        <f>April_2025!F32</f>
        <v>#N/A</v>
      </c>
      <c r="D32" s="13" t="str">
        <f>IFERROR(__xludf.DUMMYFUNCTION("IFNA(QUERY(IMPORTRANGE(""https://docs.google.com/spreadsheets/d/1EHL-jm_NiShR1a2JqKbpaJGazYH90DJO150spY6io4k/edit?gid=0#gid=0"", 
""Gen_Ledger!A:N""), 
""SELECT SUM(Col10) WHERE Col7 = ""&amp;B32&amp;"" AND Col1 &gt;= DATE '"" &amp; TEXT($C$2, ""YYYY-MM-DD"") &amp; ""' AND "&amp;"Col1 &lt;= DATE '"" &amp; TEXT($C$3, ""YYYY-MM-DD"") &amp; ""' LABEL SUM(Col10) ''"", 0), """")"),"#REF!")</f>
        <v>#REF!</v>
      </c>
      <c r="E32" s="13" t="str">
        <f>IFERROR(__xludf.DUMMYFUNCTION("IFNA(QUERY(IMPORTRANGE(""https://docs.google.com/spreadsheets/d/1EHL-jm_NiShR1a2JqKbpaJGazYH90DJO150spY6io4k/edit?gid=0#gid=0"", 
""Gen_Ledger!A:N""), 
""SELECT SUM(Col11) WHERE Col7 = ""&amp;B32&amp;"" AND Col1 &gt;= DATE '"" &amp; TEXT($C$2, ""YYYY-MM-DD"") &amp; ""' AND "&amp;"Col1 &lt;= DATE '"" &amp; TEXT($C$3, ""YYYY-MM-DD"") &amp; ""' LABEL SUM(Col11) ''"", 0), """")"),"#REF!")</f>
        <v>#REF!</v>
      </c>
      <c r="F32" s="13" t="str">
        <f t="shared" si="4"/>
        <v>#N/A</v>
      </c>
    </row>
    <row r="33" ht="15.75" customHeight="1">
      <c r="A33" s="1"/>
      <c r="B33" s="1"/>
      <c r="C33" s="13" t="str">
        <f>April_2025!F33</f>
        <v>#N/A</v>
      </c>
      <c r="D33" s="13" t="str">
        <f>IFERROR(__xludf.DUMMYFUNCTION("IFNA(QUERY(IMPORTRANGE(""https://docs.google.com/spreadsheets/d/1EHL-jm_NiShR1a2JqKbpaJGazYH90DJO150spY6io4k/edit?gid=0#gid=0"", 
""Gen_Ledger!A:N""), 
""SELECT SUM(Col10) WHERE Col7 = ""&amp;B33&amp;"" AND Col1 &gt;= DATE '"" &amp; TEXT($C$2, ""YYYY-MM-DD"") &amp; ""' AND "&amp;"Col1 &lt;= DATE '"" &amp; TEXT($C$3, ""YYYY-MM-DD"") &amp; ""' LABEL SUM(Col10) ''"", 0), """")"),"#REF!")</f>
        <v>#REF!</v>
      </c>
      <c r="E33" s="13" t="str">
        <f>IFERROR(__xludf.DUMMYFUNCTION("IFNA(QUERY(IMPORTRANGE(""https://docs.google.com/spreadsheets/d/1EHL-jm_NiShR1a2JqKbpaJGazYH90DJO150spY6io4k/edit?gid=0#gid=0"", 
""Gen_Ledger!A:N""), 
""SELECT SUM(Col11) WHERE Col7 = ""&amp;B33&amp;"" AND Col1 &gt;= DATE '"" &amp; TEXT($C$2, ""YYYY-MM-DD"") &amp; ""' AND "&amp;"Col1 &lt;= DATE '"" &amp; TEXT($C$3, ""YYYY-MM-DD"") &amp; ""' LABEL SUM(Col11) ''"", 0), """")"),"#REF!")</f>
        <v>#REF!</v>
      </c>
      <c r="F33" s="13" t="str">
        <f t="shared" si="4"/>
        <v>#N/A</v>
      </c>
    </row>
    <row r="34" ht="15.75" customHeight="1">
      <c r="A34" s="1"/>
      <c r="B34" s="1"/>
      <c r="C34" s="13" t="str">
        <f>April_2025!F34</f>
        <v>#N/A</v>
      </c>
      <c r="D34" s="13" t="str">
        <f>IFERROR(__xludf.DUMMYFUNCTION("IFNA(QUERY(IMPORTRANGE(""https://docs.google.com/spreadsheets/d/1EHL-jm_NiShR1a2JqKbpaJGazYH90DJO150spY6io4k/edit?gid=0#gid=0"", 
""Gen_Ledger!A:N""), 
""SELECT SUM(Col10) WHERE Col7 = ""&amp;B34&amp;"" AND Col1 &gt;= DATE '"" &amp; TEXT($C$2, ""YYYY-MM-DD"") &amp; ""' AND "&amp;"Col1 &lt;= DATE '"" &amp; TEXT($C$3, ""YYYY-MM-DD"") &amp; ""' LABEL SUM(Col10) ''"", 0), """")"),"#REF!")</f>
        <v>#REF!</v>
      </c>
      <c r="E34" s="13" t="str">
        <f>IFERROR(__xludf.DUMMYFUNCTION("IFNA(QUERY(IMPORTRANGE(""https://docs.google.com/spreadsheets/d/1EHL-jm_NiShR1a2JqKbpaJGazYH90DJO150spY6io4k/edit?gid=0#gid=0"", 
""Gen_Ledger!A:N""), 
""SELECT SUM(Col11) WHERE Col7 = ""&amp;B34&amp;"" AND Col1 &gt;= DATE '"" &amp; TEXT($C$2, ""YYYY-MM-DD"") &amp; ""' AND "&amp;"Col1 &lt;= DATE '"" &amp; TEXT($C$3, ""YYYY-MM-DD"") &amp; ""' LABEL SUM(Col11) ''"", 0), """")"),"#REF!")</f>
        <v>#REF!</v>
      </c>
      <c r="F34" s="13" t="str">
        <f t="shared" si="4"/>
        <v>#N/A</v>
      </c>
    </row>
    <row r="35" ht="15.75" customHeight="1">
      <c r="A35" s="1"/>
      <c r="B35" s="1"/>
      <c r="C35" s="13" t="str">
        <f>April_2025!F35</f>
        <v>#N/A</v>
      </c>
      <c r="D35" s="13" t="str">
        <f>IFERROR(__xludf.DUMMYFUNCTION("IFNA(QUERY(IMPORTRANGE(""https://docs.google.com/spreadsheets/d/1EHL-jm_NiShR1a2JqKbpaJGazYH90DJO150spY6io4k/edit?gid=0#gid=0"", 
""Gen_Ledger!A:N""), 
""SELECT SUM(Col10) WHERE Col7 = ""&amp;B35&amp;"" AND Col1 &gt;= DATE '"" &amp; TEXT($C$2, ""YYYY-MM-DD"") &amp; ""' AND "&amp;"Col1 &lt;= DATE '"" &amp; TEXT($C$3, ""YYYY-MM-DD"") &amp; ""' LABEL SUM(Col10) ''"", 0), """")"),"#REF!")</f>
        <v>#REF!</v>
      </c>
      <c r="E35" s="13" t="str">
        <f>IFERROR(__xludf.DUMMYFUNCTION("IFNA(QUERY(IMPORTRANGE(""https://docs.google.com/spreadsheets/d/1EHL-jm_NiShR1a2JqKbpaJGazYH90DJO150spY6io4k/edit?gid=0#gid=0"", 
""Gen_Ledger!A:N""), 
""SELECT SUM(Col11) WHERE Col7 = ""&amp;B35&amp;"" AND Col1 &gt;= DATE '"" &amp; TEXT($C$2, ""YYYY-MM-DD"") &amp; ""' AND "&amp;"Col1 &lt;= DATE '"" &amp; TEXT($C$3, ""YYYY-MM-DD"") &amp; ""' LABEL SUM(Col11) ''"", 0), """")"),"#REF!")</f>
        <v>#REF!</v>
      </c>
      <c r="F35" s="13" t="str">
        <f t="shared" si="4"/>
        <v>#N/A</v>
      </c>
    </row>
    <row r="36" ht="15.75" customHeight="1">
      <c r="A36" s="1"/>
      <c r="B36" s="1"/>
      <c r="C36" s="2" t="str">
        <f>VLOOKUP(B36,Helper!$D$99:$F1000,3,FALSE)</f>
        <v>#N/A</v>
      </c>
      <c r="D36" s="13" t="str">
        <f>IFERROR(__xludf.DUMMYFUNCTION("IFNA(QUERY(IMPORTRANGE(""https://docs.google.com/spreadsheets/d/1EHL-jm_NiShR1a2JqKbpaJGazYH90DJO150spY6io4k/edit?gid=0#gid=0"", 
""Gen_Ledger!A:N""), 
""SELECT SUM(Col10) WHERE Col7 = ""&amp;B36&amp;"" AND Col1 &gt;= DATE '"" &amp; TEXT($C$2, ""YYYY-MM-DD"") &amp; ""' AND "&amp;"Col1 &lt;= DATE '"" &amp; TEXT($C$3, ""YYYY-MM-DD"") &amp; ""' LABEL SUM(Col10) ''"", 0), """")"),"#REF!")</f>
        <v>#REF!</v>
      </c>
      <c r="E36" s="13" t="str">
        <f>IFERROR(__xludf.DUMMYFUNCTION("IFNA(QUERY(IMPORTRANGE(""https://docs.google.com/spreadsheets/d/1EHL-jm_NiShR1a2JqKbpaJGazYH90DJO150spY6io4k/edit?gid=0#gid=0"", 
""Gen_Ledger!A:N""), 
""SELECT SUM(Col11) WHERE Col7 = ""&amp;B36&amp;"" AND Col1 &gt;= DATE '"" &amp; TEXT($C$2, ""YYYY-MM-DD"") &amp; ""' AND "&amp;"Col1 &lt;= DATE '"" &amp; TEXT($C$3, ""YYYY-MM-DD"") &amp; ""' LABEL SUM(Col11) ''"", 0), """")"),"#REF!")</f>
        <v>#REF!</v>
      </c>
      <c r="F36" s="13" t="str">
        <f t="shared" si="4"/>
        <v>#N/A</v>
      </c>
    </row>
    <row r="37" ht="15.75" customHeight="1">
      <c r="A37" s="1"/>
      <c r="B37" s="1"/>
      <c r="C37" s="2" t="str">
        <f>VLOOKUP(B37,Helper!$D$99:$F1000,3,FALSE)</f>
        <v>#N/A</v>
      </c>
      <c r="D37" s="13" t="str">
        <f>IFERROR(__xludf.DUMMYFUNCTION("IFNA(QUERY(IMPORTRANGE(""https://docs.google.com/spreadsheets/d/1EHL-jm_NiShR1a2JqKbpaJGazYH90DJO150spY6io4k/edit?gid=0#gid=0"", 
""Gen_Ledger!A:N""), 
""SELECT SUM(Col10) WHERE Col7 = ""&amp;B37&amp;"" AND Col1 &gt;= DATE '"" &amp; TEXT($C$2, ""YYYY-MM-DD"") &amp; ""' AND "&amp;"Col1 &lt;= DATE '"" &amp; TEXT($C$3, ""YYYY-MM-DD"") &amp; ""' LABEL SUM(Col10) ''"", 0), """")"),"#REF!")</f>
        <v>#REF!</v>
      </c>
      <c r="E37" s="13" t="str">
        <f>IFERROR(__xludf.DUMMYFUNCTION("IFNA(QUERY(IMPORTRANGE(""https://docs.google.com/spreadsheets/d/1EHL-jm_NiShR1a2JqKbpaJGazYH90DJO150spY6io4k/edit?gid=0#gid=0"", 
""Gen_Ledger!A:N""), 
""SELECT SUM(Col11) WHERE Col7 = ""&amp;B37&amp;"" AND Col1 &gt;= DATE '"" &amp; TEXT($C$2, ""YYYY-MM-DD"") &amp; ""' AND "&amp;"Col1 &lt;= DATE '"" &amp; TEXT($C$3, ""YYYY-MM-DD"") &amp; ""' LABEL SUM(Col11) ''"", 0), """")"),"#REF!")</f>
        <v>#REF!</v>
      </c>
      <c r="F37" s="13" t="str">
        <f t="shared" ref="F37:F38" si="5">E37</f>
        <v>#REF!</v>
      </c>
    </row>
    <row r="38" ht="15.75" customHeight="1">
      <c r="A38" s="1"/>
      <c r="B38" s="1"/>
      <c r="C38" s="2" t="str">
        <f>VLOOKUP(B38,Helper!$D$99:$F1000,3,FALSE)</f>
        <v>#N/A</v>
      </c>
      <c r="D38" s="13" t="str">
        <f>IFERROR(__xludf.DUMMYFUNCTION("IFNA(QUERY(IMPORTRANGE(""https://docs.google.com/spreadsheets/d/1EHL-jm_NiShR1a2JqKbpaJGazYH90DJO150spY6io4k/edit?gid=0#gid=0"", 
""Gen_Ledger!A:N""), 
""SELECT SUM(Col10) WHERE Col7 = ""&amp;B38&amp;"" AND Col1 &gt;= DATE '"" &amp; TEXT($C$2, ""YYYY-MM-DD"") &amp; ""' AND "&amp;"Col1 &lt;= DATE '"" &amp; TEXT($C$3, ""YYYY-MM-DD"") &amp; ""' LABEL SUM(Col10) ''"", 0), """")"),"#REF!")</f>
        <v>#REF!</v>
      </c>
      <c r="E38" s="13" t="str">
        <f>IFERROR(__xludf.DUMMYFUNCTION("IFNA(QUERY(IMPORTRANGE(""https://docs.google.com/spreadsheets/d/1EHL-jm_NiShR1a2JqKbpaJGazYH90DJO150spY6io4k/edit?gid=0#gid=0"", 
""Gen_Ledger!A:N""), 
""SELECT SUM(Col11) WHERE Col7 = ""&amp;B38&amp;"" AND Col1 &gt;= DATE '"" &amp; TEXT($C$2, ""YYYY-MM-DD"") &amp; ""' AND "&amp;"Col1 &lt;= DATE '"" &amp; TEXT($C$3, ""YYYY-MM-DD"") &amp; ""' LABEL SUM(Col11) ''"", 0), """")"),"#REF!")</f>
        <v>#REF!</v>
      </c>
      <c r="F38" s="13" t="str">
        <f t="shared" si="5"/>
        <v>#REF!</v>
      </c>
    </row>
    <row r="39" ht="15.75" customHeight="1">
      <c r="A39" s="1"/>
      <c r="B39" s="1"/>
      <c r="C39" s="2" t="str">
        <f>VLOOKUP(B39,Helper!$D$99:$F1000,3,FALSE)</f>
        <v>#N/A</v>
      </c>
      <c r="D39" s="13" t="str">
        <f>IFERROR(__xludf.DUMMYFUNCTION("IFNA(QUERY(IMPORTRANGE(""https://docs.google.com/spreadsheets/d/1EHL-jm_NiShR1a2JqKbpaJGazYH90DJO150spY6io4k/edit?gid=0#gid=0"", 
""Gen_Ledger!A:N""), 
""SELECT SUM(Col10) WHERE Col7 = ""&amp;B39&amp;"" AND Col1 &gt;= DATE '"" &amp; TEXT($C$2, ""YYYY-MM-DD"") &amp; ""' AND "&amp;"Col1 &lt;= DATE '"" &amp; TEXT($C$3, ""YYYY-MM-DD"") &amp; ""' LABEL SUM(Col10) ''"", 0), """")"),"#REF!")</f>
        <v>#REF!</v>
      </c>
      <c r="E39" s="13" t="str">
        <f>IFERROR(__xludf.DUMMYFUNCTION("IFNA(QUERY(IMPORTRANGE(""https://docs.google.com/spreadsheets/d/1EHL-jm_NiShR1a2JqKbpaJGazYH90DJO150spY6io4k/edit?gid=0#gid=0"", 
""Gen_Ledger!A:N""), 
""SELECT SUM(Col11) WHERE Col7 = ""&amp;B39&amp;"" AND Col1 &gt;= DATE '"" &amp; TEXT($C$2, ""YYYY-MM-DD"") &amp; ""' AND "&amp;"Col1 &lt;= DATE '"" &amp; TEXT($C$3, ""YYYY-MM-DD"") &amp; ""' LABEL SUM(Col11) ''"", 0), """")"),"#REF!")</f>
        <v>#REF!</v>
      </c>
      <c r="F39" s="13" t="str">
        <f t="shared" ref="F39:F58" si="6">C39-E39+D39</f>
        <v>#N/A</v>
      </c>
    </row>
    <row r="40" ht="15.75" customHeight="1">
      <c r="A40" s="1"/>
      <c r="B40" s="1"/>
      <c r="C40" s="2" t="str">
        <f>VLOOKUP(B40,Helper!$D$99:$F1000,3,FALSE)</f>
        <v>#N/A</v>
      </c>
      <c r="D40" s="13" t="str">
        <f>IFERROR(__xludf.DUMMYFUNCTION("IFNA(QUERY(IMPORTRANGE(""https://docs.google.com/spreadsheets/d/1EHL-jm_NiShR1a2JqKbpaJGazYH90DJO150spY6io4k/edit?gid=0#gid=0"", 
""Gen_Ledger!A:N""), 
""SELECT SUM(Col10) WHERE Col7 = ""&amp;B40&amp;"" AND Col1 &gt;= DATE '"" &amp; TEXT($C$2, ""YYYY-MM-DD"") &amp; ""' AND "&amp;"Col1 &lt;= DATE '"" &amp; TEXT($C$3, ""YYYY-MM-DD"") &amp; ""' LABEL SUM(Col10) ''"", 0), """")"),"#REF!")</f>
        <v>#REF!</v>
      </c>
      <c r="E40" s="13" t="str">
        <f>IFERROR(__xludf.DUMMYFUNCTION("IFNA(QUERY(IMPORTRANGE(""https://docs.google.com/spreadsheets/d/1EHL-jm_NiShR1a2JqKbpaJGazYH90DJO150spY6io4k/edit?gid=0#gid=0"", 
""Gen_Ledger!A:N""), 
""SELECT SUM(Col11) WHERE Col7 = ""&amp;B40&amp;"" AND Col1 &gt;= DATE '"" &amp; TEXT($C$2, ""YYYY-MM-DD"") &amp; ""' AND "&amp;"Col1 &lt;= DATE '"" &amp; TEXT($C$3, ""YYYY-MM-DD"") &amp; ""' LABEL SUM(Col11) ''"", 0), """")"),"#REF!")</f>
        <v>#REF!</v>
      </c>
      <c r="F40" s="13" t="str">
        <f t="shared" si="6"/>
        <v>#N/A</v>
      </c>
    </row>
    <row r="41" ht="15.75" customHeight="1">
      <c r="A41" s="1"/>
      <c r="B41" s="1"/>
      <c r="C41" s="2" t="str">
        <f>VLOOKUP(B41,Helper!$D$99:$F1000,3,FALSE)</f>
        <v>#N/A</v>
      </c>
      <c r="D41" s="13" t="str">
        <f>IFERROR(__xludf.DUMMYFUNCTION("IFNA(QUERY(IMPORTRANGE(""https://docs.google.com/spreadsheets/d/1EHL-jm_NiShR1a2JqKbpaJGazYH90DJO150spY6io4k/edit?gid=0#gid=0"", 
""Gen_Ledger!A:N""), 
""SELECT SUM(Col10) WHERE Col7 = ""&amp;B41&amp;"" AND Col1 &gt;= DATE '"" &amp; TEXT($C$2, ""YYYY-MM-DD"") &amp; ""' AND "&amp;"Col1 &lt;= DATE '"" &amp; TEXT($C$3, ""YYYY-MM-DD"") &amp; ""' LABEL SUM(Col10) ''"", 0), """")"),"#REF!")</f>
        <v>#REF!</v>
      </c>
      <c r="E41" s="13" t="str">
        <f>IFERROR(__xludf.DUMMYFUNCTION("IFNA(QUERY(IMPORTRANGE(""https://docs.google.com/spreadsheets/d/1EHL-jm_NiShR1a2JqKbpaJGazYH90DJO150spY6io4k/edit?gid=0#gid=0"", 
""Gen_Ledger!A:N""), 
""SELECT SUM(Col11) WHERE Col7 = ""&amp;B41&amp;"" AND Col1 &gt;= DATE '"" &amp; TEXT($C$2, ""YYYY-MM-DD"") &amp; ""' AND "&amp;"Col1 &lt;= DATE '"" &amp; TEXT($C$3, ""YYYY-MM-DD"") &amp; ""' LABEL SUM(Col11) ''"", 0), """")"),"#REF!")</f>
        <v>#REF!</v>
      </c>
      <c r="F41" s="13" t="str">
        <f t="shared" si="6"/>
        <v>#N/A</v>
      </c>
    </row>
    <row r="42" ht="15.75" customHeight="1">
      <c r="A42" s="1"/>
      <c r="B42" s="1"/>
      <c r="C42" s="2" t="str">
        <f>VLOOKUP(B42,Helper!$D$99:$F1000,3,FALSE)</f>
        <v>#N/A</v>
      </c>
      <c r="D42" s="13" t="str">
        <f>IFERROR(__xludf.DUMMYFUNCTION("IFNA(QUERY(IMPORTRANGE(""https://docs.google.com/spreadsheets/d/1EHL-jm_NiShR1a2JqKbpaJGazYH90DJO150spY6io4k/edit?gid=0#gid=0"", 
""Gen_Ledger!A:N""), 
""SELECT SUM(Col10) WHERE Col7 = ""&amp;B42&amp;"" AND Col1 &gt;= DATE '"" &amp; TEXT($C$2, ""YYYY-MM-DD"") &amp; ""' AND "&amp;"Col1 &lt;= DATE '"" &amp; TEXT($C$3, ""YYYY-MM-DD"") &amp; ""' LABEL SUM(Col10) ''"", 0), """")"),"#REF!")</f>
        <v>#REF!</v>
      </c>
      <c r="E42" s="13" t="str">
        <f>IFERROR(__xludf.DUMMYFUNCTION("IFNA(QUERY(IMPORTRANGE(""https://docs.google.com/spreadsheets/d/1EHL-jm_NiShR1a2JqKbpaJGazYH90DJO150spY6io4k/edit?gid=0#gid=0"", 
""Gen_Ledger!A:N""), 
""SELECT SUM(Col11) WHERE Col7 = ""&amp;B42&amp;"" AND Col1 &gt;= DATE '"" &amp; TEXT($C$2, ""YYYY-MM-DD"") &amp; ""' AND "&amp;"Col1 &lt;= DATE '"" &amp; TEXT($C$3, ""YYYY-MM-DD"") &amp; ""' LABEL SUM(Col11) ''"", 0), """")"),"#REF!")</f>
        <v>#REF!</v>
      </c>
      <c r="F42" s="13" t="str">
        <f t="shared" si="6"/>
        <v>#N/A</v>
      </c>
    </row>
    <row r="43" ht="15.75" customHeight="1">
      <c r="A43" s="1"/>
      <c r="B43" s="1"/>
      <c r="C43" s="2" t="str">
        <f>VLOOKUP(B43,Helper!$D$99:$F1000,3,FALSE)</f>
        <v>#N/A</v>
      </c>
      <c r="D43" s="13" t="str">
        <f>IFERROR(__xludf.DUMMYFUNCTION("IFNA(QUERY(IMPORTRANGE(""https://docs.google.com/spreadsheets/d/1EHL-jm_NiShR1a2JqKbpaJGazYH90DJO150spY6io4k/edit?gid=0#gid=0"", 
""Gen_Ledger!A:N""), 
""SELECT SUM(Col10) WHERE Col7 = ""&amp;B43&amp;"" AND Col1 &gt;= DATE '"" &amp; TEXT($C$2, ""YYYY-MM-DD"") &amp; ""' AND "&amp;"Col1 &lt;= DATE '"" &amp; TEXT($C$3, ""YYYY-MM-DD"") &amp; ""' LABEL SUM(Col10) ''"", 0), """")"),"#REF!")</f>
        <v>#REF!</v>
      </c>
      <c r="E43" s="13" t="str">
        <f>IFERROR(__xludf.DUMMYFUNCTION("IFNA(QUERY(IMPORTRANGE(""https://docs.google.com/spreadsheets/d/1EHL-jm_NiShR1a2JqKbpaJGazYH90DJO150spY6io4k/edit?gid=0#gid=0"", 
""Gen_Ledger!A:N""), 
""SELECT SUM(Col11) WHERE Col7 = ""&amp;B43&amp;"" AND Col1 &gt;= DATE '"" &amp; TEXT($C$2, ""YYYY-MM-DD"") &amp; ""' AND "&amp;"Col1 &lt;= DATE '"" &amp; TEXT($C$3, ""YYYY-MM-DD"") &amp; ""' LABEL SUM(Col11) ''"", 0), """")"),"#REF!")</f>
        <v>#REF!</v>
      </c>
      <c r="F43" s="13" t="str">
        <f t="shared" si="6"/>
        <v>#N/A</v>
      </c>
    </row>
    <row r="44" ht="15.75" customHeight="1">
      <c r="A44" s="1"/>
      <c r="B44" s="1"/>
      <c r="C44" s="2" t="str">
        <f>VLOOKUP(B44,Helper!$D$99:$F1000,3,FALSE)</f>
        <v>#N/A</v>
      </c>
      <c r="D44" s="13" t="str">
        <f>IFERROR(__xludf.DUMMYFUNCTION("IFNA(QUERY(IMPORTRANGE(""https://docs.google.com/spreadsheets/d/1EHL-jm_NiShR1a2JqKbpaJGazYH90DJO150spY6io4k/edit?gid=0#gid=0"", 
""Gen_Ledger!A:N""), 
""SELECT SUM(Col10) WHERE Col7 = ""&amp;B44&amp;"" AND Col1 &gt;= DATE '"" &amp; TEXT($C$2, ""YYYY-MM-DD"") &amp; ""' AND "&amp;"Col1 &lt;= DATE '"" &amp; TEXT($C$3, ""YYYY-MM-DD"") &amp; ""' LABEL SUM(Col10) ''"", 0), """")"),"#REF!")</f>
        <v>#REF!</v>
      </c>
      <c r="E44" s="13" t="str">
        <f>IFERROR(__xludf.DUMMYFUNCTION("IFNA(QUERY(IMPORTRANGE(""https://docs.google.com/spreadsheets/d/1EHL-jm_NiShR1a2JqKbpaJGazYH90DJO150spY6io4k/edit?gid=0#gid=0"", 
""Gen_Ledger!A:N""), 
""SELECT SUM(Col11) WHERE Col7 = ""&amp;B44&amp;"" AND Col1 &gt;= DATE '"" &amp; TEXT($C$2, ""YYYY-MM-DD"") &amp; ""' AND "&amp;"Col1 &lt;= DATE '"" &amp; TEXT($C$3, ""YYYY-MM-DD"") &amp; ""' LABEL SUM(Col11) ''"", 0), """")"),"#REF!")</f>
        <v>#REF!</v>
      </c>
      <c r="F44" s="13" t="str">
        <f t="shared" si="6"/>
        <v>#N/A</v>
      </c>
    </row>
    <row r="45" ht="15.75" customHeight="1">
      <c r="A45" s="1"/>
      <c r="B45" s="1"/>
      <c r="C45" s="2" t="str">
        <f>VLOOKUP(B45,Helper!$D$99:$F1000,3,FALSE)</f>
        <v>#N/A</v>
      </c>
      <c r="D45" s="13" t="str">
        <f>IFERROR(__xludf.DUMMYFUNCTION("IFNA(QUERY(IMPORTRANGE(""https://docs.google.com/spreadsheets/d/1EHL-jm_NiShR1a2JqKbpaJGazYH90DJO150spY6io4k/edit?gid=0#gid=0"", 
""Gen_Ledger!A:N""), 
""SELECT SUM(Col10) WHERE Col7 = ""&amp;B45&amp;"" AND Col1 &gt;= DATE '"" &amp; TEXT($C$2, ""YYYY-MM-DD"") &amp; ""' AND "&amp;"Col1 &lt;= DATE '"" &amp; TEXT($C$3, ""YYYY-MM-DD"") &amp; ""' LABEL SUM(Col10) ''"", 0), """")"),"#REF!")</f>
        <v>#REF!</v>
      </c>
      <c r="E45" s="13" t="str">
        <f>IFERROR(__xludf.DUMMYFUNCTION("IFNA(QUERY(IMPORTRANGE(""https://docs.google.com/spreadsheets/d/1EHL-jm_NiShR1a2JqKbpaJGazYH90DJO150spY6io4k/edit?gid=0#gid=0"", 
""Gen_Ledger!A:N""), 
""SELECT SUM(Col11) WHERE Col7 = ""&amp;B45&amp;"" AND Col1 &gt;= DATE '"" &amp; TEXT($C$2, ""YYYY-MM-DD"") &amp; ""' AND "&amp;"Col1 &lt;= DATE '"" &amp; TEXT($C$3, ""YYYY-MM-DD"") &amp; ""' LABEL SUM(Col11) ''"", 0), """")"),"#REF!")</f>
        <v>#REF!</v>
      </c>
      <c r="F45" s="13" t="str">
        <f t="shared" si="6"/>
        <v>#N/A</v>
      </c>
    </row>
    <row r="46" ht="15.75" customHeight="1">
      <c r="A46" s="1"/>
      <c r="B46" s="1"/>
      <c r="C46" s="2" t="str">
        <f>VLOOKUP(B46,Helper!$D$99:$F1000,3,FALSE)</f>
        <v>#N/A</v>
      </c>
      <c r="D46" s="13" t="str">
        <f>IFERROR(__xludf.DUMMYFUNCTION("IFNA(QUERY(IMPORTRANGE(""https://docs.google.com/spreadsheets/d/1EHL-jm_NiShR1a2JqKbpaJGazYH90DJO150spY6io4k/edit?gid=0#gid=0"", 
""Gen_Ledger!A:N""), 
""SELECT SUM(Col10) WHERE Col7 = ""&amp;B46&amp;"" AND Col1 &gt;= DATE '"" &amp; TEXT($C$2, ""YYYY-MM-DD"") &amp; ""' AND "&amp;"Col1 &lt;= DATE '"" &amp; TEXT($C$3, ""YYYY-MM-DD"") &amp; ""' LABEL SUM(Col10) ''"", 0), """")"),"#REF!")</f>
        <v>#REF!</v>
      </c>
      <c r="E46" s="13" t="str">
        <f>IFERROR(__xludf.DUMMYFUNCTION("IFNA(QUERY(IMPORTRANGE(""https://docs.google.com/spreadsheets/d/1EHL-jm_NiShR1a2JqKbpaJGazYH90DJO150spY6io4k/edit?gid=0#gid=0"", 
""Gen_Ledger!A:N""), 
""SELECT SUM(Col11) WHERE Col7 = ""&amp;B46&amp;"" AND Col1 &gt;= DATE '"" &amp; TEXT($C$2, ""YYYY-MM-DD"") &amp; ""' AND "&amp;"Col1 &lt;= DATE '"" &amp; TEXT($C$3, ""YYYY-MM-DD"") &amp; ""' LABEL SUM(Col11) ''"", 0), """")"),"#REF!")</f>
        <v>#REF!</v>
      </c>
      <c r="F46" s="13" t="str">
        <f t="shared" si="6"/>
        <v>#N/A</v>
      </c>
    </row>
    <row r="47" ht="15.75" customHeight="1">
      <c r="A47" s="1"/>
      <c r="B47" s="1"/>
      <c r="C47" s="2" t="str">
        <f>VLOOKUP(B47,Helper!$D$99:$F1000,3,FALSE)</f>
        <v>#N/A</v>
      </c>
      <c r="D47" s="13" t="str">
        <f>IFERROR(__xludf.DUMMYFUNCTION("IFNA(QUERY(IMPORTRANGE(""https://docs.google.com/spreadsheets/d/1EHL-jm_NiShR1a2JqKbpaJGazYH90DJO150spY6io4k/edit?gid=0#gid=0"", 
""Gen_Ledger!A:N""), 
""SELECT SUM(Col10) WHERE Col7 = ""&amp;B47&amp;"" AND Col1 &gt;= DATE '"" &amp; TEXT($C$2, ""YYYY-MM-DD"") &amp; ""' AND "&amp;"Col1 &lt;= DATE '"" &amp; TEXT($C$3, ""YYYY-MM-DD"") &amp; ""' LABEL SUM(Col10) ''"", 0), """")"),"#REF!")</f>
        <v>#REF!</v>
      </c>
      <c r="E47" s="13" t="str">
        <f>IFERROR(__xludf.DUMMYFUNCTION("IFNA(QUERY(IMPORTRANGE(""https://docs.google.com/spreadsheets/d/1EHL-jm_NiShR1a2JqKbpaJGazYH90DJO150spY6io4k/edit?gid=0#gid=0"", 
""Gen_Ledger!A:N""), 
""SELECT SUM(Col11) WHERE Col7 = ""&amp;B47&amp;"" AND Col1 &gt;= DATE '"" &amp; TEXT($C$2, ""YYYY-MM-DD"") &amp; ""' AND "&amp;"Col1 &lt;= DATE '"" &amp; TEXT($C$3, ""YYYY-MM-DD"") &amp; ""' LABEL SUM(Col11) ''"", 0), """")"),"#REF!")</f>
        <v>#REF!</v>
      </c>
      <c r="F47" s="13" t="str">
        <f t="shared" si="6"/>
        <v>#N/A</v>
      </c>
    </row>
    <row r="48" ht="15.75" customHeight="1">
      <c r="A48" s="1"/>
      <c r="B48" s="1"/>
      <c r="C48" s="2" t="str">
        <f>VLOOKUP(B48,Helper!$D$99:$F1000,3,FALSE)</f>
        <v>#N/A</v>
      </c>
      <c r="D48" s="13" t="str">
        <f>IFERROR(__xludf.DUMMYFUNCTION("IFNA(QUERY(IMPORTRANGE(""https://docs.google.com/spreadsheets/d/1EHL-jm_NiShR1a2JqKbpaJGazYH90DJO150spY6io4k/edit?gid=0#gid=0"", 
""Gen_Ledger!A:N""), 
""SELECT SUM(Col10) WHERE Col7 = ""&amp;B48&amp;"" AND Col1 &gt;= DATE '"" &amp; TEXT($C$2, ""YYYY-MM-DD"") &amp; ""' AND "&amp;"Col1 &lt;= DATE '"" &amp; TEXT($C$3, ""YYYY-MM-DD"") &amp; ""' LABEL SUM(Col10) ''"", 0), """")"),"#REF!")</f>
        <v>#REF!</v>
      </c>
      <c r="E48" s="13" t="str">
        <f>IFERROR(__xludf.DUMMYFUNCTION("IFNA(QUERY(IMPORTRANGE(""https://docs.google.com/spreadsheets/d/1EHL-jm_NiShR1a2JqKbpaJGazYH90DJO150spY6io4k/edit?gid=0#gid=0"", 
""Gen_Ledger!A:N""), 
""SELECT SUM(Col11) WHERE Col7 = ""&amp;B48&amp;"" AND Col1 &gt;= DATE '"" &amp; TEXT($C$2, ""YYYY-MM-DD"") &amp; ""' AND "&amp;"Col1 &lt;= DATE '"" &amp; TEXT($C$3, ""YYYY-MM-DD"") &amp; ""' LABEL SUM(Col11) ''"", 0), """")"),"#REF!")</f>
        <v>#REF!</v>
      </c>
      <c r="F48" s="13" t="str">
        <f t="shared" si="6"/>
        <v>#N/A</v>
      </c>
    </row>
    <row r="49" ht="15.75" customHeight="1">
      <c r="A49" s="1"/>
      <c r="B49" s="1"/>
      <c r="C49" s="2" t="str">
        <f>VLOOKUP(B49,Helper!$D$99:$F1000,3,FALSE)</f>
        <v>#N/A</v>
      </c>
      <c r="D49" s="13" t="str">
        <f>IFERROR(__xludf.DUMMYFUNCTION("IFNA(QUERY(IMPORTRANGE(""https://docs.google.com/spreadsheets/d/1EHL-jm_NiShR1a2JqKbpaJGazYH90DJO150spY6io4k/edit?gid=0#gid=0"", 
""Gen_Ledger!A:N""), 
""SELECT SUM(Col10) WHERE Col7 = ""&amp;B49&amp;"" AND Col1 &gt;= DATE '"" &amp; TEXT($C$2, ""YYYY-MM-DD"") &amp; ""' AND "&amp;"Col1 &lt;= DATE '"" &amp; TEXT($C$3, ""YYYY-MM-DD"") &amp; ""' LABEL SUM(Col10) ''"", 0), """")"),"#REF!")</f>
        <v>#REF!</v>
      </c>
      <c r="E49" s="13" t="str">
        <f>IFERROR(__xludf.DUMMYFUNCTION("IFNA(QUERY(IMPORTRANGE(""https://docs.google.com/spreadsheets/d/1EHL-jm_NiShR1a2JqKbpaJGazYH90DJO150spY6io4k/edit?gid=0#gid=0"", 
""Gen_Ledger!A:N""), 
""SELECT SUM(Col11) WHERE Col7 = ""&amp;B49&amp;"" AND Col1 &gt;= DATE '"" &amp; TEXT($C$2, ""YYYY-MM-DD"") &amp; ""' AND "&amp;"Col1 &lt;= DATE '"" &amp; TEXT($C$3, ""YYYY-MM-DD"") &amp; ""' LABEL SUM(Col11) ''"", 0), """")"),"#REF!")</f>
        <v>#REF!</v>
      </c>
      <c r="F49" s="13" t="str">
        <f t="shared" si="6"/>
        <v>#N/A</v>
      </c>
    </row>
    <row r="50" ht="15.75" customHeight="1">
      <c r="A50" s="1"/>
      <c r="B50" s="1"/>
      <c r="C50" s="2" t="str">
        <f>VLOOKUP(B50,Helper!$D$99:$F1000,3,FALSE)</f>
        <v>#N/A</v>
      </c>
      <c r="D50" s="13" t="str">
        <f>IFERROR(__xludf.DUMMYFUNCTION("IFNA(QUERY(IMPORTRANGE(""https://docs.google.com/spreadsheets/d/1EHL-jm_NiShR1a2JqKbpaJGazYH90DJO150spY6io4k/edit?gid=0#gid=0"", 
""Gen_Ledger!A:N""), 
""SELECT SUM(Col10) WHERE Col7 = ""&amp;B50&amp;"" AND Col1 &gt;= DATE '"" &amp; TEXT($C$2, ""YYYY-MM-DD"") &amp; ""' AND "&amp;"Col1 &lt;= DATE '"" &amp; TEXT($C$3, ""YYYY-MM-DD"") &amp; ""' LABEL SUM(Col10) ''"", 0), """")"),"#REF!")</f>
        <v>#REF!</v>
      </c>
      <c r="E50" s="13" t="str">
        <f>IFERROR(__xludf.DUMMYFUNCTION("IFNA(QUERY(IMPORTRANGE(""https://docs.google.com/spreadsheets/d/1EHL-jm_NiShR1a2JqKbpaJGazYH90DJO150spY6io4k/edit?gid=0#gid=0"", 
""Gen_Ledger!A:N""), 
""SELECT SUM(Col11) WHERE Col7 = ""&amp;B50&amp;"" AND Col1 &gt;= DATE '"" &amp; TEXT($C$2, ""YYYY-MM-DD"") &amp; ""' AND "&amp;"Col1 &lt;= DATE '"" &amp; TEXT($C$3, ""YYYY-MM-DD"") &amp; ""' LABEL SUM(Col11) ''"", 0), """")"),"#REF!")</f>
        <v>#REF!</v>
      </c>
      <c r="F50" s="13" t="str">
        <f t="shared" si="6"/>
        <v>#N/A</v>
      </c>
    </row>
    <row r="51" ht="15.75" customHeight="1">
      <c r="A51" s="1"/>
      <c r="B51" s="1"/>
      <c r="C51" s="2" t="str">
        <f>VLOOKUP(B51,Helper!$D$99:$F1000,3,FALSE)</f>
        <v>#N/A</v>
      </c>
      <c r="D51" s="13" t="str">
        <f>IFERROR(__xludf.DUMMYFUNCTION("IFNA(QUERY(IMPORTRANGE(""https://docs.google.com/spreadsheets/d/1EHL-jm_NiShR1a2JqKbpaJGazYH90DJO150spY6io4k/edit?gid=0#gid=0"", 
""Gen_Ledger!A:N""), 
""SELECT SUM(Col10) WHERE Col7 = ""&amp;B51&amp;"" AND Col1 &gt;= DATE '"" &amp; TEXT($C$2, ""YYYY-MM-DD"") &amp; ""' AND "&amp;"Col1 &lt;= DATE '"" &amp; TEXT($C$3, ""YYYY-MM-DD"") &amp; ""' LABEL SUM(Col10) ''"", 0), """")"),"#REF!")</f>
        <v>#REF!</v>
      </c>
      <c r="E51" s="13" t="str">
        <f>IFERROR(__xludf.DUMMYFUNCTION("IFNA(QUERY(IMPORTRANGE(""https://docs.google.com/spreadsheets/d/1EHL-jm_NiShR1a2JqKbpaJGazYH90DJO150spY6io4k/edit?gid=0#gid=0"", 
""Gen_Ledger!A:N""), 
""SELECT SUM(Col11) WHERE Col7 = ""&amp;B51&amp;"" AND Col1 &gt;= DATE '"" &amp; TEXT($C$2, ""YYYY-MM-DD"") &amp; ""' AND "&amp;"Col1 &lt;= DATE '"" &amp; TEXT($C$3, ""YYYY-MM-DD"") &amp; ""' LABEL SUM(Col11) ''"", 0), """")"),"#REF!")</f>
        <v>#REF!</v>
      </c>
      <c r="F51" s="13" t="str">
        <f t="shared" si="6"/>
        <v>#N/A</v>
      </c>
    </row>
    <row r="52" ht="15.75" customHeight="1">
      <c r="A52" s="1"/>
      <c r="B52" s="1"/>
      <c r="C52" s="2" t="str">
        <f>VLOOKUP(B52,Helper!$D$99:$F1000,3,FALSE)</f>
        <v>#N/A</v>
      </c>
      <c r="D52" s="13" t="str">
        <f>IFERROR(__xludf.DUMMYFUNCTION("IFNA(QUERY(IMPORTRANGE(""https://docs.google.com/spreadsheets/d/1EHL-jm_NiShR1a2JqKbpaJGazYH90DJO150spY6io4k/edit?gid=0#gid=0"", 
""Gen_Ledger!A:N""), 
""SELECT SUM(Col10) WHERE Col7 = ""&amp;B52&amp;"" AND Col1 &gt;= DATE '"" &amp; TEXT($C$2, ""YYYY-MM-DD"") &amp; ""' AND "&amp;"Col1 &lt;= DATE '"" &amp; TEXT($C$3, ""YYYY-MM-DD"") &amp; ""' LABEL SUM(Col10) ''"", 0), """")"),"#REF!")</f>
        <v>#REF!</v>
      </c>
      <c r="E52" s="13" t="str">
        <f>IFERROR(__xludf.DUMMYFUNCTION("IFNA(QUERY(IMPORTRANGE(""https://docs.google.com/spreadsheets/d/1EHL-jm_NiShR1a2JqKbpaJGazYH90DJO150spY6io4k/edit?gid=0#gid=0"", 
""Gen_Ledger!A:N""), 
""SELECT SUM(Col11) WHERE Col7 = ""&amp;B52&amp;"" AND Col1 &gt;= DATE '"" &amp; TEXT($C$2, ""YYYY-MM-DD"") &amp; ""' AND "&amp;"Col1 &lt;= DATE '"" &amp; TEXT($C$3, ""YYYY-MM-DD"") &amp; ""' LABEL SUM(Col11) ''"", 0), """")"),"#REF!")</f>
        <v>#REF!</v>
      </c>
      <c r="F52" s="13" t="str">
        <f t="shared" si="6"/>
        <v>#N/A</v>
      </c>
    </row>
    <row r="53" ht="15.75" customHeight="1">
      <c r="A53" s="1"/>
      <c r="B53" s="1"/>
      <c r="C53" s="2" t="str">
        <f>VLOOKUP(B53,Helper!$D$99:$F1000,3,FALSE)</f>
        <v>#N/A</v>
      </c>
      <c r="D53" s="13" t="str">
        <f>IFERROR(__xludf.DUMMYFUNCTION("IFNA(QUERY(IMPORTRANGE(""https://docs.google.com/spreadsheets/d/1EHL-jm_NiShR1a2JqKbpaJGazYH90DJO150spY6io4k/edit?gid=0#gid=0"", 
""Gen_Ledger!A:N""), 
""SELECT SUM(Col10) WHERE Col7 = ""&amp;B53&amp;"" AND Col1 &gt;= DATE '"" &amp; TEXT($C$2, ""YYYY-MM-DD"") &amp; ""' AND "&amp;"Col1 &lt;= DATE '"" &amp; TEXT($C$3, ""YYYY-MM-DD"") &amp; ""' LABEL SUM(Col10) ''"", 0), """")"),"#REF!")</f>
        <v>#REF!</v>
      </c>
      <c r="E53" s="13" t="str">
        <f>IFERROR(__xludf.DUMMYFUNCTION("IFNA(QUERY(IMPORTRANGE(""https://docs.google.com/spreadsheets/d/1EHL-jm_NiShR1a2JqKbpaJGazYH90DJO150spY6io4k/edit?gid=0#gid=0"", 
""Gen_Ledger!A:N""), 
""SELECT SUM(Col11) WHERE Col7 = ""&amp;B53&amp;"" AND Col1 &gt;= DATE '"" &amp; TEXT($C$2, ""YYYY-MM-DD"") &amp; ""' AND "&amp;"Col1 &lt;= DATE '"" &amp; TEXT($C$3, ""YYYY-MM-DD"") &amp; ""' LABEL SUM(Col11) ''"", 0), """")"),"#REF!")</f>
        <v>#REF!</v>
      </c>
      <c r="F53" s="13" t="str">
        <f t="shared" si="6"/>
        <v>#N/A</v>
      </c>
    </row>
    <row r="54" ht="15.75" customHeight="1">
      <c r="A54" s="1"/>
      <c r="B54" s="1"/>
      <c r="C54" s="2" t="str">
        <f>VLOOKUP(B54,Helper!$D$99:$F1000,3,FALSE)</f>
        <v>#N/A</v>
      </c>
      <c r="D54" s="13" t="str">
        <f>IFERROR(__xludf.DUMMYFUNCTION("IFNA(QUERY(IMPORTRANGE(""https://docs.google.com/spreadsheets/d/1EHL-jm_NiShR1a2JqKbpaJGazYH90DJO150spY6io4k/edit?gid=0#gid=0"", 
""Gen_Ledger!A:N""), 
""SELECT SUM(Col10) WHERE Col7 = ""&amp;B54&amp;"" AND Col1 &gt;= DATE '"" &amp; TEXT($C$2, ""YYYY-MM-DD"") &amp; ""' AND "&amp;"Col1 &lt;= DATE '"" &amp; TEXT($C$3, ""YYYY-MM-DD"") &amp; ""' LABEL SUM(Col10) ''"", 0), """")"),"#REF!")</f>
        <v>#REF!</v>
      </c>
      <c r="E54" s="13" t="str">
        <f>IFERROR(__xludf.DUMMYFUNCTION("IFNA(QUERY(IMPORTRANGE(""https://docs.google.com/spreadsheets/d/1EHL-jm_NiShR1a2JqKbpaJGazYH90DJO150spY6io4k/edit?gid=0#gid=0"", 
""Gen_Ledger!A:N""), 
""SELECT SUM(Col11) WHERE Col7 = ""&amp;B54&amp;"" AND Col1 &gt;= DATE '"" &amp; TEXT($C$2, ""YYYY-MM-DD"") &amp; ""' AND "&amp;"Col1 &lt;= DATE '"" &amp; TEXT($C$3, ""YYYY-MM-DD"") &amp; ""' LABEL SUM(Col11) ''"", 0), """")"),"#REF!")</f>
        <v>#REF!</v>
      </c>
      <c r="F54" s="13" t="str">
        <f t="shared" si="6"/>
        <v>#N/A</v>
      </c>
    </row>
    <row r="55" ht="15.75" customHeight="1">
      <c r="A55" s="1"/>
      <c r="B55" s="1"/>
      <c r="C55" s="2" t="str">
        <f>VLOOKUP(B55,Helper!$D$99:$F1000,3,FALSE)</f>
        <v>#N/A</v>
      </c>
      <c r="D55" s="13" t="str">
        <f>IFERROR(__xludf.DUMMYFUNCTION("IFNA(QUERY(IMPORTRANGE(""https://docs.google.com/spreadsheets/d/1EHL-jm_NiShR1a2JqKbpaJGazYH90DJO150spY6io4k/edit?gid=0#gid=0"", 
""Gen_Ledger!A:N""), 
""SELECT SUM(Col10) WHERE Col7 = ""&amp;B55&amp;"" AND Col1 &gt;= DATE '"" &amp; TEXT($C$2, ""YYYY-MM-DD"") &amp; ""' AND "&amp;"Col1 &lt;= DATE '"" &amp; TEXT($C$3, ""YYYY-MM-DD"") &amp; ""' LABEL SUM(Col10) ''"", 0), """")"),"#REF!")</f>
        <v>#REF!</v>
      </c>
      <c r="E55" s="13" t="str">
        <f>IFERROR(__xludf.DUMMYFUNCTION("IFNA(QUERY(IMPORTRANGE(""https://docs.google.com/spreadsheets/d/1EHL-jm_NiShR1a2JqKbpaJGazYH90DJO150spY6io4k/edit?gid=0#gid=0"", 
""Gen_Ledger!A:N""), 
""SELECT SUM(Col11) WHERE Col7 = ""&amp;B55&amp;"" AND Col1 &gt;= DATE '"" &amp; TEXT($C$2, ""YYYY-MM-DD"") &amp; ""' AND "&amp;"Col1 &lt;= DATE '"" &amp; TEXT($C$3, ""YYYY-MM-DD"") &amp; ""' LABEL SUM(Col11) ''"", 0), """")"),"#REF!")</f>
        <v>#REF!</v>
      </c>
      <c r="F55" s="13" t="str">
        <f t="shared" si="6"/>
        <v>#N/A</v>
      </c>
    </row>
    <row r="56" ht="15.75" customHeight="1">
      <c r="A56" s="1"/>
      <c r="B56" s="1"/>
      <c r="C56" s="2" t="str">
        <f>VLOOKUP(B56,Helper!$D$99:$F1000,3,FALSE)</f>
        <v>#N/A</v>
      </c>
      <c r="D56" s="13" t="str">
        <f>IFERROR(__xludf.DUMMYFUNCTION("IFNA(QUERY(IMPORTRANGE(""https://docs.google.com/spreadsheets/d/1EHL-jm_NiShR1a2JqKbpaJGazYH90DJO150spY6io4k/edit?gid=0#gid=0"", 
""Gen_Ledger!A:N""), 
""SELECT SUM(Col10) WHERE Col7 = ""&amp;B56&amp;"" AND Col1 &gt;= DATE '"" &amp; TEXT($C$2, ""YYYY-MM-DD"") &amp; ""' AND "&amp;"Col1 &lt;= DATE '"" &amp; TEXT($C$3, ""YYYY-MM-DD"") &amp; ""' LABEL SUM(Col10) ''"", 0), """")"),"#REF!")</f>
        <v>#REF!</v>
      </c>
      <c r="E56" s="13" t="str">
        <f>IFERROR(__xludf.DUMMYFUNCTION("IFNA(QUERY(IMPORTRANGE(""https://docs.google.com/spreadsheets/d/1EHL-jm_NiShR1a2JqKbpaJGazYH90DJO150spY6io4k/edit?gid=0#gid=0"", 
""Gen_Ledger!A:N""), 
""SELECT SUM(Col11) WHERE Col7 = ""&amp;B56&amp;"" AND Col1 &gt;= DATE '"" &amp; TEXT($C$2, ""YYYY-MM-DD"") &amp; ""' AND "&amp;"Col1 &lt;= DATE '"" &amp; TEXT($C$3, ""YYYY-MM-DD"") &amp; ""' LABEL SUM(Col11) ''"", 0), """")"),"#REF!")</f>
        <v>#REF!</v>
      </c>
      <c r="F56" s="13" t="str">
        <f t="shared" si="6"/>
        <v>#N/A</v>
      </c>
    </row>
    <row r="57" ht="15.75" customHeight="1">
      <c r="A57" s="1"/>
      <c r="B57" s="1"/>
      <c r="C57" s="2" t="str">
        <f>VLOOKUP(B57,Helper!$D$99:$F1000,3,FALSE)</f>
        <v>#N/A</v>
      </c>
      <c r="D57" s="13" t="str">
        <f>IFERROR(__xludf.DUMMYFUNCTION("IFNA(QUERY(IMPORTRANGE(""https://docs.google.com/spreadsheets/d/1EHL-jm_NiShR1a2JqKbpaJGazYH90DJO150spY6io4k/edit?gid=0#gid=0"", 
""Gen_Ledger!A:N""), 
""SELECT SUM(Col10) WHERE Col7 = ""&amp;B57&amp;"" AND Col1 &gt;= DATE '"" &amp; TEXT($C$2, ""YYYY-MM-DD"") &amp; ""' AND "&amp;"Col1 &lt;= DATE '"" &amp; TEXT($C$3, ""YYYY-MM-DD"") &amp; ""' LABEL SUM(Col10) ''"", 0), """")"),"#REF!")</f>
        <v>#REF!</v>
      </c>
      <c r="E57" s="13" t="str">
        <f>IFERROR(__xludf.DUMMYFUNCTION("IFNA(QUERY(IMPORTRANGE(""https://docs.google.com/spreadsheets/d/1EHL-jm_NiShR1a2JqKbpaJGazYH90DJO150spY6io4k/edit?gid=0#gid=0"", 
""Gen_Ledger!A:N""), 
""SELECT SUM(Col11) WHERE Col7 = ""&amp;B57&amp;"" AND Col1 &gt;= DATE '"" &amp; TEXT($C$2, ""YYYY-MM-DD"") &amp; ""' AND "&amp;"Col1 &lt;= DATE '"" &amp; TEXT($C$3, ""YYYY-MM-DD"") &amp; ""' LABEL SUM(Col11) ''"", 0), """")"),"#REF!")</f>
        <v>#REF!</v>
      </c>
      <c r="F57" s="13" t="str">
        <f t="shared" si="6"/>
        <v>#N/A</v>
      </c>
    </row>
    <row r="58" ht="15.75" customHeight="1">
      <c r="A58" s="1"/>
      <c r="B58" s="1"/>
      <c r="C58" s="2" t="str">
        <f>VLOOKUP(B58,Helper!$D$99:$F1000,3,FALSE)</f>
        <v>#N/A</v>
      </c>
      <c r="D58" s="13" t="str">
        <f>IFERROR(__xludf.DUMMYFUNCTION("IFNA(QUERY(IMPORTRANGE(""https://docs.google.com/spreadsheets/d/1EHL-jm_NiShR1a2JqKbpaJGazYH90DJO150spY6io4k/edit?gid=0#gid=0"", 
""Gen_Ledger!A:N""), 
""SELECT SUM(Col10) WHERE Col7 = ""&amp;B58&amp;"" AND Col1 &gt;= DATE '"" &amp; TEXT($C$2, ""YYYY-MM-DD"") &amp; ""' AND "&amp;"Col1 &lt;= DATE '"" &amp; TEXT($C$3, ""YYYY-MM-DD"") &amp; ""' LABEL SUM(Col10) ''"", 0), """")"),"#REF!")</f>
        <v>#REF!</v>
      </c>
      <c r="E58" s="13" t="str">
        <f>IFERROR(__xludf.DUMMYFUNCTION("IFNA(QUERY(IMPORTRANGE(""https://docs.google.com/spreadsheets/d/1EHL-jm_NiShR1a2JqKbpaJGazYH90DJO150spY6io4k/edit?gid=0#gid=0"", 
""Gen_Ledger!A:N""), 
""SELECT SUM(Col11) WHERE Col7 = ""&amp;B58&amp;"" AND Col1 &gt;= DATE '"" &amp; TEXT($C$2, ""YYYY-MM-DD"") &amp; ""' AND "&amp;"Col1 &lt;= DATE '"" &amp; TEXT($C$3, ""YYYY-MM-DD"") &amp; ""' LABEL SUM(Col11) ''"", 0), """")"),"#REF!")</f>
        <v>#REF!</v>
      </c>
      <c r="F58" s="13" t="str">
        <f t="shared" si="6"/>
        <v>#N/A</v>
      </c>
    </row>
    <row r="59" ht="15.75" customHeight="1">
      <c r="A59" s="1"/>
      <c r="B59" s="1"/>
      <c r="C59" s="2" t="str">
        <f>VLOOKUP(B59,Helper!$D$99:$F1000,3,FALSE)</f>
        <v>#N/A</v>
      </c>
      <c r="D59" s="13" t="str">
        <f>IFERROR(__xludf.DUMMYFUNCTION("IFNA(QUERY(IMPORTRANGE(""https://docs.google.com/spreadsheets/d/1EHL-jm_NiShR1a2JqKbpaJGazYH90DJO150spY6io4k/edit?gid=0#gid=0"", 
""Gen_Ledger!A:N""), 
""SELECT SUM(Col10) WHERE Col7 = ""&amp;B59&amp;"" AND Col1 &gt;= DATE '"" &amp; TEXT($C$2, ""YYYY-MM-DD"") &amp; ""' AND "&amp;"Col1 &lt;= DATE '"" &amp; TEXT($C$3, ""YYYY-MM-DD"") &amp; ""' LABEL SUM(Col10) ''"", 0), """")"),"#REF!")</f>
        <v>#REF!</v>
      </c>
      <c r="E59" s="13" t="str">
        <f>IFERROR(__xludf.DUMMYFUNCTION("IFNA(QUERY(IMPORTRANGE(""https://docs.google.com/spreadsheets/d/1EHL-jm_NiShR1a2JqKbpaJGazYH90DJO150spY6io4k/edit?gid=0#gid=0"", 
""Gen_Ledger!A:N""), 
""SELECT SUM(Col11) WHERE Col7 = ""&amp;B59&amp;"" AND Col1 &gt;= DATE '"" &amp; TEXT($C$2, ""YYYY-MM-DD"") &amp; ""' AND "&amp;"Col1 &lt;= DATE '"" &amp; TEXT($C$3, ""YYYY-MM-DD"") &amp; ""' LABEL SUM(Col11) ''"", 0), """")"),"#REF!")</f>
        <v>#REF!</v>
      </c>
      <c r="F59" s="13" t="str">
        <f>C59+E59-D59</f>
        <v>#N/A</v>
      </c>
    </row>
    <row r="60" ht="15.75" customHeight="1">
      <c r="A60" s="1"/>
      <c r="B60" s="1"/>
      <c r="C60" s="2" t="str">
        <f>VLOOKUP(B60,Helper!$D$99:$F1000,3,FALSE)</f>
        <v>#N/A</v>
      </c>
      <c r="D60" s="13" t="str">
        <f>IFERROR(__xludf.DUMMYFUNCTION("IFNA(QUERY(IMPORTRANGE(""https://docs.google.com/spreadsheets/d/1EHL-jm_NiShR1a2JqKbpaJGazYH90DJO150spY6io4k/edit?gid=0#gid=0"", 
""Gen_Ledger!A:N""), 
""SELECT SUM(Col10) WHERE Col7 = ""&amp;B60&amp;"" AND Col1 &gt;= DATE '"" &amp; TEXT($C$2, ""YYYY-MM-DD"") &amp; ""' AND "&amp;"Col1 &lt;= DATE '"" &amp; TEXT($C$3, ""YYYY-MM-DD"") &amp; ""' LABEL SUM(Col10) ''"", 0), """")"),"#REF!")</f>
        <v>#REF!</v>
      </c>
      <c r="E60" s="13" t="str">
        <f>IFERROR(__xludf.DUMMYFUNCTION("IFNA(QUERY(IMPORTRANGE(""https://docs.google.com/spreadsheets/d/1EHL-jm_NiShR1a2JqKbpaJGazYH90DJO150spY6io4k/edit?gid=0#gid=0"", 
""Gen_Ledger!A:N""), 
""SELECT SUM(Col11) WHERE Col7 = ""&amp;B60&amp;"" AND Col1 &gt;= DATE '"" &amp; TEXT($C$2, ""YYYY-MM-DD"") &amp; ""' AND "&amp;"Col1 &lt;= DATE '"" &amp; TEXT($C$3, ""YYYY-MM-DD"") &amp; ""' LABEL SUM(Col11) ''"", 0), """")"),"#REF!")</f>
        <v>#REF!</v>
      </c>
      <c r="F60" s="13" t="str">
        <f t="shared" ref="F60:F63" si="7">C60-E60+D60</f>
        <v>#N/A</v>
      </c>
    </row>
    <row r="61" ht="15.75" customHeight="1">
      <c r="A61" s="1"/>
      <c r="B61" s="1"/>
      <c r="C61" s="2" t="str">
        <f>VLOOKUP(B61,Helper!$D$99:$F1000,3,FALSE)</f>
        <v>#N/A</v>
      </c>
      <c r="D61" s="13" t="str">
        <f>IFERROR(__xludf.DUMMYFUNCTION("IFNA(QUERY(IMPORTRANGE(""https://docs.google.com/spreadsheets/d/1EHL-jm_NiShR1a2JqKbpaJGazYH90DJO150spY6io4k/edit?gid=0#gid=0"", 
""Gen_Ledger!A:N""), 
""SELECT SUM(Col10) WHERE Col7 = ""&amp;B61&amp;"" AND Col1 &gt;= DATE '"" &amp; TEXT($C$2, ""YYYY-MM-DD"") &amp; ""' AND "&amp;"Col1 &lt;= DATE '"" &amp; TEXT($C$3, ""YYYY-MM-DD"") &amp; ""' LABEL SUM(Col10) ''"", 0), """")"),"#REF!")</f>
        <v>#REF!</v>
      </c>
      <c r="E61" s="13" t="str">
        <f>IFERROR(__xludf.DUMMYFUNCTION("IFNA(QUERY(IMPORTRANGE(""https://docs.google.com/spreadsheets/d/1EHL-jm_NiShR1a2JqKbpaJGazYH90DJO150spY6io4k/edit?gid=0#gid=0"", 
""Gen_Ledger!A:N""), 
""SELECT SUM(Col11) WHERE Col7 = ""&amp;B61&amp;"" AND Col1 &gt;= DATE '"" &amp; TEXT($C$2, ""YYYY-MM-DD"") &amp; ""' AND "&amp;"Col1 &lt;= DATE '"" &amp; TEXT($C$3, ""YYYY-MM-DD"") &amp; ""' LABEL SUM(Col11) ''"", 0), """")"),"#REF!")</f>
        <v>#REF!</v>
      </c>
      <c r="F61" s="13" t="str">
        <f t="shared" si="7"/>
        <v>#N/A</v>
      </c>
    </row>
    <row r="62" ht="15.75" customHeight="1">
      <c r="A62" s="1"/>
      <c r="B62" s="1"/>
      <c r="C62" s="2" t="str">
        <f>VLOOKUP(B62,Helper!$D$99:$F1000,3,FALSE)</f>
        <v>#N/A</v>
      </c>
      <c r="D62" s="13" t="str">
        <f>IFERROR(__xludf.DUMMYFUNCTION("IFNA(QUERY(IMPORTRANGE(""https://docs.google.com/spreadsheets/d/1EHL-jm_NiShR1a2JqKbpaJGazYH90DJO150spY6io4k/edit?gid=0#gid=0"", 
""Gen_Ledger!A:N""), 
""SELECT SUM(Col10) WHERE Col7 = ""&amp;B62&amp;"" AND Col1 &gt;= DATE '"" &amp; TEXT($C$2, ""YYYY-MM-DD"") &amp; ""' AND "&amp;"Col1 &lt;= DATE '"" &amp; TEXT($C$3, ""YYYY-MM-DD"") &amp; ""' LABEL SUM(Col10) ''"", 0), """")"),"#REF!")</f>
        <v>#REF!</v>
      </c>
      <c r="E62" s="13" t="str">
        <f>IFERROR(__xludf.DUMMYFUNCTION("IFNA(QUERY(IMPORTRANGE(""https://docs.google.com/spreadsheets/d/1EHL-jm_NiShR1a2JqKbpaJGazYH90DJO150spY6io4k/edit?gid=0#gid=0"", 
""Gen_Ledger!A:N""), 
""SELECT SUM(Col11) WHERE Col7 = ""&amp;B62&amp;"" AND Col1 &gt;= DATE '"" &amp; TEXT($C$2, ""YYYY-MM-DD"") &amp; ""' AND "&amp;"Col1 &lt;= DATE '"" &amp; TEXT($C$3, ""YYYY-MM-DD"") &amp; ""' LABEL SUM(Col11) ''"", 0), """")"),"#REF!")</f>
        <v>#REF!</v>
      </c>
      <c r="F62" s="13" t="str">
        <f t="shared" si="7"/>
        <v>#N/A</v>
      </c>
    </row>
    <row r="63" ht="15.75" customHeight="1">
      <c r="A63" s="1"/>
      <c r="B63" s="1"/>
      <c r="C63" s="2" t="str">
        <f>VLOOKUP(B63,Helper!$D$99:$F1000,3,FALSE)</f>
        <v>#N/A</v>
      </c>
      <c r="D63" s="13" t="str">
        <f>IFERROR(__xludf.DUMMYFUNCTION("IFNA(QUERY(IMPORTRANGE(""https://docs.google.com/spreadsheets/d/1EHL-jm_NiShR1a2JqKbpaJGazYH90DJO150spY6io4k/edit?gid=0#gid=0"", 
""Gen_Ledger!A:N""), 
""SELECT SUM(Col10) WHERE Col7 = ""&amp;B63&amp;"" AND Col1 &gt;= DATE '"" &amp; TEXT($C$2, ""YYYY-MM-DD"") &amp; ""' AND "&amp;"Col1 &lt;= DATE '"" &amp; TEXT($C$3, ""YYYY-MM-DD"") &amp; ""' LABEL SUM(Col10) ''"", 0), """")"),"#REF!")</f>
        <v>#REF!</v>
      </c>
      <c r="E63" s="13" t="str">
        <f>IFERROR(__xludf.DUMMYFUNCTION("IFNA(QUERY(IMPORTRANGE(""https://docs.google.com/spreadsheets/d/1EHL-jm_NiShR1a2JqKbpaJGazYH90DJO150spY6io4k/edit?gid=0#gid=0"", 
""Gen_Ledger!A:N""), 
""SELECT SUM(Col11) WHERE Col7 = ""&amp;B63&amp;"" AND Col1 &gt;= DATE '"" &amp; TEXT($C$2, ""YYYY-MM-DD"") &amp; ""' AND "&amp;"Col1 &lt;= DATE '"" &amp; TEXT($C$3, ""YYYY-MM-DD"") &amp; ""' LABEL SUM(Col11) ''"", 0), """")"),"#REF!")</f>
        <v>#REF!</v>
      </c>
      <c r="F63" s="13" t="str">
        <f t="shared" si="7"/>
        <v>#N/A</v>
      </c>
    </row>
    <row r="64" ht="15.75" customHeight="1">
      <c r="A64" s="3"/>
      <c r="B64" s="3"/>
    </row>
    <row r="65" ht="15.75" customHeight="1">
      <c r="A65" s="3"/>
      <c r="B65" s="3"/>
    </row>
    <row r="66" ht="15.75" customHeight="1">
      <c r="A66" s="3"/>
      <c r="B66" s="3"/>
    </row>
    <row r="67" ht="15.75" customHeight="1">
      <c r="A67" s="3"/>
      <c r="B67" s="3"/>
    </row>
    <row r="68" ht="15.75" customHeight="1">
      <c r="A68" s="3"/>
      <c r="B68" s="3"/>
    </row>
    <row r="69" ht="15.75" customHeight="1">
      <c r="A69" s="3"/>
      <c r="B69" s="3"/>
    </row>
    <row r="70" ht="15.75" customHeight="1">
      <c r="A70" s="3"/>
      <c r="B70" s="3"/>
    </row>
    <row r="71" ht="15.75" customHeight="1">
      <c r="A71" s="3"/>
      <c r="B71" s="3"/>
    </row>
    <row r="72" ht="15.75" customHeight="1">
      <c r="A72" s="3"/>
      <c r="B72" s="3"/>
    </row>
    <row r="73" ht="15.75" customHeight="1">
      <c r="A73" s="3"/>
      <c r="B73" s="3"/>
    </row>
    <row r="74" ht="15.75" customHeight="1">
      <c r="A74" s="3"/>
      <c r="B74" s="3"/>
    </row>
    <row r="75" ht="15.75" customHeight="1">
      <c r="A75" s="3"/>
      <c r="B75" s="3"/>
    </row>
    <row r="76" ht="15.75" customHeight="1">
      <c r="A76" s="3"/>
      <c r="B76" s="3"/>
    </row>
    <row r="77" ht="15.75" customHeight="1">
      <c r="A77" s="3"/>
      <c r="B77" s="3"/>
    </row>
    <row r="78" ht="15.75" customHeight="1">
      <c r="A78" s="3"/>
      <c r="B78" s="3"/>
    </row>
    <row r="79" ht="15.75" customHeight="1">
      <c r="A79" s="3"/>
      <c r="B79" s="3"/>
    </row>
    <row r="80" ht="15.75" customHeight="1">
      <c r="A80" s="3"/>
      <c r="B80" s="3"/>
    </row>
    <row r="81" ht="15.75" customHeight="1">
      <c r="A81" s="3"/>
      <c r="B81" s="3"/>
    </row>
    <row r="82" ht="15.75" customHeight="1">
      <c r="A82" s="3"/>
      <c r="B82" s="3"/>
    </row>
    <row r="83" ht="15.75" customHeight="1">
      <c r="A83" s="3"/>
      <c r="B83" s="3"/>
    </row>
    <row r="84" ht="15.75" customHeight="1">
      <c r="A84" s="3"/>
      <c r="B84" s="3"/>
    </row>
    <row r="85" ht="15.75" customHeight="1">
      <c r="A85" s="3"/>
      <c r="B85" s="3"/>
    </row>
    <row r="86" ht="15.75" customHeight="1">
      <c r="A86" s="3"/>
      <c r="B86" s="3"/>
    </row>
    <row r="87" ht="15.75" customHeight="1">
      <c r="A87" s="3"/>
      <c r="B87" s="3"/>
    </row>
    <row r="88" ht="15.75" customHeight="1">
      <c r="A88" s="3"/>
      <c r="B88" s="3"/>
    </row>
    <row r="89" ht="15.75" customHeight="1">
      <c r="A89" s="3"/>
      <c r="B89" s="3"/>
    </row>
    <row r="90" ht="15.75" customHeight="1">
      <c r="A90" s="3"/>
      <c r="B90" s="3"/>
    </row>
    <row r="91" ht="15.75" customHeight="1">
      <c r="A91" s="3"/>
      <c r="B91" s="3"/>
    </row>
    <row r="92" ht="15.75" customHeight="1">
      <c r="A92" s="3"/>
      <c r="B92" s="3"/>
    </row>
    <row r="93" ht="15.75" customHeight="1">
      <c r="A93" s="3"/>
      <c r="B93" s="3"/>
    </row>
    <row r="94" ht="15.75" customHeight="1">
      <c r="A94" s="3"/>
      <c r="B94" s="3"/>
    </row>
    <row r="95" ht="15.75" customHeight="1">
      <c r="A95" s="3"/>
      <c r="B95" s="3"/>
    </row>
    <row r="96" ht="15.75" customHeight="1">
      <c r="A96" s="3"/>
      <c r="B96" s="3"/>
    </row>
    <row r="97" ht="15.75" customHeight="1">
      <c r="A97" s="3"/>
      <c r="B97" s="3"/>
    </row>
    <row r="98" ht="15.75" customHeight="1">
      <c r="A98" s="3"/>
      <c r="B98" s="3"/>
    </row>
    <row r="99" ht="15.75" customHeight="1">
      <c r="A99" s="3"/>
      <c r="B99" s="3"/>
    </row>
    <row r="100" ht="15.75" customHeight="1">
      <c r="A100" s="3"/>
      <c r="B100" s="3"/>
    </row>
    <row r="101" ht="15.75" customHeight="1">
      <c r="A101" s="3"/>
      <c r="B101" s="3"/>
    </row>
    <row r="102" ht="15.75" customHeight="1">
      <c r="A102" s="3"/>
      <c r="B102" s="3"/>
    </row>
    <row r="103" ht="15.75" customHeight="1">
      <c r="A103" s="3"/>
      <c r="B103" s="3"/>
    </row>
    <row r="104" ht="15.75" customHeight="1">
      <c r="A104" s="3"/>
      <c r="B104" s="3"/>
    </row>
    <row r="105" ht="15.75" customHeight="1">
      <c r="A105" s="3"/>
      <c r="B105" s="3"/>
    </row>
    <row r="106" ht="15.75" customHeight="1">
      <c r="A106" s="3"/>
      <c r="B106" s="3"/>
    </row>
    <row r="107" ht="15.75" customHeight="1">
      <c r="A107" s="3"/>
      <c r="B107" s="3"/>
    </row>
    <row r="108" ht="15.75" customHeight="1">
      <c r="A108" s="3"/>
      <c r="B108" s="3"/>
    </row>
    <row r="109" ht="15.75" customHeight="1">
      <c r="A109" s="3"/>
      <c r="B109" s="3"/>
    </row>
    <row r="110" ht="15.75" customHeight="1">
      <c r="A110" s="3"/>
      <c r="B110" s="3"/>
    </row>
    <row r="111" ht="15.75" customHeight="1">
      <c r="A111" s="3"/>
      <c r="B111" s="3"/>
    </row>
    <row r="112" ht="15.75" customHeight="1">
      <c r="A112" s="3"/>
      <c r="B112" s="3"/>
    </row>
    <row r="113" ht="15.75" customHeight="1">
      <c r="A113" s="3"/>
      <c r="B113" s="3"/>
    </row>
    <row r="114" ht="15.75" customHeight="1">
      <c r="A114" s="3"/>
      <c r="B114" s="3"/>
    </row>
    <row r="115" ht="15.75" customHeight="1">
      <c r="A115" s="3"/>
      <c r="B115" s="3"/>
    </row>
    <row r="116" ht="15.75" customHeight="1">
      <c r="A116" s="3"/>
      <c r="B116" s="3"/>
    </row>
    <row r="117" ht="15.75" customHeight="1">
      <c r="A117" s="3"/>
      <c r="B117" s="3"/>
    </row>
    <row r="118" ht="15.75" customHeight="1">
      <c r="A118" s="3"/>
      <c r="B118" s="3"/>
    </row>
    <row r="119" ht="15.75" customHeight="1">
      <c r="A119" s="3"/>
      <c r="B119" s="3"/>
    </row>
    <row r="120" ht="15.75" customHeight="1">
      <c r="A120" s="3"/>
      <c r="B120" s="3"/>
    </row>
    <row r="121" ht="15.75" customHeight="1">
      <c r="A121" s="3"/>
      <c r="B121" s="3"/>
    </row>
    <row r="122" ht="15.75" customHeight="1">
      <c r="A122" s="3"/>
      <c r="B122" s="3"/>
    </row>
    <row r="123" ht="15.75" customHeight="1">
      <c r="A123" s="3"/>
      <c r="B123" s="3"/>
    </row>
    <row r="124" ht="15.75" customHeight="1">
      <c r="A124" s="3"/>
      <c r="B124" s="3"/>
    </row>
    <row r="125" ht="15.75" customHeight="1">
      <c r="A125" s="3"/>
      <c r="B125" s="3"/>
    </row>
    <row r="126" ht="15.75" customHeight="1">
      <c r="A126" s="3"/>
      <c r="B126" s="3"/>
    </row>
    <row r="127" ht="15.75" customHeight="1">
      <c r="A127" s="3"/>
      <c r="B127" s="3"/>
    </row>
    <row r="128" ht="15.75" customHeight="1">
      <c r="A128" s="3"/>
      <c r="B128" s="3"/>
    </row>
    <row r="129" ht="15.75" customHeight="1">
      <c r="A129" s="3"/>
      <c r="B129" s="3"/>
    </row>
    <row r="130" ht="15.75" customHeight="1">
      <c r="A130" s="3"/>
      <c r="B130" s="3"/>
    </row>
    <row r="131" ht="15.75" customHeight="1">
      <c r="A131" s="3"/>
      <c r="B131" s="3"/>
    </row>
    <row r="132" ht="15.75" customHeight="1">
      <c r="A132" s="3"/>
      <c r="B132" s="3"/>
    </row>
    <row r="133" ht="15.75" customHeight="1">
      <c r="A133" s="3"/>
      <c r="B133" s="3"/>
    </row>
    <row r="134" ht="15.75" customHeight="1">
      <c r="A134" s="3"/>
      <c r="B134" s="3"/>
    </row>
    <row r="135" ht="15.75" customHeight="1">
      <c r="A135" s="3"/>
      <c r="B135" s="3"/>
    </row>
    <row r="136" ht="15.75" customHeight="1">
      <c r="A136" s="3"/>
      <c r="B136" s="3"/>
    </row>
    <row r="137" ht="15.75" customHeight="1">
      <c r="A137" s="3"/>
      <c r="B137" s="3"/>
    </row>
    <row r="138" ht="15.75" customHeight="1">
      <c r="A138" s="3"/>
      <c r="B138" s="3"/>
    </row>
    <row r="139" ht="15.75" customHeight="1">
      <c r="A139" s="3"/>
      <c r="B139" s="3"/>
    </row>
    <row r="140" ht="15.75" customHeight="1">
      <c r="A140" s="3"/>
      <c r="B140" s="3"/>
    </row>
    <row r="141" ht="15.75" customHeight="1">
      <c r="A141" s="3"/>
      <c r="B141" s="3"/>
    </row>
    <row r="142" ht="15.75" customHeight="1">
      <c r="A142" s="3"/>
      <c r="B142" s="3"/>
    </row>
    <row r="143" ht="15.75" customHeight="1">
      <c r="A143" s="3"/>
      <c r="B143" s="3"/>
    </row>
    <row r="144" ht="15.75" customHeight="1">
      <c r="A144" s="3"/>
      <c r="B144" s="3"/>
    </row>
    <row r="145" ht="15.75" customHeight="1">
      <c r="A145" s="3"/>
      <c r="B145" s="3"/>
    </row>
    <row r="146" ht="15.75" customHeight="1">
      <c r="A146" s="3"/>
      <c r="B146" s="3"/>
    </row>
    <row r="147" ht="15.75" customHeight="1">
      <c r="A147" s="3"/>
      <c r="B147" s="3"/>
    </row>
    <row r="148" ht="15.75" customHeight="1">
      <c r="A148" s="3"/>
      <c r="B148" s="3"/>
    </row>
    <row r="149" ht="15.75" customHeight="1">
      <c r="A149" s="3"/>
      <c r="B149" s="3"/>
    </row>
    <row r="150" ht="15.75" customHeight="1">
      <c r="A150" s="3"/>
      <c r="B150" s="3"/>
    </row>
    <row r="151" ht="15.75" customHeight="1">
      <c r="A151" s="3"/>
      <c r="B151" s="3"/>
    </row>
    <row r="152" ht="15.75" customHeight="1">
      <c r="A152" s="3"/>
      <c r="B152" s="3"/>
    </row>
    <row r="153" ht="15.75" customHeight="1">
      <c r="A153" s="3"/>
      <c r="B153" s="3"/>
    </row>
    <row r="154" ht="15.75" customHeight="1">
      <c r="A154" s="3"/>
      <c r="B154" s="3"/>
    </row>
    <row r="155" ht="15.75" customHeight="1">
      <c r="A155" s="3"/>
      <c r="B155" s="3"/>
    </row>
    <row r="156" ht="15.75" customHeight="1">
      <c r="A156" s="3"/>
      <c r="B156" s="3"/>
    </row>
    <row r="157" ht="15.75" customHeight="1">
      <c r="A157" s="3"/>
      <c r="B157" s="3"/>
    </row>
    <row r="158" ht="15.75" customHeight="1">
      <c r="A158" s="3"/>
      <c r="B158" s="3"/>
    </row>
    <row r="159" ht="15.75" customHeight="1">
      <c r="A159" s="3"/>
      <c r="B159" s="3"/>
    </row>
    <row r="160" ht="15.75" customHeight="1">
      <c r="A160" s="3"/>
      <c r="B160" s="3"/>
    </row>
    <row r="161" ht="15.75" customHeight="1">
      <c r="A161" s="3"/>
      <c r="B161" s="3"/>
    </row>
    <row r="162" ht="15.75" customHeight="1">
      <c r="A162" s="3"/>
      <c r="B162" s="3"/>
    </row>
    <row r="163" ht="15.75" customHeight="1">
      <c r="A163" s="3"/>
      <c r="B163" s="3"/>
    </row>
    <row r="164" ht="15.75" customHeight="1">
      <c r="A164" s="3"/>
      <c r="B164" s="3"/>
    </row>
    <row r="165" ht="15.75" customHeight="1">
      <c r="A165" s="3"/>
      <c r="B165" s="3"/>
    </row>
    <row r="166" ht="15.75" customHeight="1">
      <c r="A166" s="3"/>
      <c r="B166" s="3"/>
    </row>
    <row r="167" ht="15.75" customHeight="1">
      <c r="A167" s="3"/>
      <c r="B167" s="3"/>
    </row>
    <row r="168" ht="15.75" customHeight="1">
      <c r="A168" s="3"/>
      <c r="B168" s="3"/>
    </row>
    <row r="169" ht="15.75" customHeight="1">
      <c r="A169" s="3"/>
      <c r="B169" s="3"/>
    </row>
    <row r="170" ht="15.75" customHeight="1">
      <c r="A170" s="3"/>
      <c r="B170" s="3"/>
    </row>
    <row r="171" ht="15.75" customHeight="1">
      <c r="A171" s="3"/>
      <c r="B171" s="3"/>
    </row>
    <row r="172" ht="15.75" customHeight="1">
      <c r="A172" s="3"/>
      <c r="B172" s="3"/>
    </row>
    <row r="173" ht="15.75" customHeight="1">
      <c r="A173" s="3"/>
      <c r="B173" s="3"/>
    </row>
    <row r="174" ht="15.75" customHeight="1">
      <c r="A174" s="3"/>
      <c r="B174" s="3"/>
    </row>
    <row r="175" ht="15.75" customHeight="1">
      <c r="A175" s="3"/>
      <c r="B175" s="3"/>
    </row>
    <row r="176" ht="15.75" customHeight="1">
      <c r="A176" s="3"/>
      <c r="B176" s="3"/>
    </row>
    <row r="177" ht="15.75" customHeight="1">
      <c r="A177" s="3"/>
      <c r="B177" s="3"/>
    </row>
    <row r="178" ht="15.75" customHeight="1">
      <c r="A178" s="3"/>
      <c r="B178" s="3"/>
    </row>
    <row r="179" ht="15.75" customHeight="1">
      <c r="A179" s="3"/>
      <c r="B179" s="3"/>
    </row>
    <row r="180" ht="15.75" customHeight="1">
      <c r="A180" s="3"/>
      <c r="B180" s="3"/>
    </row>
    <row r="181" ht="15.75" customHeight="1">
      <c r="A181" s="3"/>
      <c r="B181" s="3"/>
    </row>
    <row r="182" ht="15.75" customHeight="1">
      <c r="A182" s="3"/>
      <c r="B182" s="3"/>
    </row>
    <row r="183" ht="15.75" customHeight="1">
      <c r="A183" s="3"/>
      <c r="B183" s="3"/>
    </row>
    <row r="184" ht="15.75" customHeight="1">
      <c r="A184" s="3"/>
      <c r="B184" s="3"/>
    </row>
    <row r="185" ht="15.75" customHeight="1">
      <c r="A185" s="3"/>
      <c r="B185" s="3"/>
    </row>
    <row r="186" ht="15.75" customHeight="1">
      <c r="A186" s="3"/>
      <c r="B186" s="3"/>
    </row>
    <row r="187" ht="15.75" customHeight="1">
      <c r="A187" s="3"/>
      <c r="B187" s="3"/>
    </row>
    <row r="188" ht="15.75" customHeight="1">
      <c r="A188" s="3"/>
      <c r="B188" s="3"/>
    </row>
    <row r="189" ht="15.75" customHeight="1">
      <c r="A189" s="3"/>
      <c r="B189" s="3"/>
    </row>
    <row r="190" ht="15.75" customHeight="1">
      <c r="A190" s="3"/>
      <c r="B190" s="3"/>
    </row>
    <row r="191" ht="15.75" customHeight="1">
      <c r="A191" s="3"/>
      <c r="B191" s="3"/>
    </row>
    <row r="192" ht="15.75" customHeight="1">
      <c r="A192" s="3"/>
      <c r="B192" s="3"/>
    </row>
    <row r="193" ht="15.75" customHeight="1">
      <c r="A193" s="3"/>
      <c r="B193" s="3"/>
    </row>
    <row r="194" ht="15.75" customHeight="1">
      <c r="A194" s="3"/>
      <c r="B194" s="3"/>
    </row>
    <row r="195" ht="15.75" customHeight="1">
      <c r="A195" s="3"/>
      <c r="B195" s="3"/>
    </row>
    <row r="196" ht="15.75" customHeight="1">
      <c r="A196" s="3"/>
      <c r="B196" s="3"/>
    </row>
    <row r="197" ht="15.75" customHeight="1">
      <c r="A197" s="3"/>
      <c r="B197" s="3"/>
    </row>
    <row r="198" ht="15.75" customHeight="1">
      <c r="A198" s="3"/>
      <c r="B198" s="3"/>
    </row>
    <row r="199" ht="15.75" customHeight="1">
      <c r="A199" s="3"/>
      <c r="B199" s="3"/>
    </row>
    <row r="200" ht="15.75" customHeight="1">
      <c r="A200" s="3"/>
      <c r="B200" s="3"/>
    </row>
    <row r="201" ht="15.75" customHeight="1">
      <c r="A201" s="3"/>
      <c r="B201" s="3"/>
    </row>
    <row r="202" ht="15.75" customHeight="1">
      <c r="A202" s="3"/>
      <c r="B202" s="3"/>
    </row>
    <row r="203" ht="15.75" customHeight="1">
      <c r="A203" s="3"/>
      <c r="B203" s="3"/>
    </row>
    <row r="204" ht="15.75" customHeight="1">
      <c r="A204" s="3"/>
      <c r="B204" s="3"/>
    </row>
    <row r="205" ht="15.75" customHeight="1">
      <c r="A205" s="3"/>
      <c r="B205" s="3"/>
    </row>
    <row r="206" ht="15.75" customHeight="1">
      <c r="A206" s="3"/>
      <c r="B206" s="3"/>
    </row>
    <row r="207" ht="15.75" customHeight="1">
      <c r="A207" s="3"/>
      <c r="B207" s="3"/>
    </row>
    <row r="208" ht="15.75" customHeight="1">
      <c r="A208" s="3"/>
      <c r="B208" s="3"/>
    </row>
    <row r="209" ht="15.75" customHeight="1">
      <c r="A209" s="3"/>
      <c r="B209" s="3"/>
    </row>
    <row r="210" ht="15.75" customHeight="1">
      <c r="A210" s="3"/>
      <c r="B210" s="3"/>
    </row>
    <row r="211" ht="15.75" customHeight="1">
      <c r="A211" s="3"/>
      <c r="B211" s="3"/>
    </row>
    <row r="212" ht="15.75" customHeight="1">
      <c r="A212" s="3"/>
      <c r="B212" s="3"/>
    </row>
    <row r="213" ht="15.75" customHeight="1">
      <c r="A213" s="3"/>
      <c r="B213" s="3"/>
    </row>
    <row r="214" ht="15.75" customHeight="1">
      <c r="A214" s="3"/>
      <c r="B214" s="3"/>
    </row>
    <row r="215" ht="15.75" customHeight="1">
      <c r="A215" s="3"/>
      <c r="B215" s="3"/>
    </row>
    <row r="216" ht="15.75" customHeight="1">
      <c r="A216" s="3"/>
      <c r="B216" s="3"/>
    </row>
    <row r="217" ht="15.75" customHeight="1">
      <c r="A217" s="3"/>
      <c r="B217" s="3"/>
    </row>
    <row r="218" ht="15.75" customHeight="1">
      <c r="A218" s="3"/>
      <c r="B218" s="3"/>
    </row>
    <row r="219" ht="15.75" customHeight="1">
      <c r="A219" s="3"/>
      <c r="B219" s="3"/>
    </row>
    <row r="220" ht="15.75" customHeight="1">
      <c r="A220" s="3"/>
      <c r="B220" s="3"/>
    </row>
    <row r="221" ht="15.75" customHeight="1">
      <c r="A221" s="3"/>
      <c r="B221" s="3"/>
    </row>
    <row r="222" ht="15.75" customHeight="1">
      <c r="A222" s="3"/>
      <c r="B222" s="3"/>
    </row>
    <row r="223" ht="15.75" customHeight="1">
      <c r="A223" s="3"/>
      <c r="B223" s="3"/>
    </row>
    <row r="224" ht="15.75" customHeight="1">
      <c r="A224" s="3"/>
      <c r="B224" s="3"/>
    </row>
    <row r="225" ht="15.75" customHeight="1">
      <c r="A225" s="3"/>
      <c r="B225" s="3"/>
    </row>
    <row r="226" ht="15.75" customHeight="1">
      <c r="A226" s="3"/>
      <c r="B226" s="3"/>
    </row>
    <row r="227" ht="15.75" customHeight="1">
      <c r="A227" s="3"/>
      <c r="B227" s="3"/>
    </row>
    <row r="228" ht="15.75" customHeight="1">
      <c r="A228" s="3"/>
      <c r="B228" s="3"/>
    </row>
    <row r="229" ht="15.75" customHeight="1">
      <c r="A229" s="3"/>
      <c r="B229" s="3"/>
    </row>
    <row r="230" ht="15.75" customHeight="1">
      <c r="A230" s="3"/>
      <c r="B230" s="3"/>
    </row>
    <row r="231" ht="15.75" customHeight="1">
      <c r="A231" s="3"/>
      <c r="B231" s="3"/>
    </row>
    <row r="232" ht="15.75" customHeight="1">
      <c r="A232" s="3"/>
      <c r="B232" s="3"/>
    </row>
    <row r="233" ht="15.75" customHeight="1">
      <c r="A233" s="3"/>
      <c r="B233" s="3"/>
    </row>
    <row r="234" ht="15.75" customHeight="1">
      <c r="A234" s="3"/>
      <c r="B234" s="3"/>
    </row>
    <row r="235" ht="15.75" customHeight="1">
      <c r="A235" s="3"/>
      <c r="B235" s="3"/>
    </row>
    <row r="236" ht="15.75" customHeight="1">
      <c r="A236" s="3"/>
      <c r="B236" s="3"/>
    </row>
    <row r="237" ht="15.75" customHeight="1">
      <c r="A237" s="3"/>
      <c r="B237" s="3"/>
    </row>
    <row r="238" ht="15.75" customHeight="1">
      <c r="A238" s="3"/>
      <c r="B238" s="3"/>
    </row>
    <row r="239" ht="15.75" customHeight="1">
      <c r="A239" s="3"/>
      <c r="B239" s="3"/>
    </row>
    <row r="240" ht="15.75" customHeight="1">
      <c r="A240" s="3"/>
      <c r="B240" s="3"/>
    </row>
    <row r="241" ht="15.75" customHeight="1">
      <c r="A241" s="3"/>
      <c r="B241" s="3"/>
    </row>
    <row r="242" ht="15.75" customHeight="1">
      <c r="A242" s="3"/>
      <c r="B242" s="3"/>
    </row>
    <row r="243" ht="15.75" customHeight="1">
      <c r="A243" s="3"/>
      <c r="B243" s="3"/>
    </row>
    <row r="244" ht="15.75" customHeight="1">
      <c r="A244" s="3"/>
      <c r="B244" s="3"/>
    </row>
    <row r="245" ht="15.75" customHeight="1">
      <c r="A245" s="3"/>
      <c r="B245" s="3"/>
    </row>
    <row r="246" ht="15.75" customHeight="1">
      <c r="A246" s="3"/>
      <c r="B246" s="3"/>
    </row>
    <row r="247" ht="15.75" customHeight="1">
      <c r="A247" s="3"/>
      <c r="B247" s="3"/>
    </row>
    <row r="248" ht="15.75" customHeight="1">
      <c r="A248" s="3"/>
      <c r="B248" s="3"/>
    </row>
    <row r="249" ht="15.75" customHeight="1">
      <c r="A249" s="3"/>
      <c r="B249" s="3"/>
    </row>
    <row r="250" ht="15.75" customHeight="1">
      <c r="A250" s="3"/>
      <c r="B250" s="3"/>
    </row>
    <row r="251" ht="15.75" customHeight="1">
      <c r="A251" s="3"/>
      <c r="B251" s="3"/>
    </row>
    <row r="252" ht="15.75" customHeight="1">
      <c r="A252" s="3"/>
      <c r="B252" s="3"/>
    </row>
    <row r="253" ht="15.75" customHeight="1">
      <c r="A253" s="3"/>
      <c r="B253" s="3"/>
    </row>
    <row r="254" ht="15.75" customHeight="1">
      <c r="A254" s="3"/>
      <c r="B254" s="3"/>
    </row>
    <row r="255" ht="15.75" customHeight="1">
      <c r="A255" s="3"/>
      <c r="B255" s="3"/>
    </row>
    <row r="256" ht="15.75" customHeight="1">
      <c r="A256" s="3"/>
      <c r="B256" s="3"/>
    </row>
    <row r="257" ht="15.75" customHeight="1">
      <c r="A257" s="3"/>
      <c r="B257" s="3"/>
    </row>
    <row r="258" ht="15.75" customHeight="1">
      <c r="A258" s="3"/>
      <c r="B258" s="3"/>
    </row>
    <row r="259" ht="15.75" customHeight="1">
      <c r="A259" s="3"/>
      <c r="B259" s="3"/>
    </row>
    <row r="260" ht="15.75" customHeight="1">
      <c r="A260" s="3"/>
      <c r="B260" s="3"/>
    </row>
    <row r="261" ht="15.75" customHeight="1">
      <c r="A261" s="3"/>
      <c r="B261" s="3"/>
    </row>
    <row r="262" ht="15.75" customHeight="1">
      <c r="A262" s="3"/>
      <c r="B262" s="3"/>
    </row>
    <row r="263" ht="15.75" customHeight="1">
      <c r="A263" s="3"/>
      <c r="B263" s="3"/>
    </row>
    <row r="264" ht="15.75" customHeight="1">
      <c r="A264" s="14"/>
      <c r="B264" s="14"/>
    </row>
    <row r="265" ht="15.75" customHeight="1">
      <c r="A265" s="14"/>
      <c r="B265" s="14"/>
    </row>
    <row r="266" ht="15.75" customHeight="1">
      <c r="A266" s="14"/>
      <c r="B266" s="14"/>
    </row>
    <row r="267" ht="15.75" customHeight="1">
      <c r="A267" s="14"/>
      <c r="B267" s="14"/>
    </row>
    <row r="268" ht="15.75" customHeight="1">
      <c r="A268" s="14"/>
      <c r="B268" s="14"/>
    </row>
    <row r="269" ht="15.75" customHeight="1">
      <c r="A269" s="14"/>
      <c r="B269" s="14"/>
    </row>
    <row r="270" ht="15.75" customHeight="1">
      <c r="A270" s="14"/>
      <c r="B270" s="14"/>
    </row>
    <row r="271" ht="15.75" customHeight="1">
      <c r="A271" s="14"/>
      <c r="B271" s="14"/>
    </row>
    <row r="272" ht="15.75" customHeight="1">
      <c r="A272" s="14"/>
      <c r="B272" s="14"/>
    </row>
    <row r="273" ht="15.75" customHeight="1">
      <c r="A273" s="14"/>
      <c r="B273" s="14"/>
    </row>
    <row r="274" ht="15.75" customHeight="1">
      <c r="A274" s="14"/>
      <c r="B274" s="14"/>
    </row>
    <row r="275" ht="15.75" customHeight="1">
      <c r="A275" s="14"/>
      <c r="B275" s="14"/>
    </row>
    <row r="276" ht="15.75" customHeight="1">
      <c r="A276" s="14"/>
      <c r="B276" s="14"/>
    </row>
    <row r="277" ht="15.75" customHeight="1">
      <c r="A277" s="14"/>
      <c r="B277" s="14"/>
    </row>
    <row r="278" ht="15.75" customHeight="1">
      <c r="A278" s="14"/>
      <c r="B278" s="14"/>
    </row>
    <row r="279" ht="15.75" customHeight="1">
      <c r="A279" s="14"/>
      <c r="B279" s="14"/>
    </row>
    <row r="280" ht="15.75" customHeight="1">
      <c r="A280" s="14"/>
      <c r="B280" s="14"/>
    </row>
    <row r="281" ht="15.75" customHeight="1">
      <c r="A281" s="14"/>
      <c r="B281" s="14"/>
    </row>
    <row r="282" ht="15.75" customHeight="1">
      <c r="A282" s="14"/>
      <c r="B282" s="14"/>
    </row>
    <row r="283" ht="15.75" customHeight="1">
      <c r="A283" s="14"/>
      <c r="B283" s="14"/>
    </row>
    <row r="284" ht="15.75" customHeight="1">
      <c r="A284" s="14"/>
      <c r="B284" s="14"/>
    </row>
    <row r="285" ht="15.75" customHeight="1">
      <c r="A285" s="14"/>
      <c r="B285" s="14"/>
    </row>
    <row r="286" ht="15.75" customHeight="1">
      <c r="A286" s="14"/>
      <c r="B286" s="14"/>
    </row>
    <row r="287" ht="15.75" customHeight="1">
      <c r="A287" s="14"/>
      <c r="B287" s="14"/>
    </row>
    <row r="288" ht="15.75" customHeight="1">
      <c r="A288" s="14"/>
      <c r="B288" s="14"/>
    </row>
    <row r="289" ht="15.75" customHeight="1">
      <c r="A289" s="14"/>
      <c r="B289" s="14"/>
    </row>
    <row r="290" ht="15.75" customHeight="1">
      <c r="A290" s="14"/>
      <c r="B290" s="14"/>
    </row>
    <row r="291" ht="15.75" customHeight="1">
      <c r="A291" s="14"/>
      <c r="B291" s="14"/>
    </row>
    <row r="292" ht="15.75" customHeight="1">
      <c r="A292" s="14"/>
      <c r="B292" s="14"/>
    </row>
    <row r="293" ht="15.75" customHeight="1">
      <c r="A293" s="14"/>
      <c r="B293" s="14"/>
    </row>
    <row r="294" ht="15.75" customHeight="1">
      <c r="A294" s="14"/>
      <c r="B294" s="14"/>
    </row>
    <row r="295" ht="15.75" customHeight="1">
      <c r="A295" s="14"/>
      <c r="B295" s="14"/>
    </row>
    <row r="296" ht="15.75" customHeight="1">
      <c r="A296" s="14"/>
      <c r="B296" s="14"/>
    </row>
    <row r="297" ht="15.75" customHeight="1">
      <c r="A297" s="14"/>
      <c r="B297" s="14"/>
    </row>
    <row r="298" ht="15.75" customHeight="1">
      <c r="A298" s="14"/>
      <c r="B298" s="14"/>
    </row>
    <row r="299" ht="15.75" customHeight="1">
      <c r="A299" s="14"/>
      <c r="B299" s="14"/>
    </row>
    <row r="300" ht="15.75" customHeight="1">
      <c r="A300" s="14"/>
      <c r="B300" s="14"/>
    </row>
    <row r="301" ht="15.75" customHeight="1">
      <c r="A301" s="14"/>
      <c r="B301" s="14"/>
    </row>
    <row r="302" ht="15.75" customHeight="1">
      <c r="A302" s="14"/>
      <c r="B302" s="14"/>
    </row>
    <row r="303" ht="15.75" customHeight="1">
      <c r="A303" s="14"/>
      <c r="B303" s="14"/>
    </row>
    <row r="304" ht="15.75" customHeight="1">
      <c r="A304" s="14"/>
      <c r="B304" s="14"/>
    </row>
    <row r="305" ht="15.75" customHeight="1">
      <c r="A305" s="14"/>
      <c r="B305" s="14"/>
    </row>
    <row r="306" ht="15.75" customHeight="1">
      <c r="A306" s="14"/>
      <c r="B306" s="14"/>
    </row>
    <row r="307" ht="15.75" customHeight="1">
      <c r="A307" s="14"/>
      <c r="B307" s="14"/>
    </row>
    <row r="308" ht="15.75" customHeight="1">
      <c r="A308" s="14"/>
      <c r="B308" s="14"/>
    </row>
    <row r="309" ht="15.75" customHeight="1">
      <c r="A309" s="14"/>
      <c r="B309" s="14"/>
    </row>
    <row r="310" ht="15.75" customHeight="1">
      <c r="A310" s="14"/>
      <c r="B310" s="14"/>
    </row>
    <row r="311" ht="15.75" customHeight="1">
      <c r="A311" s="14"/>
      <c r="B311" s="14"/>
    </row>
    <row r="312" ht="15.75" customHeight="1">
      <c r="A312" s="14"/>
      <c r="B312" s="14"/>
    </row>
    <row r="313" ht="15.75" customHeight="1">
      <c r="A313" s="14"/>
      <c r="B313" s="14"/>
    </row>
    <row r="314" ht="15.75" customHeight="1">
      <c r="A314" s="14"/>
      <c r="B314" s="14"/>
    </row>
    <row r="315" ht="15.75" customHeight="1">
      <c r="A315" s="14"/>
      <c r="B315" s="14"/>
    </row>
    <row r="316" ht="15.75" customHeight="1">
      <c r="A316" s="14"/>
      <c r="B316" s="14"/>
    </row>
    <row r="317" ht="15.75" customHeight="1">
      <c r="A317" s="14"/>
      <c r="B317" s="14"/>
    </row>
    <row r="318" ht="15.75" customHeight="1">
      <c r="A318" s="14"/>
      <c r="B318" s="14"/>
    </row>
    <row r="319" ht="15.75" customHeight="1">
      <c r="A319" s="14"/>
      <c r="B319" s="14"/>
    </row>
    <row r="320" ht="15.75" customHeight="1">
      <c r="A320" s="14"/>
      <c r="B320" s="14"/>
    </row>
    <row r="321" ht="15.75" customHeight="1">
      <c r="A321" s="14"/>
      <c r="B321" s="14"/>
    </row>
    <row r="322" ht="15.75" customHeight="1">
      <c r="A322" s="14"/>
      <c r="B322" s="14"/>
    </row>
    <row r="323" ht="15.75" customHeight="1">
      <c r="A323" s="14"/>
      <c r="B323" s="14"/>
    </row>
    <row r="324" ht="15.75" customHeight="1">
      <c r="A324" s="14"/>
      <c r="B324" s="14"/>
    </row>
    <row r="325" ht="15.75" customHeight="1">
      <c r="A325" s="14"/>
      <c r="B325" s="14"/>
    </row>
    <row r="326" ht="15.75" customHeight="1">
      <c r="A326" s="14"/>
      <c r="B326" s="14"/>
    </row>
    <row r="327" ht="15.75" customHeight="1">
      <c r="A327" s="14"/>
      <c r="B327" s="14"/>
    </row>
    <row r="328" ht="15.75" customHeight="1">
      <c r="A328" s="14"/>
      <c r="B328" s="14"/>
    </row>
    <row r="329" ht="15.75" customHeight="1">
      <c r="A329" s="14"/>
      <c r="B329" s="14"/>
    </row>
    <row r="330" ht="15.75" customHeight="1">
      <c r="A330" s="14"/>
      <c r="B330" s="14"/>
    </row>
    <row r="331" ht="15.75" customHeight="1">
      <c r="A331" s="14"/>
      <c r="B331" s="14"/>
    </row>
    <row r="332" ht="15.75" customHeight="1">
      <c r="A332" s="14"/>
      <c r="B332" s="14"/>
    </row>
    <row r="333" ht="15.75" customHeight="1">
      <c r="A333" s="14"/>
      <c r="B333" s="14"/>
    </row>
    <row r="334" ht="15.75" customHeight="1">
      <c r="A334" s="14"/>
      <c r="B334" s="14"/>
    </row>
    <row r="335" ht="15.75" customHeight="1">
      <c r="A335" s="14"/>
      <c r="B335" s="14"/>
    </row>
    <row r="336" ht="15.75" customHeight="1">
      <c r="A336" s="14"/>
      <c r="B336" s="14"/>
    </row>
    <row r="337" ht="15.75" customHeight="1">
      <c r="A337" s="14"/>
      <c r="B337" s="14"/>
    </row>
    <row r="338" ht="15.75" customHeight="1">
      <c r="A338" s="14"/>
      <c r="B338" s="14"/>
    </row>
    <row r="339" ht="15.75" customHeight="1">
      <c r="A339" s="14"/>
      <c r="B339" s="14"/>
    </row>
    <row r="340" ht="15.75" customHeight="1">
      <c r="A340" s="14"/>
      <c r="B340" s="14"/>
    </row>
    <row r="341" ht="15.75" customHeight="1">
      <c r="A341" s="14"/>
      <c r="B341" s="14"/>
    </row>
    <row r="342" ht="15.75" customHeight="1">
      <c r="A342" s="14"/>
      <c r="B342" s="14"/>
    </row>
    <row r="343" ht="15.75" customHeight="1">
      <c r="A343" s="14"/>
      <c r="B343" s="14"/>
    </row>
    <row r="344" ht="15.75" customHeight="1">
      <c r="A344" s="14"/>
      <c r="B344" s="14"/>
    </row>
    <row r="345" ht="15.75" customHeight="1">
      <c r="A345" s="14"/>
      <c r="B345" s="14"/>
    </row>
    <row r="346" ht="15.75" customHeight="1">
      <c r="A346" s="14"/>
      <c r="B346" s="14"/>
    </row>
    <row r="347" ht="15.75" customHeight="1">
      <c r="A347" s="14"/>
      <c r="B347" s="14"/>
    </row>
    <row r="348" ht="15.75" customHeight="1">
      <c r="A348" s="14"/>
      <c r="B348" s="14"/>
    </row>
    <row r="349" ht="15.75" customHeight="1">
      <c r="A349" s="14"/>
      <c r="B349" s="14"/>
    </row>
    <row r="350" ht="15.75" customHeight="1">
      <c r="A350" s="14"/>
      <c r="B350" s="14"/>
    </row>
    <row r="351" ht="15.75" customHeight="1">
      <c r="A351" s="14"/>
      <c r="B351" s="14"/>
    </row>
    <row r="352" ht="15.75" customHeight="1">
      <c r="A352" s="14"/>
      <c r="B352" s="14"/>
    </row>
    <row r="353" ht="15.75" customHeight="1">
      <c r="A353" s="14"/>
      <c r="B353" s="14"/>
    </row>
    <row r="354" ht="15.75" customHeight="1">
      <c r="A354" s="14"/>
      <c r="B354" s="14"/>
    </row>
    <row r="355" ht="15.75" customHeight="1">
      <c r="A355" s="14"/>
      <c r="B355" s="14"/>
    </row>
    <row r="356" ht="15.75" customHeight="1">
      <c r="A356" s="14"/>
      <c r="B356" s="14"/>
    </row>
    <row r="357" ht="15.75" customHeight="1">
      <c r="A357" s="14"/>
      <c r="B357" s="14"/>
    </row>
    <row r="358" ht="15.75" customHeight="1">
      <c r="A358" s="14"/>
      <c r="B358" s="14"/>
    </row>
    <row r="359" ht="15.75" customHeight="1">
      <c r="A359" s="14"/>
      <c r="B359" s="14"/>
    </row>
    <row r="360" ht="15.75" customHeight="1">
      <c r="A360" s="14"/>
      <c r="B360" s="14"/>
    </row>
    <row r="361" ht="15.75" customHeight="1">
      <c r="A361" s="14"/>
      <c r="B361" s="14"/>
    </row>
    <row r="362" ht="15.75" customHeight="1">
      <c r="A362" s="14"/>
      <c r="B362" s="14"/>
    </row>
    <row r="363" ht="15.75" customHeight="1">
      <c r="A363" s="14"/>
      <c r="B363" s="14"/>
    </row>
    <row r="364" ht="15.75" customHeight="1">
      <c r="A364" s="14"/>
      <c r="B364" s="14"/>
    </row>
    <row r="365" ht="15.75" customHeight="1">
      <c r="A365" s="14"/>
      <c r="B365" s="14"/>
    </row>
    <row r="366" ht="15.75" customHeight="1">
      <c r="A366" s="14"/>
      <c r="B366" s="14"/>
    </row>
    <row r="367" ht="15.75" customHeight="1">
      <c r="A367" s="14"/>
      <c r="B367" s="14"/>
    </row>
    <row r="368" ht="15.75" customHeight="1">
      <c r="A368" s="14"/>
      <c r="B368" s="14"/>
    </row>
    <row r="369" ht="15.75" customHeight="1">
      <c r="A369" s="14"/>
      <c r="B369" s="14"/>
    </row>
    <row r="370" ht="15.75" customHeight="1">
      <c r="A370" s="14"/>
      <c r="B370" s="14"/>
    </row>
    <row r="371" ht="15.75" customHeight="1">
      <c r="A371" s="14"/>
      <c r="B371" s="14"/>
    </row>
    <row r="372" ht="15.75" customHeight="1">
      <c r="A372" s="14"/>
      <c r="B372" s="14"/>
    </row>
    <row r="373" ht="15.75" customHeight="1">
      <c r="A373" s="14"/>
      <c r="B373" s="14"/>
    </row>
    <row r="374" ht="15.75" customHeight="1">
      <c r="A374" s="14"/>
      <c r="B374" s="14"/>
    </row>
    <row r="375" ht="15.75" customHeight="1">
      <c r="A375" s="14"/>
      <c r="B375" s="14"/>
    </row>
    <row r="376" ht="15.75" customHeight="1">
      <c r="A376" s="14"/>
      <c r="B376" s="14"/>
    </row>
    <row r="377" ht="15.75" customHeight="1">
      <c r="A377" s="14"/>
      <c r="B377" s="14"/>
    </row>
    <row r="378" ht="15.75" customHeight="1">
      <c r="A378" s="14"/>
      <c r="B378" s="14"/>
    </row>
    <row r="379" ht="15.75" customHeight="1">
      <c r="A379" s="14"/>
      <c r="B379" s="14"/>
    </row>
    <row r="380" ht="15.75" customHeight="1">
      <c r="A380" s="14"/>
      <c r="B380" s="14"/>
    </row>
    <row r="381" ht="15.75" customHeight="1">
      <c r="A381" s="14"/>
      <c r="B381" s="14"/>
    </row>
    <row r="382" ht="15.75" customHeight="1">
      <c r="A382" s="14"/>
      <c r="B382" s="14"/>
    </row>
    <row r="383" ht="15.75" customHeight="1">
      <c r="A383" s="14"/>
      <c r="B383" s="14"/>
    </row>
    <row r="384" ht="15.75" customHeight="1">
      <c r="A384" s="14"/>
      <c r="B384" s="14"/>
    </row>
    <row r="385" ht="15.75" customHeight="1">
      <c r="A385" s="14"/>
      <c r="B385" s="14"/>
    </row>
    <row r="386" ht="15.75" customHeight="1">
      <c r="A386" s="14"/>
      <c r="B386" s="14"/>
    </row>
    <row r="387" ht="15.75" customHeight="1">
      <c r="A387" s="14"/>
      <c r="B387" s="14"/>
    </row>
    <row r="388" ht="15.75" customHeight="1">
      <c r="A388" s="14"/>
      <c r="B388" s="14"/>
    </row>
    <row r="389" ht="15.75" customHeight="1">
      <c r="A389" s="14"/>
      <c r="B389" s="14"/>
    </row>
    <row r="390" ht="15.75" customHeight="1">
      <c r="A390" s="14"/>
      <c r="B390" s="14"/>
    </row>
    <row r="391" ht="15.75" customHeight="1">
      <c r="A391" s="14"/>
      <c r="B391" s="14"/>
    </row>
    <row r="392" ht="15.75" customHeight="1">
      <c r="A392" s="14"/>
      <c r="B392" s="14"/>
    </row>
    <row r="393" ht="15.75" customHeight="1">
      <c r="A393" s="14"/>
      <c r="B393" s="14"/>
    </row>
    <row r="394" ht="15.75" customHeight="1">
      <c r="A394" s="14"/>
      <c r="B394" s="14"/>
    </row>
    <row r="395" ht="15.75" customHeight="1">
      <c r="A395" s="14"/>
      <c r="B395" s="14"/>
    </row>
    <row r="396" ht="15.75" customHeight="1">
      <c r="A396" s="14"/>
      <c r="B396" s="14"/>
    </row>
    <row r="397" ht="15.75" customHeight="1">
      <c r="A397" s="14"/>
      <c r="B397" s="14"/>
    </row>
    <row r="398" ht="15.75" customHeight="1">
      <c r="A398" s="14"/>
      <c r="B398" s="14"/>
    </row>
    <row r="399" ht="15.75" customHeight="1">
      <c r="A399" s="14"/>
      <c r="B399" s="14"/>
    </row>
    <row r="400" ht="15.75" customHeight="1">
      <c r="A400" s="14"/>
      <c r="B400" s="14"/>
    </row>
    <row r="401" ht="15.75" customHeight="1">
      <c r="A401" s="14"/>
      <c r="B401" s="14"/>
    </row>
    <row r="402" ht="15.75" customHeight="1">
      <c r="A402" s="14"/>
      <c r="B402" s="14"/>
    </row>
    <row r="403" ht="15.75" customHeight="1">
      <c r="A403" s="14"/>
      <c r="B403" s="14"/>
    </row>
    <row r="404" ht="15.75" customHeight="1">
      <c r="A404" s="14"/>
      <c r="B404" s="14"/>
    </row>
    <row r="405" ht="15.75" customHeight="1">
      <c r="A405" s="14"/>
      <c r="B405" s="14"/>
    </row>
    <row r="406" ht="15.75" customHeight="1">
      <c r="A406" s="14"/>
      <c r="B406" s="14"/>
    </row>
    <row r="407" ht="15.75" customHeight="1">
      <c r="A407" s="14"/>
      <c r="B407" s="14"/>
    </row>
    <row r="408" ht="15.75" customHeight="1">
      <c r="A408" s="14"/>
      <c r="B408" s="14"/>
    </row>
    <row r="409" ht="15.75" customHeight="1">
      <c r="A409" s="14"/>
      <c r="B409" s="14"/>
    </row>
    <row r="410" ht="15.75" customHeight="1">
      <c r="A410" s="14"/>
      <c r="B410" s="14"/>
    </row>
    <row r="411" ht="15.75" customHeight="1">
      <c r="A411" s="14"/>
      <c r="B411" s="14"/>
    </row>
    <row r="412" ht="15.75" customHeight="1">
      <c r="A412" s="14"/>
      <c r="B412" s="14"/>
    </row>
    <row r="413" ht="15.75" customHeight="1">
      <c r="A413" s="14"/>
      <c r="B413" s="14"/>
    </row>
    <row r="414" ht="15.75" customHeight="1">
      <c r="A414" s="14"/>
      <c r="B414" s="14"/>
    </row>
    <row r="415" ht="15.75" customHeight="1">
      <c r="A415" s="14"/>
      <c r="B415" s="14"/>
    </row>
    <row r="416" ht="15.75" customHeight="1">
      <c r="A416" s="14"/>
      <c r="B416" s="14"/>
    </row>
    <row r="417" ht="15.75" customHeight="1">
      <c r="A417" s="14"/>
      <c r="B417" s="14"/>
    </row>
    <row r="418" ht="15.75" customHeight="1">
      <c r="A418" s="14"/>
      <c r="B418" s="14"/>
    </row>
    <row r="419" ht="15.75" customHeight="1">
      <c r="A419" s="14"/>
      <c r="B419" s="14"/>
    </row>
    <row r="420" ht="15.75" customHeight="1">
      <c r="A420" s="14"/>
      <c r="B420" s="14"/>
    </row>
    <row r="421" ht="15.75" customHeight="1">
      <c r="A421" s="14"/>
      <c r="B421" s="14"/>
    </row>
    <row r="422" ht="15.75" customHeight="1">
      <c r="A422" s="14"/>
      <c r="B422" s="14"/>
    </row>
    <row r="423" ht="15.75" customHeight="1">
      <c r="A423" s="14"/>
      <c r="B423" s="14"/>
    </row>
    <row r="424" ht="15.75" customHeight="1">
      <c r="A424" s="14"/>
      <c r="B424" s="14"/>
    </row>
    <row r="425" ht="15.75" customHeight="1">
      <c r="A425" s="14"/>
      <c r="B425" s="14"/>
    </row>
    <row r="426" ht="15.75" customHeight="1">
      <c r="A426" s="14"/>
      <c r="B426" s="14"/>
    </row>
    <row r="427" ht="15.75" customHeight="1">
      <c r="A427" s="14"/>
      <c r="B427" s="14"/>
    </row>
    <row r="428" ht="15.75" customHeight="1">
      <c r="A428" s="14"/>
      <c r="B428" s="14"/>
    </row>
    <row r="429" ht="15.75" customHeight="1">
      <c r="A429" s="14"/>
      <c r="B429" s="14"/>
    </row>
    <row r="430" ht="15.75" customHeight="1">
      <c r="A430" s="14"/>
      <c r="B430" s="14"/>
    </row>
    <row r="431" ht="15.75" customHeight="1">
      <c r="A431" s="14"/>
      <c r="B431" s="14"/>
    </row>
    <row r="432" ht="15.75" customHeight="1">
      <c r="A432" s="14"/>
      <c r="B432" s="14"/>
    </row>
    <row r="433" ht="15.75" customHeight="1">
      <c r="A433" s="14"/>
      <c r="B433" s="14"/>
    </row>
    <row r="434" ht="15.75" customHeight="1">
      <c r="A434" s="14"/>
      <c r="B434" s="14"/>
    </row>
    <row r="435" ht="15.75" customHeight="1">
      <c r="A435" s="14"/>
      <c r="B435" s="14"/>
    </row>
    <row r="436" ht="15.75" customHeight="1">
      <c r="A436" s="14"/>
      <c r="B436" s="14"/>
    </row>
    <row r="437" ht="15.75" customHeight="1">
      <c r="A437" s="14"/>
      <c r="B437" s="14"/>
    </row>
    <row r="438" ht="15.75" customHeight="1">
      <c r="A438" s="14"/>
      <c r="B438" s="14"/>
    </row>
    <row r="439" ht="15.75" customHeight="1">
      <c r="A439" s="14"/>
      <c r="B439" s="14"/>
    </row>
    <row r="440" ht="15.75" customHeight="1">
      <c r="A440" s="14"/>
      <c r="B440" s="14"/>
    </row>
    <row r="441" ht="15.75" customHeight="1">
      <c r="A441" s="14"/>
      <c r="B441" s="14"/>
    </row>
    <row r="442" ht="15.75" customHeight="1">
      <c r="A442" s="14"/>
      <c r="B442" s="14"/>
    </row>
    <row r="443" ht="15.75" customHeight="1">
      <c r="A443" s="14"/>
      <c r="B443" s="14"/>
    </row>
    <row r="444" ht="15.75" customHeight="1">
      <c r="A444" s="14"/>
      <c r="B444" s="14"/>
    </row>
    <row r="445" ht="15.75" customHeight="1">
      <c r="A445" s="14"/>
      <c r="B445" s="14"/>
    </row>
    <row r="446" ht="15.75" customHeight="1">
      <c r="A446" s="14"/>
      <c r="B446" s="14"/>
    </row>
    <row r="447" ht="15.75" customHeight="1">
      <c r="A447" s="14"/>
      <c r="B447" s="14"/>
    </row>
    <row r="448" ht="15.75" customHeight="1">
      <c r="A448" s="14"/>
      <c r="B448" s="14"/>
    </row>
    <row r="449" ht="15.75" customHeight="1">
      <c r="A449" s="14"/>
      <c r="B449" s="14"/>
    </row>
    <row r="450" ht="15.75" customHeight="1">
      <c r="A450" s="14"/>
      <c r="B450" s="14"/>
    </row>
    <row r="451" ht="15.75" customHeight="1">
      <c r="A451" s="14"/>
      <c r="B451" s="14"/>
    </row>
    <row r="452" ht="15.75" customHeight="1">
      <c r="A452" s="14"/>
      <c r="B452" s="14"/>
    </row>
    <row r="453" ht="15.75" customHeight="1">
      <c r="A453" s="14"/>
      <c r="B453" s="14"/>
    </row>
    <row r="454" ht="15.75" customHeight="1">
      <c r="A454" s="14"/>
      <c r="B454" s="14"/>
    </row>
    <row r="455" ht="15.75" customHeight="1">
      <c r="A455" s="14"/>
      <c r="B455" s="14"/>
    </row>
    <row r="456" ht="15.75" customHeight="1">
      <c r="A456" s="14"/>
      <c r="B456" s="14"/>
    </row>
    <row r="457" ht="15.75" customHeight="1">
      <c r="A457" s="14"/>
      <c r="B457" s="14"/>
    </row>
    <row r="458" ht="15.75" customHeight="1">
      <c r="A458" s="14"/>
      <c r="B458" s="14"/>
    </row>
    <row r="459" ht="15.75" customHeight="1">
      <c r="A459" s="14"/>
      <c r="B459" s="14"/>
    </row>
    <row r="460" ht="15.75" customHeight="1">
      <c r="A460" s="14"/>
      <c r="B460" s="14"/>
    </row>
    <row r="461" ht="15.75" customHeight="1">
      <c r="A461" s="14"/>
      <c r="B461" s="14"/>
    </row>
    <row r="462" ht="15.75" customHeight="1">
      <c r="A462" s="14"/>
      <c r="B462" s="14"/>
    </row>
    <row r="463" ht="15.75" customHeight="1">
      <c r="A463" s="14"/>
      <c r="B463" s="14"/>
    </row>
    <row r="464" ht="15.75" customHeight="1">
      <c r="A464" s="14"/>
      <c r="B464" s="14"/>
    </row>
    <row r="465" ht="15.75" customHeight="1">
      <c r="A465" s="14"/>
      <c r="B465" s="14"/>
    </row>
    <row r="466" ht="15.75" customHeight="1">
      <c r="A466" s="14"/>
      <c r="B466" s="14"/>
    </row>
    <row r="467" ht="15.75" customHeight="1">
      <c r="A467" s="14"/>
      <c r="B467" s="14"/>
    </row>
    <row r="468" ht="15.75" customHeight="1">
      <c r="A468" s="14"/>
      <c r="B468" s="14"/>
    </row>
    <row r="469" ht="15.75" customHeight="1">
      <c r="A469" s="14"/>
      <c r="B469" s="14"/>
    </row>
    <row r="470" ht="15.75" customHeight="1">
      <c r="A470" s="14"/>
      <c r="B470" s="14"/>
    </row>
    <row r="471" ht="15.75" customHeight="1">
      <c r="A471" s="14"/>
      <c r="B471" s="14"/>
    </row>
    <row r="472" ht="15.75" customHeight="1">
      <c r="A472" s="14"/>
      <c r="B472" s="14"/>
    </row>
    <row r="473" ht="15.75" customHeight="1">
      <c r="A473" s="14"/>
      <c r="B473" s="14"/>
    </row>
    <row r="474" ht="15.75" customHeight="1">
      <c r="A474" s="14"/>
      <c r="B474" s="14"/>
    </row>
    <row r="475" ht="15.75" customHeight="1">
      <c r="A475" s="14"/>
      <c r="B475" s="14"/>
    </row>
    <row r="476" ht="15.75" customHeight="1">
      <c r="A476" s="14"/>
      <c r="B476" s="14"/>
    </row>
    <row r="477" ht="15.75" customHeight="1">
      <c r="A477" s="14"/>
      <c r="B477" s="14"/>
    </row>
    <row r="478" ht="15.75" customHeight="1">
      <c r="A478" s="14"/>
      <c r="B478" s="14"/>
    </row>
    <row r="479" ht="15.75" customHeight="1">
      <c r="A479" s="14"/>
      <c r="B479" s="14"/>
    </row>
    <row r="480" ht="15.75" customHeight="1">
      <c r="A480" s="14"/>
      <c r="B480" s="14"/>
    </row>
    <row r="481" ht="15.75" customHeight="1">
      <c r="A481" s="14"/>
      <c r="B481" s="14"/>
    </row>
    <row r="482" ht="15.75" customHeight="1">
      <c r="A482" s="14"/>
      <c r="B482" s="14"/>
    </row>
    <row r="483" ht="15.75" customHeight="1">
      <c r="A483" s="14"/>
      <c r="B483" s="14"/>
    </row>
    <row r="484" ht="15.75" customHeight="1">
      <c r="A484" s="14"/>
      <c r="B484" s="14"/>
    </row>
    <row r="485" ht="15.75" customHeight="1">
      <c r="A485" s="14"/>
      <c r="B485" s="14"/>
    </row>
    <row r="486" ht="15.75" customHeight="1">
      <c r="A486" s="14"/>
      <c r="B486" s="14"/>
    </row>
    <row r="487" ht="15.75" customHeight="1">
      <c r="A487" s="14"/>
      <c r="B487" s="14"/>
    </row>
    <row r="488" ht="15.75" customHeight="1">
      <c r="A488" s="14"/>
      <c r="B488" s="14"/>
    </row>
    <row r="489" ht="15.75" customHeight="1">
      <c r="A489" s="14"/>
      <c r="B489" s="14"/>
    </row>
    <row r="490" ht="15.75" customHeight="1">
      <c r="A490" s="14"/>
      <c r="B490" s="14"/>
    </row>
    <row r="491" ht="15.75" customHeight="1">
      <c r="A491" s="14"/>
      <c r="B491" s="14"/>
    </row>
    <row r="492" ht="15.75" customHeight="1">
      <c r="A492" s="14"/>
      <c r="B492" s="14"/>
    </row>
    <row r="493" ht="15.75" customHeight="1">
      <c r="A493" s="14"/>
      <c r="B493" s="14"/>
    </row>
    <row r="494" ht="15.75" customHeight="1">
      <c r="A494" s="14"/>
      <c r="B494" s="14"/>
    </row>
    <row r="495" ht="15.75" customHeight="1">
      <c r="A495" s="14"/>
      <c r="B495" s="14"/>
    </row>
    <row r="496" ht="15.75" customHeight="1">
      <c r="A496" s="14"/>
      <c r="B496" s="14"/>
    </row>
    <row r="497" ht="15.75" customHeight="1">
      <c r="A497" s="14"/>
      <c r="B497" s="14"/>
    </row>
    <row r="498" ht="15.75" customHeight="1">
      <c r="A498" s="14"/>
      <c r="B498" s="14"/>
    </row>
    <row r="499" ht="15.75" customHeight="1">
      <c r="A499" s="14"/>
      <c r="B499" s="14"/>
    </row>
    <row r="500" ht="15.75" customHeight="1">
      <c r="A500" s="14"/>
      <c r="B500" s="14"/>
    </row>
    <row r="501" ht="15.75" customHeight="1">
      <c r="A501" s="14"/>
      <c r="B501" s="14"/>
    </row>
    <row r="502" ht="15.75" customHeight="1">
      <c r="A502" s="14"/>
      <c r="B502" s="14"/>
    </row>
    <row r="503" ht="15.75" customHeight="1">
      <c r="A503" s="14"/>
      <c r="B503" s="14"/>
    </row>
    <row r="504" ht="15.75" customHeight="1">
      <c r="A504" s="14"/>
      <c r="B504" s="14"/>
    </row>
    <row r="505" ht="15.75" customHeight="1">
      <c r="A505" s="14"/>
      <c r="B505" s="14"/>
    </row>
    <row r="506" ht="15.75" customHeight="1">
      <c r="A506" s="14"/>
      <c r="B506" s="14"/>
    </row>
    <row r="507" ht="15.75" customHeight="1">
      <c r="A507" s="14"/>
      <c r="B507" s="14"/>
    </row>
    <row r="508" ht="15.75" customHeight="1">
      <c r="A508" s="14"/>
      <c r="B508" s="14"/>
    </row>
    <row r="509" ht="15.75" customHeight="1">
      <c r="A509" s="14"/>
      <c r="B509" s="14"/>
    </row>
    <row r="510" ht="15.75" customHeight="1">
      <c r="A510" s="14"/>
      <c r="B510" s="14"/>
    </row>
    <row r="511" ht="15.75" customHeight="1">
      <c r="A511" s="14"/>
      <c r="B511" s="14"/>
    </row>
    <row r="512" ht="15.75" customHeight="1">
      <c r="A512" s="14"/>
      <c r="B512" s="14"/>
    </row>
    <row r="513" ht="15.75" customHeight="1">
      <c r="A513" s="14"/>
      <c r="B513" s="14"/>
    </row>
    <row r="514" ht="15.75" customHeight="1">
      <c r="A514" s="14"/>
      <c r="B514" s="14"/>
    </row>
    <row r="515" ht="15.75" customHeight="1">
      <c r="A515" s="14"/>
      <c r="B515" s="14"/>
    </row>
    <row r="516" ht="15.75" customHeight="1">
      <c r="A516" s="14"/>
      <c r="B516" s="14"/>
    </row>
    <row r="517" ht="15.75" customHeight="1">
      <c r="A517" s="14"/>
      <c r="B517" s="14"/>
    </row>
    <row r="518" ht="15.75" customHeight="1">
      <c r="A518" s="14"/>
      <c r="B518" s="14"/>
    </row>
    <row r="519" ht="15.75" customHeight="1">
      <c r="A519" s="14"/>
      <c r="B519" s="14"/>
    </row>
    <row r="520" ht="15.75" customHeight="1">
      <c r="A520" s="14"/>
      <c r="B520" s="14"/>
    </row>
    <row r="521" ht="15.75" customHeight="1">
      <c r="A521" s="14"/>
      <c r="B521" s="14"/>
    </row>
    <row r="522" ht="15.75" customHeight="1">
      <c r="A522" s="14"/>
      <c r="B522" s="14"/>
    </row>
    <row r="523" ht="15.75" customHeight="1">
      <c r="A523" s="14"/>
      <c r="B523" s="14"/>
    </row>
    <row r="524" ht="15.75" customHeight="1">
      <c r="A524" s="14"/>
      <c r="B524" s="14"/>
    </row>
    <row r="525" ht="15.75" customHeight="1">
      <c r="A525" s="14"/>
      <c r="B525" s="14"/>
    </row>
    <row r="526" ht="15.75" customHeight="1">
      <c r="A526" s="14"/>
      <c r="B526" s="14"/>
    </row>
    <row r="527" ht="15.75" customHeight="1">
      <c r="A527" s="14"/>
      <c r="B527" s="14"/>
    </row>
    <row r="528" ht="15.75" customHeight="1">
      <c r="A528" s="14"/>
      <c r="B528" s="14"/>
    </row>
    <row r="529" ht="15.75" customHeight="1">
      <c r="A529" s="14"/>
      <c r="B529" s="14"/>
    </row>
    <row r="530" ht="15.75" customHeight="1">
      <c r="A530" s="14"/>
      <c r="B530" s="14"/>
    </row>
    <row r="531" ht="15.75" customHeight="1">
      <c r="A531" s="14"/>
      <c r="B531" s="14"/>
    </row>
    <row r="532" ht="15.75" customHeight="1">
      <c r="A532" s="14"/>
      <c r="B532" s="14"/>
    </row>
    <row r="533" ht="15.75" customHeight="1">
      <c r="A533" s="14"/>
      <c r="B533" s="14"/>
    </row>
    <row r="534" ht="15.75" customHeight="1">
      <c r="A534" s="14"/>
      <c r="B534" s="14"/>
    </row>
    <row r="535" ht="15.75" customHeight="1">
      <c r="A535" s="14"/>
      <c r="B535" s="14"/>
    </row>
    <row r="536" ht="15.75" customHeight="1">
      <c r="A536" s="14"/>
      <c r="B536" s="14"/>
    </row>
    <row r="537" ht="15.75" customHeight="1">
      <c r="A537" s="14"/>
      <c r="B537" s="14"/>
    </row>
    <row r="538" ht="15.75" customHeight="1">
      <c r="A538" s="14"/>
      <c r="B538" s="14"/>
    </row>
    <row r="539" ht="15.75" customHeight="1">
      <c r="A539" s="14"/>
      <c r="B539" s="14"/>
    </row>
    <row r="540" ht="15.75" customHeight="1">
      <c r="A540" s="14"/>
      <c r="B540" s="14"/>
    </row>
    <row r="541" ht="15.75" customHeight="1">
      <c r="A541" s="14"/>
      <c r="B541" s="14"/>
    </row>
    <row r="542" ht="15.75" customHeight="1">
      <c r="A542" s="14"/>
      <c r="B542" s="14"/>
    </row>
    <row r="543" ht="15.75" customHeight="1">
      <c r="A543" s="14"/>
      <c r="B543" s="14"/>
    </row>
    <row r="544" ht="15.75" customHeight="1">
      <c r="A544" s="14"/>
      <c r="B544" s="14"/>
    </row>
    <row r="545" ht="15.75" customHeight="1">
      <c r="A545" s="14"/>
      <c r="B545" s="14"/>
    </row>
    <row r="546" ht="15.75" customHeight="1">
      <c r="A546" s="14"/>
      <c r="B546" s="14"/>
    </row>
    <row r="547" ht="15.75" customHeight="1">
      <c r="A547" s="14"/>
      <c r="B547" s="14"/>
    </row>
    <row r="548" ht="15.75" customHeight="1">
      <c r="A548" s="14"/>
      <c r="B548" s="14"/>
    </row>
    <row r="549" ht="15.75" customHeight="1">
      <c r="A549" s="14"/>
      <c r="B549" s="14"/>
    </row>
    <row r="550" ht="15.75" customHeight="1">
      <c r="A550" s="14"/>
      <c r="B550" s="14"/>
    </row>
    <row r="551" ht="15.75" customHeight="1">
      <c r="A551" s="14"/>
      <c r="B551" s="14"/>
    </row>
    <row r="552" ht="15.75" customHeight="1">
      <c r="A552" s="14"/>
      <c r="B552" s="14"/>
    </row>
    <row r="553" ht="15.75" customHeight="1">
      <c r="A553" s="14"/>
      <c r="B553" s="14"/>
    </row>
    <row r="554" ht="15.75" customHeight="1">
      <c r="A554" s="14"/>
      <c r="B554" s="14"/>
    </row>
    <row r="555" ht="15.75" customHeight="1">
      <c r="A555" s="14"/>
      <c r="B555" s="14"/>
    </row>
    <row r="556" ht="15.75" customHeight="1">
      <c r="A556" s="14"/>
      <c r="B556" s="14"/>
    </row>
    <row r="557" ht="15.75" customHeight="1">
      <c r="A557" s="14"/>
      <c r="B557" s="14"/>
    </row>
    <row r="558" ht="15.75" customHeight="1">
      <c r="A558" s="14"/>
      <c r="B558" s="14"/>
    </row>
    <row r="559" ht="15.75" customHeight="1">
      <c r="A559" s="14"/>
      <c r="B559" s="14"/>
    </row>
    <row r="560" ht="15.75" customHeight="1">
      <c r="A560" s="14"/>
      <c r="B560" s="14"/>
    </row>
    <row r="561" ht="15.75" customHeight="1">
      <c r="A561" s="14"/>
      <c r="B561" s="14"/>
    </row>
    <row r="562" ht="15.75" customHeight="1">
      <c r="A562" s="14"/>
      <c r="B562" s="14"/>
    </row>
    <row r="563" ht="15.75" customHeight="1">
      <c r="A563" s="14"/>
      <c r="B563" s="14"/>
    </row>
    <row r="564" ht="15.75" customHeight="1">
      <c r="A564" s="14"/>
      <c r="B564" s="14"/>
    </row>
    <row r="565" ht="15.75" customHeight="1">
      <c r="A565" s="14"/>
      <c r="B565" s="14"/>
    </row>
    <row r="566" ht="15.75" customHeight="1">
      <c r="A566" s="14"/>
      <c r="B566" s="14"/>
    </row>
    <row r="567" ht="15.75" customHeight="1">
      <c r="A567" s="14"/>
      <c r="B567" s="14"/>
    </row>
    <row r="568" ht="15.75" customHeight="1">
      <c r="A568" s="14"/>
      <c r="B568" s="14"/>
    </row>
    <row r="569" ht="15.75" customHeight="1">
      <c r="A569" s="14"/>
      <c r="B569" s="14"/>
    </row>
    <row r="570" ht="15.75" customHeight="1">
      <c r="A570" s="14"/>
      <c r="B570" s="14"/>
    </row>
    <row r="571" ht="15.75" customHeight="1">
      <c r="A571" s="14"/>
      <c r="B571" s="14"/>
    </row>
    <row r="572" ht="15.75" customHeight="1">
      <c r="A572" s="14"/>
      <c r="B572" s="14"/>
    </row>
    <row r="573" ht="15.75" customHeight="1">
      <c r="A573" s="14"/>
      <c r="B573" s="14"/>
    </row>
    <row r="574" ht="15.75" customHeight="1">
      <c r="A574" s="14"/>
      <c r="B574" s="14"/>
    </row>
    <row r="575" ht="15.75" customHeight="1">
      <c r="A575" s="14"/>
      <c r="B575" s="14"/>
    </row>
    <row r="576" ht="15.75" customHeight="1">
      <c r="A576" s="14"/>
      <c r="B576" s="14"/>
    </row>
    <row r="577" ht="15.75" customHeight="1">
      <c r="A577" s="14"/>
      <c r="B577" s="14"/>
    </row>
    <row r="578" ht="15.75" customHeight="1">
      <c r="A578" s="14"/>
      <c r="B578" s="14"/>
    </row>
    <row r="579" ht="15.75" customHeight="1">
      <c r="A579" s="14"/>
      <c r="B579" s="14"/>
    </row>
    <row r="580" ht="15.75" customHeight="1">
      <c r="A580" s="14"/>
      <c r="B580" s="14"/>
    </row>
    <row r="581" ht="15.75" customHeight="1">
      <c r="A581" s="14"/>
      <c r="B581" s="14"/>
    </row>
    <row r="582" ht="15.75" customHeight="1">
      <c r="A582" s="14"/>
      <c r="B582" s="14"/>
    </row>
    <row r="583" ht="15.75" customHeight="1">
      <c r="A583" s="14"/>
      <c r="B583" s="14"/>
    </row>
    <row r="584" ht="15.75" customHeight="1">
      <c r="A584" s="14"/>
      <c r="B584" s="14"/>
    </row>
    <row r="585" ht="15.75" customHeight="1">
      <c r="A585" s="14"/>
      <c r="B585" s="14"/>
    </row>
    <row r="586" ht="15.75" customHeight="1">
      <c r="A586" s="14"/>
      <c r="B586" s="14"/>
    </row>
    <row r="587" ht="15.75" customHeight="1">
      <c r="A587" s="14"/>
      <c r="B587" s="14"/>
    </row>
    <row r="588" ht="15.75" customHeight="1">
      <c r="A588" s="14"/>
      <c r="B588" s="14"/>
    </row>
    <row r="589" ht="15.75" customHeight="1">
      <c r="A589" s="14"/>
      <c r="B589" s="14"/>
    </row>
    <row r="590" ht="15.75" customHeight="1">
      <c r="A590" s="14"/>
      <c r="B590" s="14"/>
    </row>
    <row r="591" ht="15.75" customHeight="1">
      <c r="A591" s="14"/>
      <c r="B591" s="14"/>
    </row>
    <row r="592" ht="15.75" customHeight="1">
      <c r="A592" s="14"/>
      <c r="B592" s="14"/>
    </row>
    <row r="593" ht="15.75" customHeight="1">
      <c r="A593" s="14"/>
      <c r="B593" s="14"/>
    </row>
    <row r="594" ht="15.75" customHeight="1">
      <c r="A594" s="14"/>
      <c r="B594" s="14"/>
    </row>
    <row r="595" ht="15.75" customHeight="1">
      <c r="A595" s="14"/>
      <c r="B595" s="14"/>
    </row>
    <row r="596" ht="15.75" customHeight="1">
      <c r="A596" s="14"/>
      <c r="B596" s="14"/>
    </row>
    <row r="597" ht="15.75" customHeight="1">
      <c r="A597" s="14"/>
      <c r="B597" s="14"/>
    </row>
    <row r="598" ht="15.75" customHeight="1">
      <c r="A598" s="14"/>
      <c r="B598" s="14"/>
    </row>
    <row r="599" ht="15.75" customHeight="1">
      <c r="A599" s="14"/>
      <c r="B599" s="14"/>
    </row>
    <row r="600" ht="15.75" customHeight="1">
      <c r="A600" s="14"/>
      <c r="B600" s="14"/>
    </row>
    <row r="601" ht="15.75" customHeight="1">
      <c r="A601" s="14"/>
      <c r="B601" s="14"/>
    </row>
    <row r="602" ht="15.75" customHeight="1">
      <c r="A602" s="14"/>
      <c r="B602" s="14"/>
    </row>
    <row r="603" ht="15.75" customHeight="1">
      <c r="A603" s="14"/>
      <c r="B603" s="14"/>
    </row>
    <row r="604" ht="15.75" customHeight="1">
      <c r="A604" s="14"/>
      <c r="B604" s="14"/>
    </row>
    <row r="605" ht="15.75" customHeight="1">
      <c r="A605" s="14"/>
      <c r="B605" s="14"/>
    </row>
    <row r="606" ht="15.75" customHeight="1">
      <c r="A606" s="14"/>
      <c r="B606" s="14"/>
    </row>
    <row r="607" ht="15.75" customHeight="1">
      <c r="A607" s="14"/>
      <c r="B607" s="14"/>
    </row>
    <row r="608" ht="15.75" customHeight="1">
      <c r="A608" s="14"/>
      <c r="B608" s="14"/>
    </row>
    <row r="609" ht="15.75" customHeight="1">
      <c r="A609" s="14"/>
      <c r="B609" s="14"/>
    </row>
    <row r="610" ht="15.75" customHeight="1">
      <c r="A610" s="14"/>
      <c r="B610" s="14"/>
    </row>
    <row r="611" ht="15.75" customHeight="1">
      <c r="A611" s="14"/>
      <c r="B611" s="14"/>
    </row>
    <row r="612" ht="15.75" customHeight="1">
      <c r="A612" s="14"/>
      <c r="B612" s="14"/>
    </row>
    <row r="613" ht="15.75" customHeight="1">
      <c r="A613" s="14"/>
      <c r="B613" s="14"/>
    </row>
    <row r="614" ht="15.75" customHeight="1">
      <c r="A614" s="14"/>
      <c r="B614" s="14"/>
    </row>
    <row r="615" ht="15.75" customHeight="1">
      <c r="A615" s="14"/>
      <c r="B615" s="14"/>
    </row>
    <row r="616" ht="15.75" customHeight="1">
      <c r="A616" s="14"/>
      <c r="B616" s="14"/>
    </row>
    <row r="617" ht="15.75" customHeight="1">
      <c r="A617" s="14"/>
      <c r="B617" s="14"/>
    </row>
    <row r="618" ht="15.75" customHeight="1">
      <c r="A618" s="14"/>
      <c r="B618" s="14"/>
    </row>
    <row r="619" ht="15.75" customHeight="1">
      <c r="A619" s="14"/>
      <c r="B619" s="14"/>
    </row>
    <row r="620" ht="15.75" customHeight="1">
      <c r="A620" s="14"/>
      <c r="B620" s="14"/>
    </row>
    <row r="621" ht="15.75" customHeight="1">
      <c r="A621" s="14"/>
      <c r="B621" s="14"/>
    </row>
    <row r="622" ht="15.75" customHeight="1">
      <c r="A622" s="14"/>
      <c r="B622" s="14"/>
    </row>
    <row r="623" ht="15.75" customHeight="1">
      <c r="A623" s="14"/>
      <c r="B623" s="14"/>
    </row>
    <row r="624" ht="15.75" customHeight="1">
      <c r="A624" s="14"/>
      <c r="B624" s="14"/>
    </row>
    <row r="625" ht="15.75" customHeight="1">
      <c r="A625" s="14"/>
      <c r="B625" s="14"/>
    </row>
    <row r="626" ht="15.75" customHeight="1">
      <c r="A626" s="14"/>
      <c r="B626" s="14"/>
    </row>
    <row r="627" ht="15.75" customHeight="1">
      <c r="A627" s="14"/>
      <c r="B627" s="14"/>
    </row>
    <row r="628" ht="15.75" customHeight="1">
      <c r="A628" s="14"/>
      <c r="B628" s="14"/>
    </row>
    <row r="629" ht="15.75" customHeight="1">
      <c r="A629" s="14"/>
      <c r="B629" s="14"/>
    </row>
    <row r="630" ht="15.75" customHeight="1">
      <c r="A630" s="14"/>
      <c r="B630" s="14"/>
    </row>
    <row r="631" ht="15.75" customHeight="1">
      <c r="A631" s="14"/>
      <c r="B631" s="14"/>
    </row>
    <row r="632" ht="15.75" customHeight="1">
      <c r="A632" s="14"/>
      <c r="B632" s="14"/>
    </row>
    <row r="633" ht="15.75" customHeight="1">
      <c r="A633" s="14"/>
      <c r="B633" s="14"/>
    </row>
    <row r="634" ht="15.75" customHeight="1">
      <c r="A634" s="14"/>
      <c r="B634" s="14"/>
    </row>
    <row r="635" ht="15.75" customHeight="1">
      <c r="A635" s="14"/>
      <c r="B635" s="14"/>
    </row>
    <row r="636" ht="15.75" customHeight="1">
      <c r="A636" s="14"/>
      <c r="B636" s="14"/>
    </row>
    <row r="637" ht="15.75" customHeight="1">
      <c r="A637" s="14"/>
      <c r="B637" s="14"/>
    </row>
    <row r="638" ht="15.75" customHeight="1">
      <c r="A638" s="14"/>
      <c r="B638" s="14"/>
    </row>
    <row r="639" ht="15.75" customHeight="1">
      <c r="A639" s="14"/>
      <c r="B639" s="14"/>
    </row>
    <row r="640" ht="15.75" customHeight="1">
      <c r="A640" s="14"/>
      <c r="B640" s="14"/>
    </row>
    <row r="641" ht="15.75" customHeight="1">
      <c r="A641" s="14"/>
      <c r="B641" s="14"/>
    </row>
    <row r="642" ht="15.75" customHeight="1">
      <c r="A642" s="14"/>
      <c r="B642" s="14"/>
    </row>
    <row r="643" ht="15.75" customHeight="1">
      <c r="A643" s="14"/>
      <c r="B643" s="14"/>
    </row>
    <row r="644" ht="15.75" customHeight="1">
      <c r="A644" s="14"/>
      <c r="B644" s="14"/>
    </row>
    <row r="645" ht="15.75" customHeight="1">
      <c r="A645" s="14"/>
      <c r="B645" s="14"/>
    </row>
    <row r="646" ht="15.75" customHeight="1">
      <c r="A646" s="14"/>
      <c r="B646" s="14"/>
    </row>
    <row r="647" ht="15.75" customHeight="1">
      <c r="A647" s="14"/>
      <c r="B647" s="14"/>
    </row>
    <row r="648" ht="15.75" customHeight="1">
      <c r="A648" s="14"/>
      <c r="B648" s="14"/>
    </row>
    <row r="649" ht="15.75" customHeight="1">
      <c r="A649" s="14"/>
      <c r="B649" s="14"/>
    </row>
    <row r="650" ht="15.75" customHeight="1">
      <c r="A650" s="14"/>
      <c r="B650" s="14"/>
    </row>
    <row r="651" ht="15.75" customHeight="1">
      <c r="A651" s="14"/>
      <c r="B651" s="14"/>
    </row>
    <row r="652" ht="15.75" customHeight="1">
      <c r="A652" s="14"/>
      <c r="B652" s="14"/>
    </row>
    <row r="653" ht="15.75" customHeight="1">
      <c r="A653" s="14"/>
      <c r="B653" s="14"/>
    </row>
    <row r="654" ht="15.75" customHeight="1">
      <c r="A654" s="14"/>
      <c r="B654" s="14"/>
    </row>
    <row r="655" ht="15.75" customHeight="1">
      <c r="A655" s="14"/>
      <c r="B655" s="14"/>
    </row>
    <row r="656" ht="15.75" customHeight="1">
      <c r="A656" s="14"/>
      <c r="B656" s="14"/>
    </row>
    <row r="657" ht="15.75" customHeight="1">
      <c r="A657" s="14"/>
      <c r="B657" s="14"/>
    </row>
    <row r="658" ht="15.75" customHeight="1">
      <c r="A658" s="14"/>
      <c r="B658" s="14"/>
    </row>
    <row r="659" ht="15.75" customHeight="1">
      <c r="A659" s="14"/>
      <c r="B659" s="14"/>
    </row>
    <row r="660" ht="15.75" customHeight="1">
      <c r="A660" s="14"/>
      <c r="B660" s="14"/>
    </row>
    <row r="661" ht="15.75" customHeight="1">
      <c r="A661" s="14"/>
      <c r="B661" s="14"/>
    </row>
    <row r="662" ht="15.75" customHeight="1">
      <c r="A662" s="14"/>
      <c r="B662" s="14"/>
    </row>
    <row r="663" ht="15.75" customHeight="1">
      <c r="A663" s="14"/>
      <c r="B663" s="14"/>
    </row>
    <row r="664" ht="15.75" customHeight="1">
      <c r="A664" s="14"/>
      <c r="B664" s="14"/>
    </row>
    <row r="665" ht="15.75" customHeight="1">
      <c r="A665" s="14"/>
      <c r="B665" s="14"/>
    </row>
    <row r="666" ht="15.75" customHeight="1">
      <c r="A666" s="14"/>
      <c r="B666" s="14"/>
    </row>
    <row r="667" ht="15.75" customHeight="1">
      <c r="A667" s="14"/>
      <c r="B667" s="14"/>
    </row>
    <row r="668" ht="15.75" customHeight="1">
      <c r="A668" s="14"/>
      <c r="B668" s="14"/>
    </row>
    <row r="669" ht="15.75" customHeight="1">
      <c r="A669" s="14"/>
      <c r="B669" s="14"/>
    </row>
    <row r="670" ht="15.75" customHeight="1">
      <c r="A670" s="14"/>
      <c r="B670" s="14"/>
    </row>
    <row r="671" ht="15.75" customHeight="1">
      <c r="A671" s="14"/>
      <c r="B671" s="14"/>
    </row>
    <row r="672" ht="15.75" customHeight="1">
      <c r="A672" s="14"/>
      <c r="B672" s="14"/>
    </row>
    <row r="673" ht="15.75" customHeight="1">
      <c r="A673" s="14"/>
      <c r="B673" s="14"/>
    </row>
    <row r="674" ht="15.75" customHeight="1">
      <c r="A674" s="14"/>
      <c r="B674" s="14"/>
    </row>
    <row r="675" ht="15.75" customHeight="1">
      <c r="A675" s="14"/>
      <c r="B675" s="14"/>
    </row>
    <row r="676" ht="15.75" customHeight="1">
      <c r="A676" s="14"/>
      <c r="B676" s="14"/>
    </row>
    <row r="677" ht="15.75" customHeight="1">
      <c r="A677" s="14"/>
      <c r="B677" s="14"/>
    </row>
    <row r="678" ht="15.75" customHeight="1">
      <c r="A678" s="14"/>
      <c r="B678" s="14"/>
    </row>
    <row r="679" ht="15.75" customHeight="1">
      <c r="A679" s="14"/>
      <c r="B679" s="14"/>
    </row>
    <row r="680" ht="15.75" customHeight="1">
      <c r="A680" s="14"/>
      <c r="B680" s="14"/>
    </row>
    <row r="681" ht="15.75" customHeight="1">
      <c r="A681" s="14"/>
      <c r="B681" s="14"/>
    </row>
    <row r="682" ht="15.75" customHeight="1">
      <c r="A682" s="14"/>
      <c r="B682" s="14"/>
    </row>
    <row r="683" ht="15.75" customHeight="1">
      <c r="A683" s="14"/>
      <c r="B683" s="14"/>
    </row>
    <row r="684" ht="15.75" customHeight="1">
      <c r="A684" s="14"/>
      <c r="B684" s="14"/>
    </row>
    <row r="685" ht="15.75" customHeight="1">
      <c r="A685" s="14"/>
      <c r="B685" s="14"/>
    </row>
    <row r="686" ht="15.75" customHeight="1">
      <c r="A686" s="14"/>
      <c r="B686" s="14"/>
    </row>
    <row r="687" ht="15.75" customHeight="1">
      <c r="A687" s="14"/>
      <c r="B687" s="14"/>
    </row>
    <row r="688" ht="15.75" customHeight="1">
      <c r="A688" s="14"/>
      <c r="B688" s="14"/>
    </row>
    <row r="689" ht="15.75" customHeight="1">
      <c r="A689" s="14"/>
      <c r="B689" s="14"/>
    </row>
    <row r="690" ht="15.75" customHeight="1">
      <c r="A690" s="14"/>
      <c r="B690" s="14"/>
    </row>
    <row r="691" ht="15.75" customHeight="1">
      <c r="A691" s="14"/>
      <c r="B691" s="14"/>
    </row>
    <row r="692" ht="15.75" customHeight="1">
      <c r="A692" s="14"/>
      <c r="B692" s="14"/>
    </row>
    <row r="693" ht="15.75" customHeight="1">
      <c r="A693" s="14"/>
      <c r="B693" s="14"/>
    </row>
    <row r="694" ht="15.75" customHeight="1">
      <c r="A694" s="14"/>
      <c r="B694" s="14"/>
    </row>
    <row r="695" ht="15.75" customHeight="1">
      <c r="A695" s="14"/>
      <c r="B695" s="14"/>
    </row>
    <row r="696" ht="15.75" customHeight="1">
      <c r="A696" s="14"/>
      <c r="B696" s="14"/>
    </row>
    <row r="697" ht="15.75" customHeight="1">
      <c r="A697" s="14"/>
      <c r="B697" s="14"/>
    </row>
    <row r="698" ht="15.75" customHeight="1">
      <c r="A698" s="14"/>
      <c r="B698" s="14"/>
    </row>
    <row r="699" ht="15.75" customHeight="1">
      <c r="A699" s="14"/>
      <c r="B699" s="14"/>
    </row>
    <row r="700" ht="15.75" customHeight="1">
      <c r="A700" s="14"/>
      <c r="B700" s="14"/>
    </row>
    <row r="701" ht="15.75" customHeight="1">
      <c r="A701" s="14"/>
      <c r="B701" s="14"/>
    </row>
    <row r="702" ht="15.75" customHeight="1">
      <c r="A702" s="14"/>
      <c r="B702" s="14"/>
    </row>
    <row r="703" ht="15.75" customHeight="1">
      <c r="A703" s="14"/>
      <c r="B703" s="14"/>
    </row>
    <row r="704" ht="15.75" customHeight="1">
      <c r="A704" s="14"/>
      <c r="B704" s="14"/>
    </row>
    <row r="705" ht="15.75" customHeight="1">
      <c r="A705" s="14"/>
      <c r="B705" s="14"/>
    </row>
    <row r="706" ht="15.75" customHeight="1">
      <c r="A706" s="14"/>
      <c r="B706" s="14"/>
    </row>
    <row r="707" ht="15.75" customHeight="1">
      <c r="A707" s="14"/>
      <c r="B707" s="14"/>
    </row>
    <row r="708" ht="15.75" customHeight="1">
      <c r="A708" s="14"/>
      <c r="B708" s="14"/>
    </row>
    <row r="709" ht="15.75" customHeight="1">
      <c r="A709" s="14"/>
      <c r="B709" s="14"/>
    </row>
    <row r="710" ht="15.75" customHeight="1">
      <c r="A710" s="14"/>
      <c r="B710" s="14"/>
    </row>
    <row r="711" ht="15.75" customHeight="1">
      <c r="A711" s="14"/>
      <c r="B711" s="14"/>
    </row>
    <row r="712" ht="15.75" customHeight="1">
      <c r="A712" s="14"/>
      <c r="B712" s="14"/>
    </row>
    <row r="713" ht="15.75" customHeight="1">
      <c r="A713" s="14"/>
      <c r="B713" s="14"/>
    </row>
    <row r="714" ht="15.75" customHeight="1">
      <c r="A714" s="14"/>
      <c r="B714" s="14"/>
    </row>
    <row r="715" ht="15.75" customHeight="1">
      <c r="A715" s="14"/>
      <c r="B715" s="14"/>
    </row>
    <row r="716" ht="15.75" customHeight="1">
      <c r="A716" s="14"/>
      <c r="B716" s="14"/>
    </row>
    <row r="717" ht="15.75" customHeight="1">
      <c r="A717" s="14"/>
      <c r="B717" s="14"/>
    </row>
    <row r="718" ht="15.75" customHeight="1">
      <c r="A718" s="14"/>
      <c r="B718" s="14"/>
    </row>
    <row r="719" ht="15.75" customHeight="1">
      <c r="A719" s="14"/>
      <c r="B719" s="14"/>
    </row>
    <row r="720" ht="15.75" customHeight="1">
      <c r="A720" s="14"/>
      <c r="B720" s="14"/>
    </row>
    <row r="721" ht="15.75" customHeight="1">
      <c r="A721" s="14"/>
      <c r="B721" s="14"/>
    </row>
    <row r="722" ht="15.75" customHeight="1">
      <c r="A722" s="14"/>
      <c r="B722" s="14"/>
    </row>
    <row r="723" ht="15.75" customHeight="1">
      <c r="A723" s="14"/>
      <c r="B723" s="14"/>
    </row>
    <row r="724" ht="15.75" customHeight="1">
      <c r="A724" s="14"/>
      <c r="B724" s="14"/>
    </row>
    <row r="725" ht="15.75" customHeight="1">
      <c r="A725" s="14"/>
      <c r="B725" s="14"/>
    </row>
    <row r="726" ht="15.75" customHeight="1">
      <c r="A726" s="14"/>
      <c r="B726" s="14"/>
    </row>
    <row r="727" ht="15.75" customHeight="1">
      <c r="A727" s="14"/>
      <c r="B727" s="14"/>
    </row>
    <row r="728" ht="15.75" customHeight="1">
      <c r="A728" s="14"/>
      <c r="B728" s="14"/>
    </row>
    <row r="729" ht="15.75" customHeight="1">
      <c r="A729" s="14"/>
      <c r="B729" s="14"/>
    </row>
    <row r="730" ht="15.75" customHeight="1">
      <c r="A730" s="14"/>
      <c r="B730" s="14"/>
    </row>
    <row r="731" ht="15.75" customHeight="1">
      <c r="A731" s="14"/>
      <c r="B731" s="14"/>
    </row>
    <row r="732" ht="15.75" customHeight="1">
      <c r="A732" s="14"/>
      <c r="B732" s="14"/>
    </row>
    <row r="733" ht="15.75" customHeight="1">
      <c r="A733" s="14"/>
      <c r="B733" s="14"/>
    </row>
    <row r="734" ht="15.75" customHeight="1">
      <c r="A734" s="14"/>
      <c r="B734" s="14"/>
    </row>
    <row r="735" ht="15.75" customHeight="1">
      <c r="A735" s="14"/>
      <c r="B735" s="14"/>
    </row>
    <row r="736" ht="15.75" customHeight="1">
      <c r="A736" s="14"/>
      <c r="B736" s="14"/>
    </row>
    <row r="737" ht="15.75" customHeight="1">
      <c r="A737" s="14"/>
      <c r="B737" s="14"/>
    </row>
    <row r="738" ht="15.75" customHeight="1">
      <c r="A738" s="14"/>
      <c r="B738" s="14"/>
    </row>
    <row r="739" ht="15.75" customHeight="1">
      <c r="A739" s="14"/>
      <c r="B739" s="14"/>
    </row>
    <row r="740" ht="15.75" customHeight="1">
      <c r="A740" s="14"/>
      <c r="B740" s="14"/>
    </row>
    <row r="741" ht="15.75" customHeight="1">
      <c r="A741" s="14"/>
      <c r="B741" s="14"/>
    </row>
    <row r="742" ht="15.75" customHeight="1">
      <c r="A742" s="14"/>
      <c r="B742" s="14"/>
    </row>
    <row r="743" ht="15.75" customHeight="1">
      <c r="A743" s="14"/>
      <c r="B743" s="14"/>
    </row>
    <row r="744" ht="15.75" customHeight="1">
      <c r="A744" s="14"/>
      <c r="B744" s="14"/>
    </row>
    <row r="745" ht="15.75" customHeight="1">
      <c r="A745" s="14"/>
      <c r="B745" s="14"/>
    </row>
    <row r="746" ht="15.75" customHeight="1">
      <c r="A746" s="14"/>
      <c r="B746" s="14"/>
    </row>
    <row r="747" ht="15.75" customHeight="1">
      <c r="A747" s="14"/>
      <c r="B747" s="14"/>
    </row>
    <row r="748" ht="15.75" customHeight="1">
      <c r="A748" s="14"/>
      <c r="B748" s="14"/>
    </row>
    <row r="749" ht="15.75" customHeight="1">
      <c r="A749" s="14"/>
      <c r="B749" s="14"/>
    </row>
    <row r="750" ht="15.75" customHeight="1">
      <c r="A750" s="14"/>
      <c r="B750" s="14"/>
    </row>
    <row r="751" ht="15.75" customHeight="1">
      <c r="A751" s="14"/>
      <c r="B751" s="14"/>
    </row>
    <row r="752" ht="15.75" customHeight="1">
      <c r="A752" s="14"/>
      <c r="B752" s="14"/>
    </row>
    <row r="753" ht="15.75" customHeight="1">
      <c r="A753" s="14"/>
      <c r="B753" s="14"/>
    </row>
    <row r="754" ht="15.75" customHeight="1">
      <c r="A754" s="14"/>
      <c r="B754" s="14"/>
    </row>
    <row r="755" ht="15.75" customHeight="1">
      <c r="A755" s="14"/>
      <c r="B755" s="14"/>
    </row>
    <row r="756" ht="15.75" customHeight="1">
      <c r="A756" s="14"/>
      <c r="B756" s="14"/>
    </row>
    <row r="757" ht="15.75" customHeight="1">
      <c r="A757" s="14"/>
      <c r="B757" s="14"/>
    </row>
    <row r="758" ht="15.75" customHeight="1">
      <c r="A758" s="14"/>
      <c r="B758" s="14"/>
    </row>
    <row r="759" ht="15.75" customHeight="1">
      <c r="A759" s="14"/>
      <c r="B759" s="14"/>
    </row>
    <row r="760" ht="15.75" customHeight="1">
      <c r="A760" s="14"/>
      <c r="B760" s="14"/>
    </row>
    <row r="761" ht="15.75" customHeight="1">
      <c r="A761" s="14"/>
      <c r="B761" s="14"/>
    </row>
    <row r="762" ht="15.75" customHeight="1">
      <c r="A762" s="14"/>
      <c r="B762" s="14"/>
    </row>
    <row r="763" ht="15.75" customHeight="1">
      <c r="A763" s="14"/>
      <c r="B763" s="14"/>
    </row>
    <row r="764" ht="15.75" customHeight="1">
      <c r="A764" s="14"/>
      <c r="B764" s="14"/>
    </row>
    <row r="765" ht="15.75" customHeight="1">
      <c r="A765" s="14"/>
      <c r="B765" s="14"/>
    </row>
    <row r="766" ht="15.75" customHeight="1">
      <c r="A766" s="14"/>
      <c r="B766" s="14"/>
    </row>
    <row r="767" ht="15.75" customHeight="1">
      <c r="A767" s="14"/>
      <c r="B767" s="14"/>
    </row>
    <row r="768" ht="15.75" customHeight="1">
      <c r="A768" s="14"/>
      <c r="B768" s="14"/>
    </row>
    <row r="769" ht="15.75" customHeight="1">
      <c r="A769" s="14"/>
      <c r="B769" s="14"/>
    </row>
    <row r="770" ht="15.75" customHeight="1">
      <c r="A770" s="14"/>
      <c r="B770" s="14"/>
    </row>
    <row r="771" ht="15.75" customHeight="1">
      <c r="A771" s="14"/>
      <c r="B771" s="14"/>
    </row>
    <row r="772" ht="15.75" customHeight="1">
      <c r="A772" s="14"/>
      <c r="B772" s="14"/>
    </row>
    <row r="773" ht="15.75" customHeight="1">
      <c r="A773" s="14"/>
      <c r="B773" s="14"/>
    </row>
    <row r="774" ht="15.75" customHeight="1">
      <c r="A774" s="14"/>
      <c r="B774" s="14"/>
    </row>
    <row r="775" ht="15.75" customHeight="1">
      <c r="A775" s="14"/>
      <c r="B775" s="14"/>
    </row>
    <row r="776" ht="15.75" customHeight="1">
      <c r="A776" s="14"/>
      <c r="B776" s="14"/>
    </row>
    <row r="777" ht="15.75" customHeight="1">
      <c r="A777" s="14"/>
      <c r="B777" s="14"/>
    </row>
    <row r="778" ht="15.75" customHeight="1">
      <c r="A778" s="14"/>
      <c r="B778" s="14"/>
    </row>
    <row r="779" ht="15.75" customHeight="1">
      <c r="A779" s="14"/>
      <c r="B779" s="14"/>
    </row>
    <row r="780" ht="15.75" customHeight="1">
      <c r="A780" s="14"/>
      <c r="B780" s="14"/>
    </row>
    <row r="781" ht="15.75" customHeight="1">
      <c r="A781" s="14"/>
      <c r="B781" s="14"/>
    </row>
    <row r="782" ht="15.75" customHeight="1">
      <c r="A782" s="14"/>
      <c r="B782" s="14"/>
    </row>
    <row r="783" ht="15.75" customHeight="1">
      <c r="A783" s="14"/>
      <c r="B783" s="14"/>
    </row>
    <row r="784" ht="15.75" customHeight="1">
      <c r="A784" s="14"/>
      <c r="B784" s="14"/>
    </row>
    <row r="785" ht="15.75" customHeight="1">
      <c r="A785" s="14"/>
      <c r="B785" s="14"/>
    </row>
    <row r="786" ht="15.75" customHeight="1">
      <c r="A786" s="14"/>
      <c r="B786" s="14"/>
    </row>
    <row r="787" ht="15.75" customHeight="1">
      <c r="A787" s="14"/>
      <c r="B787" s="14"/>
    </row>
    <row r="788" ht="15.75" customHeight="1">
      <c r="A788" s="14"/>
      <c r="B788" s="14"/>
    </row>
    <row r="789" ht="15.75" customHeight="1">
      <c r="A789" s="14"/>
      <c r="B789" s="14"/>
    </row>
    <row r="790" ht="15.75" customHeight="1">
      <c r="A790" s="14"/>
      <c r="B790" s="14"/>
    </row>
    <row r="791" ht="15.75" customHeight="1">
      <c r="A791" s="14"/>
      <c r="B791" s="14"/>
    </row>
    <row r="792" ht="15.75" customHeight="1">
      <c r="A792" s="14"/>
      <c r="B792" s="14"/>
    </row>
    <row r="793" ht="15.75" customHeight="1">
      <c r="A793" s="14"/>
      <c r="B793" s="14"/>
    </row>
    <row r="794" ht="15.75" customHeight="1">
      <c r="A794" s="14"/>
      <c r="B794" s="14"/>
    </row>
    <row r="795" ht="15.75" customHeight="1">
      <c r="A795" s="14"/>
      <c r="B795" s="14"/>
    </row>
    <row r="796" ht="15.75" customHeight="1">
      <c r="A796" s="14"/>
      <c r="B796" s="14"/>
    </row>
    <row r="797" ht="15.75" customHeight="1">
      <c r="A797" s="14"/>
      <c r="B797" s="14"/>
    </row>
    <row r="798" ht="15.75" customHeight="1">
      <c r="A798" s="14"/>
      <c r="B798" s="14"/>
    </row>
    <row r="799" ht="15.75" customHeight="1">
      <c r="A799" s="14"/>
      <c r="B799" s="14"/>
    </row>
    <row r="800" ht="15.75" customHeight="1">
      <c r="A800" s="14"/>
      <c r="B800" s="14"/>
    </row>
    <row r="801" ht="15.75" customHeight="1">
      <c r="A801" s="14"/>
      <c r="B801" s="14"/>
    </row>
    <row r="802" ht="15.75" customHeight="1">
      <c r="A802" s="14"/>
      <c r="B802" s="14"/>
    </row>
    <row r="803" ht="15.75" customHeight="1">
      <c r="A803" s="14"/>
      <c r="B803" s="14"/>
    </row>
    <row r="804" ht="15.75" customHeight="1">
      <c r="A804" s="14"/>
      <c r="B804" s="14"/>
    </row>
    <row r="805" ht="15.75" customHeight="1">
      <c r="A805" s="14"/>
      <c r="B805" s="14"/>
    </row>
    <row r="806" ht="15.75" customHeight="1">
      <c r="A806" s="14"/>
      <c r="B806" s="14"/>
    </row>
    <row r="807" ht="15.75" customHeight="1">
      <c r="A807" s="14"/>
      <c r="B807" s="14"/>
    </row>
    <row r="808" ht="15.75" customHeight="1">
      <c r="A808" s="14"/>
      <c r="B808" s="14"/>
    </row>
    <row r="809" ht="15.75" customHeight="1">
      <c r="A809" s="14"/>
      <c r="B809" s="14"/>
    </row>
    <row r="810" ht="15.75" customHeight="1">
      <c r="A810" s="14"/>
      <c r="B810" s="14"/>
    </row>
    <row r="811" ht="15.75" customHeight="1">
      <c r="A811" s="14"/>
      <c r="B811" s="14"/>
    </row>
    <row r="812" ht="15.75" customHeight="1">
      <c r="A812" s="14"/>
      <c r="B812" s="14"/>
    </row>
    <row r="813" ht="15.75" customHeight="1">
      <c r="A813" s="14"/>
      <c r="B813" s="14"/>
    </row>
    <row r="814" ht="15.75" customHeight="1">
      <c r="A814" s="14"/>
      <c r="B814" s="14"/>
    </row>
    <row r="815" ht="15.75" customHeight="1">
      <c r="A815" s="14"/>
      <c r="B815" s="14"/>
    </row>
    <row r="816" ht="15.75" customHeight="1">
      <c r="A816" s="14"/>
      <c r="B816" s="14"/>
    </row>
    <row r="817" ht="15.75" customHeight="1">
      <c r="A817" s="14"/>
      <c r="B817" s="14"/>
    </row>
    <row r="818" ht="15.75" customHeight="1">
      <c r="A818" s="14"/>
      <c r="B818" s="14"/>
    </row>
    <row r="819" ht="15.75" customHeight="1">
      <c r="A819" s="14"/>
      <c r="B819" s="14"/>
    </row>
    <row r="820" ht="15.75" customHeight="1">
      <c r="A820" s="14"/>
      <c r="B820" s="14"/>
    </row>
    <row r="821" ht="15.75" customHeight="1">
      <c r="A821" s="14"/>
      <c r="B821" s="14"/>
    </row>
    <row r="822" ht="15.75" customHeight="1">
      <c r="A822" s="14"/>
      <c r="B822" s="14"/>
    </row>
    <row r="823" ht="15.75" customHeight="1">
      <c r="A823" s="14"/>
      <c r="B823" s="14"/>
    </row>
    <row r="824" ht="15.75" customHeight="1">
      <c r="A824" s="14"/>
      <c r="B824" s="14"/>
    </row>
    <row r="825" ht="15.75" customHeight="1">
      <c r="A825" s="14"/>
      <c r="B825" s="14"/>
    </row>
    <row r="826" ht="15.75" customHeight="1">
      <c r="A826" s="14"/>
      <c r="B826" s="14"/>
    </row>
    <row r="827" ht="15.75" customHeight="1">
      <c r="A827" s="14"/>
      <c r="B827" s="14"/>
    </row>
    <row r="828" ht="15.75" customHeight="1">
      <c r="A828" s="14"/>
      <c r="B828" s="14"/>
    </row>
    <row r="829" ht="15.75" customHeight="1">
      <c r="A829" s="14"/>
      <c r="B829" s="14"/>
    </row>
    <row r="830" ht="15.75" customHeight="1">
      <c r="A830" s="14"/>
      <c r="B830" s="14"/>
    </row>
    <row r="831" ht="15.75" customHeight="1">
      <c r="A831" s="14"/>
      <c r="B831" s="14"/>
    </row>
    <row r="832" ht="15.75" customHeight="1">
      <c r="A832" s="14"/>
      <c r="B832" s="14"/>
    </row>
    <row r="833" ht="15.75" customHeight="1">
      <c r="A833" s="14"/>
      <c r="B833" s="14"/>
    </row>
    <row r="834" ht="15.75" customHeight="1">
      <c r="A834" s="14"/>
      <c r="B834" s="14"/>
    </row>
    <row r="835" ht="15.75" customHeight="1">
      <c r="A835" s="14"/>
      <c r="B835" s="14"/>
    </row>
    <row r="836" ht="15.75" customHeight="1">
      <c r="A836" s="14"/>
      <c r="B836" s="14"/>
    </row>
    <row r="837" ht="15.75" customHeight="1">
      <c r="A837" s="14"/>
      <c r="B837" s="14"/>
    </row>
    <row r="838" ht="15.75" customHeight="1">
      <c r="A838" s="14"/>
      <c r="B838" s="14"/>
    </row>
    <row r="839" ht="15.75" customHeight="1">
      <c r="A839" s="14"/>
      <c r="B839" s="14"/>
    </row>
    <row r="840" ht="15.75" customHeight="1">
      <c r="A840" s="14"/>
      <c r="B840" s="14"/>
    </row>
    <row r="841" ht="15.75" customHeight="1">
      <c r="A841" s="14"/>
      <c r="B841" s="14"/>
    </row>
    <row r="842" ht="15.75" customHeight="1">
      <c r="A842" s="14"/>
      <c r="B842" s="14"/>
    </row>
    <row r="843" ht="15.75" customHeight="1">
      <c r="A843" s="14"/>
      <c r="B843" s="14"/>
    </row>
    <row r="844" ht="15.75" customHeight="1">
      <c r="A844" s="14"/>
      <c r="B844" s="14"/>
    </row>
    <row r="845" ht="15.75" customHeight="1">
      <c r="A845" s="14"/>
      <c r="B845" s="14"/>
    </row>
    <row r="846" ht="15.75" customHeight="1">
      <c r="A846" s="14"/>
      <c r="B846" s="14"/>
    </row>
    <row r="847" ht="15.75" customHeight="1">
      <c r="A847" s="14"/>
      <c r="B847" s="14"/>
    </row>
    <row r="848" ht="15.75" customHeight="1">
      <c r="A848" s="14"/>
      <c r="B848" s="14"/>
    </row>
    <row r="849" ht="15.75" customHeight="1">
      <c r="A849" s="14"/>
      <c r="B849" s="14"/>
    </row>
    <row r="850" ht="15.75" customHeight="1">
      <c r="A850" s="14"/>
      <c r="B850" s="14"/>
    </row>
    <row r="851" ht="15.75" customHeight="1">
      <c r="A851" s="14"/>
      <c r="B851" s="14"/>
    </row>
    <row r="852" ht="15.75" customHeight="1">
      <c r="A852" s="14"/>
      <c r="B852" s="14"/>
    </row>
    <row r="853" ht="15.75" customHeight="1">
      <c r="A853" s="14"/>
      <c r="B853" s="14"/>
    </row>
    <row r="854" ht="15.75" customHeight="1">
      <c r="A854" s="14"/>
      <c r="B854" s="14"/>
    </row>
    <row r="855" ht="15.75" customHeight="1">
      <c r="A855" s="14"/>
      <c r="B855" s="14"/>
    </row>
    <row r="856" ht="15.75" customHeight="1">
      <c r="A856" s="14"/>
      <c r="B856" s="14"/>
    </row>
    <row r="857" ht="15.75" customHeight="1">
      <c r="A857" s="14"/>
      <c r="B857" s="14"/>
    </row>
    <row r="858" ht="15.75" customHeight="1">
      <c r="A858" s="14"/>
      <c r="B858" s="14"/>
    </row>
    <row r="859" ht="15.75" customHeight="1">
      <c r="A859" s="14"/>
      <c r="B859" s="14"/>
    </row>
    <row r="860" ht="15.75" customHeight="1">
      <c r="A860" s="14"/>
      <c r="B860" s="14"/>
    </row>
    <row r="861" ht="15.75" customHeight="1">
      <c r="A861" s="14"/>
      <c r="B861" s="14"/>
    </row>
    <row r="862" ht="15.75" customHeight="1">
      <c r="A862" s="14"/>
      <c r="B862" s="14"/>
    </row>
    <row r="863" ht="15.75" customHeight="1">
      <c r="A863" s="14"/>
      <c r="B863" s="14"/>
    </row>
    <row r="864" ht="15.75" customHeight="1">
      <c r="A864" s="14"/>
      <c r="B864" s="14"/>
    </row>
    <row r="865" ht="15.75" customHeight="1">
      <c r="A865" s="14"/>
      <c r="B865" s="14"/>
    </row>
    <row r="866" ht="15.75" customHeight="1">
      <c r="A866" s="14"/>
      <c r="B866" s="14"/>
    </row>
    <row r="867" ht="15.75" customHeight="1">
      <c r="A867" s="14"/>
      <c r="B867" s="14"/>
    </row>
    <row r="868" ht="15.75" customHeight="1">
      <c r="A868" s="14"/>
      <c r="B868" s="14"/>
    </row>
    <row r="869" ht="15.75" customHeight="1">
      <c r="A869" s="14"/>
      <c r="B869" s="14"/>
    </row>
    <row r="870" ht="15.75" customHeight="1">
      <c r="A870" s="14"/>
      <c r="B870" s="14"/>
    </row>
    <row r="871" ht="15.75" customHeight="1">
      <c r="A871" s="14"/>
      <c r="B871" s="14"/>
    </row>
    <row r="872" ht="15.75" customHeight="1">
      <c r="A872" s="14"/>
      <c r="B872" s="14"/>
    </row>
    <row r="873" ht="15.75" customHeight="1">
      <c r="A873" s="14"/>
      <c r="B873" s="14"/>
    </row>
    <row r="874" ht="15.75" customHeight="1">
      <c r="A874" s="14"/>
      <c r="B874" s="14"/>
    </row>
    <row r="875" ht="15.75" customHeight="1">
      <c r="A875" s="14"/>
      <c r="B875" s="14"/>
    </row>
    <row r="876" ht="15.75" customHeight="1">
      <c r="A876" s="14"/>
      <c r="B876" s="14"/>
    </row>
    <row r="877" ht="15.75" customHeight="1">
      <c r="A877" s="14"/>
      <c r="B877" s="14"/>
    </row>
    <row r="878" ht="15.75" customHeight="1">
      <c r="A878" s="14"/>
      <c r="B878" s="14"/>
    </row>
    <row r="879" ht="15.75" customHeight="1">
      <c r="A879" s="14"/>
      <c r="B879" s="14"/>
    </row>
    <row r="880" ht="15.75" customHeight="1">
      <c r="A880" s="14"/>
      <c r="B880" s="14"/>
    </row>
    <row r="881" ht="15.75" customHeight="1">
      <c r="A881" s="14"/>
      <c r="B881" s="14"/>
    </row>
    <row r="882" ht="15.75" customHeight="1">
      <c r="A882" s="14"/>
      <c r="B882" s="14"/>
    </row>
    <row r="883" ht="15.75" customHeight="1">
      <c r="A883" s="14"/>
      <c r="B883" s="14"/>
    </row>
    <row r="884" ht="15.75" customHeight="1">
      <c r="A884" s="14"/>
      <c r="B884" s="14"/>
    </row>
    <row r="885" ht="15.75" customHeight="1">
      <c r="A885" s="14"/>
      <c r="B885" s="14"/>
    </row>
    <row r="886" ht="15.75" customHeight="1">
      <c r="A886" s="14"/>
      <c r="B886" s="14"/>
    </row>
    <row r="887" ht="15.75" customHeight="1">
      <c r="A887" s="14"/>
      <c r="B887" s="14"/>
    </row>
    <row r="888" ht="15.75" customHeight="1">
      <c r="A888" s="14"/>
      <c r="B888" s="14"/>
    </row>
    <row r="889" ht="15.75" customHeight="1">
      <c r="A889" s="14"/>
      <c r="B889" s="14"/>
    </row>
    <row r="890" ht="15.75" customHeight="1">
      <c r="A890" s="14"/>
      <c r="B890" s="14"/>
    </row>
    <row r="891" ht="15.75" customHeight="1">
      <c r="A891" s="14"/>
      <c r="B891" s="14"/>
    </row>
    <row r="892" ht="15.75" customHeight="1">
      <c r="A892" s="14"/>
      <c r="B892" s="14"/>
    </row>
    <row r="893" ht="15.75" customHeight="1">
      <c r="A893" s="14"/>
      <c r="B893" s="14"/>
    </row>
    <row r="894" ht="15.75" customHeight="1">
      <c r="A894" s="14"/>
      <c r="B894" s="14"/>
    </row>
    <row r="895" ht="15.75" customHeight="1">
      <c r="A895" s="14"/>
      <c r="B895" s="14"/>
    </row>
    <row r="896" ht="15.75" customHeight="1">
      <c r="A896" s="14"/>
      <c r="B896" s="14"/>
    </row>
    <row r="897" ht="15.75" customHeight="1">
      <c r="A897" s="14"/>
      <c r="B897" s="14"/>
    </row>
    <row r="898" ht="15.75" customHeight="1">
      <c r="A898" s="14"/>
      <c r="B898" s="14"/>
    </row>
    <row r="899" ht="15.75" customHeight="1">
      <c r="A899" s="14"/>
      <c r="B899" s="14"/>
    </row>
    <row r="900" ht="15.75" customHeight="1">
      <c r="A900" s="14"/>
      <c r="B900" s="14"/>
    </row>
    <row r="901" ht="15.75" customHeight="1">
      <c r="A901" s="14"/>
      <c r="B901" s="14"/>
    </row>
    <row r="902" ht="15.75" customHeight="1">
      <c r="A902" s="14"/>
      <c r="B902" s="14"/>
    </row>
    <row r="903" ht="15.75" customHeight="1">
      <c r="A903" s="14"/>
      <c r="B903" s="14"/>
    </row>
    <row r="904" ht="15.75" customHeight="1">
      <c r="A904" s="14"/>
      <c r="B904" s="14"/>
    </row>
    <row r="905" ht="15.75" customHeight="1">
      <c r="A905" s="14"/>
      <c r="B905" s="14"/>
    </row>
    <row r="906" ht="15.75" customHeight="1">
      <c r="A906" s="14"/>
      <c r="B906" s="14"/>
    </row>
    <row r="907" ht="15.75" customHeight="1">
      <c r="A907" s="14"/>
      <c r="B907" s="14"/>
    </row>
    <row r="908" ht="15.75" customHeight="1">
      <c r="A908" s="14"/>
      <c r="B908" s="14"/>
    </row>
    <row r="909" ht="15.75" customHeight="1">
      <c r="A909" s="14"/>
      <c r="B909" s="14"/>
    </row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1" max="1" width="41.88"/>
    <col customWidth="1" min="2" max="2" width="17.5"/>
    <col customWidth="1" min="3" max="3" width="19.25"/>
    <col customWidth="1" min="4" max="4" width="18.5"/>
    <col customWidth="1" min="5" max="5" width="17.63"/>
    <col customWidth="1" min="6" max="6" width="18.13"/>
    <col customWidth="1" min="11" max="11" width="16.88"/>
    <col customWidth="1" min="12" max="12" width="20.0"/>
  </cols>
  <sheetData>
    <row r="1" ht="15.75" customHeight="1">
      <c r="B1" s="3" t="s">
        <v>0</v>
      </c>
      <c r="C1" s="3" t="str">
        <f>TEXT(C3,"MMMM-YYY")</f>
        <v>June-2025</v>
      </c>
    </row>
    <row r="2" ht="15.75" customHeight="1">
      <c r="A2" s="7"/>
      <c r="B2" s="3" t="s">
        <v>1</v>
      </c>
      <c r="C2" s="8">
        <v>45809.0</v>
      </c>
      <c r="E2" s="9" t="s">
        <v>2</v>
      </c>
      <c r="F2" s="10" t="str">
        <f>IF(SUM(D:D) = SUM(E:E), "✅ Balanced", "⚠️ Unbalanced")</f>
        <v>#REF!</v>
      </c>
    </row>
    <row r="3" ht="15.75" customHeight="1">
      <c r="B3" s="3" t="s">
        <v>3</v>
      </c>
      <c r="C3" s="8">
        <f>EOMONTH(C2,0)</f>
        <v>45838</v>
      </c>
      <c r="E3" s="11"/>
    </row>
    <row r="4" ht="15.75" customHeight="1"/>
    <row r="5" ht="15.75" customHeight="1">
      <c r="D5" s="12" t="str">
        <f t="shared" ref="D5:E5" si="1">SUM(D8:D1000)</f>
        <v>#REF!</v>
      </c>
      <c r="E5" s="12" t="str">
        <f t="shared" si="1"/>
        <v>#REF!</v>
      </c>
      <c r="F5" s="12" t="str">
        <f>D5-E5</f>
        <v>#REF!</v>
      </c>
    </row>
    <row r="6" ht="15.75" customHeight="1"/>
    <row r="7" ht="15.75" customHeight="1">
      <c r="A7" s="1" t="s">
        <v>4</v>
      </c>
      <c r="B7" s="1" t="s">
        <v>5</v>
      </c>
      <c r="C7" s="1" t="s">
        <v>6</v>
      </c>
      <c r="D7" s="1" t="s">
        <v>7</v>
      </c>
      <c r="E7" s="1" t="s">
        <v>8</v>
      </c>
      <c r="F7" s="1" t="s">
        <v>9</v>
      </c>
    </row>
    <row r="8" ht="15.75" customHeight="1">
      <c r="A8" s="1" t="str">
        <f t="array" ref="A8:A909">Helper!E99:E1000</f>
        <v/>
      </c>
      <c r="B8" s="1" t="str">
        <f t="array" ref="B8:B909">Helper!D99:D1000</f>
        <v/>
      </c>
      <c r="C8" s="13" t="str">
        <f>May_2025!F8</f>
        <v>#N/A</v>
      </c>
      <c r="D8" s="13" t="str">
        <f>IFERROR(__xludf.DUMMYFUNCTION("IFNA(QUERY(IMPORTRANGE(""https://docs.google.com/spreadsheets/d/1EHL-jm_NiShR1a2JqKbpaJGazYH90DJO150spY6io4k/edit?gid=0#gid=0"", 
""Gen_Ledger!A:N""), 
""SELECT SUM(Col10) WHERE Col7 = ""&amp;B8&amp;"" AND Col1 &gt;= DATE '"" &amp; TEXT($C$2, ""YYYY-MM-DD"") &amp; ""' AND C"&amp;"ol1 &lt;= DATE '"" &amp; TEXT($C$3, ""YYYY-MM-DD"") &amp; ""' LABEL SUM(Col10) ''"", 0), """")"),"#REF!")</f>
        <v>#REF!</v>
      </c>
      <c r="E8" s="13" t="str">
        <f>IFERROR(__xludf.DUMMYFUNCTION("IFNA(QUERY(IMPORTRANGE(""https://docs.google.com/spreadsheets/d/1EHL-jm_NiShR1a2JqKbpaJGazYH90DJO150spY6io4k/edit?gid=0#gid=0"", 
""Gen_Ledger!A:N""), 
""SELECT SUM(Col11) WHERE Col7 = ""&amp;B8&amp;"" AND Col1 &gt;= DATE '"" &amp; TEXT($C$2, ""YYYY-MM-DD"") &amp; ""' AND C"&amp;"ol1 &lt;= DATE '"" &amp; TEXT($C$3, ""YYYY-MM-DD"") &amp; ""' LABEL SUM(Col11) ''"", 0), """")"),"#REF!")</f>
        <v>#REF!</v>
      </c>
      <c r="F8" s="13" t="str">
        <f t="shared" ref="F8:F21" si="2">C8+D8-E8</f>
        <v>#N/A</v>
      </c>
    </row>
    <row r="9" ht="15.75" customHeight="1">
      <c r="A9" s="1"/>
      <c r="B9" s="1"/>
      <c r="C9" s="13" t="str">
        <f>May_2025!F9</f>
        <v>#N/A</v>
      </c>
      <c r="D9" s="13" t="str">
        <f>IFERROR(__xludf.DUMMYFUNCTION("IFNA(QUERY(IMPORTRANGE(""https://docs.google.com/spreadsheets/d/1EHL-jm_NiShR1a2JqKbpaJGazYH90DJO150spY6io4k/edit?gid=0#gid=0"", 
""Gen_Ledger!A:N""), 
""SELECT SUM(Col10) WHERE Col7 = ""&amp;B9&amp;"" AND Col1 &gt;= DATE '"" &amp; TEXT($C$2, ""YYYY-MM-DD"") &amp; ""' AND C"&amp;"ol1 &lt;= DATE '"" &amp; TEXT($C$3, ""YYYY-MM-DD"") &amp; ""' LABEL SUM(Col10) ''"", 0), """")"),"#REF!")</f>
        <v>#REF!</v>
      </c>
      <c r="E9" s="13" t="str">
        <f>IFERROR(__xludf.DUMMYFUNCTION("IFNA(QUERY(IMPORTRANGE(""https://docs.google.com/spreadsheets/d/1EHL-jm_NiShR1a2JqKbpaJGazYH90DJO150spY6io4k/edit?gid=0#gid=0"", 
""Gen_Ledger!A:N""), 
""SELECT SUM(Col11) WHERE Col7 = ""&amp;B9&amp;"" AND Col1 &gt;= DATE '"" &amp; TEXT($C$2, ""YYYY-MM-DD"") &amp; ""' AND C"&amp;"ol1 &lt;= DATE '"" &amp; TEXT($C$3, ""YYYY-MM-DD"") &amp; ""' LABEL SUM(Col11) ''"", 0), """")"),"#REF!")</f>
        <v>#REF!</v>
      </c>
      <c r="F9" s="13" t="str">
        <f t="shared" si="2"/>
        <v>#N/A</v>
      </c>
    </row>
    <row r="10" ht="15.75" customHeight="1">
      <c r="A10" s="1"/>
      <c r="B10" s="1"/>
      <c r="C10" s="13" t="str">
        <f>May_2025!F10</f>
        <v>#N/A</v>
      </c>
      <c r="D10" s="13" t="str">
        <f>IFERROR(__xludf.DUMMYFUNCTION("IFNA(QUERY(IMPORTRANGE(""https://docs.google.com/spreadsheets/d/1EHL-jm_NiShR1a2JqKbpaJGazYH90DJO150spY6io4k/edit?gid=0#gid=0"", 
""Gen_Ledger!A:N""), 
""SELECT SUM(Col10) WHERE Col7 = ""&amp;B10&amp;"" AND Col1 &gt;= DATE '"" &amp; TEXT($C$2, ""YYYY-MM-DD"") &amp; ""' AND "&amp;"Col1 &lt;= DATE '"" &amp; TEXT($C$3, ""YYYY-MM-DD"") &amp; ""' LABEL SUM(Col10) ''"", 0), """")"),"#REF!")</f>
        <v>#REF!</v>
      </c>
      <c r="E10" s="13" t="str">
        <f>IFERROR(__xludf.DUMMYFUNCTION("IFNA(QUERY(IMPORTRANGE(""https://docs.google.com/spreadsheets/d/1EHL-jm_NiShR1a2JqKbpaJGazYH90DJO150spY6io4k/edit?gid=0#gid=0"", 
""Gen_Ledger!A:N""), 
""SELECT SUM(Col11) WHERE Col7 = ""&amp;B10&amp;"" AND Col1 &gt;= DATE '"" &amp; TEXT($C$2, ""YYYY-MM-DD"") &amp; ""' AND "&amp;"Col1 &lt;= DATE '"" &amp; TEXT($C$3, ""YYYY-MM-DD"") &amp; ""' LABEL SUM(Col11) ''"", 0), """")"),"#REF!")</f>
        <v>#REF!</v>
      </c>
      <c r="F10" s="13" t="str">
        <f t="shared" si="2"/>
        <v>#N/A</v>
      </c>
    </row>
    <row r="11" ht="15.75" customHeight="1">
      <c r="A11" s="1"/>
      <c r="B11" s="1"/>
      <c r="C11" s="13" t="str">
        <f>May_2025!F11</f>
        <v>#N/A</v>
      </c>
      <c r="D11" s="13" t="str">
        <f>IFERROR(__xludf.DUMMYFUNCTION("IFNA(QUERY(IMPORTRANGE(""https://docs.google.com/spreadsheets/d/1EHL-jm_NiShR1a2JqKbpaJGazYH90DJO150spY6io4k/edit?gid=0#gid=0"", 
""Gen_Ledger!A:N""), 
""SELECT SUM(Col10) WHERE Col7 = ""&amp;B11&amp;"" AND Col1 &gt;= DATE '"" &amp; TEXT($C$2, ""YYYY-MM-DD"") &amp; ""' AND "&amp;"Col1 &lt;= DATE '"" &amp; TEXT($C$3, ""YYYY-MM-DD"") &amp; ""' LABEL SUM(Col10) ''"", 0), """")"),"#REF!")</f>
        <v>#REF!</v>
      </c>
      <c r="E11" s="13" t="str">
        <f>IFERROR(__xludf.DUMMYFUNCTION("IFNA(QUERY(IMPORTRANGE(""https://docs.google.com/spreadsheets/d/1EHL-jm_NiShR1a2JqKbpaJGazYH90DJO150spY6io4k/edit?gid=0#gid=0"", 
""Gen_Ledger!A:N""), 
""SELECT SUM(Col11) WHERE Col7 = ""&amp;B11&amp;"" AND Col1 &gt;= DATE '"" &amp; TEXT($C$2, ""YYYY-MM-DD"") &amp; ""' AND "&amp;"Col1 &lt;= DATE '"" &amp; TEXT($C$3, ""YYYY-MM-DD"") &amp; ""' LABEL SUM(Col11) ''"", 0), """")"),"#REF!")</f>
        <v>#REF!</v>
      </c>
      <c r="F11" s="13" t="str">
        <f t="shared" si="2"/>
        <v>#N/A</v>
      </c>
    </row>
    <row r="12" ht="15.75" customHeight="1">
      <c r="A12" s="1"/>
      <c r="B12" s="1"/>
      <c r="C12" s="13" t="str">
        <f>May_2025!F12</f>
        <v>#N/A</v>
      </c>
      <c r="D12" s="13" t="str">
        <f>IFERROR(__xludf.DUMMYFUNCTION("IFNA(QUERY(IMPORTRANGE(""https://docs.google.com/spreadsheets/d/1EHL-jm_NiShR1a2JqKbpaJGazYH90DJO150spY6io4k/edit?gid=0#gid=0"", 
""Gen_Ledger!A:N""), 
""SELECT SUM(Col10) WHERE Col7 = ""&amp;B12&amp;"" AND Col1 &gt;= DATE '"" &amp; TEXT($C$2, ""YYYY-MM-DD"") &amp; ""' AND "&amp;"Col1 &lt;= DATE '"" &amp; TEXT($C$3, ""YYYY-MM-DD"") &amp; ""' LABEL SUM(Col10) ''"", 0), """")"),"#REF!")</f>
        <v>#REF!</v>
      </c>
      <c r="E12" s="13" t="str">
        <f>IFERROR(__xludf.DUMMYFUNCTION("IFNA(QUERY(IMPORTRANGE(""https://docs.google.com/spreadsheets/d/1EHL-jm_NiShR1a2JqKbpaJGazYH90DJO150spY6io4k/edit?gid=0#gid=0"", 
""Gen_Ledger!A:N""), 
""SELECT SUM(Col11) WHERE Col7 = ""&amp;B12&amp;"" AND Col1 &gt;= DATE '"" &amp; TEXT($C$2, ""YYYY-MM-DD"") &amp; ""' AND "&amp;"Col1 &lt;= DATE '"" &amp; TEXT($C$3, ""YYYY-MM-DD"") &amp; ""' LABEL SUM(Col11) ''"", 0), """")"),"#REF!")</f>
        <v>#REF!</v>
      </c>
      <c r="F12" s="13" t="str">
        <f t="shared" si="2"/>
        <v>#N/A</v>
      </c>
    </row>
    <row r="13" ht="15.75" customHeight="1">
      <c r="A13" s="1"/>
      <c r="B13" s="1"/>
      <c r="C13" s="13" t="str">
        <f>May_2025!F13</f>
        <v>#N/A</v>
      </c>
      <c r="D13" s="13" t="str">
        <f>IFERROR(__xludf.DUMMYFUNCTION("IFNA(QUERY(IMPORTRANGE(""https://docs.google.com/spreadsheets/d/1EHL-jm_NiShR1a2JqKbpaJGazYH90DJO150spY6io4k/edit?gid=0#gid=0"", 
""Gen_Ledger!A:N""), 
""SELECT SUM(Col10) WHERE Col7 = ""&amp;B13&amp;"" AND Col1 &gt;= DATE '"" &amp; TEXT($C$2, ""YYYY-MM-DD"") &amp; ""' AND "&amp;"Col1 &lt;= DATE '"" &amp; TEXT($C$3, ""YYYY-MM-DD"") &amp; ""' LABEL SUM(Col10) ''"", 0), """")"),"#REF!")</f>
        <v>#REF!</v>
      </c>
      <c r="E13" s="13" t="str">
        <f>IFERROR(__xludf.DUMMYFUNCTION("IFNA(QUERY(IMPORTRANGE(""https://docs.google.com/spreadsheets/d/1EHL-jm_NiShR1a2JqKbpaJGazYH90DJO150spY6io4k/edit?gid=0#gid=0"", 
""Gen_Ledger!A:N""), 
""SELECT SUM(Col11) WHERE Col7 = ""&amp;B13&amp;"" AND Col1 &gt;= DATE '"" &amp; TEXT($C$2, ""YYYY-MM-DD"") &amp; ""' AND "&amp;"Col1 &lt;= DATE '"" &amp; TEXT($C$3, ""YYYY-MM-DD"") &amp; ""' LABEL SUM(Col11) ''"", 0), """")"),"#REF!")</f>
        <v>#REF!</v>
      </c>
      <c r="F13" s="13" t="str">
        <f t="shared" si="2"/>
        <v>#N/A</v>
      </c>
      <c r="I13" s="4"/>
    </row>
    <row r="14" ht="15.75" customHeight="1">
      <c r="A14" s="1"/>
      <c r="B14" s="1"/>
      <c r="C14" s="13" t="str">
        <f>May_2025!F14</f>
        <v>#N/A</v>
      </c>
      <c r="D14" s="13" t="str">
        <f>IFERROR(__xludf.DUMMYFUNCTION("IFNA(QUERY(IMPORTRANGE(""https://docs.google.com/spreadsheets/d/1EHL-jm_NiShR1a2JqKbpaJGazYH90DJO150spY6io4k/edit?gid=0#gid=0"", 
""Gen_Ledger!A:N""), 
""SELECT SUM(Col10) WHERE Col7 = ""&amp;B14&amp;"" AND Col1 &gt;= DATE '"" &amp; TEXT($C$2, ""YYYY-MM-DD"") &amp; ""' AND "&amp;"Col1 &lt;= DATE '"" &amp; TEXT($C$3, ""YYYY-MM-DD"") &amp; ""' LABEL SUM(Col10) ''"", 0), """")"),"#REF!")</f>
        <v>#REF!</v>
      </c>
      <c r="E14" s="13" t="str">
        <f>IFERROR(__xludf.DUMMYFUNCTION("IFNA(QUERY(IMPORTRANGE(""https://docs.google.com/spreadsheets/d/1EHL-jm_NiShR1a2JqKbpaJGazYH90DJO150spY6io4k/edit?gid=0#gid=0"", 
""Gen_Ledger!A:N""), 
""SELECT SUM(Col11) WHERE Col7 = ""&amp;B14&amp;"" AND Col1 &gt;= DATE '"" &amp; TEXT($C$2, ""YYYY-MM-DD"") &amp; ""' AND "&amp;"Col1 &lt;= DATE '"" &amp; TEXT($C$3, ""YYYY-MM-DD"") &amp; ""' LABEL SUM(Col11) ''"", 0), """")"),"#REF!")</f>
        <v>#REF!</v>
      </c>
      <c r="F14" s="13" t="str">
        <f t="shared" si="2"/>
        <v>#N/A</v>
      </c>
    </row>
    <row r="15" ht="15.75" customHeight="1">
      <c r="A15" s="1"/>
      <c r="B15" s="1"/>
      <c r="C15" s="13" t="str">
        <f>May_2025!F15</f>
        <v>#N/A</v>
      </c>
      <c r="D15" s="13" t="str">
        <f>IFERROR(__xludf.DUMMYFUNCTION("IFNA(QUERY(IMPORTRANGE(""https://docs.google.com/spreadsheets/d/1EHL-jm_NiShR1a2JqKbpaJGazYH90DJO150spY6io4k/edit?gid=0#gid=0"", 
""Gen_Ledger!A:N""), 
""SELECT SUM(Col10) WHERE Col7 = ""&amp;B15&amp;"" AND Col1 &gt;= DATE '"" &amp; TEXT($C$2, ""YYYY-MM-DD"") &amp; ""' AND "&amp;"Col1 &lt;= DATE '"" &amp; TEXT($C$3, ""YYYY-MM-DD"") &amp; ""' LABEL SUM(Col10) ''"", 0), """")"),"#REF!")</f>
        <v>#REF!</v>
      </c>
      <c r="E15" s="13" t="str">
        <f>IFERROR(__xludf.DUMMYFUNCTION("IFNA(QUERY(IMPORTRANGE(""https://docs.google.com/spreadsheets/d/1EHL-jm_NiShR1a2JqKbpaJGazYH90DJO150spY6io4k/edit?gid=0#gid=0"", 
""Gen_Ledger!A:N""), 
""SELECT SUM(Col11) WHERE Col7 = ""&amp;B15&amp;"" AND Col1 &gt;= DATE '"" &amp; TEXT($C$2, ""YYYY-MM-DD"") &amp; ""' AND "&amp;"Col1 &lt;= DATE '"" &amp; TEXT($C$3, ""YYYY-MM-DD"") &amp; ""' LABEL SUM(Col11) ''"", 0), """")"),"#REF!")</f>
        <v>#REF!</v>
      </c>
      <c r="F15" s="13" t="str">
        <f t="shared" si="2"/>
        <v>#N/A</v>
      </c>
    </row>
    <row r="16" ht="15.75" customHeight="1">
      <c r="A16" s="1"/>
      <c r="B16" s="1"/>
      <c r="C16" s="13" t="str">
        <f>May_2025!F16</f>
        <v>#N/A</v>
      </c>
      <c r="D16" s="13" t="str">
        <f>IFERROR(__xludf.DUMMYFUNCTION("IFNA(QUERY(IMPORTRANGE(""https://docs.google.com/spreadsheets/d/1EHL-jm_NiShR1a2JqKbpaJGazYH90DJO150spY6io4k/edit?gid=0#gid=0"", 
""Gen_Ledger!A:N""), 
""SELECT SUM(Col10) WHERE Col7 = ""&amp;B16&amp;"" AND Col1 &gt;= DATE '"" &amp; TEXT($C$2, ""YYYY-MM-DD"") &amp; ""' AND "&amp;"Col1 &lt;= DATE '"" &amp; TEXT($C$3, ""YYYY-MM-DD"") &amp; ""' LABEL SUM(Col10) ''"", 0), """")"),"#REF!")</f>
        <v>#REF!</v>
      </c>
      <c r="E16" s="13" t="str">
        <f>IFERROR(__xludf.DUMMYFUNCTION("IFNA(QUERY(IMPORTRANGE(""https://docs.google.com/spreadsheets/d/1EHL-jm_NiShR1a2JqKbpaJGazYH90DJO150spY6io4k/edit?gid=0#gid=0"", 
""Gen_Ledger!A:N""), 
""SELECT SUM(Col11) WHERE Col7 = ""&amp;B16&amp;"" AND Col1 &gt;= DATE '"" &amp; TEXT($C$2, ""YYYY-MM-DD"") &amp; ""' AND "&amp;"Col1 &lt;= DATE '"" &amp; TEXT($C$3, ""YYYY-MM-DD"") &amp; ""' LABEL SUM(Col11) ''"", 0), """")"),"#REF!")</f>
        <v>#REF!</v>
      </c>
      <c r="F16" s="13" t="str">
        <f t="shared" si="2"/>
        <v>#N/A</v>
      </c>
    </row>
    <row r="17" ht="15.75" customHeight="1">
      <c r="A17" s="1"/>
      <c r="B17" s="1"/>
      <c r="C17" s="13" t="str">
        <f>May_2025!F17</f>
        <v>#N/A</v>
      </c>
      <c r="D17" s="13" t="str">
        <f>IFERROR(__xludf.DUMMYFUNCTION("IFNA(QUERY(IMPORTRANGE(""https://docs.google.com/spreadsheets/d/1EHL-jm_NiShR1a2JqKbpaJGazYH90DJO150spY6io4k/edit?gid=0#gid=0"", 
""Gen_Ledger!A:N""), 
""SELECT SUM(Col10) WHERE Col7 = ""&amp;B17&amp;"" AND Col1 &gt;= DATE '"" &amp; TEXT($C$2, ""YYYY-MM-DD"") &amp; ""' AND "&amp;"Col1 &lt;= DATE '"" &amp; TEXT($C$3, ""YYYY-MM-DD"") &amp; ""' LABEL SUM(Col10) ''"", 0), """")"),"#REF!")</f>
        <v>#REF!</v>
      </c>
      <c r="E17" s="13" t="str">
        <f>IFERROR(__xludf.DUMMYFUNCTION("IFNA(QUERY(IMPORTRANGE(""https://docs.google.com/spreadsheets/d/1EHL-jm_NiShR1a2JqKbpaJGazYH90DJO150spY6io4k/edit?gid=0#gid=0"", 
""Gen_Ledger!A:N""), 
""SELECT SUM(Col11) WHERE Col7 = ""&amp;B17&amp;"" AND Col1 &gt;= DATE '"" &amp; TEXT($C$2, ""YYYY-MM-DD"") &amp; ""' AND "&amp;"Col1 &lt;= DATE '"" &amp; TEXT($C$3, ""YYYY-MM-DD"") &amp; ""' LABEL SUM(Col11) ''"", 0), """")"),"#REF!")</f>
        <v>#REF!</v>
      </c>
      <c r="F17" s="13" t="str">
        <f t="shared" si="2"/>
        <v>#N/A</v>
      </c>
    </row>
    <row r="18" ht="15.75" customHeight="1">
      <c r="A18" s="1"/>
      <c r="B18" s="1"/>
      <c r="C18" s="13" t="str">
        <f>May_2025!F18</f>
        <v>#N/A</v>
      </c>
      <c r="D18" s="13" t="str">
        <f>IFERROR(__xludf.DUMMYFUNCTION("IFNA(QUERY(IMPORTRANGE(""https://docs.google.com/spreadsheets/d/1EHL-jm_NiShR1a2JqKbpaJGazYH90DJO150spY6io4k/edit?gid=0#gid=0"", 
""Gen_Ledger!A:N""), 
""SELECT SUM(Col10) WHERE Col7 = ""&amp;B18&amp;"" AND Col1 &gt;= DATE '"" &amp; TEXT($C$2, ""YYYY-MM-DD"") &amp; ""' AND "&amp;"Col1 &lt;= DATE '"" &amp; TEXT($C$3, ""YYYY-MM-DD"") &amp; ""' LABEL SUM(Col10) ''"", 0), """")"),"#REF!")</f>
        <v>#REF!</v>
      </c>
      <c r="E18" s="13" t="str">
        <f>IFERROR(__xludf.DUMMYFUNCTION("IFNA(QUERY(IMPORTRANGE(""https://docs.google.com/spreadsheets/d/1EHL-jm_NiShR1a2JqKbpaJGazYH90DJO150spY6io4k/edit?gid=0#gid=0"", 
""Gen_Ledger!A:N""), 
""SELECT SUM(Col11) WHERE Col7 = ""&amp;B18&amp;"" AND Col1 &gt;= DATE '"" &amp; TEXT($C$2, ""YYYY-MM-DD"") &amp; ""' AND "&amp;"Col1 &lt;= DATE '"" &amp; TEXT($C$3, ""YYYY-MM-DD"") &amp; ""' LABEL SUM(Col11) ''"", 0), """")"),"#REF!")</f>
        <v>#REF!</v>
      </c>
      <c r="F18" s="13" t="str">
        <f t="shared" si="2"/>
        <v>#N/A</v>
      </c>
    </row>
    <row r="19" ht="15.75" customHeight="1">
      <c r="A19" s="1"/>
      <c r="B19" s="1"/>
      <c r="C19" s="13" t="str">
        <f>May_2025!F19</f>
        <v>#N/A</v>
      </c>
      <c r="D19" s="13" t="str">
        <f>IFERROR(__xludf.DUMMYFUNCTION("IFNA(QUERY(IMPORTRANGE(""https://docs.google.com/spreadsheets/d/1EHL-jm_NiShR1a2JqKbpaJGazYH90DJO150spY6io4k/edit?gid=0#gid=0"", 
""Gen_Ledger!A:N""), 
""SELECT SUM(Col10) WHERE Col7 = ""&amp;B19&amp;"" AND Col1 &gt;= DATE '"" &amp; TEXT($C$2, ""YYYY-MM-DD"") &amp; ""' AND "&amp;"Col1 &lt;= DATE '"" &amp; TEXT($C$3, ""YYYY-MM-DD"") &amp; ""' LABEL SUM(Col10) ''"", 0), """")"),"#REF!")</f>
        <v>#REF!</v>
      </c>
      <c r="E19" s="13" t="str">
        <f>IFERROR(__xludf.DUMMYFUNCTION("IFNA(QUERY(IMPORTRANGE(""https://docs.google.com/spreadsheets/d/1EHL-jm_NiShR1a2JqKbpaJGazYH90DJO150spY6io4k/edit?gid=0#gid=0"", 
""Gen_Ledger!A:N""), 
""SELECT SUM(Col11) WHERE Col7 = ""&amp;B19&amp;"" AND Col1 &gt;= DATE '"" &amp; TEXT($C$2, ""YYYY-MM-DD"") &amp; ""' AND "&amp;"Col1 &lt;= DATE '"" &amp; TEXT($C$3, ""YYYY-MM-DD"") &amp; ""' LABEL SUM(Col11) ''"", 0), """")"),"#REF!")</f>
        <v>#REF!</v>
      </c>
      <c r="F19" s="13" t="str">
        <f t="shared" si="2"/>
        <v>#N/A</v>
      </c>
    </row>
    <row r="20" ht="15.75" customHeight="1">
      <c r="A20" s="1"/>
      <c r="B20" s="1"/>
      <c r="C20" s="13" t="str">
        <f>May_2025!F20</f>
        <v>#N/A</v>
      </c>
      <c r="D20" s="13" t="str">
        <f>IFERROR(__xludf.DUMMYFUNCTION("IFNA(QUERY(IMPORTRANGE(""https://docs.google.com/spreadsheets/d/1EHL-jm_NiShR1a2JqKbpaJGazYH90DJO150spY6io4k/edit?gid=0#gid=0"", 
""Gen_Ledger!A:N""), 
""SELECT SUM(Col10) WHERE Col7 = ""&amp;B20&amp;"" AND Col1 &gt;= DATE '"" &amp; TEXT($C$2, ""YYYY-MM-DD"") &amp; ""' AND "&amp;"Col1 &lt;= DATE '"" &amp; TEXT($C$3, ""YYYY-MM-DD"") &amp; ""' LABEL SUM(Col10) ''"", 0), """")"),"#REF!")</f>
        <v>#REF!</v>
      </c>
      <c r="E20" s="13" t="str">
        <f>IFERROR(__xludf.DUMMYFUNCTION("IFNA(QUERY(IMPORTRANGE(""https://docs.google.com/spreadsheets/d/1EHL-jm_NiShR1a2JqKbpaJGazYH90DJO150spY6io4k/edit?gid=0#gid=0"", 
""Gen_Ledger!A:N""), 
""SELECT SUM(Col11) WHERE Col7 = ""&amp;B20&amp;"" AND Col1 &gt;= DATE '"" &amp; TEXT($C$2, ""YYYY-MM-DD"") &amp; ""' AND "&amp;"Col1 &lt;= DATE '"" &amp; TEXT($C$3, ""YYYY-MM-DD"") &amp; ""' LABEL SUM(Col11) ''"", 0), """")"),"#REF!")</f>
        <v>#REF!</v>
      </c>
      <c r="F20" s="13" t="str">
        <f t="shared" si="2"/>
        <v>#N/A</v>
      </c>
    </row>
    <row r="21" ht="15.75" customHeight="1">
      <c r="A21" s="1"/>
      <c r="B21" s="1"/>
      <c r="C21" s="13" t="str">
        <f>May_2025!F21</f>
        <v>#N/A</v>
      </c>
      <c r="D21" s="13" t="str">
        <f>IFERROR(__xludf.DUMMYFUNCTION("IFNA(QUERY(IMPORTRANGE(""https://docs.google.com/spreadsheets/d/1EHL-jm_NiShR1a2JqKbpaJGazYH90DJO150spY6io4k/edit?gid=0#gid=0"", 
""Gen_Ledger!A:N""), 
""SELECT SUM(Col10) WHERE Col7 = ""&amp;B21&amp;"" AND Col1 &gt;= DATE '"" &amp; TEXT($C$2, ""YYYY-MM-DD"") &amp; ""' AND "&amp;"Col1 &lt;= DATE '"" &amp; TEXT($C$3, ""YYYY-MM-DD"") &amp; ""' LABEL SUM(Col10) ''"", 0), """")"),"#REF!")</f>
        <v>#REF!</v>
      </c>
      <c r="E21" s="13" t="str">
        <f>IFERROR(__xludf.DUMMYFUNCTION("IFNA(QUERY(IMPORTRANGE(""https://docs.google.com/spreadsheets/d/1EHL-jm_NiShR1a2JqKbpaJGazYH90DJO150spY6io4k/edit?gid=0#gid=0"", 
""Gen_Ledger!A:N""), 
""SELECT SUM(Col11) WHERE Col7 = ""&amp;B21&amp;"" AND Col1 &gt;= DATE '"" &amp; TEXT($C$2, ""YYYY-MM-DD"") &amp; ""' AND "&amp;"Col1 &lt;= DATE '"" &amp; TEXT($C$3, ""YYYY-MM-DD"") &amp; ""' LABEL SUM(Col11) ''"", 0), """")"),"#REF!")</f>
        <v>#REF!</v>
      </c>
      <c r="F21" s="13" t="str">
        <f t="shared" si="2"/>
        <v>#N/A</v>
      </c>
      <c r="M21" s="12"/>
    </row>
    <row r="22" ht="15.75" customHeight="1">
      <c r="A22" s="1"/>
      <c r="B22" s="1"/>
      <c r="C22" s="13" t="str">
        <f>May_2025!F22</f>
        <v>#N/A</v>
      </c>
      <c r="D22" s="13" t="str">
        <f>IFERROR(__xludf.DUMMYFUNCTION("IFNA(QUERY(IMPORTRANGE(""https://docs.google.com/spreadsheets/d/1EHL-jm_NiShR1a2JqKbpaJGazYH90DJO150spY6io4k/edit?gid=0#gid=0"", 
""Gen_Ledger!A:N""), 
""SELECT SUM(Col10) WHERE Col7 = ""&amp;B22&amp;"" AND Col1 &gt;= DATE '"" &amp; TEXT($C$2, ""YYYY-MM-DD"") &amp; ""' AND "&amp;"Col1 &lt;= DATE '"" &amp; TEXT($C$3, ""YYYY-MM-DD"") &amp; ""' LABEL SUM(Col10) ''"", 0), """")"),"#REF!")</f>
        <v>#REF!</v>
      </c>
      <c r="E22" s="13" t="str">
        <f>IFERROR(__xludf.DUMMYFUNCTION("IFNA(QUERY(IMPORTRANGE(""https://docs.google.com/spreadsheets/d/1EHL-jm_NiShR1a2JqKbpaJGazYH90DJO150spY6io4k/edit?gid=0#gid=0"", 
""Gen_Ledger!A:N""), 
""SELECT SUM(Col11) WHERE Col7 = ""&amp;B22&amp;"" AND Col1 &gt;= DATE '"" &amp; TEXT($C$2, ""YYYY-MM-DD"") &amp; ""' AND "&amp;"Col1 &lt;= DATE '"" &amp; TEXT($C$3, ""YYYY-MM-DD"") &amp; ""' LABEL SUM(Col11) ''"", 0), """")"),"#REF!")</f>
        <v>#REF!</v>
      </c>
      <c r="F22" s="13" t="str">
        <f t="shared" ref="F22:F25" si="3">C22+E22</f>
        <v>#N/A</v>
      </c>
      <c r="M22" s="12"/>
    </row>
    <row r="23" ht="15.75" customHeight="1">
      <c r="A23" s="1"/>
      <c r="B23" s="1"/>
      <c r="C23" s="13" t="str">
        <f>May_2025!F23</f>
        <v>#N/A</v>
      </c>
      <c r="D23" s="13" t="str">
        <f>IFERROR(__xludf.DUMMYFUNCTION("IFNA(QUERY(IMPORTRANGE(""https://docs.google.com/spreadsheets/d/1EHL-jm_NiShR1a2JqKbpaJGazYH90DJO150spY6io4k/edit?gid=0#gid=0"", 
""Gen_Ledger!A:N""), 
""SELECT SUM(Col10) WHERE Col7 = ""&amp;B23&amp;"" AND Col1 &gt;= DATE '"" &amp; TEXT($C$2, ""YYYY-MM-DD"") &amp; ""' AND "&amp;"Col1 &lt;= DATE '"" &amp; TEXT($C$3, ""YYYY-MM-DD"") &amp; ""' LABEL SUM(Col10) ''"", 0), """")"),"#REF!")</f>
        <v>#REF!</v>
      </c>
      <c r="E23" s="13" t="str">
        <f>IFERROR(__xludf.DUMMYFUNCTION("IFNA(QUERY(IMPORTRANGE(""https://docs.google.com/spreadsheets/d/1EHL-jm_NiShR1a2JqKbpaJGazYH90DJO150spY6io4k/edit?gid=0#gid=0"", 
""Gen_Ledger!A:N""), 
""SELECT SUM(Col11) WHERE Col7 = ""&amp;B23&amp;"" AND Col1 &gt;= DATE '"" &amp; TEXT($C$2, ""YYYY-MM-DD"") &amp; ""' AND "&amp;"Col1 &lt;= DATE '"" &amp; TEXT($C$3, ""YYYY-MM-DD"") &amp; ""' LABEL SUM(Col11) ''"", 0), """")"),"#REF!")</f>
        <v>#REF!</v>
      </c>
      <c r="F23" s="13" t="str">
        <f t="shared" si="3"/>
        <v>#N/A</v>
      </c>
      <c r="M23" s="12"/>
    </row>
    <row r="24" ht="15.75" customHeight="1">
      <c r="A24" s="1"/>
      <c r="B24" s="1"/>
      <c r="C24" s="13" t="str">
        <f>May_2025!F24</f>
        <v>#N/A</v>
      </c>
      <c r="D24" s="13" t="str">
        <f>IFERROR(__xludf.DUMMYFUNCTION("IFNA(QUERY(IMPORTRANGE(""https://docs.google.com/spreadsheets/d/1EHL-jm_NiShR1a2JqKbpaJGazYH90DJO150spY6io4k/edit?gid=0#gid=0"", 
""Gen_Ledger!A:N""), 
""SELECT SUM(Col10) WHERE Col7 = ""&amp;B24&amp;"" AND Col1 &gt;= DATE '"" &amp; TEXT($C$2, ""YYYY-MM-DD"") &amp; ""' AND "&amp;"Col1 &lt;= DATE '"" &amp; TEXT($C$3, ""YYYY-MM-DD"") &amp; ""' LABEL SUM(Col10) ''"", 0), """")"),"#REF!")</f>
        <v>#REF!</v>
      </c>
      <c r="E24" s="13" t="str">
        <f>IFERROR(__xludf.DUMMYFUNCTION("IFNA(QUERY(IMPORTRANGE(""https://docs.google.com/spreadsheets/d/1EHL-jm_NiShR1a2JqKbpaJGazYH90DJO150spY6io4k/edit?gid=0#gid=0"", 
""Gen_Ledger!A:N""), 
""SELECT SUM(Col11) WHERE Col7 = ""&amp;B24&amp;"" AND Col1 &gt;= DATE '"" &amp; TEXT($C$2, ""YYYY-MM-DD"") &amp; ""' AND "&amp;"Col1 &lt;= DATE '"" &amp; TEXT($C$3, ""YYYY-MM-DD"") &amp; ""' LABEL SUM(Col11) ''"", 0), """")"),"#REF!")</f>
        <v>#REF!</v>
      </c>
      <c r="F24" s="13" t="str">
        <f t="shared" si="3"/>
        <v>#N/A</v>
      </c>
      <c r="M24" s="12"/>
    </row>
    <row r="25" ht="15.75" customHeight="1">
      <c r="A25" s="1"/>
      <c r="B25" s="1"/>
      <c r="C25" s="13" t="str">
        <f>May_2025!F25</f>
        <v>#N/A</v>
      </c>
      <c r="D25" s="13" t="str">
        <f>IFERROR(__xludf.DUMMYFUNCTION("IFNA(QUERY(IMPORTRANGE(""https://docs.google.com/spreadsheets/d/1EHL-jm_NiShR1a2JqKbpaJGazYH90DJO150spY6io4k/edit?gid=0#gid=0"", 
""Gen_Ledger!A:N""), 
""SELECT SUM(Col10) WHERE Col7 = ""&amp;B25&amp;"" AND Col1 &gt;= DATE '"" &amp; TEXT($C$2, ""YYYY-MM-DD"") &amp; ""' AND "&amp;"Col1 &lt;= DATE '"" &amp; TEXT($C$3, ""YYYY-MM-DD"") &amp; ""' LABEL SUM(Col10) ''"", 0), """")"),"#REF!")</f>
        <v>#REF!</v>
      </c>
      <c r="E25" s="13" t="str">
        <f>IFERROR(__xludf.DUMMYFUNCTION("IFNA(QUERY(IMPORTRANGE(""https://docs.google.com/spreadsheets/d/1EHL-jm_NiShR1a2JqKbpaJGazYH90DJO150spY6io4k/edit?gid=0#gid=0"", 
""Gen_Ledger!A:N""), 
""SELECT SUM(Col11) WHERE Col7 = ""&amp;B25&amp;"" AND Col1 &gt;= DATE '"" &amp; TEXT($C$2, ""YYYY-MM-DD"") &amp; ""' AND "&amp;"Col1 &lt;= DATE '"" &amp; TEXT($C$3, ""YYYY-MM-DD"") &amp; ""' LABEL SUM(Col11) ''"", 0), """")"),"#REF!")</f>
        <v>#REF!</v>
      </c>
      <c r="F25" s="13" t="str">
        <f t="shared" si="3"/>
        <v>#N/A</v>
      </c>
    </row>
    <row r="26" ht="15.75" customHeight="1">
      <c r="A26" s="1"/>
      <c r="B26" s="1"/>
      <c r="C26" s="13" t="str">
        <f>May_2025!F26</f>
        <v>#N/A</v>
      </c>
      <c r="D26" s="13" t="str">
        <f>IFERROR(__xludf.DUMMYFUNCTION("IFNA(QUERY(IMPORTRANGE(""https://docs.google.com/spreadsheets/d/1EHL-jm_NiShR1a2JqKbpaJGazYH90DJO150spY6io4k/edit?gid=0#gid=0"", 
""Gen_Ledger!A:N""), 
""SELECT SUM(Col10) WHERE Col7 = ""&amp;B26&amp;"" AND Col1 &gt;= DATE '"" &amp; TEXT($C$2, ""YYYY-MM-DD"") &amp; ""' AND "&amp;"Col1 &lt;= DATE '"" &amp; TEXT($C$3, ""YYYY-MM-DD"") &amp; ""' LABEL SUM(Col10) ''"", 0), """")"),"#REF!")</f>
        <v>#REF!</v>
      </c>
      <c r="E26" s="13" t="str">
        <f>IFERROR(__xludf.DUMMYFUNCTION("IFNA(QUERY(IMPORTRANGE(""https://docs.google.com/spreadsheets/d/1EHL-jm_NiShR1a2JqKbpaJGazYH90DJO150spY6io4k/edit?gid=0#gid=0"", 
""Gen_Ledger!A:N""), 
""SELECT SUM(Col11) WHERE Col7 = ""&amp;B26&amp;"" AND Col1 &gt;= DATE '"" &amp; TEXT($C$2, ""YYYY-MM-DD"") &amp; ""' AND "&amp;"Col1 &lt;= DATE '"" &amp; TEXT($C$3, ""YYYY-MM-DD"") &amp; ""' LABEL SUM(Col11) ''"", 0), """")"),"#REF!")</f>
        <v>#REF!</v>
      </c>
      <c r="F26" s="13" t="str">
        <f t="shared" ref="F26:F36" si="4">C26+E26-D26</f>
        <v>#N/A</v>
      </c>
    </row>
    <row r="27" ht="15.75" customHeight="1">
      <c r="A27" s="1"/>
      <c r="B27" s="1"/>
      <c r="C27" s="13" t="str">
        <f>May_2025!F27</f>
        <v>#N/A</v>
      </c>
      <c r="D27" s="13" t="str">
        <f>IFERROR(__xludf.DUMMYFUNCTION("IFNA(QUERY(IMPORTRANGE(""https://docs.google.com/spreadsheets/d/1EHL-jm_NiShR1a2JqKbpaJGazYH90DJO150spY6io4k/edit?gid=0#gid=0"", 
""Gen_Ledger!A:N""), 
""SELECT SUM(Col10) WHERE Col7 = ""&amp;B27&amp;"" AND Col1 &gt;= DATE '"" &amp; TEXT($C$2, ""YYYY-MM-DD"") &amp; ""' AND "&amp;"Col1 &lt;= DATE '"" &amp; TEXT($C$3, ""YYYY-MM-DD"") &amp; ""' LABEL SUM(Col10) ''"", 0), """")"),"#REF!")</f>
        <v>#REF!</v>
      </c>
      <c r="E27" s="13" t="str">
        <f>IFERROR(__xludf.DUMMYFUNCTION("IFNA(QUERY(IMPORTRANGE(""https://docs.google.com/spreadsheets/d/1EHL-jm_NiShR1a2JqKbpaJGazYH90DJO150spY6io4k/edit?gid=0#gid=0"", 
""Gen_Ledger!A:N""), 
""SELECT SUM(Col11) WHERE Col7 = ""&amp;B27&amp;"" AND Col1 &gt;= DATE '"" &amp; TEXT($C$2, ""YYYY-MM-DD"") &amp; ""' AND "&amp;"Col1 &lt;= DATE '"" &amp; TEXT($C$3, ""YYYY-MM-DD"") &amp; ""' LABEL SUM(Col11) ''"", 0), """")"),"#REF!")</f>
        <v>#REF!</v>
      </c>
      <c r="F27" s="13" t="str">
        <f t="shared" si="4"/>
        <v>#N/A</v>
      </c>
    </row>
    <row r="28" ht="15.75" customHeight="1">
      <c r="A28" s="1"/>
      <c r="B28" s="1"/>
      <c r="C28" s="13" t="str">
        <f>May_2025!F28</f>
        <v>#N/A</v>
      </c>
      <c r="D28" s="13" t="str">
        <f>IFERROR(__xludf.DUMMYFUNCTION("IFNA(QUERY(IMPORTRANGE(""https://docs.google.com/spreadsheets/d/1EHL-jm_NiShR1a2JqKbpaJGazYH90DJO150spY6io4k/edit?gid=0#gid=0"", 
""Gen_Ledger!A:N""), 
""SELECT SUM(Col10) WHERE Col7 = ""&amp;B28&amp;"" AND Col1 &gt;= DATE '"" &amp; TEXT($C$2, ""YYYY-MM-DD"") &amp; ""' AND "&amp;"Col1 &lt;= DATE '"" &amp; TEXT($C$3, ""YYYY-MM-DD"") &amp; ""' LABEL SUM(Col10) ''"", 0), """")"),"#REF!")</f>
        <v>#REF!</v>
      </c>
      <c r="E28" s="13" t="str">
        <f>IFERROR(__xludf.DUMMYFUNCTION("IFNA(QUERY(IMPORTRANGE(""https://docs.google.com/spreadsheets/d/1EHL-jm_NiShR1a2JqKbpaJGazYH90DJO150spY6io4k/edit?gid=0#gid=0"", 
""Gen_Ledger!A:N""), 
""SELECT SUM(Col11) WHERE Col7 = ""&amp;B28&amp;"" AND Col1 &gt;= DATE '"" &amp; TEXT($C$2, ""YYYY-MM-DD"") &amp; ""' AND "&amp;"Col1 &lt;= DATE '"" &amp; TEXT($C$3, ""YYYY-MM-DD"") &amp; ""' LABEL SUM(Col11) ''"", 0), """")"),"#REF!")</f>
        <v>#REF!</v>
      </c>
      <c r="F28" s="13" t="str">
        <f t="shared" si="4"/>
        <v>#N/A</v>
      </c>
    </row>
    <row r="29" ht="15.75" customHeight="1">
      <c r="A29" s="1"/>
      <c r="B29" s="1"/>
      <c r="C29" s="13" t="str">
        <f>May_2025!F29</f>
        <v>#N/A</v>
      </c>
      <c r="D29" s="13" t="str">
        <f>IFERROR(__xludf.DUMMYFUNCTION("IFNA(QUERY(IMPORTRANGE(""https://docs.google.com/spreadsheets/d/1EHL-jm_NiShR1a2JqKbpaJGazYH90DJO150spY6io4k/edit?gid=0#gid=0"", 
""Gen_Ledger!A:N""), 
""SELECT SUM(Col10) WHERE Col7 = ""&amp;B29&amp;"" AND Col1 &gt;= DATE '"" &amp; TEXT($C$2, ""YYYY-MM-DD"") &amp; ""' AND "&amp;"Col1 &lt;= DATE '"" &amp; TEXT($C$3, ""YYYY-MM-DD"") &amp; ""' LABEL SUM(Col10) ''"", 0), """")"),"#REF!")</f>
        <v>#REF!</v>
      </c>
      <c r="E29" s="13" t="str">
        <f>IFERROR(__xludf.DUMMYFUNCTION("IFNA(QUERY(IMPORTRANGE(""https://docs.google.com/spreadsheets/d/1EHL-jm_NiShR1a2JqKbpaJGazYH90DJO150spY6io4k/edit?gid=0#gid=0"", 
""Gen_Ledger!A:N""), 
""SELECT SUM(Col11) WHERE Col7 = ""&amp;B29&amp;"" AND Col1 &gt;= DATE '"" &amp; TEXT($C$2, ""YYYY-MM-DD"") &amp; ""' AND "&amp;"Col1 &lt;= DATE '"" &amp; TEXT($C$3, ""YYYY-MM-DD"") &amp; ""' LABEL SUM(Col11) ''"", 0), """")"),"#REF!")</f>
        <v>#REF!</v>
      </c>
      <c r="F29" s="13" t="str">
        <f t="shared" si="4"/>
        <v>#N/A</v>
      </c>
    </row>
    <row r="30" ht="15.75" customHeight="1">
      <c r="A30" s="1"/>
      <c r="B30" s="1"/>
      <c r="C30" s="13" t="str">
        <f>May_2025!F30</f>
        <v>#N/A</v>
      </c>
      <c r="D30" s="13" t="str">
        <f>IFERROR(__xludf.DUMMYFUNCTION("IFNA(QUERY(IMPORTRANGE(""https://docs.google.com/spreadsheets/d/1EHL-jm_NiShR1a2JqKbpaJGazYH90DJO150spY6io4k/edit?gid=0#gid=0"", 
""Gen_Ledger!A:N""), 
""SELECT SUM(Col10) WHERE Col7 = ""&amp;B30&amp;"" AND Col1 &gt;= DATE '"" &amp; TEXT($C$2, ""YYYY-MM-DD"") &amp; ""' AND "&amp;"Col1 &lt;= DATE '"" &amp; TEXT($C$3, ""YYYY-MM-DD"") &amp; ""' LABEL SUM(Col10) ''"", 0), """")"),"#REF!")</f>
        <v>#REF!</v>
      </c>
      <c r="E30" s="13" t="str">
        <f>IFERROR(__xludf.DUMMYFUNCTION("IFNA(QUERY(IMPORTRANGE(""https://docs.google.com/spreadsheets/d/1EHL-jm_NiShR1a2JqKbpaJGazYH90DJO150spY6io4k/edit?gid=0#gid=0"", 
""Gen_Ledger!A:N""), 
""SELECT SUM(Col11) WHERE Col7 = ""&amp;B30&amp;"" AND Col1 &gt;= DATE '"" &amp; TEXT($C$2, ""YYYY-MM-DD"") &amp; ""' AND "&amp;"Col1 &lt;= DATE '"" &amp; TEXT($C$3, ""YYYY-MM-DD"") &amp; ""' LABEL SUM(Col11) ''"", 0), """")"),"#REF!")</f>
        <v>#REF!</v>
      </c>
      <c r="F30" s="13" t="str">
        <f t="shared" si="4"/>
        <v>#N/A</v>
      </c>
    </row>
    <row r="31" ht="15.75" customHeight="1">
      <c r="A31" s="1"/>
      <c r="B31" s="1"/>
      <c r="C31" s="13" t="str">
        <f>May_2025!F31</f>
        <v>#N/A</v>
      </c>
      <c r="D31" s="13" t="str">
        <f>IFERROR(__xludf.DUMMYFUNCTION("IFNA(QUERY(IMPORTRANGE(""https://docs.google.com/spreadsheets/d/1EHL-jm_NiShR1a2JqKbpaJGazYH90DJO150spY6io4k/edit?gid=0#gid=0"", 
""Gen_Ledger!A:N""), 
""SELECT SUM(Col10) WHERE Col7 = ""&amp;B31&amp;"" AND Col1 &gt;= DATE '"" &amp; TEXT($C$2, ""YYYY-MM-DD"") &amp; ""' AND "&amp;"Col1 &lt;= DATE '"" &amp; TEXT($C$3, ""YYYY-MM-DD"") &amp; ""' LABEL SUM(Col10) ''"", 0), """")"),"#REF!")</f>
        <v>#REF!</v>
      </c>
      <c r="E31" s="13" t="str">
        <f>IFERROR(__xludf.DUMMYFUNCTION("IFNA(QUERY(IMPORTRANGE(""https://docs.google.com/spreadsheets/d/1EHL-jm_NiShR1a2JqKbpaJGazYH90DJO150spY6io4k/edit?gid=0#gid=0"", 
""Gen_Ledger!A:N""), 
""SELECT SUM(Col11) WHERE Col7 = ""&amp;B31&amp;"" AND Col1 &gt;= DATE '"" &amp; TEXT($C$2, ""YYYY-MM-DD"") &amp; ""' AND "&amp;"Col1 &lt;= DATE '"" &amp; TEXT($C$3, ""YYYY-MM-DD"") &amp; ""' LABEL SUM(Col11) ''"", 0), """")"),"#REF!")</f>
        <v>#REF!</v>
      </c>
      <c r="F31" s="13" t="str">
        <f t="shared" si="4"/>
        <v>#N/A</v>
      </c>
    </row>
    <row r="32" ht="15.75" customHeight="1">
      <c r="A32" s="1"/>
      <c r="B32" s="1"/>
      <c r="C32" s="13" t="str">
        <f>May_2025!F32</f>
        <v>#N/A</v>
      </c>
      <c r="D32" s="13" t="str">
        <f>IFERROR(__xludf.DUMMYFUNCTION("IFNA(QUERY(IMPORTRANGE(""https://docs.google.com/spreadsheets/d/1EHL-jm_NiShR1a2JqKbpaJGazYH90DJO150spY6io4k/edit?gid=0#gid=0"", 
""Gen_Ledger!A:N""), 
""SELECT SUM(Col10) WHERE Col7 = ""&amp;B32&amp;"" AND Col1 &gt;= DATE '"" &amp; TEXT($C$2, ""YYYY-MM-DD"") &amp; ""' AND "&amp;"Col1 &lt;= DATE '"" &amp; TEXT($C$3, ""YYYY-MM-DD"") &amp; ""' LABEL SUM(Col10) ''"", 0), """")"),"#REF!")</f>
        <v>#REF!</v>
      </c>
      <c r="E32" s="13" t="str">
        <f>IFERROR(__xludf.DUMMYFUNCTION("IFNA(QUERY(IMPORTRANGE(""https://docs.google.com/spreadsheets/d/1EHL-jm_NiShR1a2JqKbpaJGazYH90DJO150spY6io4k/edit?gid=0#gid=0"", 
""Gen_Ledger!A:N""), 
""SELECT SUM(Col11) WHERE Col7 = ""&amp;B32&amp;"" AND Col1 &gt;= DATE '"" &amp; TEXT($C$2, ""YYYY-MM-DD"") &amp; ""' AND "&amp;"Col1 &lt;= DATE '"" &amp; TEXT($C$3, ""YYYY-MM-DD"") &amp; ""' LABEL SUM(Col11) ''"", 0), """")"),"#REF!")</f>
        <v>#REF!</v>
      </c>
      <c r="F32" s="13" t="str">
        <f t="shared" si="4"/>
        <v>#N/A</v>
      </c>
    </row>
    <row r="33" ht="15.75" customHeight="1">
      <c r="A33" s="1"/>
      <c r="B33" s="1"/>
      <c r="C33" s="13" t="str">
        <f>May_2025!F33</f>
        <v>#N/A</v>
      </c>
      <c r="D33" s="13" t="str">
        <f>IFERROR(__xludf.DUMMYFUNCTION("IFNA(QUERY(IMPORTRANGE(""https://docs.google.com/spreadsheets/d/1EHL-jm_NiShR1a2JqKbpaJGazYH90DJO150spY6io4k/edit?gid=0#gid=0"", 
""Gen_Ledger!A:N""), 
""SELECT SUM(Col10) WHERE Col7 = ""&amp;B33&amp;"" AND Col1 &gt;= DATE '"" &amp; TEXT($C$2, ""YYYY-MM-DD"") &amp; ""' AND "&amp;"Col1 &lt;= DATE '"" &amp; TEXT($C$3, ""YYYY-MM-DD"") &amp; ""' LABEL SUM(Col10) ''"", 0), """")"),"#REF!")</f>
        <v>#REF!</v>
      </c>
      <c r="E33" s="13" t="str">
        <f>IFERROR(__xludf.DUMMYFUNCTION("IFNA(QUERY(IMPORTRANGE(""https://docs.google.com/spreadsheets/d/1EHL-jm_NiShR1a2JqKbpaJGazYH90DJO150spY6io4k/edit?gid=0#gid=0"", 
""Gen_Ledger!A:N""), 
""SELECT SUM(Col11) WHERE Col7 = ""&amp;B33&amp;"" AND Col1 &gt;= DATE '"" &amp; TEXT($C$2, ""YYYY-MM-DD"") &amp; ""' AND "&amp;"Col1 &lt;= DATE '"" &amp; TEXT($C$3, ""YYYY-MM-DD"") &amp; ""' LABEL SUM(Col11) ''"", 0), """")"),"#REF!")</f>
        <v>#REF!</v>
      </c>
      <c r="F33" s="13" t="str">
        <f t="shared" si="4"/>
        <v>#N/A</v>
      </c>
    </row>
    <row r="34" ht="15.75" customHeight="1">
      <c r="A34" s="1"/>
      <c r="B34" s="1"/>
      <c r="C34" s="13" t="str">
        <f>May_2025!F34</f>
        <v>#N/A</v>
      </c>
      <c r="D34" s="13" t="str">
        <f>IFERROR(__xludf.DUMMYFUNCTION("IFNA(QUERY(IMPORTRANGE(""https://docs.google.com/spreadsheets/d/1EHL-jm_NiShR1a2JqKbpaJGazYH90DJO150spY6io4k/edit?gid=0#gid=0"", 
""Gen_Ledger!A:N""), 
""SELECT SUM(Col10) WHERE Col7 = ""&amp;B34&amp;"" AND Col1 &gt;= DATE '"" &amp; TEXT($C$2, ""YYYY-MM-DD"") &amp; ""' AND "&amp;"Col1 &lt;= DATE '"" &amp; TEXT($C$3, ""YYYY-MM-DD"") &amp; ""' LABEL SUM(Col10) ''"", 0), """")"),"#REF!")</f>
        <v>#REF!</v>
      </c>
      <c r="E34" s="13" t="str">
        <f>IFERROR(__xludf.DUMMYFUNCTION("IFNA(QUERY(IMPORTRANGE(""https://docs.google.com/spreadsheets/d/1EHL-jm_NiShR1a2JqKbpaJGazYH90DJO150spY6io4k/edit?gid=0#gid=0"", 
""Gen_Ledger!A:N""), 
""SELECT SUM(Col11) WHERE Col7 = ""&amp;B34&amp;"" AND Col1 &gt;= DATE '"" &amp; TEXT($C$2, ""YYYY-MM-DD"") &amp; ""' AND "&amp;"Col1 &lt;= DATE '"" &amp; TEXT($C$3, ""YYYY-MM-DD"") &amp; ""' LABEL SUM(Col11) ''"", 0), """")"),"#REF!")</f>
        <v>#REF!</v>
      </c>
      <c r="F34" s="13" t="str">
        <f t="shared" si="4"/>
        <v>#N/A</v>
      </c>
    </row>
    <row r="35" ht="15.75" customHeight="1">
      <c r="A35" s="1"/>
      <c r="B35" s="1"/>
      <c r="C35" s="13" t="str">
        <f>May_2025!F35</f>
        <v>#N/A</v>
      </c>
      <c r="D35" s="13" t="str">
        <f>IFERROR(__xludf.DUMMYFUNCTION("IFNA(QUERY(IMPORTRANGE(""https://docs.google.com/spreadsheets/d/1EHL-jm_NiShR1a2JqKbpaJGazYH90DJO150spY6io4k/edit?gid=0#gid=0"", 
""Gen_Ledger!A:N""), 
""SELECT SUM(Col10) WHERE Col7 = ""&amp;B35&amp;"" AND Col1 &gt;= DATE '"" &amp; TEXT($C$2, ""YYYY-MM-DD"") &amp; ""' AND "&amp;"Col1 &lt;= DATE '"" &amp; TEXT($C$3, ""YYYY-MM-DD"") &amp; ""' LABEL SUM(Col10) ''"", 0), """")"),"#REF!")</f>
        <v>#REF!</v>
      </c>
      <c r="E35" s="13" t="str">
        <f>IFERROR(__xludf.DUMMYFUNCTION("IFNA(QUERY(IMPORTRANGE(""https://docs.google.com/spreadsheets/d/1EHL-jm_NiShR1a2JqKbpaJGazYH90DJO150spY6io4k/edit?gid=0#gid=0"", 
""Gen_Ledger!A:N""), 
""SELECT SUM(Col11) WHERE Col7 = ""&amp;B35&amp;"" AND Col1 &gt;= DATE '"" &amp; TEXT($C$2, ""YYYY-MM-DD"") &amp; ""' AND "&amp;"Col1 &lt;= DATE '"" &amp; TEXT($C$3, ""YYYY-MM-DD"") &amp; ""' LABEL SUM(Col11) ''"", 0), """")"),"#REF!")</f>
        <v>#REF!</v>
      </c>
      <c r="F35" s="13" t="str">
        <f t="shared" si="4"/>
        <v>#N/A</v>
      </c>
    </row>
    <row r="36" ht="15.75" customHeight="1">
      <c r="A36" s="1"/>
      <c r="B36" s="1"/>
      <c r="C36" s="2" t="str">
        <f>VLOOKUP(B36,Helper!$D$99:$F1000,3,FALSE)</f>
        <v>#N/A</v>
      </c>
      <c r="D36" s="13" t="str">
        <f>IFERROR(__xludf.DUMMYFUNCTION("IFNA(QUERY(IMPORTRANGE(""https://docs.google.com/spreadsheets/d/1EHL-jm_NiShR1a2JqKbpaJGazYH90DJO150spY6io4k/edit?gid=0#gid=0"", 
""Gen_Ledger!A:N""), 
""SELECT SUM(Col10) WHERE Col7 = ""&amp;B36&amp;"" AND Col1 &gt;= DATE '"" &amp; TEXT($C$2, ""YYYY-MM-DD"") &amp; ""' AND "&amp;"Col1 &lt;= DATE '"" &amp; TEXT($C$3, ""YYYY-MM-DD"") &amp; ""' LABEL SUM(Col10) ''"", 0), """")"),"#REF!")</f>
        <v>#REF!</v>
      </c>
      <c r="E36" s="13" t="str">
        <f>IFERROR(__xludf.DUMMYFUNCTION("IFNA(QUERY(IMPORTRANGE(""https://docs.google.com/spreadsheets/d/1EHL-jm_NiShR1a2JqKbpaJGazYH90DJO150spY6io4k/edit?gid=0#gid=0"", 
""Gen_Ledger!A:N""), 
""SELECT SUM(Col11) WHERE Col7 = ""&amp;B36&amp;"" AND Col1 &gt;= DATE '"" &amp; TEXT($C$2, ""YYYY-MM-DD"") &amp; ""' AND "&amp;"Col1 &lt;= DATE '"" &amp; TEXT($C$3, ""YYYY-MM-DD"") &amp; ""' LABEL SUM(Col11) ''"", 0), """")"),"#REF!")</f>
        <v>#REF!</v>
      </c>
      <c r="F36" s="13" t="str">
        <f t="shared" si="4"/>
        <v>#N/A</v>
      </c>
    </row>
    <row r="37" ht="15.75" customHeight="1">
      <c r="A37" s="1"/>
      <c r="B37" s="1"/>
      <c r="C37" s="2" t="str">
        <f>VLOOKUP(B37,Helper!$D$99:$F1000,3,FALSE)</f>
        <v>#N/A</v>
      </c>
      <c r="D37" s="13" t="str">
        <f>IFERROR(__xludf.DUMMYFUNCTION("IFNA(QUERY(IMPORTRANGE(""https://docs.google.com/spreadsheets/d/1EHL-jm_NiShR1a2JqKbpaJGazYH90DJO150spY6io4k/edit?gid=0#gid=0"", 
""Gen_Ledger!A:N""), 
""SELECT SUM(Col10) WHERE Col7 = ""&amp;B37&amp;"" AND Col1 &gt;= DATE '"" &amp; TEXT($C$2, ""YYYY-MM-DD"") &amp; ""' AND "&amp;"Col1 &lt;= DATE '"" &amp; TEXT($C$3, ""YYYY-MM-DD"") &amp; ""' LABEL SUM(Col10) ''"", 0), """")"),"#REF!")</f>
        <v>#REF!</v>
      </c>
      <c r="E37" s="13" t="str">
        <f>IFERROR(__xludf.DUMMYFUNCTION("IFNA(QUERY(IMPORTRANGE(""https://docs.google.com/spreadsheets/d/1EHL-jm_NiShR1a2JqKbpaJGazYH90DJO150spY6io4k/edit?gid=0#gid=0"", 
""Gen_Ledger!A:N""), 
""SELECT SUM(Col11) WHERE Col7 = ""&amp;B37&amp;"" AND Col1 &gt;= DATE '"" &amp; TEXT($C$2, ""YYYY-MM-DD"") &amp; ""' AND "&amp;"Col1 &lt;= DATE '"" &amp; TEXT($C$3, ""YYYY-MM-DD"") &amp; ""' LABEL SUM(Col11) ''"", 0), """")"),"#REF!")</f>
        <v>#REF!</v>
      </c>
      <c r="F37" s="13" t="str">
        <f t="shared" ref="F37:F38" si="5">E37</f>
        <v>#REF!</v>
      </c>
    </row>
    <row r="38" ht="15.75" customHeight="1">
      <c r="A38" s="1"/>
      <c r="B38" s="1"/>
      <c r="C38" s="2" t="str">
        <f>VLOOKUP(B38,Helper!$D$99:$F1000,3,FALSE)</f>
        <v>#N/A</v>
      </c>
      <c r="D38" s="13" t="str">
        <f>IFERROR(__xludf.DUMMYFUNCTION("IFNA(QUERY(IMPORTRANGE(""https://docs.google.com/spreadsheets/d/1EHL-jm_NiShR1a2JqKbpaJGazYH90DJO150spY6io4k/edit?gid=0#gid=0"", 
""Gen_Ledger!A:N""), 
""SELECT SUM(Col10) WHERE Col7 = ""&amp;B38&amp;"" AND Col1 &gt;= DATE '"" &amp; TEXT($C$2, ""YYYY-MM-DD"") &amp; ""' AND "&amp;"Col1 &lt;= DATE '"" &amp; TEXT($C$3, ""YYYY-MM-DD"") &amp; ""' LABEL SUM(Col10) ''"", 0), """")"),"#REF!")</f>
        <v>#REF!</v>
      </c>
      <c r="E38" s="13" t="str">
        <f>IFERROR(__xludf.DUMMYFUNCTION("IFNA(QUERY(IMPORTRANGE(""https://docs.google.com/spreadsheets/d/1EHL-jm_NiShR1a2JqKbpaJGazYH90DJO150spY6io4k/edit?gid=0#gid=0"", 
""Gen_Ledger!A:N""), 
""SELECT SUM(Col11) WHERE Col7 = ""&amp;B38&amp;"" AND Col1 &gt;= DATE '"" &amp; TEXT($C$2, ""YYYY-MM-DD"") &amp; ""' AND "&amp;"Col1 &lt;= DATE '"" &amp; TEXT($C$3, ""YYYY-MM-DD"") &amp; ""' LABEL SUM(Col11) ''"", 0), """")"),"#REF!")</f>
        <v>#REF!</v>
      </c>
      <c r="F38" s="13" t="str">
        <f t="shared" si="5"/>
        <v>#REF!</v>
      </c>
    </row>
    <row r="39" ht="15.75" customHeight="1">
      <c r="A39" s="1"/>
      <c r="B39" s="1"/>
      <c r="C39" s="2" t="str">
        <f>VLOOKUP(B39,Helper!$D$99:$F1000,3,FALSE)</f>
        <v>#N/A</v>
      </c>
      <c r="D39" s="13" t="str">
        <f>IFERROR(__xludf.DUMMYFUNCTION("IFNA(QUERY(IMPORTRANGE(""https://docs.google.com/spreadsheets/d/1EHL-jm_NiShR1a2JqKbpaJGazYH90DJO150spY6io4k/edit?gid=0#gid=0"", 
""Gen_Ledger!A:N""), 
""SELECT SUM(Col10) WHERE Col7 = ""&amp;B39&amp;"" AND Col1 &gt;= DATE '"" &amp; TEXT($C$2, ""YYYY-MM-DD"") &amp; ""' AND "&amp;"Col1 &lt;= DATE '"" &amp; TEXT($C$3, ""YYYY-MM-DD"") &amp; ""' LABEL SUM(Col10) ''"", 0), """")"),"#REF!")</f>
        <v>#REF!</v>
      </c>
      <c r="E39" s="13" t="str">
        <f>IFERROR(__xludf.DUMMYFUNCTION("IFNA(QUERY(IMPORTRANGE(""https://docs.google.com/spreadsheets/d/1EHL-jm_NiShR1a2JqKbpaJGazYH90DJO150spY6io4k/edit?gid=0#gid=0"", 
""Gen_Ledger!A:N""), 
""SELECT SUM(Col11) WHERE Col7 = ""&amp;B39&amp;"" AND Col1 &gt;= DATE '"" &amp; TEXT($C$2, ""YYYY-MM-DD"") &amp; ""' AND "&amp;"Col1 &lt;= DATE '"" &amp; TEXT($C$3, ""YYYY-MM-DD"") &amp; ""' LABEL SUM(Col11) ''"", 0), """")"),"#REF!")</f>
        <v>#REF!</v>
      </c>
      <c r="F39" s="13" t="str">
        <f t="shared" ref="F39:F58" si="6">C39-E39+D39</f>
        <v>#N/A</v>
      </c>
    </row>
    <row r="40" ht="15.75" customHeight="1">
      <c r="A40" s="1"/>
      <c r="B40" s="1"/>
      <c r="C40" s="2" t="str">
        <f>VLOOKUP(B40,Helper!$D$99:$F1000,3,FALSE)</f>
        <v>#N/A</v>
      </c>
      <c r="D40" s="13" t="str">
        <f>IFERROR(__xludf.DUMMYFUNCTION("IFNA(QUERY(IMPORTRANGE(""https://docs.google.com/spreadsheets/d/1EHL-jm_NiShR1a2JqKbpaJGazYH90DJO150spY6io4k/edit?gid=0#gid=0"", 
""Gen_Ledger!A:N""), 
""SELECT SUM(Col10) WHERE Col7 = ""&amp;B40&amp;"" AND Col1 &gt;= DATE '"" &amp; TEXT($C$2, ""YYYY-MM-DD"") &amp; ""' AND "&amp;"Col1 &lt;= DATE '"" &amp; TEXT($C$3, ""YYYY-MM-DD"") &amp; ""' LABEL SUM(Col10) ''"", 0), """")"),"#REF!")</f>
        <v>#REF!</v>
      </c>
      <c r="E40" s="13" t="str">
        <f>IFERROR(__xludf.DUMMYFUNCTION("IFNA(QUERY(IMPORTRANGE(""https://docs.google.com/spreadsheets/d/1EHL-jm_NiShR1a2JqKbpaJGazYH90DJO150spY6io4k/edit?gid=0#gid=0"", 
""Gen_Ledger!A:N""), 
""SELECT SUM(Col11) WHERE Col7 = ""&amp;B40&amp;"" AND Col1 &gt;= DATE '"" &amp; TEXT($C$2, ""YYYY-MM-DD"") &amp; ""' AND "&amp;"Col1 &lt;= DATE '"" &amp; TEXT($C$3, ""YYYY-MM-DD"") &amp; ""' LABEL SUM(Col11) ''"", 0), """")"),"#REF!")</f>
        <v>#REF!</v>
      </c>
      <c r="F40" s="13" t="str">
        <f t="shared" si="6"/>
        <v>#N/A</v>
      </c>
    </row>
    <row r="41" ht="15.75" customHeight="1">
      <c r="A41" s="1"/>
      <c r="B41" s="1"/>
      <c r="C41" s="2" t="str">
        <f>VLOOKUP(B41,Helper!$D$99:$F1000,3,FALSE)</f>
        <v>#N/A</v>
      </c>
      <c r="D41" s="13" t="str">
        <f>IFERROR(__xludf.DUMMYFUNCTION("IFNA(QUERY(IMPORTRANGE(""https://docs.google.com/spreadsheets/d/1EHL-jm_NiShR1a2JqKbpaJGazYH90DJO150spY6io4k/edit?gid=0#gid=0"", 
""Gen_Ledger!A:N""), 
""SELECT SUM(Col10) WHERE Col7 = ""&amp;B41&amp;"" AND Col1 &gt;= DATE '"" &amp; TEXT($C$2, ""YYYY-MM-DD"") &amp; ""' AND "&amp;"Col1 &lt;= DATE '"" &amp; TEXT($C$3, ""YYYY-MM-DD"") &amp; ""' LABEL SUM(Col10) ''"", 0), """")"),"#REF!")</f>
        <v>#REF!</v>
      </c>
      <c r="E41" s="13" t="str">
        <f>IFERROR(__xludf.DUMMYFUNCTION("IFNA(QUERY(IMPORTRANGE(""https://docs.google.com/spreadsheets/d/1EHL-jm_NiShR1a2JqKbpaJGazYH90DJO150spY6io4k/edit?gid=0#gid=0"", 
""Gen_Ledger!A:N""), 
""SELECT SUM(Col11) WHERE Col7 = ""&amp;B41&amp;"" AND Col1 &gt;= DATE '"" &amp; TEXT($C$2, ""YYYY-MM-DD"") &amp; ""' AND "&amp;"Col1 &lt;= DATE '"" &amp; TEXT($C$3, ""YYYY-MM-DD"") &amp; ""' LABEL SUM(Col11) ''"", 0), """")"),"#REF!")</f>
        <v>#REF!</v>
      </c>
      <c r="F41" s="13" t="str">
        <f t="shared" si="6"/>
        <v>#N/A</v>
      </c>
    </row>
    <row r="42" ht="15.75" customHeight="1">
      <c r="A42" s="1"/>
      <c r="B42" s="1"/>
      <c r="C42" s="2" t="str">
        <f>VLOOKUP(B42,Helper!$D$99:$F1000,3,FALSE)</f>
        <v>#N/A</v>
      </c>
      <c r="D42" s="13" t="str">
        <f>IFERROR(__xludf.DUMMYFUNCTION("IFNA(QUERY(IMPORTRANGE(""https://docs.google.com/spreadsheets/d/1EHL-jm_NiShR1a2JqKbpaJGazYH90DJO150spY6io4k/edit?gid=0#gid=0"", 
""Gen_Ledger!A:N""), 
""SELECT SUM(Col10) WHERE Col7 = ""&amp;B42&amp;"" AND Col1 &gt;= DATE '"" &amp; TEXT($C$2, ""YYYY-MM-DD"") &amp; ""' AND "&amp;"Col1 &lt;= DATE '"" &amp; TEXT($C$3, ""YYYY-MM-DD"") &amp; ""' LABEL SUM(Col10) ''"", 0), """")"),"#REF!")</f>
        <v>#REF!</v>
      </c>
      <c r="E42" s="13" t="str">
        <f>IFERROR(__xludf.DUMMYFUNCTION("IFNA(QUERY(IMPORTRANGE(""https://docs.google.com/spreadsheets/d/1EHL-jm_NiShR1a2JqKbpaJGazYH90DJO150spY6io4k/edit?gid=0#gid=0"", 
""Gen_Ledger!A:N""), 
""SELECT SUM(Col11) WHERE Col7 = ""&amp;B42&amp;"" AND Col1 &gt;= DATE '"" &amp; TEXT($C$2, ""YYYY-MM-DD"") &amp; ""' AND "&amp;"Col1 &lt;= DATE '"" &amp; TEXT($C$3, ""YYYY-MM-DD"") &amp; ""' LABEL SUM(Col11) ''"", 0), """")"),"#REF!")</f>
        <v>#REF!</v>
      </c>
      <c r="F42" s="13" t="str">
        <f t="shared" si="6"/>
        <v>#N/A</v>
      </c>
    </row>
    <row r="43" ht="15.75" customHeight="1">
      <c r="A43" s="1"/>
      <c r="B43" s="1"/>
      <c r="C43" s="2" t="str">
        <f>VLOOKUP(B43,Helper!$D$99:$F1000,3,FALSE)</f>
        <v>#N/A</v>
      </c>
      <c r="D43" s="13" t="str">
        <f>IFERROR(__xludf.DUMMYFUNCTION("IFNA(QUERY(IMPORTRANGE(""https://docs.google.com/spreadsheets/d/1EHL-jm_NiShR1a2JqKbpaJGazYH90DJO150spY6io4k/edit?gid=0#gid=0"", 
""Gen_Ledger!A:N""), 
""SELECT SUM(Col10) WHERE Col7 = ""&amp;B43&amp;"" AND Col1 &gt;= DATE '"" &amp; TEXT($C$2, ""YYYY-MM-DD"") &amp; ""' AND "&amp;"Col1 &lt;= DATE '"" &amp; TEXT($C$3, ""YYYY-MM-DD"") &amp; ""' LABEL SUM(Col10) ''"", 0), """")"),"#REF!")</f>
        <v>#REF!</v>
      </c>
      <c r="E43" s="13" t="str">
        <f>IFERROR(__xludf.DUMMYFUNCTION("IFNA(QUERY(IMPORTRANGE(""https://docs.google.com/spreadsheets/d/1EHL-jm_NiShR1a2JqKbpaJGazYH90DJO150spY6io4k/edit?gid=0#gid=0"", 
""Gen_Ledger!A:N""), 
""SELECT SUM(Col11) WHERE Col7 = ""&amp;B43&amp;"" AND Col1 &gt;= DATE '"" &amp; TEXT($C$2, ""YYYY-MM-DD"") &amp; ""' AND "&amp;"Col1 &lt;= DATE '"" &amp; TEXT($C$3, ""YYYY-MM-DD"") &amp; ""' LABEL SUM(Col11) ''"", 0), """")"),"#REF!")</f>
        <v>#REF!</v>
      </c>
      <c r="F43" s="13" t="str">
        <f t="shared" si="6"/>
        <v>#N/A</v>
      </c>
    </row>
    <row r="44" ht="15.75" customHeight="1">
      <c r="A44" s="1"/>
      <c r="B44" s="1"/>
      <c r="C44" s="2" t="str">
        <f>VLOOKUP(B44,Helper!$D$99:$F1000,3,FALSE)</f>
        <v>#N/A</v>
      </c>
      <c r="D44" s="13" t="str">
        <f>IFERROR(__xludf.DUMMYFUNCTION("IFNA(QUERY(IMPORTRANGE(""https://docs.google.com/spreadsheets/d/1EHL-jm_NiShR1a2JqKbpaJGazYH90DJO150spY6io4k/edit?gid=0#gid=0"", 
""Gen_Ledger!A:N""), 
""SELECT SUM(Col10) WHERE Col7 = ""&amp;B44&amp;"" AND Col1 &gt;= DATE '"" &amp; TEXT($C$2, ""YYYY-MM-DD"") &amp; ""' AND "&amp;"Col1 &lt;= DATE '"" &amp; TEXT($C$3, ""YYYY-MM-DD"") &amp; ""' LABEL SUM(Col10) ''"", 0), """")"),"#REF!")</f>
        <v>#REF!</v>
      </c>
      <c r="E44" s="13" t="str">
        <f>IFERROR(__xludf.DUMMYFUNCTION("IFNA(QUERY(IMPORTRANGE(""https://docs.google.com/spreadsheets/d/1EHL-jm_NiShR1a2JqKbpaJGazYH90DJO150spY6io4k/edit?gid=0#gid=0"", 
""Gen_Ledger!A:N""), 
""SELECT SUM(Col11) WHERE Col7 = ""&amp;B44&amp;"" AND Col1 &gt;= DATE '"" &amp; TEXT($C$2, ""YYYY-MM-DD"") &amp; ""' AND "&amp;"Col1 &lt;= DATE '"" &amp; TEXT($C$3, ""YYYY-MM-DD"") &amp; ""' LABEL SUM(Col11) ''"", 0), """")"),"#REF!")</f>
        <v>#REF!</v>
      </c>
      <c r="F44" s="13" t="str">
        <f t="shared" si="6"/>
        <v>#N/A</v>
      </c>
    </row>
    <row r="45" ht="15.75" customHeight="1">
      <c r="A45" s="1"/>
      <c r="B45" s="1"/>
      <c r="C45" s="2" t="str">
        <f>VLOOKUP(B45,Helper!$D$99:$F1000,3,FALSE)</f>
        <v>#N/A</v>
      </c>
      <c r="D45" s="13" t="str">
        <f>IFERROR(__xludf.DUMMYFUNCTION("IFNA(QUERY(IMPORTRANGE(""https://docs.google.com/spreadsheets/d/1EHL-jm_NiShR1a2JqKbpaJGazYH90DJO150spY6io4k/edit?gid=0#gid=0"", 
""Gen_Ledger!A:N""), 
""SELECT SUM(Col10) WHERE Col7 = ""&amp;B45&amp;"" AND Col1 &gt;= DATE '"" &amp; TEXT($C$2, ""YYYY-MM-DD"") &amp; ""' AND "&amp;"Col1 &lt;= DATE '"" &amp; TEXT($C$3, ""YYYY-MM-DD"") &amp; ""' LABEL SUM(Col10) ''"", 0), """")"),"#REF!")</f>
        <v>#REF!</v>
      </c>
      <c r="E45" s="13" t="str">
        <f>IFERROR(__xludf.DUMMYFUNCTION("IFNA(QUERY(IMPORTRANGE(""https://docs.google.com/spreadsheets/d/1EHL-jm_NiShR1a2JqKbpaJGazYH90DJO150spY6io4k/edit?gid=0#gid=0"", 
""Gen_Ledger!A:N""), 
""SELECT SUM(Col11) WHERE Col7 = ""&amp;B45&amp;"" AND Col1 &gt;= DATE '"" &amp; TEXT($C$2, ""YYYY-MM-DD"") &amp; ""' AND "&amp;"Col1 &lt;= DATE '"" &amp; TEXT($C$3, ""YYYY-MM-DD"") &amp; ""' LABEL SUM(Col11) ''"", 0), """")"),"#REF!")</f>
        <v>#REF!</v>
      </c>
      <c r="F45" s="13" t="str">
        <f t="shared" si="6"/>
        <v>#N/A</v>
      </c>
    </row>
    <row r="46" ht="15.75" customHeight="1">
      <c r="A46" s="1"/>
      <c r="B46" s="1"/>
      <c r="C46" s="2" t="str">
        <f>VLOOKUP(B46,Helper!$D$99:$F1000,3,FALSE)</f>
        <v>#N/A</v>
      </c>
      <c r="D46" s="13" t="str">
        <f>IFERROR(__xludf.DUMMYFUNCTION("IFNA(QUERY(IMPORTRANGE(""https://docs.google.com/spreadsheets/d/1EHL-jm_NiShR1a2JqKbpaJGazYH90DJO150spY6io4k/edit?gid=0#gid=0"", 
""Gen_Ledger!A:N""), 
""SELECT SUM(Col10) WHERE Col7 = ""&amp;B46&amp;"" AND Col1 &gt;= DATE '"" &amp; TEXT($C$2, ""YYYY-MM-DD"") &amp; ""' AND "&amp;"Col1 &lt;= DATE '"" &amp; TEXT($C$3, ""YYYY-MM-DD"") &amp; ""' LABEL SUM(Col10) ''"", 0), """")"),"#REF!")</f>
        <v>#REF!</v>
      </c>
      <c r="E46" s="13" t="str">
        <f>IFERROR(__xludf.DUMMYFUNCTION("IFNA(QUERY(IMPORTRANGE(""https://docs.google.com/spreadsheets/d/1EHL-jm_NiShR1a2JqKbpaJGazYH90DJO150spY6io4k/edit?gid=0#gid=0"", 
""Gen_Ledger!A:N""), 
""SELECT SUM(Col11) WHERE Col7 = ""&amp;B46&amp;"" AND Col1 &gt;= DATE '"" &amp; TEXT($C$2, ""YYYY-MM-DD"") &amp; ""' AND "&amp;"Col1 &lt;= DATE '"" &amp; TEXT($C$3, ""YYYY-MM-DD"") &amp; ""' LABEL SUM(Col11) ''"", 0), """")"),"#REF!")</f>
        <v>#REF!</v>
      </c>
      <c r="F46" s="13" t="str">
        <f t="shared" si="6"/>
        <v>#N/A</v>
      </c>
    </row>
    <row r="47" ht="15.75" customHeight="1">
      <c r="A47" s="1"/>
      <c r="B47" s="1"/>
      <c r="C47" s="2" t="str">
        <f>VLOOKUP(B47,Helper!$D$99:$F1000,3,FALSE)</f>
        <v>#N/A</v>
      </c>
      <c r="D47" s="13" t="str">
        <f>IFERROR(__xludf.DUMMYFUNCTION("IFNA(QUERY(IMPORTRANGE(""https://docs.google.com/spreadsheets/d/1EHL-jm_NiShR1a2JqKbpaJGazYH90DJO150spY6io4k/edit?gid=0#gid=0"", 
""Gen_Ledger!A:N""), 
""SELECT SUM(Col10) WHERE Col7 = ""&amp;B47&amp;"" AND Col1 &gt;= DATE '"" &amp; TEXT($C$2, ""YYYY-MM-DD"") &amp; ""' AND "&amp;"Col1 &lt;= DATE '"" &amp; TEXT($C$3, ""YYYY-MM-DD"") &amp; ""' LABEL SUM(Col10) ''"", 0), """")"),"#REF!")</f>
        <v>#REF!</v>
      </c>
      <c r="E47" s="13" t="str">
        <f>IFERROR(__xludf.DUMMYFUNCTION("IFNA(QUERY(IMPORTRANGE(""https://docs.google.com/spreadsheets/d/1EHL-jm_NiShR1a2JqKbpaJGazYH90DJO150spY6io4k/edit?gid=0#gid=0"", 
""Gen_Ledger!A:N""), 
""SELECT SUM(Col11) WHERE Col7 = ""&amp;B47&amp;"" AND Col1 &gt;= DATE '"" &amp; TEXT($C$2, ""YYYY-MM-DD"") &amp; ""' AND "&amp;"Col1 &lt;= DATE '"" &amp; TEXT($C$3, ""YYYY-MM-DD"") &amp; ""' LABEL SUM(Col11) ''"", 0), """")"),"#REF!")</f>
        <v>#REF!</v>
      </c>
      <c r="F47" s="13" t="str">
        <f t="shared" si="6"/>
        <v>#N/A</v>
      </c>
    </row>
    <row r="48" ht="15.75" customHeight="1">
      <c r="A48" s="1"/>
      <c r="B48" s="1"/>
      <c r="C48" s="2" t="str">
        <f>VLOOKUP(B48,Helper!$D$99:$F1000,3,FALSE)</f>
        <v>#N/A</v>
      </c>
      <c r="D48" s="13" t="str">
        <f>IFERROR(__xludf.DUMMYFUNCTION("IFNA(QUERY(IMPORTRANGE(""https://docs.google.com/spreadsheets/d/1EHL-jm_NiShR1a2JqKbpaJGazYH90DJO150spY6io4k/edit?gid=0#gid=0"", 
""Gen_Ledger!A:N""), 
""SELECT SUM(Col10) WHERE Col7 = ""&amp;B48&amp;"" AND Col1 &gt;= DATE '"" &amp; TEXT($C$2, ""YYYY-MM-DD"") &amp; ""' AND "&amp;"Col1 &lt;= DATE '"" &amp; TEXT($C$3, ""YYYY-MM-DD"") &amp; ""' LABEL SUM(Col10) ''"", 0), """")"),"#REF!")</f>
        <v>#REF!</v>
      </c>
      <c r="E48" s="13" t="str">
        <f>IFERROR(__xludf.DUMMYFUNCTION("IFNA(QUERY(IMPORTRANGE(""https://docs.google.com/spreadsheets/d/1EHL-jm_NiShR1a2JqKbpaJGazYH90DJO150spY6io4k/edit?gid=0#gid=0"", 
""Gen_Ledger!A:N""), 
""SELECT SUM(Col11) WHERE Col7 = ""&amp;B48&amp;"" AND Col1 &gt;= DATE '"" &amp; TEXT($C$2, ""YYYY-MM-DD"") &amp; ""' AND "&amp;"Col1 &lt;= DATE '"" &amp; TEXT($C$3, ""YYYY-MM-DD"") &amp; ""' LABEL SUM(Col11) ''"", 0), """")"),"#REF!")</f>
        <v>#REF!</v>
      </c>
      <c r="F48" s="13" t="str">
        <f t="shared" si="6"/>
        <v>#N/A</v>
      </c>
    </row>
    <row r="49" ht="15.75" customHeight="1">
      <c r="A49" s="1"/>
      <c r="B49" s="1"/>
      <c r="C49" s="2" t="str">
        <f>VLOOKUP(B49,Helper!$D$99:$F1000,3,FALSE)</f>
        <v>#N/A</v>
      </c>
      <c r="D49" s="13" t="str">
        <f>IFERROR(__xludf.DUMMYFUNCTION("IFNA(QUERY(IMPORTRANGE(""https://docs.google.com/spreadsheets/d/1EHL-jm_NiShR1a2JqKbpaJGazYH90DJO150spY6io4k/edit?gid=0#gid=0"", 
""Gen_Ledger!A:N""), 
""SELECT SUM(Col10) WHERE Col7 = ""&amp;B49&amp;"" AND Col1 &gt;= DATE '"" &amp; TEXT($C$2, ""YYYY-MM-DD"") &amp; ""' AND "&amp;"Col1 &lt;= DATE '"" &amp; TEXT($C$3, ""YYYY-MM-DD"") &amp; ""' LABEL SUM(Col10) ''"", 0), """")"),"#REF!")</f>
        <v>#REF!</v>
      </c>
      <c r="E49" s="13" t="str">
        <f>IFERROR(__xludf.DUMMYFUNCTION("IFNA(QUERY(IMPORTRANGE(""https://docs.google.com/spreadsheets/d/1EHL-jm_NiShR1a2JqKbpaJGazYH90DJO150spY6io4k/edit?gid=0#gid=0"", 
""Gen_Ledger!A:N""), 
""SELECT SUM(Col11) WHERE Col7 = ""&amp;B49&amp;"" AND Col1 &gt;= DATE '"" &amp; TEXT($C$2, ""YYYY-MM-DD"") &amp; ""' AND "&amp;"Col1 &lt;= DATE '"" &amp; TEXT($C$3, ""YYYY-MM-DD"") &amp; ""' LABEL SUM(Col11) ''"", 0), """")"),"#REF!")</f>
        <v>#REF!</v>
      </c>
      <c r="F49" s="13" t="str">
        <f t="shared" si="6"/>
        <v>#N/A</v>
      </c>
    </row>
    <row r="50" ht="15.75" customHeight="1">
      <c r="A50" s="1"/>
      <c r="B50" s="1"/>
      <c r="C50" s="2" t="str">
        <f>VLOOKUP(B50,Helper!$D$99:$F1000,3,FALSE)</f>
        <v>#N/A</v>
      </c>
      <c r="D50" s="13" t="str">
        <f>IFERROR(__xludf.DUMMYFUNCTION("IFNA(QUERY(IMPORTRANGE(""https://docs.google.com/spreadsheets/d/1EHL-jm_NiShR1a2JqKbpaJGazYH90DJO150spY6io4k/edit?gid=0#gid=0"", 
""Gen_Ledger!A:N""), 
""SELECT SUM(Col10) WHERE Col7 = ""&amp;B50&amp;"" AND Col1 &gt;= DATE '"" &amp; TEXT($C$2, ""YYYY-MM-DD"") &amp; ""' AND "&amp;"Col1 &lt;= DATE '"" &amp; TEXT($C$3, ""YYYY-MM-DD"") &amp; ""' LABEL SUM(Col10) ''"", 0), """")"),"#REF!")</f>
        <v>#REF!</v>
      </c>
      <c r="E50" s="13" t="str">
        <f>IFERROR(__xludf.DUMMYFUNCTION("IFNA(QUERY(IMPORTRANGE(""https://docs.google.com/spreadsheets/d/1EHL-jm_NiShR1a2JqKbpaJGazYH90DJO150spY6io4k/edit?gid=0#gid=0"", 
""Gen_Ledger!A:N""), 
""SELECT SUM(Col11) WHERE Col7 = ""&amp;B50&amp;"" AND Col1 &gt;= DATE '"" &amp; TEXT($C$2, ""YYYY-MM-DD"") &amp; ""' AND "&amp;"Col1 &lt;= DATE '"" &amp; TEXT($C$3, ""YYYY-MM-DD"") &amp; ""' LABEL SUM(Col11) ''"", 0), """")"),"#REF!")</f>
        <v>#REF!</v>
      </c>
      <c r="F50" s="13" t="str">
        <f t="shared" si="6"/>
        <v>#N/A</v>
      </c>
    </row>
    <row r="51" ht="15.75" customHeight="1">
      <c r="A51" s="1"/>
      <c r="B51" s="1"/>
      <c r="C51" s="2" t="str">
        <f>VLOOKUP(B51,Helper!$D$99:$F1000,3,FALSE)</f>
        <v>#N/A</v>
      </c>
      <c r="D51" s="13" t="str">
        <f>IFERROR(__xludf.DUMMYFUNCTION("IFNA(QUERY(IMPORTRANGE(""https://docs.google.com/spreadsheets/d/1EHL-jm_NiShR1a2JqKbpaJGazYH90DJO150spY6io4k/edit?gid=0#gid=0"", 
""Gen_Ledger!A:N""), 
""SELECT SUM(Col10) WHERE Col7 = ""&amp;B51&amp;"" AND Col1 &gt;= DATE '"" &amp; TEXT($C$2, ""YYYY-MM-DD"") &amp; ""' AND "&amp;"Col1 &lt;= DATE '"" &amp; TEXT($C$3, ""YYYY-MM-DD"") &amp; ""' LABEL SUM(Col10) ''"", 0), """")"),"#REF!")</f>
        <v>#REF!</v>
      </c>
      <c r="E51" s="13" t="str">
        <f>IFERROR(__xludf.DUMMYFUNCTION("IFNA(QUERY(IMPORTRANGE(""https://docs.google.com/spreadsheets/d/1EHL-jm_NiShR1a2JqKbpaJGazYH90DJO150spY6io4k/edit?gid=0#gid=0"", 
""Gen_Ledger!A:N""), 
""SELECT SUM(Col11) WHERE Col7 = ""&amp;B51&amp;"" AND Col1 &gt;= DATE '"" &amp; TEXT($C$2, ""YYYY-MM-DD"") &amp; ""' AND "&amp;"Col1 &lt;= DATE '"" &amp; TEXT($C$3, ""YYYY-MM-DD"") &amp; ""' LABEL SUM(Col11) ''"", 0), """")"),"#REF!")</f>
        <v>#REF!</v>
      </c>
      <c r="F51" s="13" t="str">
        <f t="shared" si="6"/>
        <v>#N/A</v>
      </c>
    </row>
    <row r="52" ht="15.75" customHeight="1">
      <c r="A52" s="1"/>
      <c r="B52" s="1"/>
      <c r="C52" s="2" t="str">
        <f>VLOOKUP(B52,Helper!$D$99:$F1000,3,FALSE)</f>
        <v>#N/A</v>
      </c>
      <c r="D52" s="13" t="str">
        <f>IFERROR(__xludf.DUMMYFUNCTION("IFNA(QUERY(IMPORTRANGE(""https://docs.google.com/spreadsheets/d/1EHL-jm_NiShR1a2JqKbpaJGazYH90DJO150spY6io4k/edit?gid=0#gid=0"", 
""Gen_Ledger!A:N""), 
""SELECT SUM(Col10) WHERE Col7 = ""&amp;B52&amp;"" AND Col1 &gt;= DATE '"" &amp; TEXT($C$2, ""YYYY-MM-DD"") &amp; ""' AND "&amp;"Col1 &lt;= DATE '"" &amp; TEXT($C$3, ""YYYY-MM-DD"") &amp; ""' LABEL SUM(Col10) ''"", 0), """")"),"#REF!")</f>
        <v>#REF!</v>
      </c>
      <c r="E52" s="13" t="str">
        <f>IFERROR(__xludf.DUMMYFUNCTION("IFNA(QUERY(IMPORTRANGE(""https://docs.google.com/spreadsheets/d/1EHL-jm_NiShR1a2JqKbpaJGazYH90DJO150spY6io4k/edit?gid=0#gid=0"", 
""Gen_Ledger!A:N""), 
""SELECT SUM(Col11) WHERE Col7 = ""&amp;B52&amp;"" AND Col1 &gt;= DATE '"" &amp; TEXT($C$2, ""YYYY-MM-DD"") &amp; ""' AND "&amp;"Col1 &lt;= DATE '"" &amp; TEXT($C$3, ""YYYY-MM-DD"") &amp; ""' LABEL SUM(Col11) ''"", 0), """")"),"#REF!")</f>
        <v>#REF!</v>
      </c>
      <c r="F52" s="13" t="str">
        <f t="shared" si="6"/>
        <v>#N/A</v>
      </c>
    </row>
    <row r="53" ht="15.75" customHeight="1">
      <c r="A53" s="1"/>
      <c r="B53" s="1"/>
      <c r="C53" s="2" t="str">
        <f>VLOOKUP(B53,Helper!$D$99:$F1000,3,FALSE)</f>
        <v>#N/A</v>
      </c>
      <c r="D53" s="13" t="str">
        <f>IFERROR(__xludf.DUMMYFUNCTION("IFNA(QUERY(IMPORTRANGE(""https://docs.google.com/spreadsheets/d/1EHL-jm_NiShR1a2JqKbpaJGazYH90DJO150spY6io4k/edit?gid=0#gid=0"", 
""Gen_Ledger!A:N""), 
""SELECT SUM(Col10) WHERE Col7 = ""&amp;B53&amp;"" AND Col1 &gt;= DATE '"" &amp; TEXT($C$2, ""YYYY-MM-DD"") &amp; ""' AND "&amp;"Col1 &lt;= DATE '"" &amp; TEXT($C$3, ""YYYY-MM-DD"") &amp; ""' LABEL SUM(Col10) ''"", 0), """")"),"#REF!")</f>
        <v>#REF!</v>
      </c>
      <c r="E53" s="13" t="str">
        <f>IFERROR(__xludf.DUMMYFUNCTION("IFNA(QUERY(IMPORTRANGE(""https://docs.google.com/spreadsheets/d/1EHL-jm_NiShR1a2JqKbpaJGazYH90DJO150spY6io4k/edit?gid=0#gid=0"", 
""Gen_Ledger!A:N""), 
""SELECT SUM(Col11) WHERE Col7 = ""&amp;B53&amp;"" AND Col1 &gt;= DATE '"" &amp; TEXT($C$2, ""YYYY-MM-DD"") &amp; ""' AND "&amp;"Col1 &lt;= DATE '"" &amp; TEXT($C$3, ""YYYY-MM-DD"") &amp; ""' LABEL SUM(Col11) ''"", 0), """")"),"#REF!")</f>
        <v>#REF!</v>
      </c>
      <c r="F53" s="13" t="str">
        <f t="shared" si="6"/>
        <v>#N/A</v>
      </c>
    </row>
    <row r="54" ht="15.75" customHeight="1">
      <c r="A54" s="1"/>
      <c r="B54" s="1"/>
      <c r="C54" s="2" t="str">
        <f>VLOOKUP(B54,Helper!$D$99:$F1000,3,FALSE)</f>
        <v>#N/A</v>
      </c>
      <c r="D54" s="13" t="str">
        <f>IFERROR(__xludf.DUMMYFUNCTION("IFNA(QUERY(IMPORTRANGE(""https://docs.google.com/spreadsheets/d/1EHL-jm_NiShR1a2JqKbpaJGazYH90DJO150spY6io4k/edit?gid=0#gid=0"", 
""Gen_Ledger!A:N""), 
""SELECT SUM(Col10) WHERE Col7 = ""&amp;B54&amp;"" AND Col1 &gt;= DATE '"" &amp; TEXT($C$2, ""YYYY-MM-DD"") &amp; ""' AND "&amp;"Col1 &lt;= DATE '"" &amp; TEXT($C$3, ""YYYY-MM-DD"") &amp; ""' LABEL SUM(Col10) ''"", 0), """")"),"#REF!")</f>
        <v>#REF!</v>
      </c>
      <c r="E54" s="13" t="str">
        <f>IFERROR(__xludf.DUMMYFUNCTION("IFNA(QUERY(IMPORTRANGE(""https://docs.google.com/spreadsheets/d/1EHL-jm_NiShR1a2JqKbpaJGazYH90DJO150spY6io4k/edit?gid=0#gid=0"", 
""Gen_Ledger!A:N""), 
""SELECT SUM(Col11) WHERE Col7 = ""&amp;B54&amp;"" AND Col1 &gt;= DATE '"" &amp; TEXT($C$2, ""YYYY-MM-DD"") &amp; ""' AND "&amp;"Col1 &lt;= DATE '"" &amp; TEXT($C$3, ""YYYY-MM-DD"") &amp; ""' LABEL SUM(Col11) ''"", 0), """")"),"#REF!")</f>
        <v>#REF!</v>
      </c>
      <c r="F54" s="13" t="str">
        <f t="shared" si="6"/>
        <v>#N/A</v>
      </c>
    </row>
    <row r="55" ht="15.75" customHeight="1">
      <c r="A55" s="1"/>
      <c r="B55" s="1"/>
      <c r="C55" s="2" t="str">
        <f>VLOOKUP(B55,Helper!$D$99:$F1000,3,FALSE)</f>
        <v>#N/A</v>
      </c>
      <c r="D55" s="13" t="str">
        <f>IFERROR(__xludf.DUMMYFUNCTION("IFNA(QUERY(IMPORTRANGE(""https://docs.google.com/spreadsheets/d/1EHL-jm_NiShR1a2JqKbpaJGazYH90DJO150spY6io4k/edit?gid=0#gid=0"", 
""Gen_Ledger!A:N""), 
""SELECT SUM(Col10) WHERE Col7 = ""&amp;B55&amp;"" AND Col1 &gt;= DATE '"" &amp; TEXT($C$2, ""YYYY-MM-DD"") &amp; ""' AND "&amp;"Col1 &lt;= DATE '"" &amp; TEXT($C$3, ""YYYY-MM-DD"") &amp; ""' LABEL SUM(Col10) ''"", 0), """")"),"#REF!")</f>
        <v>#REF!</v>
      </c>
      <c r="E55" s="13" t="str">
        <f>IFERROR(__xludf.DUMMYFUNCTION("IFNA(QUERY(IMPORTRANGE(""https://docs.google.com/spreadsheets/d/1EHL-jm_NiShR1a2JqKbpaJGazYH90DJO150spY6io4k/edit?gid=0#gid=0"", 
""Gen_Ledger!A:N""), 
""SELECT SUM(Col11) WHERE Col7 = ""&amp;B55&amp;"" AND Col1 &gt;= DATE '"" &amp; TEXT($C$2, ""YYYY-MM-DD"") &amp; ""' AND "&amp;"Col1 &lt;= DATE '"" &amp; TEXT($C$3, ""YYYY-MM-DD"") &amp; ""' LABEL SUM(Col11) ''"", 0), """")"),"#REF!")</f>
        <v>#REF!</v>
      </c>
      <c r="F55" s="13" t="str">
        <f t="shared" si="6"/>
        <v>#N/A</v>
      </c>
    </row>
    <row r="56" ht="15.75" customHeight="1">
      <c r="A56" s="1"/>
      <c r="B56" s="1"/>
      <c r="C56" s="2" t="str">
        <f>VLOOKUP(B56,Helper!$D$99:$F1000,3,FALSE)</f>
        <v>#N/A</v>
      </c>
      <c r="D56" s="13" t="str">
        <f>IFERROR(__xludf.DUMMYFUNCTION("IFNA(QUERY(IMPORTRANGE(""https://docs.google.com/spreadsheets/d/1EHL-jm_NiShR1a2JqKbpaJGazYH90DJO150spY6io4k/edit?gid=0#gid=0"", 
""Gen_Ledger!A:N""), 
""SELECT SUM(Col10) WHERE Col7 = ""&amp;B56&amp;"" AND Col1 &gt;= DATE '"" &amp; TEXT($C$2, ""YYYY-MM-DD"") &amp; ""' AND "&amp;"Col1 &lt;= DATE '"" &amp; TEXT($C$3, ""YYYY-MM-DD"") &amp; ""' LABEL SUM(Col10) ''"", 0), """")"),"#REF!")</f>
        <v>#REF!</v>
      </c>
      <c r="E56" s="13" t="str">
        <f>IFERROR(__xludf.DUMMYFUNCTION("IFNA(QUERY(IMPORTRANGE(""https://docs.google.com/spreadsheets/d/1EHL-jm_NiShR1a2JqKbpaJGazYH90DJO150spY6io4k/edit?gid=0#gid=0"", 
""Gen_Ledger!A:N""), 
""SELECT SUM(Col11) WHERE Col7 = ""&amp;B56&amp;"" AND Col1 &gt;= DATE '"" &amp; TEXT($C$2, ""YYYY-MM-DD"") &amp; ""' AND "&amp;"Col1 &lt;= DATE '"" &amp; TEXT($C$3, ""YYYY-MM-DD"") &amp; ""' LABEL SUM(Col11) ''"", 0), """")"),"#REF!")</f>
        <v>#REF!</v>
      </c>
      <c r="F56" s="13" t="str">
        <f t="shared" si="6"/>
        <v>#N/A</v>
      </c>
    </row>
    <row r="57" ht="15.75" customHeight="1">
      <c r="A57" s="1"/>
      <c r="B57" s="1"/>
      <c r="C57" s="2" t="str">
        <f>VLOOKUP(B57,Helper!$D$99:$F1000,3,FALSE)</f>
        <v>#N/A</v>
      </c>
      <c r="D57" s="13" t="str">
        <f>IFERROR(__xludf.DUMMYFUNCTION("IFNA(QUERY(IMPORTRANGE(""https://docs.google.com/spreadsheets/d/1EHL-jm_NiShR1a2JqKbpaJGazYH90DJO150spY6io4k/edit?gid=0#gid=0"", 
""Gen_Ledger!A:N""), 
""SELECT SUM(Col10) WHERE Col7 = ""&amp;B57&amp;"" AND Col1 &gt;= DATE '"" &amp; TEXT($C$2, ""YYYY-MM-DD"") &amp; ""' AND "&amp;"Col1 &lt;= DATE '"" &amp; TEXT($C$3, ""YYYY-MM-DD"") &amp; ""' LABEL SUM(Col10) ''"", 0), """")"),"#REF!")</f>
        <v>#REF!</v>
      </c>
      <c r="E57" s="13" t="str">
        <f>IFERROR(__xludf.DUMMYFUNCTION("IFNA(QUERY(IMPORTRANGE(""https://docs.google.com/spreadsheets/d/1EHL-jm_NiShR1a2JqKbpaJGazYH90DJO150spY6io4k/edit?gid=0#gid=0"", 
""Gen_Ledger!A:N""), 
""SELECT SUM(Col11) WHERE Col7 = ""&amp;B57&amp;"" AND Col1 &gt;= DATE '"" &amp; TEXT($C$2, ""YYYY-MM-DD"") &amp; ""' AND "&amp;"Col1 &lt;= DATE '"" &amp; TEXT($C$3, ""YYYY-MM-DD"") &amp; ""' LABEL SUM(Col11) ''"", 0), """")"),"#REF!")</f>
        <v>#REF!</v>
      </c>
      <c r="F57" s="13" t="str">
        <f t="shared" si="6"/>
        <v>#N/A</v>
      </c>
    </row>
    <row r="58" ht="15.75" customHeight="1">
      <c r="A58" s="1"/>
      <c r="B58" s="1"/>
      <c r="C58" s="2" t="str">
        <f>VLOOKUP(B58,Helper!$D$99:$F1000,3,FALSE)</f>
        <v>#N/A</v>
      </c>
      <c r="D58" s="13" t="str">
        <f>IFERROR(__xludf.DUMMYFUNCTION("IFNA(QUERY(IMPORTRANGE(""https://docs.google.com/spreadsheets/d/1EHL-jm_NiShR1a2JqKbpaJGazYH90DJO150spY6io4k/edit?gid=0#gid=0"", 
""Gen_Ledger!A:N""), 
""SELECT SUM(Col10) WHERE Col7 = ""&amp;B58&amp;"" AND Col1 &gt;= DATE '"" &amp; TEXT($C$2, ""YYYY-MM-DD"") &amp; ""' AND "&amp;"Col1 &lt;= DATE '"" &amp; TEXT($C$3, ""YYYY-MM-DD"") &amp; ""' LABEL SUM(Col10) ''"", 0), """")"),"#REF!")</f>
        <v>#REF!</v>
      </c>
      <c r="E58" s="13" t="str">
        <f>IFERROR(__xludf.DUMMYFUNCTION("IFNA(QUERY(IMPORTRANGE(""https://docs.google.com/spreadsheets/d/1EHL-jm_NiShR1a2JqKbpaJGazYH90DJO150spY6io4k/edit?gid=0#gid=0"", 
""Gen_Ledger!A:N""), 
""SELECT SUM(Col11) WHERE Col7 = ""&amp;B58&amp;"" AND Col1 &gt;= DATE '"" &amp; TEXT($C$2, ""YYYY-MM-DD"") &amp; ""' AND "&amp;"Col1 &lt;= DATE '"" &amp; TEXT($C$3, ""YYYY-MM-DD"") &amp; ""' LABEL SUM(Col11) ''"", 0), """")"),"#REF!")</f>
        <v>#REF!</v>
      </c>
      <c r="F58" s="13" t="str">
        <f t="shared" si="6"/>
        <v>#N/A</v>
      </c>
    </row>
    <row r="59" ht="15.75" customHeight="1">
      <c r="A59" s="1"/>
      <c r="B59" s="1"/>
      <c r="C59" s="2" t="str">
        <f>VLOOKUP(B59,Helper!$D$99:$F1000,3,FALSE)</f>
        <v>#N/A</v>
      </c>
      <c r="D59" s="13" t="str">
        <f>IFERROR(__xludf.DUMMYFUNCTION("IFNA(QUERY(IMPORTRANGE(""https://docs.google.com/spreadsheets/d/1EHL-jm_NiShR1a2JqKbpaJGazYH90DJO150spY6io4k/edit?gid=0#gid=0"", 
""Gen_Ledger!A:N""), 
""SELECT SUM(Col10) WHERE Col7 = ""&amp;B59&amp;"" AND Col1 &gt;= DATE '"" &amp; TEXT($C$2, ""YYYY-MM-DD"") &amp; ""' AND "&amp;"Col1 &lt;= DATE '"" &amp; TEXT($C$3, ""YYYY-MM-DD"") &amp; ""' LABEL SUM(Col10) ''"", 0), """")"),"#REF!")</f>
        <v>#REF!</v>
      </c>
      <c r="E59" s="13" t="str">
        <f>IFERROR(__xludf.DUMMYFUNCTION("IFNA(QUERY(IMPORTRANGE(""https://docs.google.com/spreadsheets/d/1EHL-jm_NiShR1a2JqKbpaJGazYH90DJO150spY6io4k/edit?gid=0#gid=0"", 
""Gen_Ledger!A:N""), 
""SELECT SUM(Col11) WHERE Col7 = ""&amp;B59&amp;"" AND Col1 &gt;= DATE '"" &amp; TEXT($C$2, ""YYYY-MM-DD"") &amp; ""' AND "&amp;"Col1 &lt;= DATE '"" &amp; TEXT($C$3, ""YYYY-MM-DD"") &amp; ""' LABEL SUM(Col11) ''"", 0), """")"),"#REF!")</f>
        <v>#REF!</v>
      </c>
      <c r="F59" s="13" t="str">
        <f>C59+E59-D59</f>
        <v>#N/A</v>
      </c>
    </row>
    <row r="60" ht="15.75" customHeight="1">
      <c r="A60" s="1"/>
      <c r="B60" s="1"/>
      <c r="C60" s="2" t="str">
        <f>VLOOKUP(B60,Helper!$D$99:$F1000,3,FALSE)</f>
        <v>#N/A</v>
      </c>
      <c r="D60" s="13" t="str">
        <f>IFERROR(__xludf.DUMMYFUNCTION("IFNA(QUERY(IMPORTRANGE(""https://docs.google.com/spreadsheets/d/1EHL-jm_NiShR1a2JqKbpaJGazYH90DJO150spY6io4k/edit?gid=0#gid=0"", 
""Gen_Ledger!A:N""), 
""SELECT SUM(Col10) WHERE Col7 = ""&amp;B60&amp;"" AND Col1 &gt;= DATE '"" &amp; TEXT($C$2, ""YYYY-MM-DD"") &amp; ""' AND "&amp;"Col1 &lt;= DATE '"" &amp; TEXT($C$3, ""YYYY-MM-DD"") &amp; ""' LABEL SUM(Col10) ''"", 0), """")"),"#REF!")</f>
        <v>#REF!</v>
      </c>
      <c r="E60" s="13" t="str">
        <f>IFERROR(__xludf.DUMMYFUNCTION("IFNA(QUERY(IMPORTRANGE(""https://docs.google.com/spreadsheets/d/1EHL-jm_NiShR1a2JqKbpaJGazYH90DJO150spY6io4k/edit?gid=0#gid=0"", 
""Gen_Ledger!A:N""), 
""SELECT SUM(Col11) WHERE Col7 = ""&amp;B60&amp;"" AND Col1 &gt;= DATE '"" &amp; TEXT($C$2, ""YYYY-MM-DD"") &amp; ""' AND "&amp;"Col1 &lt;= DATE '"" &amp; TEXT($C$3, ""YYYY-MM-DD"") &amp; ""' LABEL SUM(Col11) ''"", 0), """")"),"#REF!")</f>
        <v>#REF!</v>
      </c>
      <c r="F60" s="13" t="str">
        <f t="shared" ref="F60:F61" si="7">C60-E60+D60</f>
        <v>#N/A</v>
      </c>
    </row>
    <row r="61" ht="15.75" customHeight="1">
      <c r="A61" s="1"/>
      <c r="B61" s="1"/>
      <c r="C61" s="2" t="str">
        <f>VLOOKUP(B61,Helper!$D$99:$F1000,3,FALSE)</f>
        <v>#N/A</v>
      </c>
      <c r="D61" s="13" t="str">
        <f>IFERROR(__xludf.DUMMYFUNCTION("IFNA(QUERY(IMPORTRANGE(""https://docs.google.com/spreadsheets/d/1EHL-jm_NiShR1a2JqKbpaJGazYH90DJO150spY6io4k/edit?gid=0#gid=0"", 
""Gen_Ledger!A:N""), 
""SELECT SUM(Col10) WHERE Col7 = ""&amp;B61&amp;"" AND Col1 &gt;= DATE '"" &amp; TEXT($C$2, ""YYYY-MM-DD"") &amp; ""' AND "&amp;"Col1 &lt;= DATE '"" &amp; TEXT($C$3, ""YYYY-MM-DD"") &amp; ""' LABEL SUM(Col10) ''"", 0), """")"),"#REF!")</f>
        <v>#REF!</v>
      </c>
      <c r="E61" s="13" t="str">
        <f>IFERROR(__xludf.DUMMYFUNCTION("IFNA(QUERY(IMPORTRANGE(""https://docs.google.com/spreadsheets/d/1EHL-jm_NiShR1a2JqKbpaJGazYH90DJO150spY6io4k/edit?gid=0#gid=0"", 
""Gen_Ledger!A:N""), 
""SELECT SUM(Col11) WHERE Col7 = ""&amp;B61&amp;"" AND Col1 &gt;= DATE '"" &amp; TEXT($C$2, ""YYYY-MM-DD"") &amp; ""' AND "&amp;"Col1 &lt;= DATE '"" &amp; TEXT($C$3, ""YYYY-MM-DD"") &amp; ""' LABEL SUM(Col11) ''"", 0), """")"),"#REF!")</f>
        <v>#REF!</v>
      </c>
      <c r="F61" s="13" t="str">
        <f t="shared" si="7"/>
        <v>#N/A</v>
      </c>
    </row>
    <row r="62" ht="15.75" customHeight="1">
      <c r="A62" s="3"/>
      <c r="B62" s="3"/>
    </row>
    <row r="63" ht="15.75" customHeight="1">
      <c r="A63" s="3"/>
      <c r="B63" s="3"/>
    </row>
    <row r="64" ht="15.75" customHeight="1">
      <c r="A64" s="3"/>
      <c r="B64" s="3"/>
    </row>
    <row r="65" ht="15.75" customHeight="1">
      <c r="A65" s="3"/>
      <c r="B65" s="3"/>
    </row>
    <row r="66" ht="15.75" customHeight="1">
      <c r="A66" s="3"/>
      <c r="B66" s="3"/>
    </row>
    <row r="67" ht="15.75" customHeight="1">
      <c r="A67" s="3"/>
      <c r="B67" s="3"/>
    </row>
    <row r="68" ht="15.75" customHeight="1">
      <c r="A68" s="3"/>
      <c r="B68" s="3"/>
    </row>
    <row r="69" ht="15.75" customHeight="1">
      <c r="A69" s="3"/>
      <c r="B69" s="3"/>
    </row>
    <row r="70" ht="15.75" customHeight="1">
      <c r="A70" s="3"/>
      <c r="B70" s="3"/>
    </row>
    <row r="71" ht="15.75" customHeight="1">
      <c r="A71" s="3"/>
      <c r="B71" s="3"/>
    </row>
    <row r="72" ht="15.75" customHeight="1">
      <c r="A72" s="3"/>
      <c r="B72" s="3"/>
    </row>
    <row r="73" ht="15.75" customHeight="1">
      <c r="A73" s="3"/>
      <c r="B73" s="3"/>
    </row>
    <row r="74" ht="15.75" customHeight="1">
      <c r="A74" s="3"/>
      <c r="B74" s="3"/>
    </row>
    <row r="75" ht="15.75" customHeight="1">
      <c r="A75" s="3"/>
      <c r="B75" s="3"/>
    </row>
    <row r="76" ht="15.75" customHeight="1">
      <c r="A76" s="3"/>
      <c r="B76" s="3"/>
    </row>
    <row r="77" ht="15.75" customHeight="1">
      <c r="A77" s="3"/>
      <c r="B77" s="3"/>
    </row>
    <row r="78" ht="15.75" customHeight="1">
      <c r="A78" s="3"/>
      <c r="B78" s="3"/>
    </row>
    <row r="79" ht="15.75" customHeight="1">
      <c r="A79" s="3"/>
      <c r="B79" s="3"/>
    </row>
    <row r="80" ht="15.75" customHeight="1">
      <c r="A80" s="3"/>
      <c r="B80" s="3"/>
    </row>
    <row r="81" ht="15.75" customHeight="1">
      <c r="A81" s="3"/>
      <c r="B81" s="3"/>
    </row>
    <row r="82" ht="15.75" customHeight="1">
      <c r="A82" s="3"/>
      <c r="B82" s="3"/>
    </row>
    <row r="83" ht="15.75" customHeight="1">
      <c r="A83" s="3"/>
      <c r="B83" s="3"/>
    </row>
    <row r="84" ht="15.75" customHeight="1">
      <c r="A84" s="3"/>
      <c r="B84" s="3"/>
    </row>
    <row r="85" ht="15.75" customHeight="1">
      <c r="A85" s="3"/>
      <c r="B85" s="3"/>
    </row>
    <row r="86" ht="15.75" customHeight="1">
      <c r="A86" s="3"/>
      <c r="B86" s="3"/>
    </row>
    <row r="87" ht="15.75" customHeight="1">
      <c r="A87" s="3"/>
      <c r="B87" s="3"/>
    </row>
    <row r="88" ht="15.75" customHeight="1">
      <c r="A88" s="3"/>
      <c r="B88" s="3"/>
    </row>
    <row r="89" ht="15.75" customHeight="1">
      <c r="A89" s="3"/>
      <c r="B89" s="3"/>
    </row>
    <row r="90" ht="15.75" customHeight="1">
      <c r="A90" s="3"/>
      <c r="B90" s="3"/>
    </row>
    <row r="91" ht="15.75" customHeight="1">
      <c r="A91" s="3"/>
      <c r="B91" s="3"/>
    </row>
    <row r="92" ht="15.75" customHeight="1">
      <c r="A92" s="3"/>
      <c r="B92" s="3"/>
    </row>
    <row r="93" ht="15.75" customHeight="1">
      <c r="A93" s="3"/>
      <c r="B93" s="3"/>
    </row>
    <row r="94" ht="15.75" customHeight="1">
      <c r="A94" s="3"/>
      <c r="B94" s="3"/>
    </row>
    <row r="95" ht="15.75" customHeight="1">
      <c r="A95" s="3"/>
      <c r="B95" s="3"/>
    </row>
    <row r="96" ht="15.75" customHeight="1">
      <c r="A96" s="3"/>
      <c r="B96" s="3"/>
    </row>
    <row r="97" ht="15.75" customHeight="1">
      <c r="A97" s="3"/>
      <c r="B97" s="3"/>
    </row>
    <row r="98" ht="15.75" customHeight="1">
      <c r="A98" s="3"/>
      <c r="B98" s="3"/>
    </row>
    <row r="99" ht="15.75" customHeight="1">
      <c r="A99" s="3"/>
      <c r="B99" s="3"/>
    </row>
    <row r="100" ht="15.75" customHeight="1">
      <c r="A100" s="3"/>
      <c r="B100" s="3"/>
    </row>
    <row r="101" ht="15.75" customHeight="1">
      <c r="A101" s="3"/>
      <c r="B101" s="3"/>
    </row>
    <row r="102" ht="15.75" customHeight="1">
      <c r="A102" s="3"/>
      <c r="B102" s="3"/>
    </row>
    <row r="103" ht="15.75" customHeight="1">
      <c r="A103" s="3"/>
      <c r="B103" s="3"/>
    </row>
    <row r="104" ht="15.75" customHeight="1">
      <c r="A104" s="3"/>
      <c r="B104" s="3"/>
    </row>
    <row r="105" ht="15.75" customHeight="1">
      <c r="A105" s="3"/>
      <c r="B105" s="3"/>
    </row>
    <row r="106" ht="15.75" customHeight="1">
      <c r="A106" s="3"/>
      <c r="B106" s="3"/>
    </row>
    <row r="107" ht="15.75" customHeight="1">
      <c r="A107" s="3"/>
      <c r="B107" s="3"/>
    </row>
    <row r="108" ht="15.75" customHeight="1">
      <c r="A108" s="3"/>
      <c r="B108" s="3"/>
    </row>
    <row r="109" ht="15.75" customHeight="1">
      <c r="A109" s="3"/>
      <c r="B109" s="3"/>
    </row>
    <row r="110" ht="15.75" customHeight="1">
      <c r="A110" s="3"/>
      <c r="B110" s="3"/>
    </row>
    <row r="111" ht="15.75" customHeight="1">
      <c r="A111" s="3"/>
      <c r="B111" s="3"/>
    </row>
    <row r="112" ht="15.75" customHeight="1">
      <c r="A112" s="3"/>
      <c r="B112" s="3"/>
    </row>
    <row r="113" ht="15.75" customHeight="1">
      <c r="A113" s="3"/>
      <c r="B113" s="3"/>
    </row>
    <row r="114" ht="15.75" customHeight="1">
      <c r="A114" s="3"/>
      <c r="B114" s="3"/>
    </row>
    <row r="115" ht="15.75" customHeight="1">
      <c r="A115" s="3"/>
      <c r="B115" s="3"/>
    </row>
    <row r="116" ht="15.75" customHeight="1">
      <c r="A116" s="3"/>
      <c r="B116" s="3"/>
    </row>
    <row r="117" ht="15.75" customHeight="1">
      <c r="A117" s="3"/>
      <c r="B117" s="3"/>
    </row>
    <row r="118" ht="15.75" customHeight="1">
      <c r="A118" s="3"/>
      <c r="B118" s="3"/>
    </row>
    <row r="119" ht="15.75" customHeight="1">
      <c r="A119" s="3"/>
      <c r="B119" s="3"/>
    </row>
    <row r="120" ht="15.75" customHeight="1">
      <c r="A120" s="3"/>
      <c r="B120" s="3"/>
    </row>
    <row r="121" ht="15.75" customHeight="1">
      <c r="A121" s="3"/>
      <c r="B121" s="3"/>
    </row>
    <row r="122" ht="15.75" customHeight="1">
      <c r="A122" s="3"/>
      <c r="B122" s="3"/>
    </row>
    <row r="123" ht="15.75" customHeight="1">
      <c r="A123" s="3"/>
      <c r="B123" s="3"/>
    </row>
    <row r="124" ht="15.75" customHeight="1">
      <c r="A124" s="3"/>
      <c r="B124" s="3"/>
    </row>
    <row r="125" ht="15.75" customHeight="1">
      <c r="A125" s="3"/>
      <c r="B125" s="3"/>
    </row>
    <row r="126" ht="15.75" customHeight="1">
      <c r="A126" s="3"/>
      <c r="B126" s="3"/>
    </row>
    <row r="127" ht="15.75" customHeight="1">
      <c r="A127" s="3"/>
      <c r="B127" s="3"/>
    </row>
    <row r="128" ht="15.75" customHeight="1">
      <c r="A128" s="3"/>
      <c r="B128" s="3"/>
    </row>
    <row r="129" ht="15.75" customHeight="1">
      <c r="A129" s="3"/>
      <c r="B129" s="3"/>
    </row>
    <row r="130" ht="15.75" customHeight="1">
      <c r="A130" s="3"/>
      <c r="B130" s="3"/>
    </row>
    <row r="131" ht="15.75" customHeight="1">
      <c r="A131" s="3"/>
      <c r="B131" s="3"/>
    </row>
    <row r="132" ht="15.75" customHeight="1">
      <c r="A132" s="3"/>
      <c r="B132" s="3"/>
    </row>
    <row r="133" ht="15.75" customHeight="1">
      <c r="A133" s="3"/>
      <c r="B133" s="3"/>
    </row>
    <row r="134" ht="15.75" customHeight="1">
      <c r="A134" s="3"/>
      <c r="B134" s="3"/>
    </row>
    <row r="135" ht="15.75" customHeight="1">
      <c r="A135" s="3"/>
      <c r="B135" s="3"/>
    </row>
    <row r="136" ht="15.75" customHeight="1">
      <c r="A136" s="3"/>
      <c r="B136" s="3"/>
    </row>
    <row r="137" ht="15.75" customHeight="1">
      <c r="A137" s="3"/>
      <c r="B137" s="3"/>
    </row>
    <row r="138" ht="15.75" customHeight="1">
      <c r="A138" s="3"/>
      <c r="B138" s="3"/>
    </row>
    <row r="139" ht="15.75" customHeight="1">
      <c r="A139" s="3"/>
      <c r="B139" s="3"/>
    </row>
    <row r="140" ht="15.75" customHeight="1">
      <c r="A140" s="3"/>
      <c r="B140" s="3"/>
    </row>
    <row r="141" ht="15.75" customHeight="1">
      <c r="A141" s="3"/>
      <c r="B141" s="3"/>
    </row>
    <row r="142" ht="15.75" customHeight="1">
      <c r="A142" s="3"/>
      <c r="B142" s="3"/>
    </row>
    <row r="143" ht="15.75" customHeight="1">
      <c r="A143" s="3"/>
      <c r="B143" s="3"/>
    </row>
    <row r="144" ht="15.75" customHeight="1">
      <c r="A144" s="3"/>
      <c r="B144" s="3"/>
    </row>
    <row r="145" ht="15.75" customHeight="1">
      <c r="A145" s="3"/>
      <c r="B145" s="3"/>
    </row>
    <row r="146" ht="15.75" customHeight="1">
      <c r="A146" s="3"/>
      <c r="B146" s="3"/>
    </row>
    <row r="147" ht="15.75" customHeight="1">
      <c r="A147" s="3"/>
      <c r="B147" s="3"/>
    </row>
    <row r="148" ht="15.75" customHeight="1">
      <c r="A148" s="3"/>
      <c r="B148" s="3"/>
    </row>
    <row r="149" ht="15.75" customHeight="1">
      <c r="A149" s="3"/>
      <c r="B149" s="3"/>
    </row>
    <row r="150" ht="15.75" customHeight="1">
      <c r="A150" s="3"/>
      <c r="B150" s="3"/>
    </row>
    <row r="151" ht="15.75" customHeight="1">
      <c r="A151" s="3"/>
      <c r="B151" s="3"/>
    </row>
    <row r="152" ht="15.75" customHeight="1">
      <c r="A152" s="3"/>
      <c r="B152" s="3"/>
    </row>
    <row r="153" ht="15.75" customHeight="1">
      <c r="A153" s="3"/>
      <c r="B153" s="3"/>
    </row>
    <row r="154" ht="15.75" customHeight="1">
      <c r="A154" s="3"/>
      <c r="B154" s="3"/>
    </row>
    <row r="155" ht="15.75" customHeight="1">
      <c r="A155" s="3"/>
      <c r="B155" s="3"/>
    </row>
    <row r="156" ht="15.75" customHeight="1">
      <c r="A156" s="3"/>
      <c r="B156" s="3"/>
    </row>
    <row r="157" ht="15.75" customHeight="1">
      <c r="A157" s="3"/>
      <c r="B157" s="3"/>
    </row>
    <row r="158" ht="15.75" customHeight="1">
      <c r="A158" s="3"/>
      <c r="B158" s="3"/>
    </row>
    <row r="159" ht="15.75" customHeight="1">
      <c r="A159" s="3"/>
      <c r="B159" s="3"/>
    </row>
    <row r="160" ht="15.75" customHeight="1">
      <c r="A160" s="3"/>
      <c r="B160" s="3"/>
    </row>
    <row r="161" ht="15.75" customHeight="1">
      <c r="A161" s="3"/>
      <c r="B161" s="3"/>
    </row>
    <row r="162" ht="15.75" customHeight="1">
      <c r="A162" s="3"/>
      <c r="B162" s="3"/>
    </row>
    <row r="163" ht="15.75" customHeight="1">
      <c r="A163" s="3"/>
      <c r="B163" s="3"/>
    </row>
    <row r="164" ht="15.75" customHeight="1">
      <c r="A164" s="3"/>
      <c r="B164" s="3"/>
    </row>
    <row r="165" ht="15.75" customHeight="1">
      <c r="A165" s="3"/>
      <c r="B165" s="3"/>
    </row>
    <row r="166" ht="15.75" customHeight="1">
      <c r="A166" s="3"/>
      <c r="B166" s="3"/>
    </row>
    <row r="167" ht="15.75" customHeight="1">
      <c r="A167" s="3"/>
      <c r="B167" s="3"/>
    </row>
    <row r="168" ht="15.75" customHeight="1">
      <c r="A168" s="3"/>
      <c r="B168" s="3"/>
    </row>
    <row r="169" ht="15.75" customHeight="1">
      <c r="A169" s="3"/>
      <c r="B169" s="3"/>
    </row>
    <row r="170" ht="15.75" customHeight="1">
      <c r="A170" s="3"/>
      <c r="B170" s="3"/>
    </row>
    <row r="171" ht="15.75" customHeight="1">
      <c r="A171" s="3"/>
      <c r="B171" s="3"/>
    </row>
    <row r="172" ht="15.75" customHeight="1">
      <c r="A172" s="3"/>
      <c r="B172" s="3"/>
    </row>
    <row r="173" ht="15.75" customHeight="1">
      <c r="A173" s="3"/>
      <c r="B173" s="3"/>
    </row>
    <row r="174" ht="15.75" customHeight="1">
      <c r="A174" s="3"/>
      <c r="B174" s="3"/>
    </row>
    <row r="175" ht="15.75" customHeight="1">
      <c r="A175" s="3"/>
      <c r="B175" s="3"/>
    </row>
    <row r="176" ht="15.75" customHeight="1">
      <c r="A176" s="3"/>
      <c r="B176" s="3"/>
    </row>
    <row r="177" ht="15.75" customHeight="1">
      <c r="A177" s="3"/>
      <c r="B177" s="3"/>
    </row>
    <row r="178" ht="15.75" customHeight="1">
      <c r="A178" s="3"/>
      <c r="B178" s="3"/>
    </row>
    <row r="179" ht="15.75" customHeight="1">
      <c r="A179" s="3"/>
      <c r="B179" s="3"/>
    </row>
    <row r="180" ht="15.75" customHeight="1">
      <c r="A180" s="3"/>
      <c r="B180" s="3"/>
    </row>
    <row r="181" ht="15.75" customHeight="1">
      <c r="A181" s="3"/>
      <c r="B181" s="3"/>
    </row>
    <row r="182" ht="15.75" customHeight="1">
      <c r="A182" s="3"/>
      <c r="B182" s="3"/>
    </row>
    <row r="183" ht="15.75" customHeight="1">
      <c r="A183" s="3"/>
      <c r="B183" s="3"/>
    </row>
    <row r="184" ht="15.75" customHeight="1">
      <c r="A184" s="3"/>
      <c r="B184" s="3"/>
    </row>
    <row r="185" ht="15.75" customHeight="1">
      <c r="A185" s="3"/>
      <c r="B185" s="3"/>
    </row>
    <row r="186" ht="15.75" customHeight="1">
      <c r="A186" s="3"/>
      <c r="B186" s="3"/>
    </row>
    <row r="187" ht="15.75" customHeight="1">
      <c r="A187" s="3"/>
      <c r="B187" s="3"/>
    </row>
    <row r="188" ht="15.75" customHeight="1">
      <c r="A188" s="3"/>
      <c r="B188" s="3"/>
    </row>
    <row r="189" ht="15.75" customHeight="1">
      <c r="A189" s="3"/>
      <c r="B189" s="3"/>
    </row>
    <row r="190" ht="15.75" customHeight="1">
      <c r="A190" s="3"/>
      <c r="B190" s="3"/>
    </row>
    <row r="191" ht="15.75" customHeight="1">
      <c r="A191" s="3"/>
      <c r="B191" s="3"/>
    </row>
    <row r="192" ht="15.75" customHeight="1">
      <c r="A192" s="3"/>
      <c r="B192" s="3"/>
    </row>
    <row r="193" ht="15.75" customHeight="1">
      <c r="A193" s="3"/>
      <c r="B193" s="3"/>
    </row>
    <row r="194" ht="15.75" customHeight="1">
      <c r="A194" s="3"/>
      <c r="B194" s="3"/>
    </row>
    <row r="195" ht="15.75" customHeight="1">
      <c r="A195" s="3"/>
      <c r="B195" s="3"/>
    </row>
    <row r="196" ht="15.75" customHeight="1">
      <c r="A196" s="3"/>
      <c r="B196" s="3"/>
    </row>
    <row r="197" ht="15.75" customHeight="1">
      <c r="A197" s="3"/>
      <c r="B197" s="3"/>
    </row>
    <row r="198" ht="15.75" customHeight="1">
      <c r="A198" s="3"/>
      <c r="B198" s="3"/>
    </row>
    <row r="199" ht="15.75" customHeight="1">
      <c r="A199" s="3"/>
      <c r="B199" s="3"/>
    </row>
    <row r="200" ht="15.75" customHeight="1">
      <c r="A200" s="3"/>
      <c r="B200" s="3"/>
    </row>
    <row r="201" ht="15.75" customHeight="1">
      <c r="A201" s="3"/>
      <c r="B201" s="3"/>
    </row>
    <row r="202" ht="15.75" customHeight="1">
      <c r="A202" s="3"/>
      <c r="B202" s="3"/>
    </row>
    <row r="203" ht="15.75" customHeight="1">
      <c r="A203" s="3"/>
      <c r="B203" s="3"/>
    </row>
    <row r="204" ht="15.75" customHeight="1">
      <c r="A204" s="3"/>
      <c r="B204" s="3"/>
    </row>
    <row r="205" ht="15.75" customHeight="1">
      <c r="A205" s="3"/>
      <c r="B205" s="3"/>
    </row>
    <row r="206" ht="15.75" customHeight="1">
      <c r="A206" s="3"/>
      <c r="B206" s="3"/>
    </row>
    <row r="207" ht="15.75" customHeight="1">
      <c r="A207" s="3"/>
      <c r="B207" s="3"/>
    </row>
    <row r="208" ht="15.75" customHeight="1">
      <c r="A208" s="3"/>
      <c r="B208" s="3"/>
    </row>
    <row r="209" ht="15.75" customHeight="1">
      <c r="A209" s="3"/>
      <c r="B209" s="3"/>
    </row>
    <row r="210" ht="15.75" customHeight="1">
      <c r="A210" s="3"/>
      <c r="B210" s="3"/>
    </row>
    <row r="211" ht="15.75" customHeight="1">
      <c r="A211" s="3"/>
      <c r="B211" s="3"/>
    </row>
    <row r="212" ht="15.75" customHeight="1">
      <c r="A212" s="3"/>
      <c r="B212" s="3"/>
    </row>
    <row r="213" ht="15.75" customHeight="1">
      <c r="A213" s="3"/>
      <c r="B213" s="3"/>
    </row>
    <row r="214" ht="15.75" customHeight="1">
      <c r="A214" s="3"/>
      <c r="B214" s="3"/>
    </row>
    <row r="215" ht="15.75" customHeight="1">
      <c r="A215" s="3"/>
      <c r="B215" s="3"/>
    </row>
    <row r="216" ht="15.75" customHeight="1">
      <c r="A216" s="3"/>
      <c r="B216" s="3"/>
    </row>
    <row r="217" ht="15.75" customHeight="1">
      <c r="A217" s="3"/>
      <c r="B217" s="3"/>
    </row>
    <row r="218" ht="15.75" customHeight="1">
      <c r="A218" s="3"/>
      <c r="B218" s="3"/>
    </row>
    <row r="219" ht="15.75" customHeight="1">
      <c r="A219" s="3"/>
      <c r="B219" s="3"/>
    </row>
    <row r="220" ht="15.75" customHeight="1">
      <c r="A220" s="3"/>
      <c r="B220" s="3"/>
    </row>
    <row r="221" ht="15.75" customHeight="1">
      <c r="A221" s="3"/>
      <c r="B221" s="3"/>
    </row>
    <row r="222" ht="15.75" customHeight="1">
      <c r="A222" s="3"/>
      <c r="B222" s="3"/>
    </row>
    <row r="223" ht="15.75" customHeight="1">
      <c r="A223" s="3"/>
      <c r="B223" s="3"/>
    </row>
    <row r="224" ht="15.75" customHeight="1">
      <c r="A224" s="3"/>
      <c r="B224" s="3"/>
    </row>
    <row r="225" ht="15.75" customHeight="1">
      <c r="A225" s="3"/>
      <c r="B225" s="3"/>
    </row>
    <row r="226" ht="15.75" customHeight="1">
      <c r="A226" s="3"/>
      <c r="B226" s="3"/>
    </row>
    <row r="227" ht="15.75" customHeight="1">
      <c r="A227" s="3"/>
      <c r="B227" s="3"/>
    </row>
    <row r="228" ht="15.75" customHeight="1">
      <c r="A228" s="3"/>
      <c r="B228" s="3"/>
    </row>
    <row r="229" ht="15.75" customHeight="1">
      <c r="A229" s="3"/>
      <c r="B229" s="3"/>
    </row>
    <row r="230" ht="15.75" customHeight="1">
      <c r="A230" s="3"/>
      <c r="B230" s="3"/>
    </row>
    <row r="231" ht="15.75" customHeight="1">
      <c r="A231" s="3"/>
      <c r="B231" s="3"/>
    </row>
    <row r="232" ht="15.75" customHeight="1">
      <c r="A232" s="3"/>
      <c r="B232" s="3"/>
    </row>
    <row r="233" ht="15.75" customHeight="1">
      <c r="A233" s="3"/>
      <c r="B233" s="3"/>
    </row>
    <row r="234" ht="15.75" customHeight="1">
      <c r="A234" s="3"/>
      <c r="B234" s="3"/>
    </row>
    <row r="235" ht="15.75" customHeight="1">
      <c r="A235" s="3"/>
      <c r="B235" s="3"/>
    </row>
    <row r="236" ht="15.75" customHeight="1">
      <c r="A236" s="3"/>
      <c r="B236" s="3"/>
    </row>
    <row r="237" ht="15.75" customHeight="1">
      <c r="A237" s="3"/>
      <c r="B237" s="3"/>
    </row>
    <row r="238" ht="15.75" customHeight="1">
      <c r="A238" s="3"/>
      <c r="B238" s="3"/>
    </row>
    <row r="239" ht="15.75" customHeight="1">
      <c r="A239" s="3"/>
      <c r="B239" s="3"/>
    </row>
    <row r="240" ht="15.75" customHeight="1">
      <c r="A240" s="3"/>
      <c r="B240" s="3"/>
    </row>
    <row r="241" ht="15.75" customHeight="1">
      <c r="A241" s="3"/>
      <c r="B241" s="3"/>
    </row>
    <row r="242" ht="15.75" customHeight="1">
      <c r="A242" s="3"/>
      <c r="B242" s="3"/>
    </row>
    <row r="243" ht="15.75" customHeight="1">
      <c r="A243" s="3"/>
      <c r="B243" s="3"/>
    </row>
    <row r="244" ht="15.75" customHeight="1">
      <c r="A244" s="3"/>
      <c r="B244" s="3"/>
    </row>
    <row r="245" ht="15.75" customHeight="1">
      <c r="A245" s="3"/>
      <c r="B245" s="3"/>
    </row>
    <row r="246" ht="15.75" customHeight="1">
      <c r="A246" s="3"/>
      <c r="B246" s="3"/>
    </row>
    <row r="247" ht="15.75" customHeight="1">
      <c r="A247" s="3"/>
      <c r="B247" s="3"/>
    </row>
    <row r="248" ht="15.75" customHeight="1">
      <c r="A248" s="3"/>
      <c r="B248" s="3"/>
    </row>
    <row r="249" ht="15.75" customHeight="1">
      <c r="A249" s="3"/>
      <c r="B249" s="3"/>
    </row>
    <row r="250" ht="15.75" customHeight="1">
      <c r="A250" s="3"/>
      <c r="B250" s="3"/>
    </row>
    <row r="251" ht="15.75" customHeight="1">
      <c r="A251" s="3"/>
      <c r="B251" s="3"/>
    </row>
    <row r="252" ht="15.75" customHeight="1">
      <c r="A252" s="3"/>
      <c r="B252" s="3"/>
    </row>
    <row r="253" ht="15.75" customHeight="1">
      <c r="A253" s="3"/>
      <c r="B253" s="3"/>
    </row>
    <row r="254" ht="15.75" customHeight="1">
      <c r="A254" s="3"/>
      <c r="B254" s="3"/>
    </row>
    <row r="255" ht="15.75" customHeight="1">
      <c r="A255" s="3"/>
      <c r="B255" s="3"/>
    </row>
    <row r="256" ht="15.75" customHeight="1">
      <c r="A256" s="3"/>
      <c r="B256" s="3"/>
    </row>
    <row r="257" ht="15.75" customHeight="1">
      <c r="A257" s="3"/>
      <c r="B257" s="3"/>
    </row>
    <row r="258" ht="15.75" customHeight="1">
      <c r="A258" s="3"/>
      <c r="B258" s="3"/>
    </row>
    <row r="259" ht="15.75" customHeight="1">
      <c r="A259" s="3"/>
      <c r="B259" s="3"/>
    </row>
    <row r="260" ht="15.75" customHeight="1">
      <c r="A260" s="3"/>
      <c r="B260" s="3"/>
    </row>
    <row r="261" ht="15.75" customHeight="1">
      <c r="A261" s="3"/>
      <c r="B261" s="3"/>
    </row>
    <row r="262" ht="15.75" customHeight="1">
      <c r="A262" s="3"/>
      <c r="B262" s="3"/>
    </row>
    <row r="263" ht="15.75" customHeight="1">
      <c r="A263" s="3"/>
      <c r="B263" s="3"/>
    </row>
    <row r="264" ht="15.75" customHeight="1">
      <c r="A264" s="14"/>
      <c r="B264" s="14"/>
    </row>
    <row r="265" ht="15.75" customHeight="1">
      <c r="A265" s="14"/>
      <c r="B265" s="14"/>
    </row>
    <row r="266" ht="15.75" customHeight="1">
      <c r="A266" s="14"/>
      <c r="B266" s="14"/>
    </row>
    <row r="267" ht="15.75" customHeight="1">
      <c r="A267" s="14"/>
      <c r="B267" s="14"/>
    </row>
    <row r="268" ht="15.75" customHeight="1">
      <c r="A268" s="14"/>
      <c r="B268" s="14"/>
    </row>
    <row r="269" ht="15.75" customHeight="1">
      <c r="A269" s="14"/>
      <c r="B269" s="14"/>
    </row>
    <row r="270" ht="15.75" customHeight="1">
      <c r="A270" s="14"/>
      <c r="B270" s="14"/>
    </row>
    <row r="271" ht="15.75" customHeight="1">
      <c r="A271" s="14"/>
      <c r="B271" s="14"/>
    </row>
    <row r="272" ht="15.75" customHeight="1">
      <c r="A272" s="14"/>
      <c r="B272" s="14"/>
    </row>
    <row r="273" ht="15.75" customHeight="1">
      <c r="A273" s="14"/>
      <c r="B273" s="14"/>
    </row>
    <row r="274" ht="15.75" customHeight="1">
      <c r="A274" s="14"/>
      <c r="B274" s="14"/>
    </row>
    <row r="275" ht="15.75" customHeight="1">
      <c r="A275" s="14"/>
      <c r="B275" s="14"/>
    </row>
    <row r="276" ht="15.75" customHeight="1">
      <c r="A276" s="14"/>
      <c r="B276" s="14"/>
    </row>
    <row r="277" ht="15.75" customHeight="1">
      <c r="A277" s="14"/>
      <c r="B277" s="14"/>
    </row>
    <row r="278" ht="15.75" customHeight="1">
      <c r="A278" s="14"/>
      <c r="B278" s="14"/>
    </row>
    <row r="279" ht="15.75" customHeight="1">
      <c r="A279" s="14"/>
      <c r="B279" s="14"/>
    </row>
    <row r="280" ht="15.75" customHeight="1">
      <c r="A280" s="14"/>
      <c r="B280" s="14"/>
    </row>
    <row r="281" ht="15.75" customHeight="1">
      <c r="A281" s="14"/>
      <c r="B281" s="14"/>
    </row>
    <row r="282" ht="15.75" customHeight="1">
      <c r="A282" s="14"/>
      <c r="B282" s="14"/>
    </row>
    <row r="283" ht="15.75" customHeight="1">
      <c r="A283" s="14"/>
      <c r="B283" s="14"/>
    </row>
    <row r="284" ht="15.75" customHeight="1">
      <c r="A284" s="14"/>
      <c r="B284" s="14"/>
    </row>
    <row r="285" ht="15.75" customHeight="1">
      <c r="A285" s="14"/>
      <c r="B285" s="14"/>
    </row>
    <row r="286" ht="15.75" customHeight="1">
      <c r="A286" s="14"/>
      <c r="B286" s="14"/>
    </row>
    <row r="287" ht="15.75" customHeight="1">
      <c r="A287" s="14"/>
      <c r="B287" s="14"/>
    </row>
    <row r="288" ht="15.75" customHeight="1">
      <c r="A288" s="14"/>
      <c r="B288" s="14"/>
    </row>
    <row r="289" ht="15.75" customHeight="1">
      <c r="A289" s="14"/>
      <c r="B289" s="14"/>
    </row>
    <row r="290" ht="15.75" customHeight="1">
      <c r="A290" s="14"/>
      <c r="B290" s="14"/>
    </row>
    <row r="291" ht="15.75" customHeight="1">
      <c r="A291" s="14"/>
      <c r="B291" s="14"/>
    </row>
    <row r="292" ht="15.75" customHeight="1">
      <c r="A292" s="14"/>
      <c r="B292" s="14"/>
    </row>
    <row r="293" ht="15.75" customHeight="1">
      <c r="A293" s="14"/>
      <c r="B293" s="14"/>
    </row>
    <row r="294" ht="15.75" customHeight="1">
      <c r="A294" s="14"/>
      <c r="B294" s="14"/>
    </row>
    <row r="295" ht="15.75" customHeight="1">
      <c r="A295" s="14"/>
      <c r="B295" s="14"/>
    </row>
    <row r="296" ht="15.75" customHeight="1">
      <c r="A296" s="14"/>
      <c r="B296" s="14"/>
    </row>
    <row r="297" ht="15.75" customHeight="1">
      <c r="A297" s="14"/>
      <c r="B297" s="14"/>
    </row>
    <row r="298" ht="15.75" customHeight="1">
      <c r="A298" s="14"/>
      <c r="B298" s="14"/>
    </row>
    <row r="299" ht="15.75" customHeight="1">
      <c r="A299" s="14"/>
      <c r="B299" s="14"/>
    </row>
    <row r="300" ht="15.75" customHeight="1">
      <c r="A300" s="14"/>
      <c r="B300" s="14"/>
    </row>
    <row r="301" ht="15.75" customHeight="1">
      <c r="A301" s="14"/>
      <c r="B301" s="14"/>
    </row>
    <row r="302" ht="15.75" customHeight="1">
      <c r="A302" s="14"/>
      <c r="B302" s="14"/>
    </row>
    <row r="303" ht="15.75" customHeight="1">
      <c r="A303" s="14"/>
      <c r="B303" s="14"/>
    </row>
    <row r="304" ht="15.75" customHeight="1">
      <c r="A304" s="14"/>
      <c r="B304" s="14"/>
    </row>
    <row r="305" ht="15.75" customHeight="1">
      <c r="A305" s="14"/>
      <c r="B305" s="14"/>
    </row>
    <row r="306" ht="15.75" customHeight="1">
      <c r="A306" s="14"/>
      <c r="B306" s="14"/>
    </row>
    <row r="307" ht="15.75" customHeight="1">
      <c r="A307" s="14"/>
      <c r="B307" s="14"/>
    </row>
    <row r="308" ht="15.75" customHeight="1">
      <c r="A308" s="14"/>
      <c r="B308" s="14"/>
    </row>
    <row r="309" ht="15.75" customHeight="1">
      <c r="A309" s="14"/>
      <c r="B309" s="14"/>
    </row>
    <row r="310" ht="15.75" customHeight="1">
      <c r="A310" s="14"/>
      <c r="B310" s="14"/>
    </row>
    <row r="311" ht="15.75" customHeight="1">
      <c r="A311" s="14"/>
      <c r="B311" s="14"/>
    </row>
    <row r="312" ht="15.75" customHeight="1">
      <c r="A312" s="14"/>
      <c r="B312" s="14"/>
    </row>
    <row r="313" ht="15.75" customHeight="1">
      <c r="A313" s="14"/>
      <c r="B313" s="14"/>
    </row>
    <row r="314" ht="15.75" customHeight="1">
      <c r="A314" s="14"/>
      <c r="B314" s="14"/>
    </row>
    <row r="315" ht="15.75" customHeight="1">
      <c r="A315" s="14"/>
      <c r="B315" s="14"/>
    </row>
    <row r="316" ht="15.75" customHeight="1">
      <c r="A316" s="14"/>
      <c r="B316" s="14"/>
    </row>
    <row r="317" ht="15.75" customHeight="1">
      <c r="A317" s="14"/>
      <c r="B317" s="14"/>
    </row>
    <row r="318" ht="15.75" customHeight="1">
      <c r="A318" s="14"/>
      <c r="B318" s="14"/>
    </row>
    <row r="319" ht="15.75" customHeight="1">
      <c r="A319" s="14"/>
      <c r="B319" s="14"/>
    </row>
    <row r="320" ht="15.75" customHeight="1">
      <c r="A320" s="14"/>
      <c r="B320" s="14"/>
    </row>
    <row r="321" ht="15.75" customHeight="1">
      <c r="A321" s="14"/>
      <c r="B321" s="14"/>
    </row>
    <row r="322" ht="15.75" customHeight="1">
      <c r="A322" s="14"/>
      <c r="B322" s="14"/>
    </row>
    <row r="323" ht="15.75" customHeight="1">
      <c r="A323" s="14"/>
      <c r="B323" s="14"/>
    </row>
    <row r="324" ht="15.75" customHeight="1">
      <c r="A324" s="14"/>
      <c r="B324" s="14"/>
    </row>
    <row r="325" ht="15.75" customHeight="1">
      <c r="A325" s="14"/>
      <c r="B325" s="14"/>
    </row>
    <row r="326" ht="15.75" customHeight="1">
      <c r="A326" s="14"/>
      <c r="B326" s="14"/>
    </row>
    <row r="327" ht="15.75" customHeight="1">
      <c r="A327" s="14"/>
      <c r="B327" s="14"/>
    </row>
    <row r="328" ht="15.75" customHeight="1">
      <c r="A328" s="14"/>
      <c r="B328" s="14"/>
    </row>
    <row r="329" ht="15.75" customHeight="1">
      <c r="A329" s="14"/>
      <c r="B329" s="14"/>
    </row>
    <row r="330" ht="15.75" customHeight="1">
      <c r="A330" s="14"/>
      <c r="B330" s="14"/>
    </row>
    <row r="331" ht="15.75" customHeight="1">
      <c r="A331" s="14"/>
      <c r="B331" s="14"/>
    </row>
    <row r="332" ht="15.75" customHeight="1">
      <c r="A332" s="14"/>
      <c r="B332" s="14"/>
    </row>
    <row r="333" ht="15.75" customHeight="1">
      <c r="A333" s="14"/>
      <c r="B333" s="14"/>
    </row>
    <row r="334" ht="15.75" customHeight="1">
      <c r="A334" s="14"/>
      <c r="B334" s="14"/>
    </row>
    <row r="335" ht="15.75" customHeight="1">
      <c r="A335" s="14"/>
      <c r="B335" s="14"/>
    </row>
    <row r="336" ht="15.75" customHeight="1">
      <c r="A336" s="14"/>
      <c r="B336" s="14"/>
    </row>
    <row r="337" ht="15.75" customHeight="1">
      <c r="A337" s="14"/>
      <c r="B337" s="14"/>
    </row>
    <row r="338" ht="15.75" customHeight="1">
      <c r="A338" s="14"/>
      <c r="B338" s="14"/>
    </row>
    <row r="339" ht="15.75" customHeight="1">
      <c r="A339" s="14"/>
      <c r="B339" s="14"/>
    </row>
    <row r="340" ht="15.75" customHeight="1">
      <c r="A340" s="14"/>
      <c r="B340" s="14"/>
    </row>
    <row r="341" ht="15.75" customHeight="1">
      <c r="A341" s="14"/>
      <c r="B341" s="14"/>
    </row>
    <row r="342" ht="15.75" customHeight="1">
      <c r="A342" s="14"/>
      <c r="B342" s="14"/>
    </row>
    <row r="343" ht="15.75" customHeight="1">
      <c r="A343" s="14"/>
      <c r="B343" s="14"/>
    </row>
    <row r="344" ht="15.75" customHeight="1">
      <c r="A344" s="14"/>
      <c r="B344" s="14"/>
    </row>
    <row r="345" ht="15.75" customHeight="1">
      <c r="A345" s="14"/>
      <c r="B345" s="14"/>
    </row>
    <row r="346" ht="15.75" customHeight="1">
      <c r="A346" s="14"/>
      <c r="B346" s="14"/>
    </row>
    <row r="347" ht="15.75" customHeight="1">
      <c r="A347" s="14"/>
      <c r="B347" s="14"/>
    </row>
    <row r="348" ht="15.75" customHeight="1">
      <c r="A348" s="14"/>
      <c r="B348" s="14"/>
    </row>
    <row r="349" ht="15.75" customHeight="1">
      <c r="A349" s="14"/>
      <c r="B349" s="14"/>
    </row>
    <row r="350" ht="15.75" customHeight="1">
      <c r="A350" s="14"/>
      <c r="B350" s="14"/>
    </row>
    <row r="351" ht="15.75" customHeight="1">
      <c r="A351" s="14"/>
      <c r="B351" s="14"/>
    </row>
    <row r="352" ht="15.75" customHeight="1">
      <c r="A352" s="14"/>
      <c r="B352" s="14"/>
    </row>
    <row r="353" ht="15.75" customHeight="1">
      <c r="A353" s="14"/>
      <c r="B353" s="14"/>
    </row>
    <row r="354" ht="15.75" customHeight="1">
      <c r="A354" s="14"/>
      <c r="B354" s="14"/>
    </row>
    <row r="355" ht="15.75" customHeight="1">
      <c r="A355" s="14"/>
      <c r="B355" s="14"/>
    </row>
    <row r="356" ht="15.75" customHeight="1">
      <c r="A356" s="14"/>
      <c r="B356" s="14"/>
    </row>
    <row r="357" ht="15.75" customHeight="1">
      <c r="A357" s="14"/>
      <c r="B357" s="14"/>
    </row>
    <row r="358" ht="15.75" customHeight="1">
      <c r="A358" s="14"/>
      <c r="B358" s="14"/>
    </row>
    <row r="359" ht="15.75" customHeight="1">
      <c r="A359" s="14"/>
      <c r="B359" s="14"/>
    </row>
    <row r="360" ht="15.75" customHeight="1">
      <c r="A360" s="14"/>
      <c r="B360" s="14"/>
    </row>
    <row r="361" ht="15.75" customHeight="1">
      <c r="A361" s="14"/>
      <c r="B361" s="14"/>
    </row>
    <row r="362" ht="15.75" customHeight="1">
      <c r="A362" s="14"/>
      <c r="B362" s="14"/>
    </row>
    <row r="363" ht="15.75" customHeight="1">
      <c r="A363" s="14"/>
      <c r="B363" s="14"/>
    </row>
    <row r="364" ht="15.75" customHeight="1">
      <c r="A364" s="14"/>
      <c r="B364" s="14"/>
    </row>
    <row r="365" ht="15.75" customHeight="1">
      <c r="A365" s="14"/>
      <c r="B365" s="14"/>
    </row>
    <row r="366" ht="15.75" customHeight="1">
      <c r="A366" s="14"/>
      <c r="B366" s="14"/>
    </row>
    <row r="367" ht="15.75" customHeight="1">
      <c r="A367" s="14"/>
      <c r="B367" s="14"/>
    </row>
    <row r="368" ht="15.75" customHeight="1">
      <c r="A368" s="14"/>
      <c r="B368" s="14"/>
    </row>
    <row r="369" ht="15.75" customHeight="1">
      <c r="A369" s="14"/>
      <c r="B369" s="14"/>
    </row>
    <row r="370" ht="15.75" customHeight="1">
      <c r="A370" s="14"/>
      <c r="B370" s="14"/>
    </row>
    <row r="371" ht="15.75" customHeight="1">
      <c r="A371" s="14"/>
      <c r="B371" s="14"/>
    </row>
    <row r="372" ht="15.75" customHeight="1">
      <c r="A372" s="14"/>
      <c r="B372" s="14"/>
    </row>
    <row r="373" ht="15.75" customHeight="1">
      <c r="A373" s="14"/>
      <c r="B373" s="14"/>
    </row>
    <row r="374" ht="15.75" customHeight="1">
      <c r="A374" s="14"/>
      <c r="B374" s="14"/>
    </row>
    <row r="375" ht="15.75" customHeight="1">
      <c r="A375" s="14"/>
      <c r="B375" s="14"/>
    </row>
    <row r="376" ht="15.75" customHeight="1">
      <c r="A376" s="14"/>
      <c r="B376" s="14"/>
    </row>
    <row r="377" ht="15.75" customHeight="1">
      <c r="A377" s="14"/>
      <c r="B377" s="14"/>
    </row>
    <row r="378" ht="15.75" customHeight="1">
      <c r="A378" s="14"/>
      <c r="B378" s="14"/>
    </row>
    <row r="379" ht="15.75" customHeight="1">
      <c r="A379" s="14"/>
      <c r="B379" s="14"/>
    </row>
    <row r="380" ht="15.75" customHeight="1">
      <c r="A380" s="14"/>
      <c r="B380" s="14"/>
    </row>
    <row r="381" ht="15.75" customHeight="1">
      <c r="A381" s="14"/>
      <c r="B381" s="14"/>
    </row>
    <row r="382" ht="15.75" customHeight="1">
      <c r="A382" s="14"/>
      <c r="B382" s="14"/>
    </row>
    <row r="383" ht="15.75" customHeight="1">
      <c r="A383" s="14"/>
      <c r="B383" s="14"/>
    </row>
    <row r="384" ht="15.75" customHeight="1">
      <c r="A384" s="14"/>
      <c r="B384" s="14"/>
    </row>
    <row r="385" ht="15.75" customHeight="1">
      <c r="A385" s="14"/>
      <c r="B385" s="14"/>
    </row>
    <row r="386" ht="15.75" customHeight="1">
      <c r="A386" s="14"/>
      <c r="B386" s="14"/>
    </row>
    <row r="387" ht="15.75" customHeight="1">
      <c r="A387" s="14"/>
      <c r="B387" s="14"/>
    </row>
    <row r="388" ht="15.75" customHeight="1">
      <c r="A388" s="14"/>
      <c r="B388" s="14"/>
    </row>
    <row r="389" ht="15.75" customHeight="1">
      <c r="A389" s="14"/>
      <c r="B389" s="14"/>
    </row>
    <row r="390" ht="15.75" customHeight="1">
      <c r="A390" s="14"/>
      <c r="B390" s="14"/>
    </row>
    <row r="391" ht="15.75" customHeight="1">
      <c r="A391" s="14"/>
      <c r="B391" s="14"/>
    </row>
    <row r="392" ht="15.75" customHeight="1">
      <c r="A392" s="14"/>
      <c r="B392" s="14"/>
    </row>
    <row r="393" ht="15.75" customHeight="1">
      <c r="A393" s="14"/>
      <c r="B393" s="14"/>
    </row>
    <row r="394" ht="15.75" customHeight="1">
      <c r="A394" s="14"/>
      <c r="B394" s="14"/>
    </row>
    <row r="395" ht="15.75" customHeight="1">
      <c r="A395" s="14"/>
      <c r="B395" s="14"/>
    </row>
    <row r="396" ht="15.75" customHeight="1">
      <c r="A396" s="14"/>
      <c r="B396" s="14"/>
    </row>
    <row r="397" ht="15.75" customHeight="1">
      <c r="A397" s="14"/>
      <c r="B397" s="14"/>
    </row>
    <row r="398" ht="15.75" customHeight="1">
      <c r="A398" s="14"/>
      <c r="B398" s="14"/>
    </row>
    <row r="399" ht="15.75" customHeight="1">
      <c r="A399" s="14"/>
      <c r="B399" s="14"/>
    </row>
    <row r="400" ht="15.75" customHeight="1">
      <c r="A400" s="14"/>
      <c r="B400" s="14"/>
    </row>
    <row r="401" ht="15.75" customHeight="1">
      <c r="A401" s="14"/>
      <c r="B401" s="14"/>
    </row>
    <row r="402" ht="15.75" customHeight="1">
      <c r="A402" s="14"/>
      <c r="B402" s="14"/>
    </row>
    <row r="403" ht="15.75" customHeight="1">
      <c r="A403" s="14"/>
      <c r="B403" s="14"/>
    </row>
    <row r="404" ht="15.75" customHeight="1">
      <c r="A404" s="14"/>
      <c r="B404" s="14"/>
    </row>
    <row r="405" ht="15.75" customHeight="1">
      <c r="A405" s="14"/>
      <c r="B405" s="14"/>
    </row>
    <row r="406" ht="15.75" customHeight="1">
      <c r="A406" s="14"/>
      <c r="B406" s="14"/>
    </row>
    <row r="407" ht="15.75" customHeight="1">
      <c r="A407" s="14"/>
      <c r="B407" s="14"/>
    </row>
    <row r="408" ht="15.75" customHeight="1">
      <c r="A408" s="14"/>
      <c r="B408" s="14"/>
    </row>
    <row r="409" ht="15.75" customHeight="1">
      <c r="A409" s="14"/>
      <c r="B409" s="14"/>
    </row>
    <row r="410" ht="15.75" customHeight="1">
      <c r="A410" s="14"/>
      <c r="B410" s="14"/>
    </row>
    <row r="411" ht="15.75" customHeight="1">
      <c r="A411" s="14"/>
      <c r="B411" s="14"/>
    </row>
    <row r="412" ht="15.75" customHeight="1">
      <c r="A412" s="14"/>
      <c r="B412" s="14"/>
    </row>
    <row r="413" ht="15.75" customHeight="1">
      <c r="A413" s="14"/>
      <c r="B413" s="14"/>
    </row>
    <row r="414" ht="15.75" customHeight="1">
      <c r="A414" s="14"/>
      <c r="B414" s="14"/>
    </row>
    <row r="415" ht="15.75" customHeight="1">
      <c r="A415" s="14"/>
      <c r="B415" s="14"/>
    </row>
    <row r="416" ht="15.75" customHeight="1">
      <c r="A416" s="14"/>
      <c r="B416" s="14"/>
    </row>
    <row r="417" ht="15.75" customHeight="1">
      <c r="A417" s="14"/>
      <c r="B417" s="14"/>
    </row>
    <row r="418" ht="15.75" customHeight="1">
      <c r="A418" s="14"/>
      <c r="B418" s="14"/>
    </row>
    <row r="419" ht="15.75" customHeight="1">
      <c r="A419" s="14"/>
      <c r="B419" s="14"/>
    </row>
    <row r="420" ht="15.75" customHeight="1">
      <c r="A420" s="14"/>
      <c r="B420" s="14"/>
    </row>
    <row r="421" ht="15.75" customHeight="1">
      <c r="A421" s="14"/>
      <c r="B421" s="14"/>
    </row>
    <row r="422" ht="15.75" customHeight="1">
      <c r="A422" s="14"/>
      <c r="B422" s="14"/>
    </row>
    <row r="423" ht="15.75" customHeight="1">
      <c r="A423" s="14"/>
      <c r="B423" s="14"/>
    </row>
    <row r="424" ht="15.75" customHeight="1">
      <c r="A424" s="14"/>
      <c r="B424" s="14"/>
    </row>
    <row r="425" ht="15.75" customHeight="1">
      <c r="A425" s="14"/>
      <c r="B425" s="14"/>
    </row>
    <row r="426" ht="15.75" customHeight="1">
      <c r="A426" s="14"/>
      <c r="B426" s="14"/>
    </row>
    <row r="427" ht="15.75" customHeight="1">
      <c r="A427" s="14"/>
      <c r="B427" s="14"/>
    </row>
    <row r="428" ht="15.75" customHeight="1">
      <c r="A428" s="14"/>
      <c r="B428" s="14"/>
    </row>
    <row r="429" ht="15.75" customHeight="1">
      <c r="A429" s="14"/>
      <c r="B429" s="14"/>
    </row>
    <row r="430" ht="15.75" customHeight="1">
      <c r="A430" s="14"/>
      <c r="B430" s="14"/>
    </row>
    <row r="431" ht="15.75" customHeight="1">
      <c r="A431" s="14"/>
      <c r="B431" s="14"/>
    </row>
    <row r="432" ht="15.75" customHeight="1">
      <c r="A432" s="14"/>
      <c r="B432" s="14"/>
    </row>
    <row r="433" ht="15.75" customHeight="1">
      <c r="A433" s="14"/>
      <c r="B433" s="14"/>
    </row>
    <row r="434" ht="15.75" customHeight="1">
      <c r="A434" s="14"/>
      <c r="B434" s="14"/>
    </row>
    <row r="435" ht="15.75" customHeight="1">
      <c r="A435" s="14"/>
      <c r="B435" s="14"/>
    </row>
    <row r="436" ht="15.75" customHeight="1">
      <c r="A436" s="14"/>
      <c r="B436" s="14"/>
    </row>
    <row r="437" ht="15.75" customHeight="1">
      <c r="A437" s="14"/>
      <c r="B437" s="14"/>
    </row>
    <row r="438" ht="15.75" customHeight="1">
      <c r="A438" s="14"/>
      <c r="B438" s="14"/>
    </row>
    <row r="439" ht="15.75" customHeight="1">
      <c r="A439" s="14"/>
      <c r="B439" s="14"/>
    </row>
    <row r="440" ht="15.75" customHeight="1">
      <c r="A440" s="14"/>
      <c r="B440" s="14"/>
    </row>
    <row r="441" ht="15.75" customHeight="1">
      <c r="A441" s="14"/>
      <c r="B441" s="14"/>
    </row>
    <row r="442" ht="15.75" customHeight="1">
      <c r="A442" s="14"/>
      <c r="B442" s="14"/>
    </row>
    <row r="443" ht="15.75" customHeight="1">
      <c r="A443" s="14"/>
      <c r="B443" s="14"/>
    </row>
    <row r="444" ht="15.75" customHeight="1">
      <c r="A444" s="14"/>
      <c r="B444" s="14"/>
    </row>
    <row r="445" ht="15.75" customHeight="1">
      <c r="A445" s="14"/>
      <c r="B445" s="14"/>
    </row>
    <row r="446" ht="15.75" customHeight="1">
      <c r="A446" s="14"/>
      <c r="B446" s="14"/>
    </row>
    <row r="447" ht="15.75" customHeight="1">
      <c r="A447" s="14"/>
      <c r="B447" s="14"/>
    </row>
    <row r="448" ht="15.75" customHeight="1">
      <c r="A448" s="14"/>
      <c r="B448" s="14"/>
    </row>
    <row r="449" ht="15.75" customHeight="1">
      <c r="A449" s="14"/>
      <c r="B449" s="14"/>
    </row>
    <row r="450" ht="15.75" customHeight="1">
      <c r="A450" s="14"/>
      <c r="B450" s="14"/>
    </row>
    <row r="451" ht="15.75" customHeight="1">
      <c r="A451" s="14"/>
      <c r="B451" s="14"/>
    </row>
    <row r="452" ht="15.75" customHeight="1">
      <c r="A452" s="14"/>
      <c r="B452" s="14"/>
    </row>
    <row r="453" ht="15.75" customHeight="1">
      <c r="A453" s="14"/>
      <c r="B453" s="14"/>
    </row>
    <row r="454" ht="15.75" customHeight="1">
      <c r="A454" s="14"/>
      <c r="B454" s="14"/>
    </row>
    <row r="455" ht="15.75" customHeight="1">
      <c r="A455" s="14"/>
      <c r="B455" s="14"/>
    </row>
    <row r="456" ht="15.75" customHeight="1">
      <c r="A456" s="14"/>
      <c r="B456" s="14"/>
    </row>
    <row r="457" ht="15.75" customHeight="1">
      <c r="A457" s="14"/>
      <c r="B457" s="14"/>
    </row>
    <row r="458" ht="15.75" customHeight="1">
      <c r="A458" s="14"/>
      <c r="B458" s="14"/>
    </row>
    <row r="459" ht="15.75" customHeight="1">
      <c r="A459" s="14"/>
      <c r="B459" s="14"/>
    </row>
    <row r="460" ht="15.75" customHeight="1">
      <c r="A460" s="14"/>
      <c r="B460" s="14"/>
    </row>
    <row r="461" ht="15.75" customHeight="1">
      <c r="A461" s="14"/>
      <c r="B461" s="14"/>
    </row>
    <row r="462" ht="15.75" customHeight="1">
      <c r="A462" s="14"/>
      <c r="B462" s="14"/>
    </row>
    <row r="463" ht="15.75" customHeight="1">
      <c r="A463" s="14"/>
      <c r="B463" s="14"/>
    </row>
    <row r="464" ht="15.75" customHeight="1">
      <c r="A464" s="14"/>
      <c r="B464" s="14"/>
    </row>
    <row r="465" ht="15.75" customHeight="1">
      <c r="A465" s="14"/>
      <c r="B465" s="14"/>
    </row>
    <row r="466" ht="15.75" customHeight="1">
      <c r="A466" s="14"/>
      <c r="B466" s="14"/>
    </row>
    <row r="467" ht="15.75" customHeight="1">
      <c r="A467" s="14"/>
      <c r="B467" s="14"/>
    </row>
    <row r="468" ht="15.75" customHeight="1">
      <c r="A468" s="14"/>
      <c r="B468" s="14"/>
    </row>
    <row r="469" ht="15.75" customHeight="1">
      <c r="A469" s="14"/>
      <c r="B469" s="14"/>
    </row>
    <row r="470" ht="15.75" customHeight="1">
      <c r="A470" s="14"/>
      <c r="B470" s="14"/>
    </row>
    <row r="471" ht="15.75" customHeight="1">
      <c r="A471" s="14"/>
      <c r="B471" s="14"/>
    </row>
    <row r="472" ht="15.75" customHeight="1">
      <c r="A472" s="14"/>
      <c r="B472" s="14"/>
    </row>
    <row r="473" ht="15.75" customHeight="1">
      <c r="A473" s="14"/>
      <c r="B473" s="14"/>
    </row>
    <row r="474" ht="15.75" customHeight="1">
      <c r="A474" s="14"/>
      <c r="B474" s="14"/>
    </row>
    <row r="475" ht="15.75" customHeight="1">
      <c r="A475" s="14"/>
      <c r="B475" s="14"/>
    </row>
    <row r="476" ht="15.75" customHeight="1">
      <c r="A476" s="14"/>
      <c r="B476" s="14"/>
    </row>
    <row r="477" ht="15.75" customHeight="1">
      <c r="A477" s="14"/>
      <c r="B477" s="14"/>
    </row>
    <row r="478" ht="15.75" customHeight="1">
      <c r="A478" s="14"/>
      <c r="B478" s="14"/>
    </row>
    <row r="479" ht="15.75" customHeight="1">
      <c r="A479" s="14"/>
      <c r="B479" s="14"/>
    </row>
    <row r="480" ht="15.75" customHeight="1">
      <c r="A480" s="14"/>
      <c r="B480" s="14"/>
    </row>
    <row r="481" ht="15.75" customHeight="1">
      <c r="A481" s="14"/>
      <c r="B481" s="14"/>
    </row>
    <row r="482" ht="15.75" customHeight="1">
      <c r="A482" s="14"/>
      <c r="B482" s="14"/>
    </row>
    <row r="483" ht="15.75" customHeight="1">
      <c r="A483" s="14"/>
      <c r="B483" s="14"/>
    </row>
    <row r="484" ht="15.75" customHeight="1">
      <c r="A484" s="14"/>
      <c r="B484" s="14"/>
    </row>
    <row r="485" ht="15.75" customHeight="1">
      <c r="A485" s="14"/>
      <c r="B485" s="14"/>
    </row>
    <row r="486" ht="15.75" customHeight="1">
      <c r="A486" s="14"/>
      <c r="B486" s="14"/>
    </row>
    <row r="487" ht="15.75" customHeight="1">
      <c r="A487" s="14"/>
      <c r="B487" s="14"/>
    </row>
    <row r="488" ht="15.75" customHeight="1">
      <c r="A488" s="14"/>
      <c r="B488" s="14"/>
    </row>
    <row r="489" ht="15.75" customHeight="1">
      <c r="A489" s="14"/>
      <c r="B489" s="14"/>
    </row>
    <row r="490" ht="15.75" customHeight="1">
      <c r="A490" s="14"/>
      <c r="B490" s="14"/>
    </row>
    <row r="491" ht="15.75" customHeight="1">
      <c r="A491" s="14"/>
      <c r="B491" s="14"/>
    </row>
    <row r="492" ht="15.75" customHeight="1">
      <c r="A492" s="14"/>
      <c r="B492" s="14"/>
    </row>
    <row r="493" ht="15.75" customHeight="1">
      <c r="A493" s="14"/>
      <c r="B493" s="14"/>
    </row>
    <row r="494" ht="15.75" customHeight="1">
      <c r="A494" s="14"/>
      <c r="B494" s="14"/>
    </row>
    <row r="495" ht="15.75" customHeight="1">
      <c r="A495" s="14"/>
      <c r="B495" s="14"/>
    </row>
    <row r="496" ht="15.75" customHeight="1">
      <c r="A496" s="14"/>
      <c r="B496" s="14"/>
    </row>
    <row r="497" ht="15.75" customHeight="1">
      <c r="A497" s="14"/>
      <c r="B497" s="14"/>
    </row>
    <row r="498" ht="15.75" customHeight="1">
      <c r="A498" s="14"/>
      <c r="B498" s="14"/>
    </row>
    <row r="499" ht="15.75" customHeight="1">
      <c r="A499" s="14"/>
      <c r="B499" s="14"/>
    </row>
    <row r="500" ht="15.75" customHeight="1">
      <c r="A500" s="14"/>
      <c r="B500" s="14"/>
    </row>
    <row r="501" ht="15.75" customHeight="1">
      <c r="A501" s="14"/>
      <c r="B501" s="14"/>
    </row>
    <row r="502" ht="15.75" customHeight="1">
      <c r="A502" s="14"/>
      <c r="B502" s="14"/>
    </row>
    <row r="503" ht="15.75" customHeight="1">
      <c r="A503" s="14"/>
      <c r="B503" s="14"/>
    </row>
    <row r="504" ht="15.75" customHeight="1">
      <c r="A504" s="14"/>
      <c r="B504" s="14"/>
    </row>
    <row r="505" ht="15.75" customHeight="1">
      <c r="A505" s="14"/>
      <c r="B505" s="14"/>
    </row>
    <row r="506" ht="15.75" customHeight="1">
      <c r="A506" s="14"/>
      <c r="B506" s="14"/>
    </row>
    <row r="507" ht="15.75" customHeight="1">
      <c r="A507" s="14"/>
      <c r="B507" s="14"/>
    </row>
    <row r="508" ht="15.75" customHeight="1">
      <c r="A508" s="14"/>
      <c r="B508" s="14"/>
    </row>
    <row r="509" ht="15.75" customHeight="1">
      <c r="A509" s="14"/>
      <c r="B509" s="14"/>
    </row>
    <row r="510" ht="15.75" customHeight="1">
      <c r="A510" s="14"/>
      <c r="B510" s="14"/>
    </row>
    <row r="511" ht="15.75" customHeight="1">
      <c r="A511" s="14"/>
      <c r="B511" s="14"/>
    </row>
    <row r="512" ht="15.75" customHeight="1">
      <c r="A512" s="14"/>
      <c r="B512" s="14"/>
    </row>
    <row r="513" ht="15.75" customHeight="1">
      <c r="A513" s="14"/>
      <c r="B513" s="14"/>
    </row>
    <row r="514" ht="15.75" customHeight="1">
      <c r="A514" s="14"/>
      <c r="B514" s="14"/>
    </row>
    <row r="515" ht="15.75" customHeight="1">
      <c r="A515" s="14"/>
      <c r="B515" s="14"/>
    </row>
    <row r="516" ht="15.75" customHeight="1">
      <c r="A516" s="14"/>
      <c r="B516" s="14"/>
    </row>
    <row r="517" ht="15.75" customHeight="1">
      <c r="A517" s="14"/>
      <c r="B517" s="14"/>
    </row>
    <row r="518" ht="15.75" customHeight="1">
      <c r="A518" s="14"/>
      <c r="B518" s="14"/>
    </row>
    <row r="519" ht="15.75" customHeight="1">
      <c r="A519" s="14"/>
      <c r="B519" s="14"/>
    </row>
    <row r="520" ht="15.75" customHeight="1">
      <c r="A520" s="14"/>
      <c r="B520" s="14"/>
    </row>
    <row r="521" ht="15.75" customHeight="1">
      <c r="A521" s="14"/>
      <c r="B521" s="14"/>
    </row>
    <row r="522" ht="15.75" customHeight="1">
      <c r="A522" s="14"/>
      <c r="B522" s="14"/>
    </row>
    <row r="523" ht="15.75" customHeight="1">
      <c r="A523" s="14"/>
      <c r="B523" s="14"/>
    </row>
    <row r="524" ht="15.75" customHeight="1">
      <c r="A524" s="14"/>
      <c r="B524" s="14"/>
    </row>
    <row r="525" ht="15.75" customHeight="1">
      <c r="A525" s="14"/>
      <c r="B525" s="14"/>
    </row>
    <row r="526" ht="15.75" customHeight="1">
      <c r="A526" s="14"/>
      <c r="B526" s="14"/>
    </row>
    <row r="527" ht="15.75" customHeight="1">
      <c r="A527" s="14"/>
      <c r="B527" s="14"/>
    </row>
    <row r="528" ht="15.75" customHeight="1">
      <c r="A528" s="14"/>
      <c r="B528" s="14"/>
    </row>
    <row r="529" ht="15.75" customHeight="1">
      <c r="A529" s="14"/>
      <c r="B529" s="14"/>
    </row>
    <row r="530" ht="15.75" customHeight="1">
      <c r="A530" s="14"/>
      <c r="B530" s="14"/>
    </row>
    <row r="531" ht="15.75" customHeight="1">
      <c r="A531" s="14"/>
      <c r="B531" s="14"/>
    </row>
    <row r="532" ht="15.75" customHeight="1">
      <c r="A532" s="14"/>
      <c r="B532" s="14"/>
    </row>
    <row r="533" ht="15.75" customHeight="1">
      <c r="A533" s="14"/>
      <c r="B533" s="14"/>
    </row>
    <row r="534" ht="15.75" customHeight="1">
      <c r="A534" s="14"/>
      <c r="B534" s="14"/>
    </row>
    <row r="535" ht="15.75" customHeight="1">
      <c r="A535" s="14"/>
      <c r="B535" s="14"/>
    </row>
    <row r="536" ht="15.75" customHeight="1">
      <c r="A536" s="14"/>
      <c r="B536" s="14"/>
    </row>
    <row r="537" ht="15.75" customHeight="1">
      <c r="A537" s="14"/>
      <c r="B537" s="14"/>
    </row>
    <row r="538" ht="15.75" customHeight="1">
      <c r="A538" s="14"/>
      <c r="B538" s="14"/>
    </row>
    <row r="539" ht="15.75" customHeight="1">
      <c r="A539" s="14"/>
      <c r="B539" s="14"/>
    </row>
    <row r="540" ht="15.75" customHeight="1">
      <c r="A540" s="14"/>
      <c r="B540" s="14"/>
    </row>
    <row r="541" ht="15.75" customHeight="1">
      <c r="A541" s="14"/>
      <c r="B541" s="14"/>
    </row>
    <row r="542" ht="15.75" customHeight="1">
      <c r="A542" s="14"/>
      <c r="B542" s="14"/>
    </row>
    <row r="543" ht="15.75" customHeight="1">
      <c r="A543" s="14"/>
      <c r="B543" s="14"/>
    </row>
    <row r="544" ht="15.75" customHeight="1">
      <c r="A544" s="14"/>
      <c r="B544" s="14"/>
    </row>
    <row r="545" ht="15.75" customHeight="1">
      <c r="A545" s="14"/>
      <c r="B545" s="14"/>
    </row>
    <row r="546" ht="15.75" customHeight="1">
      <c r="A546" s="14"/>
      <c r="B546" s="14"/>
    </row>
    <row r="547" ht="15.75" customHeight="1">
      <c r="A547" s="14"/>
      <c r="B547" s="14"/>
    </row>
    <row r="548" ht="15.75" customHeight="1">
      <c r="A548" s="14"/>
      <c r="B548" s="14"/>
    </row>
    <row r="549" ht="15.75" customHeight="1">
      <c r="A549" s="14"/>
      <c r="B549" s="14"/>
    </row>
    <row r="550" ht="15.75" customHeight="1">
      <c r="A550" s="14"/>
      <c r="B550" s="14"/>
    </row>
    <row r="551" ht="15.75" customHeight="1">
      <c r="A551" s="14"/>
      <c r="B551" s="14"/>
    </row>
    <row r="552" ht="15.75" customHeight="1">
      <c r="A552" s="14"/>
      <c r="B552" s="14"/>
    </row>
    <row r="553" ht="15.75" customHeight="1">
      <c r="A553" s="14"/>
      <c r="B553" s="14"/>
    </row>
    <row r="554" ht="15.75" customHeight="1">
      <c r="A554" s="14"/>
      <c r="B554" s="14"/>
    </row>
    <row r="555" ht="15.75" customHeight="1">
      <c r="A555" s="14"/>
      <c r="B555" s="14"/>
    </row>
    <row r="556" ht="15.75" customHeight="1">
      <c r="A556" s="14"/>
      <c r="B556" s="14"/>
    </row>
    <row r="557" ht="15.75" customHeight="1">
      <c r="A557" s="14"/>
      <c r="B557" s="14"/>
    </row>
    <row r="558" ht="15.75" customHeight="1">
      <c r="A558" s="14"/>
      <c r="B558" s="14"/>
    </row>
    <row r="559" ht="15.75" customHeight="1">
      <c r="A559" s="14"/>
      <c r="B559" s="14"/>
    </row>
    <row r="560" ht="15.75" customHeight="1">
      <c r="A560" s="14"/>
      <c r="B560" s="14"/>
    </row>
    <row r="561" ht="15.75" customHeight="1">
      <c r="A561" s="14"/>
      <c r="B561" s="14"/>
    </row>
    <row r="562" ht="15.75" customHeight="1">
      <c r="A562" s="14"/>
      <c r="B562" s="14"/>
    </row>
    <row r="563" ht="15.75" customHeight="1">
      <c r="A563" s="14"/>
      <c r="B563" s="14"/>
    </row>
    <row r="564" ht="15.75" customHeight="1">
      <c r="A564" s="14"/>
      <c r="B564" s="14"/>
    </row>
    <row r="565" ht="15.75" customHeight="1">
      <c r="A565" s="14"/>
      <c r="B565" s="14"/>
    </row>
    <row r="566" ht="15.75" customHeight="1">
      <c r="A566" s="14"/>
      <c r="B566" s="14"/>
    </row>
    <row r="567" ht="15.75" customHeight="1">
      <c r="A567" s="14"/>
      <c r="B567" s="14"/>
    </row>
    <row r="568" ht="15.75" customHeight="1">
      <c r="A568" s="14"/>
      <c r="B568" s="14"/>
    </row>
    <row r="569" ht="15.75" customHeight="1">
      <c r="A569" s="14"/>
      <c r="B569" s="14"/>
    </row>
    <row r="570" ht="15.75" customHeight="1">
      <c r="A570" s="14"/>
      <c r="B570" s="14"/>
    </row>
    <row r="571" ht="15.75" customHeight="1">
      <c r="A571" s="14"/>
      <c r="B571" s="14"/>
    </row>
    <row r="572" ht="15.75" customHeight="1">
      <c r="A572" s="14"/>
      <c r="B572" s="14"/>
    </row>
    <row r="573" ht="15.75" customHeight="1">
      <c r="A573" s="14"/>
      <c r="B573" s="14"/>
    </row>
    <row r="574" ht="15.75" customHeight="1">
      <c r="A574" s="14"/>
      <c r="B574" s="14"/>
    </row>
    <row r="575" ht="15.75" customHeight="1">
      <c r="A575" s="14"/>
      <c r="B575" s="14"/>
    </row>
    <row r="576" ht="15.75" customHeight="1">
      <c r="A576" s="14"/>
      <c r="B576" s="14"/>
    </row>
    <row r="577" ht="15.75" customHeight="1">
      <c r="A577" s="14"/>
      <c r="B577" s="14"/>
    </row>
    <row r="578" ht="15.75" customHeight="1">
      <c r="A578" s="14"/>
      <c r="B578" s="14"/>
    </row>
    <row r="579" ht="15.75" customHeight="1">
      <c r="A579" s="14"/>
      <c r="B579" s="14"/>
    </row>
    <row r="580" ht="15.75" customHeight="1">
      <c r="A580" s="14"/>
      <c r="B580" s="14"/>
    </row>
    <row r="581" ht="15.75" customHeight="1">
      <c r="A581" s="14"/>
      <c r="B581" s="14"/>
    </row>
    <row r="582" ht="15.75" customHeight="1">
      <c r="A582" s="14"/>
      <c r="B582" s="14"/>
    </row>
    <row r="583" ht="15.75" customHeight="1">
      <c r="A583" s="14"/>
      <c r="B583" s="14"/>
    </row>
    <row r="584" ht="15.75" customHeight="1">
      <c r="A584" s="14"/>
      <c r="B584" s="14"/>
    </row>
    <row r="585" ht="15.75" customHeight="1">
      <c r="A585" s="14"/>
      <c r="B585" s="14"/>
    </row>
    <row r="586" ht="15.75" customHeight="1">
      <c r="A586" s="14"/>
      <c r="B586" s="14"/>
    </row>
    <row r="587" ht="15.75" customHeight="1">
      <c r="A587" s="14"/>
      <c r="B587" s="14"/>
    </row>
    <row r="588" ht="15.75" customHeight="1">
      <c r="A588" s="14"/>
      <c r="B588" s="14"/>
    </row>
    <row r="589" ht="15.75" customHeight="1">
      <c r="A589" s="14"/>
      <c r="B589" s="14"/>
    </row>
    <row r="590" ht="15.75" customHeight="1">
      <c r="A590" s="14"/>
      <c r="B590" s="14"/>
    </row>
    <row r="591" ht="15.75" customHeight="1">
      <c r="A591" s="14"/>
      <c r="B591" s="14"/>
    </row>
    <row r="592" ht="15.75" customHeight="1">
      <c r="A592" s="14"/>
      <c r="B592" s="14"/>
    </row>
    <row r="593" ht="15.75" customHeight="1">
      <c r="A593" s="14"/>
      <c r="B593" s="14"/>
    </row>
    <row r="594" ht="15.75" customHeight="1">
      <c r="A594" s="14"/>
      <c r="B594" s="14"/>
    </row>
    <row r="595" ht="15.75" customHeight="1">
      <c r="A595" s="14"/>
      <c r="B595" s="14"/>
    </row>
    <row r="596" ht="15.75" customHeight="1">
      <c r="A596" s="14"/>
      <c r="B596" s="14"/>
    </row>
    <row r="597" ht="15.75" customHeight="1">
      <c r="A597" s="14"/>
      <c r="B597" s="14"/>
    </row>
    <row r="598" ht="15.75" customHeight="1">
      <c r="A598" s="14"/>
      <c r="B598" s="14"/>
    </row>
    <row r="599" ht="15.75" customHeight="1">
      <c r="A599" s="14"/>
      <c r="B599" s="14"/>
    </row>
    <row r="600" ht="15.75" customHeight="1">
      <c r="A600" s="14"/>
      <c r="B600" s="14"/>
    </row>
    <row r="601" ht="15.75" customHeight="1">
      <c r="A601" s="14"/>
      <c r="B601" s="14"/>
    </row>
    <row r="602" ht="15.75" customHeight="1">
      <c r="A602" s="14"/>
      <c r="B602" s="14"/>
    </row>
    <row r="603" ht="15.75" customHeight="1">
      <c r="A603" s="14"/>
      <c r="B603" s="14"/>
    </row>
    <row r="604" ht="15.75" customHeight="1">
      <c r="A604" s="14"/>
      <c r="B604" s="14"/>
    </row>
    <row r="605" ht="15.75" customHeight="1">
      <c r="A605" s="14"/>
      <c r="B605" s="14"/>
    </row>
    <row r="606" ht="15.75" customHeight="1">
      <c r="A606" s="14"/>
      <c r="B606" s="14"/>
    </row>
    <row r="607" ht="15.75" customHeight="1">
      <c r="A607" s="14"/>
      <c r="B607" s="14"/>
    </row>
    <row r="608" ht="15.75" customHeight="1">
      <c r="A608" s="14"/>
      <c r="B608" s="14"/>
    </row>
    <row r="609" ht="15.75" customHeight="1">
      <c r="A609" s="14"/>
      <c r="B609" s="14"/>
    </row>
    <row r="610" ht="15.75" customHeight="1">
      <c r="A610" s="14"/>
      <c r="B610" s="14"/>
    </row>
    <row r="611" ht="15.75" customHeight="1">
      <c r="A611" s="14"/>
      <c r="B611" s="14"/>
    </row>
    <row r="612" ht="15.75" customHeight="1">
      <c r="A612" s="14"/>
      <c r="B612" s="14"/>
    </row>
    <row r="613" ht="15.75" customHeight="1">
      <c r="A613" s="14"/>
      <c r="B613" s="14"/>
    </row>
    <row r="614" ht="15.75" customHeight="1">
      <c r="A614" s="14"/>
      <c r="B614" s="14"/>
    </row>
    <row r="615" ht="15.75" customHeight="1">
      <c r="A615" s="14"/>
      <c r="B615" s="14"/>
    </row>
    <row r="616" ht="15.75" customHeight="1">
      <c r="A616" s="14"/>
      <c r="B616" s="14"/>
    </row>
    <row r="617" ht="15.75" customHeight="1">
      <c r="A617" s="14"/>
      <c r="B617" s="14"/>
    </row>
    <row r="618" ht="15.75" customHeight="1">
      <c r="A618" s="14"/>
      <c r="B618" s="14"/>
    </row>
    <row r="619" ht="15.75" customHeight="1">
      <c r="A619" s="14"/>
      <c r="B619" s="14"/>
    </row>
    <row r="620" ht="15.75" customHeight="1">
      <c r="A620" s="14"/>
      <c r="B620" s="14"/>
    </row>
    <row r="621" ht="15.75" customHeight="1">
      <c r="A621" s="14"/>
      <c r="B621" s="14"/>
    </row>
    <row r="622" ht="15.75" customHeight="1">
      <c r="A622" s="14"/>
      <c r="B622" s="14"/>
    </row>
    <row r="623" ht="15.75" customHeight="1">
      <c r="A623" s="14"/>
      <c r="B623" s="14"/>
    </row>
    <row r="624" ht="15.75" customHeight="1">
      <c r="A624" s="14"/>
      <c r="B624" s="14"/>
    </row>
    <row r="625" ht="15.75" customHeight="1">
      <c r="A625" s="14"/>
      <c r="B625" s="14"/>
    </row>
    <row r="626" ht="15.75" customHeight="1">
      <c r="A626" s="14"/>
      <c r="B626" s="14"/>
    </row>
    <row r="627" ht="15.75" customHeight="1">
      <c r="A627" s="14"/>
      <c r="B627" s="14"/>
    </row>
    <row r="628" ht="15.75" customHeight="1">
      <c r="A628" s="14"/>
      <c r="B628" s="14"/>
    </row>
    <row r="629" ht="15.75" customHeight="1">
      <c r="A629" s="14"/>
      <c r="B629" s="14"/>
    </row>
    <row r="630" ht="15.75" customHeight="1">
      <c r="A630" s="14"/>
      <c r="B630" s="14"/>
    </row>
    <row r="631" ht="15.75" customHeight="1">
      <c r="A631" s="14"/>
      <c r="B631" s="14"/>
    </row>
    <row r="632" ht="15.75" customHeight="1">
      <c r="A632" s="14"/>
      <c r="B632" s="14"/>
    </row>
    <row r="633" ht="15.75" customHeight="1">
      <c r="A633" s="14"/>
      <c r="B633" s="14"/>
    </row>
    <row r="634" ht="15.75" customHeight="1">
      <c r="A634" s="14"/>
      <c r="B634" s="14"/>
    </row>
    <row r="635" ht="15.75" customHeight="1">
      <c r="A635" s="14"/>
      <c r="B635" s="14"/>
    </row>
    <row r="636" ht="15.75" customHeight="1">
      <c r="A636" s="14"/>
      <c r="B636" s="14"/>
    </row>
    <row r="637" ht="15.75" customHeight="1">
      <c r="A637" s="14"/>
      <c r="B637" s="14"/>
    </row>
    <row r="638" ht="15.75" customHeight="1">
      <c r="A638" s="14"/>
      <c r="B638" s="14"/>
    </row>
    <row r="639" ht="15.75" customHeight="1">
      <c r="A639" s="14"/>
      <c r="B639" s="14"/>
    </row>
    <row r="640" ht="15.75" customHeight="1">
      <c r="A640" s="14"/>
      <c r="B640" s="14"/>
    </row>
    <row r="641" ht="15.75" customHeight="1">
      <c r="A641" s="14"/>
      <c r="B641" s="14"/>
    </row>
    <row r="642" ht="15.75" customHeight="1">
      <c r="A642" s="14"/>
      <c r="B642" s="14"/>
    </row>
    <row r="643" ht="15.75" customHeight="1">
      <c r="A643" s="14"/>
      <c r="B643" s="14"/>
    </row>
    <row r="644" ht="15.75" customHeight="1">
      <c r="A644" s="14"/>
      <c r="B644" s="14"/>
    </row>
    <row r="645" ht="15.75" customHeight="1">
      <c r="A645" s="14"/>
      <c r="B645" s="14"/>
    </row>
    <row r="646" ht="15.75" customHeight="1">
      <c r="A646" s="14"/>
      <c r="B646" s="14"/>
    </row>
    <row r="647" ht="15.75" customHeight="1">
      <c r="A647" s="14"/>
      <c r="B647" s="14"/>
    </row>
    <row r="648" ht="15.75" customHeight="1">
      <c r="A648" s="14"/>
      <c r="B648" s="14"/>
    </row>
    <row r="649" ht="15.75" customHeight="1">
      <c r="A649" s="14"/>
      <c r="B649" s="14"/>
    </row>
    <row r="650" ht="15.75" customHeight="1">
      <c r="A650" s="14"/>
      <c r="B650" s="14"/>
    </row>
    <row r="651" ht="15.75" customHeight="1">
      <c r="A651" s="14"/>
      <c r="B651" s="14"/>
    </row>
    <row r="652" ht="15.75" customHeight="1">
      <c r="A652" s="14"/>
      <c r="B652" s="14"/>
    </row>
    <row r="653" ht="15.75" customHeight="1">
      <c r="A653" s="14"/>
      <c r="B653" s="14"/>
    </row>
    <row r="654" ht="15.75" customHeight="1">
      <c r="A654" s="14"/>
      <c r="B654" s="14"/>
    </row>
    <row r="655" ht="15.75" customHeight="1">
      <c r="A655" s="14"/>
      <c r="B655" s="14"/>
    </row>
    <row r="656" ht="15.75" customHeight="1">
      <c r="A656" s="14"/>
      <c r="B656" s="14"/>
    </row>
    <row r="657" ht="15.75" customHeight="1">
      <c r="A657" s="14"/>
      <c r="B657" s="14"/>
    </row>
    <row r="658" ht="15.75" customHeight="1">
      <c r="A658" s="14"/>
      <c r="B658" s="14"/>
    </row>
    <row r="659" ht="15.75" customHeight="1">
      <c r="A659" s="14"/>
      <c r="B659" s="14"/>
    </row>
    <row r="660" ht="15.75" customHeight="1">
      <c r="A660" s="14"/>
      <c r="B660" s="14"/>
    </row>
    <row r="661" ht="15.75" customHeight="1">
      <c r="A661" s="14"/>
      <c r="B661" s="14"/>
    </row>
    <row r="662" ht="15.75" customHeight="1">
      <c r="A662" s="14"/>
      <c r="B662" s="14"/>
    </row>
    <row r="663" ht="15.75" customHeight="1">
      <c r="A663" s="14"/>
      <c r="B663" s="14"/>
    </row>
    <row r="664" ht="15.75" customHeight="1">
      <c r="A664" s="14"/>
      <c r="B664" s="14"/>
    </row>
    <row r="665" ht="15.75" customHeight="1">
      <c r="A665" s="14"/>
      <c r="B665" s="14"/>
    </row>
    <row r="666" ht="15.75" customHeight="1">
      <c r="A666" s="14"/>
      <c r="B666" s="14"/>
    </row>
    <row r="667" ht="15.75" customHeight="1">
      <c r="A667" s="14"/>
      <c r="B667" s="14"/>
    </row>
    <row r="668" ht="15.75" customHeight="1">
      <c r="A668" s="14"/>
      <c r="B668" s="14"/>
    </row>
    <row r="669" ht="15.75" customHeight="1">
      <c r="A669" s="14"/>
      <c r="B669" s="14"/>
    </row>
    <row r="670" ht="15.75" customHeight="1">
      <c r="A670" s="14"/>
      <c r="B670" s="14"/>
    </row>
    <row r="671" ht="15.75" customHeight="1">
      <c r="A671" s="14"/>
      <c r="B671" s="14"/>
    </row>
    <row r="672" ht="15.75" customHeight="1">
      <c r="A672" s="14"/>
      <c r="B672" s="14"/>
    </row>
    <row r="673" ht="15.75" customHeight="1">
      <c r="A673" s="14"/>
      <c r="B673" s="14"/>
    </row>
    <row r="674" ht="15.75" customHeight="1">
      <c r="A674" s="14"/>
      <c r="B674" s="14"/>
    </row>
    <row r="675" ht="15.75" customHeight="1">
      <c r="A675" s="14"/>
      <c r="B675" s="14"/>
    </row>
    <row r="676" ht="15.75" customHeight="1">
      <c r="A676" s="14"/>
      <c r="B676" s="14"/>
    </row>
    <row r="677" ht="15.75" customHeight="1">
      <c r="A677" s="14"/>
      <c r="B677" s="14"/>
    </row>
    <row r="678" ht="15.75" customHeight="1">
      <c r="A678" s="14"/>
      <c r="B678" s="14"/>
    </row>
    <row r="679" ht="15.75" customHeight="1">
      <c r="A679" s="14"/>
      <c r="B679" s="14"/>
    </row>
    <row r="680" ht="15.75" customHeight="1">
      <c r="A680" s="14"/>
      <c r="B680" s="14"/>
    </row>
    <row r="681" ht="15.75" customHeight="1">
      <c r="A681" s="14"/>
      <c r="B681" s="14"/>
    </row>
    <row r="682" ht="15.75" customHeight="1">
      <c r="A682" s="14"/>
      <c r="B682" s="14"/>
    </row>
    <row r="683" ht="15.75" customHeight="1">
      <c r="A683" s="14"/>
      <c r="B683" s="14"/>
    </row>
    <row r="684" ht="15.75" customHeight="1">
      <c r="A684" s="14"/>
      <c r="B684" s="14"/>
    </row>
    <row r="685" ht="15.75" customHeight="1">
      <c r="A685" s="14"/>
      <c r="B685" s="14"/>
    </row>
    <row r="686" ht="15.75" customHeight="1">
      <c r="A686" s="14"/>
      <c r="B686" s="14"/>
    </row>
    <row r="687" ht="15.75" customHeight="1">
      <c r="A687" s="14"/>
      <c r="B687" s="14"/>
    </row>
    <row r="688" ht="15.75" customHeight="1">
      <c r="A688" s="14"/>
      <c r="B688" s="14"/>
    </row>
    <row r="689" ht="15.75" customHeight="1">
      <c r="A689" s="14"/>
      <c r="B689" s="14"/>
    </row>
    <row r="690" ht="15.75" customHeight="1">
      <c r="A690" s="14"/>
      <c r="B690" s="14"/>
    </row>
    <row r="691" ht="15.75" customHeight="1">
      <c r="A691" s="14"/>
      <c r="B691" s="14"/>
    </row>
    <row r="692" ht="15.75" customHeight="1">
      <c r="A692" s="14"/>
      <c r="B692" s="14"/>
    </row>
    <row r="693" ht="15.75" customHeight="1">
      <c r="A693" s="14"/>
      <c r="B693" s="14"/>
    </row>
    <row r="694" ht="15.75" customHeight="1">
      <c r="A694" s="14"/>
      <c r="B694" s="14"/>
    </row>
    <row r="695" ht="15.75" customHeight="1">
      <c r="A695" s="14"/>
      <c r="B695" s="14"/>
    </row>
    <row r="696" ht="15.75" customHeight="1">
      <c r="A696" s="14"/>
      <c r="B696" s="14"/>
    </row>
    <row r="697" ht="15.75" customHeight="1">
      <c r="A697" s="14"/>
      <c r="B697" s="14"/>
    </row>
    <row r="698" ht="15.75" customHeight="1">
      <c r="A698" s="14"/>
      <c r="B698" s="14"/>
    </row>
    <row r="699" ht="15.75" customHeight="1">
      <c r="A699" s="14"/>
      <c r="B699" s="14"/>
    </row>
    <row r="700" ht="15.75" customHeight="1">
      <c r="A700" s="14"/>
      <c r="B700" s="14"/>
    </row>
    <row r="701" ht="15.75" customHeight="1">
      <c r="A701" s="14"/>
      <c r="B701" s="14"/>
    </row>
    <row r="702" ht="15.75" customHeight="1">
      <c r="A702" s="14"/>
      <c r="B702" s="14"/>
    </row>
    <row r="703" ht="15.75" customHeight="1">
      <c r="A703" s="14"/>
      <c r="B703" s="14"/>
    </row>
    <row r="704" ht="15.75" customHeight="1">
      <c r="A704" s="14"/>
      <c r="B704" s="14"/>
    </row>
    <row r="705" ht="15.75" customHeight="1">
      <c r="A705" s="14"/>
      <c r="B705" s="14"/>
    </row>
    <row r="706" ht="15.75" customHeight="1">
      <c r="A706" s="14"/>
      <c r="B706" s="14"/>
    </row>
    <row r="707" ht="15.75" customHeight="1">
      <c r="A707" s="14"/>
      <c r="B707" s="14"/>
    </row>
    <row r="708" ht="15.75" customHeight="1">
      <c r="A708" s="14"/>
      <c r="B708" s="14"/>
    </row>
    <row r="709" ht="15.75" customHeight="1">
      <c r="A709" s="14"/>
      <c r="B709" s="14"/>
    </row>
    <row r="710" ht="15.75" customHeight="1">
      <c r="A710" s="14"/>
      <c r="B710" s="14"/>
    </row>
    <row r="711" ht="15.75" customHeight="1">
      <c r="A711" s="14"/>
      <c r="B711" s="14"/>
    </row>
    <row r="712" ht="15.75" customHeight="1">
      <c r="A712" s="14"/>
      <c r="B712" s="14"/>
    </row>
    <row r="713" ht="15.75" customHeight="1">
      <c r="A713" s="14"/>
      <c r="B713" s="14"/>
    </row>
    <row r="714" ht="15.75" customHeight="1">
      <c r="A714" s="14"/>
      <c r="B714" s="14"/>
    </row>
    <row r="715" ht="15.75" customHeight="1">
      <c r="A715" s="14"/>
      <c r="B715" s="14"/>
    </row>
    <row r="716" ht="15.75" customHeight="1">
      <c r="A716" s="14"/>
      <c r="B716" s="14"/>
    </row>
    <row r="717" ht="15.75" customHeight="1">
      <c r="A717" s="14"/>
      <c r="B717" s="14"/>
    </row>
    <row r="718" ht="15.75" customHeight="1">
      <c r="A718" s="14"/>
      <c r="B718" s="14"/>
    </row>
    <row r="719" ht="15.75" customHeight="1">
      <c r="A719" s="14"/>
      <c r="B719" s="14"/>
    </row>
    <row r="720" ht="15.75" customHeight="1">
      <c r="A720" s="14"/>
      <c r="B720" s="14"/>
    </row>
    <row r="721" ht="15.75" customHeight="1">
      <c r="A721" s="14"/>
      <c r="B721" s="14"/>
    </row>
    <row r="722" ht="15.75" customHeight="1">
      <c r="A722" s="14"/>
      <c r="B722" s="14"/>
    </row>
    <row r="723" ht="15.75" customHeight="1">
      <c r="A723" s="14"/>
      <c r="B723" s="14"/>
    </row>
    <row r="724" ht="15.75" customHeight="1">
      <c r="A724" s="14"/>
      <c r="B724" s="14"/>
    </row>
    <row r="725" ht="15.75" customHeight="1">
      <c r="A725" s="14"/>
      <c r="B725" s="14"/>
    </row>
    <row r="726" ht="15.75" customHeight="1">
      <c r="A726" s="14"/>
      <c r="B726" s="14"/>
    </row>
    <row r="727" ht="15.75" customHeight="1">
      <c r="A727" s="14"/>
      <c r="B727" s="14"/>
    </row>
    <row r="728" ht="15.75" customHeight="1">
      <c r="A728" s="14"/>
      <c r="B728" s="14"/>
    </row>
    <row r="729" ht="15.75" customHeight="1">
      <c r="A729" s="14"/>
      <c r="B729" s="14"/>
    </row>
    <row r="730" ht="15.75" customHeight="1">
      <c r="A730" s="14"/>
      <c r="B730" s="14"/>
    </row>
    <row r="731" ht="15.75" customHeight="1">
      <c r="A731" s="14"/>
      <c r="B731" s="14"/>
    </row>
    <row r="732" ht="15.75" customHeight="1">
      <c r="A732" s="14"/>
      <c r="B732" s="14"/>
    </row>
    <row r="733" ht="15.75" customHeight="1">
      <c r="A733" s="14"/>
      <c r="B733" s="14"/>
    </row>
    <row r="734" ht="15.75" customHeight="1">
      <c r="A734" s="14"/>
      <c r="B734" s="14"/>
    </row>
    <row r="735" ht="15.75" customHeight="1">
      <c r="A735" s="14"/>
      <c r="B735" s="14"/>
    </row>
    <row r="736" ht="15.75" customHeight="1">
      <c r="A736" s="14"/>
      <c r="B736" s="14"/>
    </row>
    <row r="737" ht="15.75" customHeight="1">
      <c r="A737" s="14"/>
      <c r="B737" s="14"/>
    </row>
    <row r="738" ht="15.75" customHeight="1">
      <c r="A738" s="14"/>
      <c r="B738" s="14"/>
    </row>
    <row r="739" ht="15.75" customHeight="1">
      <c r="A739" s="14"/>
      <c r="B739" s="14"/>
    </row>
    <row r="740" ht="15.75" customHeight="1">
      <c r="A740" s="14"/>
      <c r="B740" s="14"/>
    </row>
    <row r="741" ht="15.75" customHeight="1">
      <c r="A741" s="14"/>
      <c r="B741" s="14"/>
    </row>
    <row r="742" ht="15.75" customHeight="1">
      <c r="A742" s="14"/>
      <c r="B742" s="14"/>
    </row>
    <row r="743" ht="15.75" customHeight="1">
      <c r="A743" s="14"/>
      <c r="B743" s="14"/>
    </row>
    <row r="744" ht="15.75" customHeight="1">
      <c r="A744" s="14"/>
      <c r="B744" s="14"/>
    </row>
    <row r="745" ht="15.75" customHeight="1">
      <c r="A745" s="14"/>
      <c r="B745" s="14"/>
    </row>
    <row r="746" ht="15.75" customHeight="1">
      <c r="A746" s="14"/>
      <c r="B746" s="14"/>
    </row>
    <row r="747" ht="15.75" customHeight="1">
      <c r="A747" s="14"/>
      <c r="B747" s="14"/>
    </row>
    <row r="748" ht="15.75" customHeight="1">
      <c r="A748" s="14"/>
      <c r="B748" s="14"/>
    </row>
    <row r="749" ht="15.75" customHeight="1">
      <c r="A749" s="14"/>
      <c r="B749" s="14"/>
    </row>
    <row r="750" ht="15.75" customHeight="1">
      <c r="A750" s="14"/>
      <c r="B750" s="14"/>
    </row>
    <row r="751" ht="15.75" customHeight="1">
      <c r="A751" s="14"/>
      <c r="B751" s="14"/>
    </row>
    <row r="752" ht="15.75" customHeight="1">
      <c r="A752" s="14"/>
      <c r="B752" s="14"/>
    </row>
    <row r="753" ht="15.75" customHeight="1">
      <c r="A753" s="14"/>
      <c r="B753" s="14"/>
    </row>
    <row r="754" ht="15.75" customHeight="1">
      <c r="A754" s="14"/>
      <c r="B754" s="14"/>
    </row>
    <row r="755" ht="15.75" customHeight="1">
      <c r="A755" s="14"/>
      <c r="B755" s="14"/>
    </row>
    <row r="756" ht="15.75" customHeight="1">
      <c r="A756" s="14"/>
      <c r="B756" s="14"/>
    </row>
    <row r="757" ht="15.75" customHeight="1">
      <c r="A757" s="14"/>
      <c r="B757" s="14"/>
    </row>
    <row r="758" ht="15.75" customHeight="1">
      <c r="A758" s="14"/>
      <c r="B758" s="14"/>
    </row>
    <row r="759" ht="15.75" customHeight="1">
      <c r="A759" s="14"/>
      <c r="B759" s="14"/>
    </row>
    <row r="760" ht="15.75" customHeight="1">
      <c r="A760" s="14"/>
      <c r="B760" s="14"/>
    </row>
    <row r="761" ht="15.75" customHeight="1">
      <c r="A761" s="14"/>
      <c r="B761" s="14"/>
    </row>
    <row r="762" ht="15.75" customHeight="1">
      <c r="A762" s="14"/>
      <c r="B762" s="14"/>
    </row>
    <row r="763" ht="15.75" customHeight="1">
      <c r="A763" s="14"/>
      <c r="B763" s="14"/>
    </row>
    <row r="764" ht="15.75" customHeight="1">
      <c r="A764" s="14"/>
      <c r="B764" s="14"/>
    </row>
    <row r="765" ht="15.75" customHeight="1">
      <c r="A765" s="14"/>
      <c r="B765" s="14"/>
    </row>
    <row r="766" ht="15.75" customHeight="1">
      <c r="A766" s="14"/>
      <c r="B766" s="14"/>
    </row>
    <row r="767" ht="15.75" customHeight="1">
      <c r="A767" s="14"/>
      <c r="B767" s="14"/>
    </row>
    <row r="768" ht="15.75" customHeight="1">
      <c r="A768" s="14"/>
      <c r="B768" s="14"/>
    </row>
    <row r="769" ht="15.75" customHeight="1">
      <c r="A769" s="14"/>
      <c r="B769" s="14"/>
    </row>
    <row r="770" ht="15.75" customHeight="1">
      <c r="A770" s="14"/>
      <c r="B770" s="14"/>
    </row>
    <row r="771" ht="15.75" customHeight="1">
      <c r="A771" s="14"/>
      <c r="B771" s="14"/>
    </row>
    <row r="772" ht="15.75" customHeight="1">
      <c r="A772" s="14"/>
      <c r="B772" s="14"/>
    </row>
    <row r="773" ht="15.75" customHeight="1">
      <c r="A773" s="14"/>
      <c r="B773" s="14"/>
    </row>
    <row r="774" ht="15.75" customHeight="1">
      <c r="A774" s="14"/>
      <c r="B774" s="14"/>
    </row>
    <row r="775" ht="15.75" customHeight="1">
      <c r="A775" s="14"/>
      <c r="B775" s="14"/>
    </row>
    <row r="776" ht="15.75" customHeight="1">
      <c r="A776" s="14"/>
      <c r="B776" s="14"/>
    </row>
    <row r="777" ht="15.75" customHeight="1">
      <c r="A777" s="14"/>
      <c r="B777" s="14"/>
    </row>
    <row r="778" ht="15.75" customHeight="1">
      <c r="A778" s="14"/>
      <c r="B778" s="14"/>
    </row>
    <row r="779" ht="15.75" customHeight="1">
      <c r="A779" s="14"/>
      <c r="B779" s="14"/>
    </row>
    <row r="780" ht="15.75" customHeight="1">
      <c r="A780" s="14"/>
      <c r="B780" s="14"/>
    </row>
    <row r="781" ht="15.75" customHeight="1">
      <c r="A781" s="14"/>
      <c r="B781" s="14"/>
    </row>
    <row r="782" ht="15.75" customHeight="1">
      <c r="A782" s="14"/>
      <c r="B782" s="14"/>
    </row>
    <row r="783" ht="15.75" customHeight="1">
      <c r="A783" s="14"/>
      <c r="B783" s="14"/>
    </row>
    <row r="784" ht="15.75" customHeight="1">
      <c r="A784" s="14"/>
      <c r="B784" s="14"/>
    </row>
    <row r="785" ht="15.75" customHeight="1">
      <c r="A785" s="14"/>
      <c r="B785" s="14"/>
    </row>
    <row r="786" ht="15.75" customHeight="1">
      <c r="A786" s="14"/>
      <c r="B786" s="14"/>
    </row>
    <row r="787" ht="15.75" customHeight="1">
      <c r="A787" s="14"/>
      <c r="B787" s="14"/>
    </row>
    <row r="788" ht="15.75" customHeight="1">
      <c r="A788" s="14"/>
      <c r="B788" s="14"/>
    </row>
    <row r="789" ht="15.75" customHeight="1">
      <c r="A789" s="14"/>
      <c r="B789" s="14"/>
    </row>
    <row r="790" ht="15.75" customHeight="1">
      <c r="A790" s="14"/>
      <c r="B790" s="14"/>
    </row>
    <row r="791" ht="15.75" customHeight="1">
      <c r="A791" s="14"/>
      <c r="B791" s="14"/>
    </row>
    <row r="792" ht="15.75" customHeight="1">
      <c r="A792" s="14"/>
      <c r="B792" s="14"/>
    </row>
    <row r="793" ht="15.75" customHeight="1">
      <c r="A793" s="14"/>
      <c r="B793" s="14"/>
    </row>
    <row r="794" ht="15.75" customHeight="1">
      <c r="A794" s="14"/>
      <c r="B794" s="14"/>
    </row>
    <row r="795" ht="15.75" customHeight="1">
      <c r="A795" s="14"/>
      <c r="B795" s="14"/>
    </row>
    <row r="796" ht="15.75" customHeight="1">
      <c r="A796" s="14"/>
      <c r="B796" s="14"/>
    </row>
    <row r="797" ht="15.75" customHeight="1">
      <c r="A797" s="14"/>
      <c r="B797" s="14"/>
    </row>
    <row r="798" ht="15.75" customHeight="1">
      <c r="A798" s="14"/>
      <c r="B798" s="14"/>
    </row>
    <row r="799" ht="15.75" customHeight="1">
      <c r="A799" s="14"/>
      <c r="B799" s="14"/>
    </row>
    <row r="800" ht="15.75" customHeight="1">
      <c r="A800" s="14"/>
      <c r="B800" s="14"/>
    </row>
    <row r="801" ht="15.75" customHeight="1">
      <c r="A801" s="14"/>
      <c r="B801" s="14"/>
    </row>
    <row r="802" ht="15.75" customHeight="1">
      <c r="A802" s="14"/>
      <c r="B802" s="14"/>
    </row>
    <row r="803" ht="15.75" customHeight="1">
      <c r="A803" s="14"/>
      <c r="B803" s="14"/>
    </row>
    <row r="804" ht="15.75" customHeight="1">
      <c r="A804" s="14"/>
      <c r="B804" s="14"/>
    </row>
    <row r="805" ht="15.75" customHeight="1">
      <c r="A805" s="14"/>
      <c r="B805" s="14"/>
    </row>
    <row r="806" ht="15.75" customHeight="1">
      <c r="A806" s="14"/>
      <c r="B806" s="14"/>
    </row>
    <row r="807" ht="15.75" customHeight="1">
      <c r="A807" s="14"/>
      <c r="B807" s="14"/>
    </row>
    <row r="808" ht="15.75" customHeight="1">
      <c r="A808" s="14"/>
      <c r="B808" s="14"/>
    </row>
    <row r="809" ht="15.75" customHeight="1">
      <c r="A809" s="14"/>
      <c r="B809" s="14"/>
    </row>
    <row r="810" ht="15.75" customHeight="1">
      <c r="A810" s="14"/>
      <c r="B810" s="14"/>
    </row>
    <row r="811" ht="15.75" customHeight="1">
      <c r="A811" s="14"/>
      <c r="B811" s="14"/>
    </row>
    <row r="812" ht="15.75" customHeight="1">
      <c r="A812" s="14"/>
      <c r="B812" s="14"/>
    </row>
    <row r="813" ht="15.75" customHeight="1">
      <c r="A813" s="14"/>
      <c r="B813" s="14"/>
    </row>
    <row r="814" ht="15.75" customHeight="1">
      <c r="A814" s="14"/>
      <c r="B814" s="14"/>
    </row>
    <row r="815" ht="15.75" customHeight="1">
      <c r="A815" s="14"/>
      <c r="B815" s="14"/>
    </row>
    <row r="816" ht="15.75" customHeight="1">
      <c r="A816" s="14"/>
      <c r="B816" s="14"/>
    </row>
    <row r="817" ht="15.75" customHeight="1">
      <c r="A817" s="14"/>
      <c r="B817" s="14"/>
    </row>
    <row r="818" ht="15.75" customHeight="1">
      <c r="A818" s="14"/>
      <c r="B818" s="14"/>
    </row>
    <row r="819" ht="15.75" customHeight="1">
      <c r="A819" s="14"/>
      <c r="B819" s="14"/>
    </row>
    <row r="820" ht="15.75" customHeight="1">
      <c r="A820" s="14"/>
      <c r="B820" s="14"/>
    </row>
    <row r="821" ht="15.75" customHeight="1">
      <c r="A821" s="14"/>
      <c r="B821" s="14"/>
    </row>
    <row r="822" ht="15.75" customHeight="1">
      <c r="A822" s="14"/>
      <c r="B822" s="14"/>
    </row>
    <row r="823" ht="15.75" customHeight="1">
      <c r="A823" s="14"/>
      <c r="B823" s="14"/>
    </row>
    <row r="824" ht="15.75" customHeight="1">
      <c r="A824" s="14"/>
      <c r="B824" s="14"/>
    </row>
    <row r="825" ht="15.75" customHeight="1">
      <c r="A825" s="14"/>
      <c r="B825" s="14"/>
    </row>
    <row r="826" ht="15.75" customHeight="1">
      <c r="A826" s="14"/>
      <c r="B826" s="14"/>
    </row>
    <row r="827" ht="15.75" customHeight="1">
      <c r="A827" s="14"/>
      <c r="B827" s="14"/>
    </row>
    <row r="828" ht="15.75" customHeight="1">
      <c r="A828" s="14"/>
      <c r="B828" s="14"/>
    </row>
    <row r="829" ht="15.75" customHeight="1">
      <c r="A829" s="14"/>
      <c r="B829" s="14"/>
    </row>
    <row r="830" ht="15.75" customHeight="1">
      <c r="A830" s="14"/>
      <c r="B830" s="14"/>
    </row>
    <row r="831" ht="15.75" customHeight="1">
      <c r="A831" s="14"/>
      <c r="B831" s="14"/>
    </row>
    <row r="832" ht="15.75" customHeight="1">
      <c r="A832" s="14"/>
      <c r="B832" s="14"/>
    </row>
    <row r="833" ht="15.75" customHeight="1">
      <c r="A833" s="14"/>
      <c r="B833" s="14"/>
    </row>
    <row r="834" ht="15.75" customHeight="1">
      <c r="A834" s="14"/>
      <c r="B834" s="14"/>
    </row>
    <row r="835" ht="15.75" customHeight="1">
      <c r="A835" s="14"/>
      <c r="B835" s="14"/>
    </row>
    <row r="836" ht="15.75" customHeight="1">
      <c r="A836" s="14"/>
      <c r="B836" s="14"/>
    </row>
    <row r="837" ht="15.75" customHeight="1">
      <c r="A837" s="14"/>
      <c r="B837" s="14"/>
    </row>
    <row r="838" ht="15.75" customHeight="1">
      <c r="A838" s="14"/>
      <c r="B838" s="14"/>
    </row>
    <row r="839" ht="15.75" customHeight="1">
      <c r="A839" s="14"/>
      <c r="B839" s="14"/>
    </row>
    <row r="840" ht="15.75" customHeight="1">
      <c r="A840" s="14"/>
      <c r="B840" s="14"/>
    </row>
    <row r="841" ht="15.75" customHeight="1">
      <c r="A841" s="14"/>
      <c r="B841" s="14"/>
    </row>
    <row r="842" ht="15.75" customHeight="1">
      <c r="A842" s="14"/>
      <c r="B842" s="14"/>
    </row>
    <row r="843" ht="15.75" customHeight="1">
      <c r="A843" s="14"/>
      <c r="B843" s="14"/>
    </row>
    <row r="844" ht="15.75" customHeight="1">
      <c r="A844" s="14"/>
      <c r="B844" s="14"/>
    </row>
    <row r="845" ht="15.75" customHeight="1">
      <c r="A845" s="14"/>
      <c r="B845" s="14"/>
    </row>
    <row r="846" ht="15.75" customHeight="1">
      <c r="A846" s="14"/>
      <c r="B846" s="14"/>
    </row>
    <row r="847" ht="15.75" customHeight="1">
      <c r="A847" s="14"/>
      <c r="B847" s="14"/>
    </row>
    <row r="848" ht="15.75" customHeight="1">
      <c r="A848" s="14"/>
      <c r="B848" s="14"/>
    </row>
    <row r="849" ht="15.75" customHeight="1">
      <c r="A849" s="14"/>
      <c r="B849" s="14"/>
    </row>
    <row r="850" ht="15.75" customHeight="1">
      <c r="A850" s="14"/>
      <c r="B850" s="14"/>
    </row>
    <row r="851" ht="15.75" customHeight="1">
      <c r="A851" s="14"/>
      <c r="B851" s="14"/>
    </row>
    <row r="852" ht="15.75" customHeight="1">
      <c r="A852" s="14"/>
      <c r="B852" s="14"/>
    </row>
    <row r="853" ht="15.75" customHeight="1">
      <c r="A853" s="14"/>
      <c r="B853" s="14"/>
    </row>
    <row r="854" ht="15.75" customHeight="1">
      <c r="A854" s="14"/>
      <c r="B854" s="14"/>
    </row>
    <row r="855" ht="15.75" customHeight="1">
      <c r="A855" s="14"/>
      <c r="B855" s="14"/>
    </row>
    <row r="856" ht="15.75" customHeight="1">
      <c r="A856" s="14"/>
      <c r="B856" s="14"/>
    </row>
    <row r="857" ht="15.75" customHeight="1">
      <c r="A857" s="14"/>
      <c r="B857" s="14"/>
    </row>
    <row r="858" ht="15.75" customHeight="1">
      <c r="A858" s="14"/>
      <c r="B858" s="14"/>
    </row>
    <row r="859" ht="15.75" customHeight="1">
      <c r="A859" s="14"/>
      <c r="B859" s="14"/>
    </row>
    <row r="860" ht="15.75" customHeight="1">
      <c r="A860" s="14"/>
      <c r="B860" s="14"/>
    </row>
    <row r="861" ht="15.75" customHeight="1">
      <c r="A861" s="14"/>
      <c r="B861" s="14"/>
    </row>
    <row r="862" ht="15.75" customHeight="1">
      <c r="A862" s="14"/>
      <c r="B862" s="14"/>
    </row>
    <row r="863" ht="15.75" customHeight="1">
      <c r="A863" s="14"/>
      <c r="B863" s="14"/>
    </row>
    <row r="864" ht="15.75" customHeight="1">
      <c r="A864" s="14"/>
      <c r="B864" s="14"/>
    </row>
    <row r="865" ht="15.75" customHeight="1">
      <c r="A865" s="14"/>
      <c r="B865" s="14"/>
    </row>
    <row r="866" ht="15.75" customHeight="1">
      <c r="A866" s="14"/>
      <c r="B866" s="14"/>
    </row>
    <row r="867" ht="15.75" customHeight="1">
      <c r="A867" s="14"/>
      <c r="B867" s="14"/>
    </row>
    <row r="868" ht="15.75" customHeight="1">
      <c r="A868" s="14"/>
      <c r="B868" s="14"/>
    </row>
    <row r="869" ht="15.75" customHeight="1">
      <c r="A869" s="14"/>
      <c r="B869" s="14"/>
    </row>
    <row r="870" ht="15.75" customHeight="1">
      <c r="A870" s="14"/>
      <c r="B870" s="14"/>
    </row>
    <row r="871" ht="15.75" customHeight="1">
      <c r="A871" s="14"/>
      <c r="B871" s="14"/>
    </row>
    <row r="872" ht="15.75" customHeight="1">
      <c r="A872" s="14"/>
      <c r="B872" s="14"/>
    </row>
    <row r="873" ht="15.75" customHeight="1">
      <c r="A873" s="14"/>
      <c r="B873" s="14"/>
    </row>
    <row r="874" ht="15.75" customHeight="1">
      <c r="A874" s="14"/>
      <c r="B874" s="14"/>
    </row>
    <row r="875" ht="15.75" customHeight="1">
      <c r="A875" s="14"/>
      <c r="B875" s="14"/>
    </row>
    <row r="876" ht="15.75" customHeight="1">
      <c r="A876" s="14"/>
      <c r="B876" s="14"/>
    </row>
    <row r="877" ht="15.75" customHeight="1">
      <c r="A877" s="14"/>
      <c r="B877" s="14"/>
    </row>
    <row r="878" ht="15.75" customHeight="1">
      <c r="A878" s="14"/>
      <c r="B878" s="14"/>
    </row>
    <row r="879" ht="15.75" customHeight="1">
      <c r="A879" s="14"/>
      <c r="B879" s="14"/>
    </row>
    <row r="880" ht="15.75" customHeight="1">
      <c r="A880" s="14"/>
      <c r="B880" s="14"/>
    </row>
    <row r="881" ht="15.75" customHeight="1">
      <c r="A881" s="14"/>
      <c r="B881" s="14"/>
    </row>
    <row r="882" ht="15.75" customHeight="1">
      <c r="A882" s="14"/>
      <c r="B882" s="14"/>
    </row>
    <row r="883" ht="15.75" customHeight="1">
      <c r="A883" s="14"/>
      <c r="B883" s="14"/>
    </row>
    <row r="884" ht="15.75" customHeight="1">
      <c r="A884" s="14"/>
      <c r="B884" s="14"/>
    </row>
    <row r="885" ht="15.75" customHeight="1">
      <c r="A885" s="14"/>
      <c r="B885" s="14"/>
    </row>
    <row r="886" ht="15.75" customHeight="1">
      <c r="A886" s="14"/>
      <c r="B886" s="14"/>
    </row>
    <row r="887" ht="15.75" customHeight="1">
      <c r="A887" s="14"/>
      <c r="B887" s="14"/>
    </row>
    <row r="888" ht="15.75" customHeight="1">
      <c r="A888" s="14"/>
      <c r="B888" s="14"/>
    </row>
    <row r="889" ht="15.75" customHeight="1">
      <c r="A889" s="14"/>
      <c r="B889" s="14"/>
    </row>
    <row r="890" ht="15.75" customHeight="1">
      <c r="A890" s="14"/>
      <c r="B890" s="14"/>
    </row>
    <row r="891" ht="15.75" customHeight="1">
      <c r="A891" s="14"/>
      <c r="B891" s="14"/>
    </row>
    <row r="892" ht="15.75" customHeight="1">
      <c r="A892" s="14"/>
      <c r="B892" s="14"/>
    </row>
    <row r="893" ht="15.75" customHeight="1">
      <c r="A893" s="14"/>
      <c r="B893" s="14"/>
    </row>
    <row r="894" ht="15.75" customHeight="1">
      <c r="A894" s="14"/>
      <c r="B894" s="14"/>
    </row>
    <row r="895" ht="15.75" customHeight="1">
      <c r="A895" s="14"/>
      <c r="B895" s="14"/>
    </row>
    <row r="896" ht="15.75" customHeight="1">
      <c r="A896" s="14"/>
      <c r="B896" s="14"/>
    </row>
    <row r="897" ht="15.75" customHeight="1">
      <c r="A897" s="14"/>
      <c r="B897" s="14"/>
    </row>
    <row r="898" ht="15.75" customHeight="1">
      <c r="A898" s="14"/>
      <c r="B898" s="14"/>
    </row>
    <row r="899" ht="15.75" customHeight="1">
      <c r="A899" s="14"/>
      <c r="B899" s="14"/>
    </row>
    <row r="900" ht="15.75" customHeight="1">
      <c r="A900" s="14"/>
      <c r="B900" s="14"/>
    </row>
    <row r="901" ht="15.75" customHeight="1">
      <c r="A901" s="14"/>
      <c r="B901" s="14"/>
    </row>
    <row r="902" ht="15.75" customHeight="1">
      <c r="A902" s="14"/>
      <c r="B902" s="14"/>
    </row>
    <row r="903" ht="15.75" customHeight="1">
      <c r="A903" s="14"/>
      <c r="B903" s="14"/>
    </row>
    <row r="904" ht="15.75" customHeight="1">
      <c r="A904" s="14"/>
      <c r="B904" s="14"/>
    </row>
    <row r="905" ht="15.75" customHeight="1">
      <c r="A905" s="14"/>
      <c r="B905" s="14"/>
    </row>
    <row r="906" ht="15.75" customHeight="1">
      <c r="A906" s="14"/>
      <c r="B906" s="14"/>
    </row>
    <row r="907" ht="15.75" customHeight="1">
      <c r="A907" s="14"/>
      <c r="B907" s="14"/>
    </row>
    <row r="908" ht="15.75" customHeight="1">
      <c r="A908" s="14"/>
      <c r="B908" s="14"/>
    </row>
    <row r="909" ht="15.75" customHeight="1">
      <c r="A909" s="14"/>
      <c r="B909" s="14"/>
    </row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1" max="1" width="41.88"/>
    <col customWidth="1" min="2" max="2" width="17.5"/>
    <col customWidth="1" min="3" max="3" width="19.25"/>
    <col customWidth="1" min="4" max="4" width="18.5"/>
    <col customWidth="1" min="5" max="5" width="17.63"/>
    <col customWidth="1" min="6" max="6" width="18.13"/>
    <col customWidth="1" min="11" max="11" width="16.88"/>
    <col customWidth="1" min="12" max="12" width="20.0"/>
  </cols>
  <sheetData>
    <row r="1" ht="15.75" customHeight="1">
      <c r="B1" s="3" t="s">
        <v>0</v>
      </c>
      <c r="C1" s="3" t="str">
        <f>TEXT(C3,"MMMM-YYY")</f>
        <v>July-2025</v>
      </c>
    </row>
    <row r="2" ht="15.75" customHeight="1">
      <c r="A2" s="7"/>
      <c r="B2" s="3" t="s">
        <v>1</v>
      </c>
      <c r="C2" s="8">
        <v>45839.0</v>
      </c>
      <c r="E2" s="9" t="s">
        <v>2</v>
      </c>
      <c r="F2" s="10" t="str">
        <f>IF(SUM(D:D) = SUM(E:E), "✅ Balanced", "⚠️ Unbalanced")</f>
        <v>#REF!</v>
      </c>
    </row>
    <row r="3" ht="15.75" customHeight="1">
      <c r="B3" s="3" t="s">
        <v>3</v>
      </c>
      <c r="C3" s="8">
        <f>EOMONTH(C2,0)</f>
        <v>45869</v>
      </c>
      <c r="E3" s="11"/>
    </row>
    <row r="4" ht="15.75" customHeight="1"/>
    <row r="5" ht="15.75" customHeight="1">
      <c r="D5" s="12" t="str">
        <f t="shared" ref="D5:E5" si="1">SUM(D8:D1000)</f>
        <v>#REF!</v>
      </c>
      <c r="E5" s="12" t="str">
        <f t="shared" si="1"/>
        <v>#REF!</v>
      </c>
      <c r="F5" s="12" t="str">
        <f>D5-E5</f>
        <v>#REF!</v>
      </c>
    </row>
    <row r="6" ht="15.75" customHeight="1"/>
    <row r="7" ht="15.75" customHeight="1">
      <c r="A7" s="1" t="s">
        <v>4</v>
      </c>
      <c r="B7" s="1" t="s">
        <v>5</v>
      </c>
      <c r="C7" s="1" t="s">
        <v>6</v>
      </c>
      <c r="D7" s="1" t="s">
        <v>7</v>
      </c>
      <c r="E7" s="1" t="s">
        <v>8</v>
      </c>
      <c r="F7" s="1" t="s">
        <v>9</v>
      </c>
    </row>
    <row r="8" ht="15.75" customHeight="1">
      <c r="A8" s="1" t="str">
        <f t="array" ref="A8:A909">Helper!E99:E1000</f>
        <v/>
      </c>
      <c r="B8" s="1" t="str">
        <f t="array" ref="B8:B909">Helper!D99:D1000</f>
        <v/>
      </c>
      <c r="C8" s="13" t="str">
        <f>June_2025!F8</f>
        <v>#N/A</v>
      </c>
      <c r="D8" s="13" t="str">
        <f>IFERROR(__xludf.DUMMYFUNCTION("IFNA(QUERY(IMPORTRANGE(""https://docs.google.com/spreadsheets/d/1EHL-jm_NiShR1a2JqKbpaJGazYH90DJO150spY6io4k/edit?gid=0#gid=0"", 
""Gen_Ledger!A:N""), 
""SELECT SUM(Col10) WHERE Col7 = ""&amp;B8&amp;"" AND Col1 &gt;= DATE '"" &amp; TEXT($C$2, ""YYYY-MM-DD"") &amp; ""' AND C"&amp;"ol1 &lt;= DATE '"" &amp; TEXT($C$3, ""YYYY-MM-DD"") &amp; ""' LABEL SUM(Col10) ''"", 0), """")"),"#REF!")</f>
        <v>#REF!</v>
      </c>
      <c r="E8" s="13" t="str">
        <f>IFERROR(__xludf.DUMMYFUNCTION("IFNA(QUERY(IMPORTRANGE(""https://docs.google.com/spreadsheets/d/1EHL-jm_NiShR1a2JqKbpaJGazYH90DJO150spY6io4k/edit?gid=0#gid=0"", 
""Gen_Ledger!A:N""), 
""SELECT SUM(Col11) WHERE Col7 = ""&amp;B8&amp;"" AND Col1 &gt;= DATE '"" &amp; TEXT($C$2, ""YYYY-MM-DD"") &amp; ""' AND C"&amp;"ol1 &lt;= DATE '"" &amp; TEXT($C$3, ""YYYY-MM-DD"") &amp; ""' LABEL SUM(Col11) ''"", 0), """")"),"#REF!")</f>
        <v>#REF!</v>
      </c>
      <c r="F8" s="13" t="str">
        <f t="shared" ref="F8:F21" si="2">C8+D8-E8</f>
        <v>#N/A</v>
      </c>
    </row>
    <row r="9" ht="15.75" customHeight="1">
      <c r="A9" s="1"/>
      <c r="B9" s="1"/>
      <c r="C9" s="13" t="str">
        <f>June_2025!F9</f>
        <v>#N/A</v>
      </c>
      <c r="D9" s="13" t="str">
        <f>IFERROR(__xludf.DUMMYFUNCTION("IFNA(QUERY(IMPORTRANGE(""https://docs.google.com/spreadsheets/d/1EHL-jm_NiShR1a2JqKbpaJGazYH90DJO150spY6io4k/edit?gid=0#gid=0"", 
""Gen_Ledger!A:N""), 
""SELECT SUM(Col10) WHERE Col7 = ""&amp;B9&amp;"" AND Col1 &gt;= DATE '"" &amp; TEXT($C$2, ""YYYY-MM-DD"") &amp; ""' AND C"&amp;"ol1 &lt;= DATE '"" &amp; TEXT($C$3, ""YYYY-MM-DD"") &amp; ""' LABEL SUM(Col10) ''"", 0), """")"),"#REF!")</f>
        <v>#REF!</v>
      </c>
      <c r="E9" s="13" t="str">
        <f>IFERROR(__xludf.DUMMYFUNCTION("IFNA(QUERY(IMPORTRANGE(""https://docs.google.com/spreadsheets/d/1EHL-jm_NiShR1a2JqKbpaJGazYH90DJO150spY6io4k/edit?gid=0#gid=0"", 
""Gen_Ledger!A:N""), 
""SELECT SUM(Col11) WHERE Col7 = ""&amp;B9&amp;"" AND Col1 &gt;= DATE '"" &amp; TEXT($C$2, ""YYYY-MM-DD"") &amp; ""' AND C"&amp;"ol1 &lt;= DATE '"" &amp; TEXT($C$3, ""YYYY-MM-DD"") &amp; ""' LABEL SUM(Col11) ''"", 0), """")"),"#REF!")</f>
        <v>#REF!</v>
      </c>
      <c r="F9" s="13" t="str">
        <f t="shared" si="2"/>
        <v>#N/A</v>
      </c>
    </row>
    <row r="10" ht="15.75" customHeight="1">
      <c r="A10" s="1"/>
      <c r="B10" s="1"/>
      <c r="C10" s="13" t="str">
        <f>June_2025!F10</f>
        <v>#N/A</v>
      </c>
      <c r="D10" s="13" t="str">
        <f>IFERROR(__xludf.DUMMYFUNCTION("IFNA(QUERY(IMPORTRANGE(""https://docs.google.com/spreadsheets/d/1EHL-jm_NiShR1a2JqKbpaJGazYH90DJO150spY6io4k/edit?gid=0#gid=0"", 
""Gen_Ledger!A:N""), 
""SELECT SUM(Col10) WHERE Col7 = ""&amp;B10&amp;"" AND Col1 &gt;= DATE '"" &amp; TEXT($C$2, ""YYYY-MM-DD"") &amp; ""' AND "&amp;"Col1 &lt;= DATE '"" &amp; TEXT($C$3, ""YYYY-MM-DD"") &amp; ""' LABEL SUM(Col10) ''"", 0), """")"),"#REF!")</f>
        <v>#REF!</v>
      </c>
      <c r="E10" s="13" t="str">
        <f>IFERROR(__xludf.DUMMYFUNCTION("IFNA(QUERY(IMPORTRANGE(""https://docs.google.com/spreadsheets/d/1EHL-jm_NiShR1a2JqKbpaJGazYH90DJO150spY6io4k/edit?gid=0#gid=0"", 
""Gen_Ledger!A:N""), 
""SELECT SUM(Col11) WHERE Col7 = ""&amp;B10&amp;"" AND Col1 &gt;= DATE '"" &amp; TEXT($C$2, ""YYYY-MM-DD"") &amp; ""' AND "&amp;"Col1 &lt;= DATE '"" &amp; TEXT($C$3, ""YYYY-MM-DD"") &amp; ""' LABEL SUM(Col11) ''"", 0), """")"),"#REF!")</f>
        <v>#REF!</v>
      </c>
      <c r="F10" s="13" t="str">
        <f t="shared" si="2"/>
        <v>#N/A</v>
      </c>
    </row>
    <row r="11" ht="15.75" customHeight="1">
      <c r="A11" s="1"/>
      <c r="B11" s="1"/>
      <c r="C11" s="13" t="str">
        <f>June_2025!F11</f>
        <v>#N/A</v>
      </c>
      <c r="D11" s="13" t="str">
        <f>IFERROR(__xludf.DUMMYFUNCTION("IFNA(QUERY(IMPORTRANGE(""https://docs.google.com/spreadsheets/d/1EHL-jm_NiShR1a2JqKbpaJGazYH90DJO150spY6io4k/edit?gid=0#gid=0"", 
""Gen_Ledger!A:N""), 
""SELECT SUM(Col10) WHERE Col7 = ""&amp;B11&amp;"" AND Col1 &gt;= DATE '"" &amp; TEXT($C$2, ""YYYY-MM-DD"") &amp; ""' AND "&amp;"Col1 &lt;= DATE '"" &amp; TEXT($C$3, ""YYYY-MM-DD"") &amp; ""' LABEL SUM(Col10) ''"", 0), """")"),"#REF!")</f>
        <v>#REF!</v>
      </c>
      <c r="E11" s="13" t="str">
        <f>IFERROR(__xludf.DUMMYFUNCTION("IFNA(QUERY(IMPORTRANGE(""https://docs.google.com/spreadsheets/d/1EHL-jm_NiShR1a2JqKbpaJGazYH90DJO150spY6io4k/edit?gid=0#gid=0"", 
""Gen_Ledger!A:N""), 
""SELECT SUM(Col11) WHERE Col7 = ""&amp;B11&amp;"" AND Col1 &gt;= DATE '"" &amp; TEXT($C$2, ""YYYY-MM-DD"") &amp; ""' AND "&amp;"Col1 &lt;= DATE '"" &amp; TEXT($C$3, ""YYYY-MM-DD"") &amp; ""' LABEL SUM(Col11) ''"", 0), """")"),"#REF!")</f>
        <v>#REF!</v>
      </c>
      <c r="F11" s="13" t="str">
        <f t="shared" si="2"/>
        <v>#N/A</v>
      </c>
    </row>
    <row r="12" ht="15.75" customHeight="1">
      <c r="A12" s="1"/>
      <c r="B12" s="1"/>
      <c r="C12" s="13" t="str">
        <f>June_2025!F12</f>
        <v>#N/A</v>
      </c>
      <c r="D12" s="13" t="str">
        <f>IFERROR(__xludf.DUMMYFUNCTION("IFNA(QUERY(IMPORTRANGE(""https://docs.google.com/spreadsheets/d/1EHL-jm_NiShR1a2JqKbpaJGazYH90DJO150spY6io4k/edit?gid=0#gid=0"", 
""Gen_Ledger!A:N""), 
""SELECT SUM(Col10) WHERE Col7 = ""&amp;B12&amp;"" AND Col1 &gt;= DATE '"" &amp; TEXT($C$2, ""YYYY-MM-DD"") &amp; ""' AND "&amp;"Col1 &lt;= DATE '"" &amp; TEXT($C$3, ""YYYY-MM-DD"") &amp; ""' LABEL SUM(Col10) ''"", 0), """")"),"#REF!")</f>
        <v>#REF!</v>
      </c>
      <c r="E12" s="13" t="str">
        <f>IFERROR(__xludf.DUMMYFUNCTION("IFNA(QUERY(IMPORTRANGE(""https://docs.google.com/spreadsheets/d/1EHL-jm_NiShR1a2JqKbpaJGazYH90DJO150spY6io4k/edit?gid=0#gid=0"", 
""Gen_Ledger!A:N""), 
""SELECT SUM(Col11) WHERE Col7 = ""&amp;B12&amp;"" AND Col1 &gt;= DATE '"" &amp; TEXT($C$2, ""YYYY-MM-DD"") &amp; ""' AND "&amp;"Col1 &lt;= DATE '"" &amp; TEXT($C$3, ""YYYY-MM-DD"") &amp; ""' LABEL SUM(Col11) ''"", 0), """")"),"#REF!")</f>
        <v>#REF!</v>
      </c>
      <c r="F12" s="13" t="str">
        <f t="shared" si="2"/>
        <v>#N/A</v>
      </c>
    </row>
    <row r="13" ht="15.75" customHeight="1">
      <c r="A13" s="1"/>
      <c r="B13" s="1"/>
      <c r="C13" s="13" t="str">
        <f>June_2025!F13</f>
        <v>#N/A</v>
      </c>
      <c r="D13" s="13" t="str">
        <f>IFERROR(__xludf.DUMMYFUNCTION("IFNA(QUERY(IMPORTRANGE(""https://docs.google.com/spreadsheets/d/1EHL-jm_NiShR1a2JqKbpaJGazYH90DJO150spY6io4k/edit?gid=0#gid=0"", 
""Gen_Ledger!A:N""), 
""SELECT SUM(Col10) WHERE Col7 = ""&amp;B13&amp;"" AND Col1 &gt;= DATE '"" &amp; TEXT($C$2, ""YYYY-MM-DD"") &amp; ""' AND "&amp;"Col1 &lt;= DATE '"" &amp; TEXT($C$3, ""YYYY-MM-DD"") &amp; ""' LABEL SUM(Col10) ''"", 0), """")"),"#REF!")</f>
        <v>#REF!</v>
      </c>
      <c r="E13" s="13" t="str">
        <f>IFERROR(__xludf.DUMMYFUNCTION("IFNA(QUERY(IMPORTRANGE(""https://docs.google.com/spreadsheets/d/1EHL-jm_NiShR1a2JqKbpaJGazYH90DJO150spY6io4k/edit?gid=0#gid=0"", 
""Gen_Ledger!A:N""), 
""SELECT SUM(Col11) WHERE Col7 = ""&amp;B13&amp;"" AND Col1 &gt;= DATE '"" &amp; TEXT($C$2, ""YYYY-MM-DD"") &amp; ""' AND "&amp;"Col1 &lt;= DATE '"" &amp; TEXT($C$3, ""YYYY-MM-DD"") &amp; ""' LABEL SUM(Col11) ''"", 0), """")"),"#REF!")</f>
        <v>#REF!</v>
      </c>
      <c r="F13" s="13" t="str">
        <f t="shared" si="2"/>
        <v>#N/A</v>
      </c>
      <c r="I13" s="4"/>
    </row>
    <row r="14" ht="15.75" customHeight="1">
      <c r="A14" s="1"/>
      <c r="B14" s="1"/>
      <c r="C14" s="13" t="str">
        <f>June_2025!F14</f>
        <v>#N/A</v>
      </c>
      <c r="D14" s="13" t="str">
        <f>IFERROR(__xludf.DUMMYFUNCTION("IFNA(QUERY(IMPORTRANGE(""https://docs.google.com/spreadsheets/d/1EHL-jm_NiShR1a2JqKbpaJGazYH90DJO150spY6io4k/edit?gid=0#gid=0"", 
""Gen_Ledger!A:N""), 
""SELECT SUM(Col10) WHERE Col7 = ""&amp;B14&amp;"" AND Col1 &gt;= DATE '"" &amp; TEXT($C$2, ""YYYY-MM-DD"") &amp; ""' AND "&amp;"Col1 &lt;= DATE '"" &amp; TEXT($C$3, ""YYYY-MM-DD"") &amp; ""' LABEL SUM(Col10) ''"", 0), """")"),"#REF!")</f>
        <v>#REF!</v>
      </c>
      <c r="E14" s="13" t="str">
        <f>IFERROR(__xludf.DUMMYFUNCTION("IFNA(QUERY(IMPORTRANGE(""https://docs.google.com/spreadsheets/d/1EHL-jm_NiShR1a2JqKbpaJGazYH90DJO150spY6io4k/edit?gid=0#gid=0"", 
""Gen_Ledger!A:N""), 
""SELECT SUM(Col11) WHERE Col7 = ""&amp;B14&amp;"" AND Col1 &gt;= DATE '"" &amp; TEXT($C$2, ""YYYY-MM-DD"") &amp; ""' AND "&amp;"Col1 &lt;= DATE '"" &amp; TEXT($C$3, ""YYYY-MM-DD"") &amp; ""' LABEL SUM(Col11) ''"", 0), """")"),"#REF!")</f>
        <v>#REF!</v>
      </c>
      <c r="F14" s="13" t="str">
        <f t="shared" si="2"/>
        <v>#N/A</v>
      </c>
    </row>
    <row r="15" ht="15.75" customHeight="1">
      <c r="A15" s="1"/>
      <c r="B15" s="1"/>
      <c r="C15" s="13" t="str">
        <f>June_2025!F15</f>
        <v>#N/A</v>
      </c>
      <c r="D15" s="13" t="str">
        <f>IFERROR(__xludf.DUMMYFUNCTION("IFNA(QUERY(IMPORTRANGE(""https://docs.google.com/spreadsheets/d/1EHL-jm_NiShR1a2JqKbpaJGazYH90DJO150spY6io4k/edit?gid=0#gid=0"", 
""Gen_Ledger!A:N""), 
""SELECT SUM(Col10) WHERE Col7 = ""&amp;B15&amp;"" AND Col1 &gt;= DATE '"" &amp; TEXT($C$2, ""YYYY-MM-DD"") &amp; ""' AND "&amp;"Col1 &lt;= DATE '"" &amp; TEXT($C$3, ""YYYY-MM-DD"") &amp; ""' LABEL SUM(Col10) ''"", 0), """")"),"#REF!")</f>
        <v>#REF!</v>
      </c>
      <c r="E15" s="13" t="str">
        <f>IFERROR(__xludf.DUMMYFUNCTION("IFNA(QUERY(IMPORTRANGE(""https://docs.google.com/spreadsheets/d/1EHL-jm_NiShR1a2JqKbpaJGazYH90DJO150spY6io4k/edit?gid=0#gid=0"", 
""Gen_Ledger!A:N""), 
""SELECT SUM(Col11) WHERE Col7 = ""&amp;B15&amp;"" AND Col1 &gt;= DATE '"" &amp; TEXT($C$2, ""YYYY-MM-DD"") &amp; ""' AND "&amp;"Col1 &lt;= DATE '"" &amp; TEXT($C$3, ""YYYY-MM-DD"") &amp; ""' LABEL SUM(Col11) ''"", 0), """")"),"#REF!")</f>
        <v>#REF!</v>
      </c>
      <c r="F15" s="13" t="str">
        <f t="shared" si="2"/>
        <v>#N/A</v>
      </c>
    </row>
    <row r="16" ht="15.75" customHeight="1">
      <c r="A16" s="1"/>
      <c r="B16" s="1"/>
      <c r="C16" s="13" t="str">
        <f>June_2025!F16</f>
        <v>#N/A</v>
      </c>
      <c r="D16" s="13" t="str">
        <f>IFERROR(__xludf.DUMMYFUNCTION("IFNA(QUERY(IMPORTRANGE(""https://docs.google.com/spreadsheets/d/1EHL-jm_NiShR1a2JqKbpaJGazYH90DJO150spY6io4k/edit?gid=0#gid=0"", 
""Gen_Ledger!A:N""), 
""SELECT SUM(Col10) WHERE Col7 = ""&amp;B16&amp;"" AND Col1 &gt;= DATE '"" &amp; TEXT($C$2, ""YYYY-MM-DD"") &amp; ""' AND "&amp;"Col1 &lt;= DATE '"" &amp; TEXT($C$3, ""YYYY-MM-DD"") &amp; ""' LABEL SUM(Col10) ''"", 0), """")"),"#REF!")</f>
        <v>#REF!</v>
      </c>
      <c r="E16" s="13" t="str">
        <f>IFERROR(__xludf.DUMMYFUNCTION("IFNA(QUERY(IMPORTRANGE(""https://docs.google.com/spreadsheets/d/1EHL-jm_NiShR1a2JqKbpaJGazYH90DJO150spY6io4k/edit?gid=0#gid=0"", 
""Gen_Ledger!A:N""), 
""SELECT SUM(Col11) WHERE Col7 = ""&amp;B16&amp;"" AND Col1 &gt;= DATE '"" &amp; TEXT($C$2, ""YYYY-MM-DD"") &amp; ""' AND "&amp;"Col1 &lt;= DATE '"" &amp; TEXT($C$3, ""YYYY-MM-DD"") &amp; ""' LABEL SUM(Col11) ''"", 0), """")"),"#REF!")</f>
        <v>#REF!</v>
      </c>
      <c r="F16" s="13" t="str">
        <f t="shared" si="2"/>
        <v>#N/A</v>
      </c>
    </row>
    <row r="17" ht="15.75" customHeight="1">
      <c r="A17" s="1"/>
      <c r="B17" s="1"/>
      <c r="C17" s="13" t="str">
        <f>June_2025!F17</f>
        <v>#N/A</v>
      </c>
      <c r="D17" s="13" t="str">
        <f>IFERROR(__xludf.DUMMYFUNCTION("IFNA(QUERY(IMPORTRANGE(""https://docs.google.com/spreadsheets/d/1EHL-jm_NiShR1a2JqKbpaJGazYH90DJO150spY6io4k/edit?gid=0#gid=0"", 
""Gen_Ledger!A:N""), 
""SELECT SUM(Col10) WHERE Col7 = ""&amp;B17&amp;"" AND Col1 &gt;= DATE '"" &amp; TEXT($C$2, ""YYYY-MM-DD"") &amp; ""' AND "&amp;"Col1 &lt;= DATE '"" &amp; TEXT($C$3, ""YYYY-MM-DD"") &amp; ""' LABEL SUM(Col10) ''"", 0), """")"),"#REF!")</f>
        <v>#REF!</v>
      </c>
      <c r="E17" s="13" t="str">
        <f>IFERROR(__xludf.DUMMYFUNCTION("IFNA(QUERY(IMPORTRANGE(""https://docs.google.com/spreadsheets/d/1EHL-jm_NiShR1a2JqKbpaJGazYH90DJO150spY6io4k/edit?gid=0#gid=0"", 
""Gen_Ledger!A:N""), 
""SELECT SUM(Col11) WHERE Col7 = ""&amp;B17&amp;"" AND Col1 &gt;= DATE '"" &amp; TEXT($C$2, ""YYYY-MM-DD"") &amp; ""' AND "&amp;"Col1 &lt;= DATE '"" &amp; TEXT($C$3, ""YYYY-MM-DD"") &amp; ""' LABEL SUM(Col11) ''"", 0), """")"),"#REF!")</f>
        <v>#REF!</v>
      </c>
      <c r="F17" s="13" t="str">
        <f t="shared" si="2"/>
        <v>#N/A</v>
      </c>
    </row>
    <row r="18" ht="15.75" customHeight="1">
      <c r="A18" s="1"/>
      <c r="B18" s="1"/>
      <c r="C18" s="13" t="str">
        <f>June_2025!F18</f>
        <v>#N/A</v>
      </c>
      <c r="D18" s="13" t="str">
        <f>IFERROR(__xludf.DUMMYFUNCTION("IFNA(QUERY(IMPORTRANGE(""https://docs.google.com/spreadsheets/d/1EHL-jm_NiShR1a2JqKbpaJGazYH90DJO150spY6io4k/edit?gid=0#gid=0"", 
""Gen_Ledger!A:N""), 
""SELECT SUM(Col10) WHERE Col7 = ""&amp;B18&amp;"" AND Col1 &gt;= DATE '"" &amp; TEXT($C$2, ""YYYY-MM-DD"") &amp; ""' AND "&amp;"Col1 &lt;= DATE '"" &amp; TEXT($C$3, ""YYYY-MM-DD"") &amp; ""' LABEL SUM(Col10) ''"", 0), """")"),"#REF!")</f>
        <v>#REF!</v>
      </c>
      <c r="E18" s="13" t="str">
        <f>IFERROR(__xludf.DUMMYFUNCTION("IFNA(QUERY(IMPORTRANGE(""https://docs.google.com/spreadsheets/d/1EHL-jm_NiShR1a2JqKbpaJGazYH90DJO150spY6io4k/edit?gid=0#gid=0"", 
""Gen_Ledger!A:N""), 
""SELECT SUM(Col11) WHERE Col7 = ""&amp;B18&amp;"" AND Col1 &gt;= DATE '"" &amp; TEXT($C$2, ""YYYY-MM-DD"") &amp; ""' AND "&amp;"Col1 &lt;= DATE '"" &amp; TEXT($C$3, ""YYYY-MM-DD"") &amp; ""' LABEL SUM(Col11) ''"", 0), """")"),"#REF!")</f>
        <v>#REF!</v>
      </c>
      <c r="F18" s="13" t="str">
        <f t="shared" si="2"/>
        <v>#N/A</v>
      </c>
    </row>
    <row r="19" ht="15.75" customHeight="1">
      <c r="A19" s="1"/>
      <c r="B19" s="1"/>
      <c r="C19" s="13" t="str">
        <f>June_2025!F19</f>
        <v>#N/A</v>
      </c>
      <c r="D19" s="13" t="str">
        <f>IFERROR(__xludf.DUMMYFUNCTION("IFNA(QUERY(IMPORTRANGE(""https://docs.google.com/spreadsheets/d/1EHL-jm_NiShR1a2JqKbpaJGazYH90DJO150spY6io4k/edit?gid=0#gid=0"", 
""Gen_Ledger!A:N""), 
""SELECT SUM(Col10) WHERE Col7 = ""&amp;B19&amp;"" AND Col1 &gt;= DATE '"" &amp; TEXT($C$2, ""YYYY-MM-DD"") &amp; ""' AND "&amp;"Col1 &lt;= DATE '"" &amp; TEXT($C$3, ""YYYY-MM-DD"") &amp; ""' LABEL SUM(Col10) ''"", 0), """")"),"#REF!")</f>
        <v>#REF!</v>
      </c>
      <c r="E19" s="13" t="str">
        <f>IFERROR(__xludf.DUMMYFUNCTION("IFNA(QUERY(IMPORTRANGE(""https://docs.google.com/spreadsheets/d/1EHL-jm_NiShR1a2JqKbpaJGazYH90DJO150spY6io4k/edit?gid=0#gid=0"", 
""Gen_Ledger!A:N""), 
""SELECT SUM(Col11) WHERE Col7 = ""&amp;B19&amp;"" AND Col1 &gt;= DATE '"" &amp; TEXT($C$2, ""YYYY-MM-DD"") &amp; ""' AND "&amp;"Col1 &lt;= DATE '"" &amp; TEXT($C$3, ""YYYY-MM-DD"") &amp; ""' LABEL SUM(Col11) ''"", 0), """")"),"#REF!")</f>
        <v>#REF!</v>
      </c>
      <c r="F19" s="13" t="str">
        <f t="shared" si="2"/>
        <v>#N/A</v>
      </c>
    </row>
    <row r="20" ht="15.75" customHeight="1">
      <c r="A20" s="1"/>
      <c r="B20" s="1"/>
      <c r="C20" s="13" t="str">
        <f>June_2025!F20</f>
        <v>#N/A</v>
      </c>
      <c r="D20" s="13" t="str">
        <f>IFERROR(__xludf.DUMMYFUNCTION("IFNA(QUERY(IMPORTRANGE(""https://docs.google.com/spreadsheets/d/1EHL-jm_NiShR1a2JqKbpaJGazYH90DJO150spY6io4k/edit?gid=0#gid=0"", 
""Gen_Ledger!A:N""), 
""SELECT SUM(Col10) WHERE Col7 = ""&amp;B20&amp;"" AND Col1 &gt;= DATE '"" &amp; TEXT($C$2, ""YYYY-MM-DD"") &amp; ""' AND "&amp;"Col1 &lt;= DATE '"" &amp; TEXT($C$3, ""YYYY-MM-DD"") &amp; ""' LABEL SUM(Col10) ''"", 0), """")"),"#REF!")</f>
        <v>#REF!</v>
      </c>
      <c r="E20" s="13" t="str">
        <f>IFERROR(__xludf.DUMMYFUNCTION("IFNA(QUERY(IMPORTRANGE(""https://docs.google.com/spreadsheets/d/1EHL-jm_NiShR1a2JqKbpaJGazYH90DJO150spY6io4k/edit?gid=0#gid=0"", 
""Gen_Ledger!A:N""), 
""SELECT SUM(Col11) WHERE Col7 = ""&amp;B20&amp;"" AND Col1 &gt;= DATE '"" &amp; TEXT($C$2, ""YYYY-MM-DD"") &amp; ""' AND "&amp;"Col1 &lt;= DATE '"" &amp; TEXT($C$3, ""YYYY-MM-DD"") &amp; ""' LABEL SUM(Col11) ''"", 0), """")"),"#REF!")</f>
        <v>#REF!</v>
      </c>
      <c r="F20" s="13" t="str">
        <f t="shared" si="2"/>
        <v>#N/A</v>
      </c>
    </row>
    <row r="21" ht="15.75" customHeight="1">
      <c r="A21" s="1"/>
      <c r="B21" s="1"/>
      <c r="C21" s="13" t="str">
        <f>June_2025!F21</f>
        <v>#N/A</v>
      </c>
      <c r="D21" s="13" t="str">
        <f>IFERROR(__xludf.DUMMYFUNCTION("IFNA(QUERY(IMPORTRANGE(""https://docs.google.com/spreadsheets/d/1EHL-jm_NiShR1a2JqKbpaJGazYH90DJO150spY6io4k/edit?gid=0#gid=0"", 
""Gen_Ledger!A:N""), 
""SELECT SUM(Col10) WHERE Col7 = ""&amp;B21&amp;"" AND Col1 &gt;= DATE '"" &amp; TEXT($C$2, ""YYYY-MM-DD"") &amp; ""' AND "&amp;"Col1 &lt;= DATE '"" &amp; TEXT($C$3, ""YYYY-MM-DD"") &amp; ""' LABEL SUM(Col10) ''"", 0), """")"),"#REF!")</f>
        <v>#REF!</v>
      </c>
      <c r="E21" s="13" t="str">
        <f>IFERROR(__xludf.DUMMYFUNCTION("IFNA(QUERY(IMPORTRANGE(""https://docs.google.com/spreadsheets/d/1EHL-jm_NiShR1a2JqKbpaJGazYH90DJO150spY6io4k/edit?gid=0#gid=0"", 
""Gen_Ledger!A:N""), 
""SELECT SUM(Col11) WHERE Col7 = ""&amp;B21&amp;"" AND Col1 &gt;= DATE '"" &amp; TEXT($C$2, ""YYYY-MM-DD"") &amp; ""' AND "&amp;"Col1 &lt;= DATE '"" &amp; TEXT($C$3, ""YYYY-MM-DD"") &amp; ""' LABEL SUM(Col11) ''"", 0), """")"),"#REF!")</f>
        <v>#REF!</v>
      </c>
      <c r="F21" s="13" t="str">
        <f t="shared" si="2"/>
        <v>#N/A</v>
      </c>
      <c r="M21" s="12"/>
    </row>
    <row r="22" ht="15.75" customHeight="1">
      <c r="A22" s="1"/>
      <c r="B22" s="1"/>
      <c r="C22" s="13" t="str">
        <f>June_2025!F22</f>
        <v>#N/A</v>
      </c>
      <c r="D22" s="13" t="str">
        <f>IFERROR(__xludf.DUMMYFUNCTION("IFNA(QUERY(IMPORTRANGE(""https://docs.google.com/spreadsheets/d/1EHL-jm_NiShR1a2JqKbpaJGazYH90DJO150spY6io4k/edit?gid=0#gid=0"", 
""Gen_Ledger!A:N""), 
""SELECT SUM(Col10) WHERE Col7 = ""&amp;B22&amp;"" AND Col1 &gt;= DATE '"" &amp; TEXT($C$2, ""YYYY-MM-DD"") &amp; ""' AND "&amp;"Col1 &lt;= DATE '"" &amp; TEXT($C$3, ""YYYY-MM-DD"") &amp; ""' LABEL SUM(Col10) ''"", 0), """")"),"#REF!")</f>
        <v>#REF!</v>
      </c>
      <c r="E22" s="13" t="str">
        <f>IFERROR(__xludf.DUMMYFUNCTION("IFNA(QUERY(IMPORTRANGE(""https://docs.google.com/spreadsheets/d/1EHL-jm_NiShR1a2JqKbpaJGazYH90DJO150spY6io4k/edit?gid=0#gid=0"", 
""Gen_Ledger!A:N""), 
""SELECT SUM(Col11) WHERE Col7 = ""&amp;B22&amp;"" AND Col1 &gt;= DATE '"" &amp; TEXT($C$2, ""YYYY-MM-DD"") &amp; ""' AND "&amp;"Col1 &lt;= DATE '"" &amp; TEXT($C$3, ""YYYY-MM-DD"") &amp; ""' LABEL SUM(Col11) ''"", 0), """")"),"#REF!")</f>
        <v>#REF!</v>
      </c>
      <c r="F22" s="13" t="str">
        <f t="shared" ref="F22:F25" si="3">C22+E22</f>
        <v>#N/A</v>
      </c>
      <c r="M22" s="12"/>
    </row>
    <row r="23" ht="15.75" customHeight="1">
      <c r="A23" s="1"/>
      <c r="B23" s="1"/>
      <c r="C23" s="13" t="str">
        <f>June_2025!F23</f>
        <v>#N/A</v>
      </c>
      <c r="D23" s="13" t="str">
        <f>IFERROR(__xludf.DUMMYFUNCTION("IFNA(QUERY(IMPORTRANGE(""https://docs.google.com/spreadsheets/d/1EHL-jm_NiShR1a2JqKbpaJGazYH90DJO150spY6io4k/edit?gid=0#gid=0"", 
""Gen_Ledger!A:N""), 
""SELECT SUM(Col10) WHERE Col7 = ""&amp;B23&amp;"" AND Col1 &gt;= DATE '"" &amp; TEXT($C$2, ""YYYY-MM-DD"") &amp; ""' AND "&amp;"Col1 &lt;= DATE '"" &amp; TEXT($C$3, ""YYYY-MM-DD"") &amp; ""' LABEL SUM(Col10) ''"", 0), """")"),"#REF!")</f>
        <v>#REF!</v>
      </c>
      <c r="E23" s="13" t="str">
        <f>IFERROR(__xludf.DUMMYFUNCTION("IFNA(QUERY(IMPORTRANGE(""https://docs.google.com/spreadsheets/d/1EHL-jm_NiShR1a2JqKbpaJGazYH90DJO150spY6io4k/edit?gid=0#gid=0"", 
""Gen_Ledger!A:N""), 
""SELECT SUM(Col11) WHERE Col7 = ""&amp;B23&amp;"" AND Col1 &gt;= DATE '"" &amp; TEXT($C$2, ""YYYY-MM-DD"") &amp; ""' AND "&amp;"Col1 &lt;= DATE '"" &amp; TEXT($C$3, ""YYYY-MM-DD"") &amp; ""' LABEL SUM(Col11) ''"", 0), """")"),"#REF!")</f>
        <v>#REF!</v>
      </c>
      <c r="F23" s="13" t="str">
        <f t="shared" si="3"/>
        <v>#N/A</v>
      </c>
      <c r="M23" s="12"/>
    </row>
    <row r="24" ht="15.75" customHeight="1">
      <c r="A24" s="1"/>
      <c r="B24" s="1"/>
      <c r="C24" s="13" t="str">
        <f>June_2025!F24</f>
        <v>#N/A</v>
      </c>
      <c r="D24" s="13" t="str">
        <f>IFERROR(__xludf.DUMMYFUNCTION("IFNA(QUERY(IMPORTRANGE(""https://docs.google.com/spreadsheets/d/1EHL-jm_NiShR1a2JqKbpaJGazYH90DJO150spY6io4k/edit?gid=0#gid=0"", 
""Gen_Ledger!A:N""), 
""SELECT SUM(Col10) WHERE Col7 = ""&amp;B24&amp;"" AND Col1 &gt;= DATE '"" &amp; TEXT($C$2, ""YYYY-MM-DD"") &amp; ""' AND "&amp;"Col1 &lt;= DATE '"" &amp; TEXT($C$3, ""YYYY-MM-DD"") &amp; ""' LABEL SUM(Col10) ''"", 0), """")"),"#REF!")</f>
        <v>#REF!</v>
      </c>
      <c r="E24" s="13" t="str">
        <f>IFERROR(__xludf.DUMMYFUNCTION("IFNA(QUERY(IMPORTRANGE(""https://docs.google.com/spreadsheets/d/1EHL-jm_NiShR1a2JqKbpaJGazYH90DJO150spY6io4k/edit?gid=0#gid=0"", 
""Gen_Ledger!A:N""), 
""SELECT SUM(Col11) WHERE Col7 = ""&amp;B24&amp;"" AND Col1 &gt;= DATE '"" &amp; TEXT($C$2, ""YYYY-MM-DD"") &amp; ""' AND "&amp;"Col1 &lt;= DATE '"" &amp; TEXT($C$3, ""YYYY-MM-DD"") &amp; ""' LABEL SUM(Col11) ''"", 0), """")"),"#REF!")</f>
        <v>#REF!</v>
      </c>
      <c r="F24" s="13" t="str">
        <f t="shared" si="3"/>
        <v>#N/A</v>
      </c>
      <c r="M24" s="12"/>
    </row>
    <row r="25" ht="15.75" customHeight="1">
      <c r="A25" s="1"/>
      <c r="B25" s="1"/>
      <c r="C25" s="13" t="str">
        <f>June_2025!F25</f>
        <v>#N/A</v>
      </c>
      <c r="D25" s="13" t="str">
        <f>IFERROR(__xludf.DUMMYFUNCTION("IFNA(QUERY(IMPORTRANGE(""https://docs.google.com/spreadsheets/d/1EHL-jm_NiShR1a2JqKbpaJGazYH90DJO150spY6io4k/edit?gid=0#gid=0"", 
""Gen_Ledger!A:N""), 
""SELECT SUM(Col10) WHERE Col7 = ""&amp;B25&amp;"" AND Col1 &gt;= DATE '"" &amp; TEXT($C$2, ""YYYY-MM-DD"") &amp; ""' AND "&amp;"Col1 &lt;= DATE '"" &amp; TEXT($C$3, ""YYYY-MM-DD"") &amp; ""' LABEL SUM(Col10) ''"", 0), """")"),"#REF!")</f>
        <v>#REF!</v>
      </c>
      <c r="E25" s="13" t="str">
        <f>IFERROR(__xludf.DUMMYFUNCTION("IFNA(QUERY(IMPORTRANGE(""https://docs.google.com/spreadsheets/d/1EHL-jm_NiShR1a2JqKbpaJGazYH90DJO150spY6io4k/edit?gid=0#gid=0"", 
""Gen_Ledger!A:N""), 
""SELECT SUM(Col11) WHERE Col7 = ""&amp;B25&amp;"" AND Col1 &gt;= DATE '"" &amp; TEXT($C$2, ""YYYY-MM-DD"") &amp; ""' AND "&amp;"Col1 &lt;= DATE '"" &amp; TEXT($C$3, ""YYYY-MM-DD"") &amp; ""' LABEL SUM(Col11) ''"", 0), """")"),"#REF!")</f>
        <v>#REF!</v>
      </c>
      <c r="F25" s="13" t="str">
        <f t="shared" si="3"/>
        <v>#N/A</v>
      </c>
    </row>
    <row r="26" ht="15.75" customHeight="1">
      <c r="A26" s="1"/>
      <c r="B26" s="1"/>
      <c r="C26" s="13" t="str">
        <f>June_2025!F26</f>
        <v>#N/A</v>
      </c>
      <c r="D26" s="13" t="str">
        <f>IFERROR(__xludf.DUMMYFUNCTION("IFNA(QUERY(IMPORTRANGE(""https://docs.google.com/spreadsheets/d/1EHL-jm_NiShR1a2JqKbpaJGazYH90DJO150spY6io4k/edit?gid=0#gid=0"", 
""Gen_Ledger!A:N""), 
""SELECT SUM(Col10) WHERE Col7 = ""&amp;B26&amp;"" AND Col1 &gt;= DATE '"" &amp; TEXT($C$2, ""YYYY-MM-DD"") &amp; ""' AND "&amp;"Col1 &lt;= DATE '"" &amp; TEXT($C$3, ""YYYY-MM-DD"") &amp; ""' LABEL SUM(Col10) ''"", 0), """")"),"#REF!")</f>
        <v>#REF!</v>
      </c>
      <c r="E26" s="13" t="str">
        <f>IFERROR(__xludf.DUMMYFUNCTION("IFNA(QUERY(IMPORTRANGE(""https://docs.google.com/spreadsheets/d/1EHL-jm_NiShR1a2JqKbpaJGazYH90DJO150spY6io4k/edit?gid=0#gid=0"", 
""Gen_Ledger!A:N""), 
""SELECT SUM(Col11) WHERE Col7 = ""&amp;B26&amp;"" AND Col1 &gt;= DATE '"" &amp; TEXT($C$2, ""YYYY-MM-DD"") &amp; ""' AND "&amp;"Col1 &lt;= DATE '"" &amp; TEXT($C$3, ""YYYY-MM-DD"") &amp; ""' LABEL SUM(Col11) ''"", 0), """")"),"#REF!")</f>
        <v>#REF!</v>
      </c>
      <c r="F26" s="13" t="str">
        <f t="shared" ref="F26:F36" si="4">C26+E26-D26</f>
        <v>#N/A</v>
      </c>
    </row>
    <row r="27" ht="15.75" customHeight="1">
      <c r="A27" s="1"/>
      <c r="B27" s="1"/>
      <c r="C27" s="13" t="str">
        <f>June_2025!F27</f>
        <v>#N/A</v>
      </c>
      <c r="D27" s="13" t="str">
        <f>IFERROR(__xludf.DUMMYFUNCTION("IFNA(QUERY(IMPORTRANGE(""https://docs.google.com/spreadsheets/d/1EHL-jm_NiShR1a2JqKbpaJGazYH90DJO150spY6io4k/edit?gid=0#gid=0"", 
""Gen_Ledger!A:N""), 
""SELECT SUM(Col10) WHERE Col7 = ""&amp;B27&amp;"" AND Col1 &gt;= DATE '"" &amp; TEXT($C$2, ""YYYY-MM-DD"") &amp; ""' AND "&amp;"Col1 &lt;= DATE '"" &amp; TEXT($C$3, ""YYYY-MM-DD"") &amp; ""' LABEL SUM(Col10) ''"", 0), """")"),"#REF!")</f>
        <v>#REF!</v>
      </c>
      <c r="E27" s="13" t="str">
        <f>IFERROR(__xludf.DUMMYFUNCTION("IFNA(QUERY(IMPORTRANGE(""https://docs.google.com/spreadsheets/d/1EHL-jm_NiShR1a2JqKbpaJGazYH90DJO150spY6io4k/edit?gid=0#gid=0"", 
""Gen_Ledger!A:N""), 
""SELECT SUM(Col11) WHERE Col7 = ""&amp;B27&amp;"" AND Col1 &gt;= DATE '"" &amp; TEXT($C$2, ""YYYY-MM-DD"") &amp; ""' AND "&amp;"Col1 &lt;= DATE '"" &amp; TEXT($C$3, ""YYYY-MM-DD"") &amp; ""' LABEL SUM(Col11) ''"", 0), """")"),"#REF!")</f>
        <v>#REF!</v>
      </c>
      <c r="F27" s="13" t="str">
        <f t="shared" si="4"/>
        <v>#N/A</v>
      </c>
    </row>
    <row r="28" ht="15.75" customHeight="1">
      <c r="A28" s="1"/>
      <c r="B28" s="1"/>
      <c r="C28" s="13" t="str">
        <f>June_2025!F28</f>
        <v>#N/A</v>
      </c>
      <c r="D28" s="13" t="str">
        <f>IFERROR(__xludf.DUMMYFUNCTION("IFNA(QUERY(IMPORTRANGE(""https://docs.google.com/spreadsheets/d/1EHL-jm_NiShR1a2JqKbpaJGazYH90DJO150spY6io4k/edit?gid=0#gid=0"", 
""Gen_Ledger!A:N""), 
""SELECT SUM(Col10) WHERE Col7 = ""&amp;B28&amp;"" AND Col1 &gt;= DATE '"" &amp; TEXT($C$2, ""YYYY-MM-DD"") &amp; ""' AND "&amp;"Col1 &lt;= DATE '"" &amp; TEXT($C$3, ""YYYY-MM-DD"") &amp; ""' LABEL SUM(Col10) ''"", 0), """")"),"#REF!")</f>
        <v>#REF!</v>
      </c>
      <c r="E28" s="13" t="str">
        <f>IFERROR(__xludf.DUMMYFUNCTION("IFNA(QUERY(IMPORTRANGE(""https://docs.google.com/spreadsheets/d/1EHL-jm_NiShR1a2JqKbpaJGazYH90DJO150spY6io4k/edit?gid=0#gid=0"", 
""Gen_Ledger!A:N""), 
""SELECT SUM(Col11) WHERE Col7 = ""&amp;B28&amp;"" AND Col1 &gt;= DATE '"" &amp; TEXT($C$2, ""YYYY-MM-DD"") &amp; ""' AND "&amp;"Col1 &lt;= DATE '"" &amp; TEXT($C$3, ""YYYY-MM-DD"") &amp; ""' LABEL SUM(Col11) ''"", 0), """")"),"#REF!")</f>
        <v>#REF!</v>
      </c>
      <c r="F28" s="13" t="str">
        <f t="shared" si="4"/>
        <v>#N/A</v>
      </c>
    </row>
    <row r="29" ht="15.75" customHeight="1">
      <c r="A29" s="1"/>
      <c r="B29" s="1"/>
      <c r="C29" s="13" t="str">
        <f>June_2025!F29</f>
        <v>#N/A</v>
      </c>
      <c r="D29" s="13" t="str">
        <f>IFERROR(__xludf.DUMMYFUNCTION("IFNA(QUERY(IMPORTRANGE(""https://docs.google.com/spreadsheets/d/1EHL-jm_NiShR1a2JqKbpaJGazYH90DJO150spY6io4k/edit?gid=0#gid=0"", 
""Gen_Ledger!A:N""), 
""SELECT SUM(Col10) WHERE Col7 = ""&amp;B29&amp;"" AND Col1 &gt;= DATE '"" &amp; TEXT($C$2, ""YYYY-MM-DD"") &amp; ""' AND "&amp;"Col1 &lt;= DATE '"" &amp; TEXT($C$3, ""YYYY-MM-DD"") &amp; ""' LABEL SUM(Col10) ''"", 0), """")"),"#REF!")</f>
        <v>#REF!</v>
      </c>
      <c r="E29" s="13" t="str">
        <f>IFERROR(__xludf.DUMMYFUNCTION("IFNA(QUERY(IMPORTRANGE(""https://docs.google.com/spreadsheets/d/1EHL-jm_NiShR1a2JqKbpaJGazYH90DJO150spY6io4k/edit?gid=0#gid=0"", 
""Gen_Ledger!A:N""), 
""SELECT SUM(Col11) WHERE Col7 = ""&amp;B29&amp;"" AND Col1 &gt;= DATE '"" &amp; TEXT($C$2, ""YYYY-MM-DD"") &amp; ""' AND "&amp;"Col1 &lt;= DATE '"" &amp; TEXT($C$3, ""YYYY-MM-DD"") &amp; ""' LABEL SUM(Col11) ''"", 0), """")"),"#REF!")</f>
        <v>#REF!</v>
      </c>
      <c r="F29" s="13" t="str">
        <f t="shared" si="4"/>
        <v>#N/A</v>
      </c>
    </row>
    <row r="30" ht="15.75" customHeight="1">
      <c r="A30" s="1"/>
      <c r="B30" s="1"/>
      <c r="C30" s="13" t="str">
        <f>June_2025!F30</f>
        <v>#N/A</v>
      </c>
      <c r="D30" s="13" t="str">
        <f>IFERROR(__xludf.DUMMYFUNCTION("IFNA(QUERY(IMPORTRANGE(""https://docs.google.com/spreadsheets/d/1EHL-jm_NiShR1a2JqKbpaJGazYH90DJO150spY6io4k/edit?gid=0#gid=0"", 
""Gen_Ledger!A:N""), 
""SELECT SUM(Col10) WHERE Col7 = ""&amp;B30&amp;"" AND Col1 &gt;= DATE '"" &amp; TEXT($C$2, ""YYYY-MM-DD"") &amp; ""' AND "&amp;"Col1 &lt;= DATE '"" &amp; TEXT($C$3, ""YYYY-MM-DD"") &amp; ""' LABEL SUM(Col10) ''"", 0), """")"),"#REF!")</f>
        <v>#REF!</v>
      </c>
      <c r="E30" s="13" t="str">
        <f>IFERROR(__xludf.DUMMYFUNCTION("IFNA(QUERY(IMPORTRANGE(""https://docs.google.com/spreadsheets/d/1EHL-jm_NiShR1a2JqKbpaJGazYH90DJO150spY6io4k/edit?gid=0#gid=0"", 
""Gen_Ledger!A:N""), 
""SELECT SUM(Col11) WHERE Col7 = ""&amp;B30&amp;"" AND Col1 &gt;= DATE '"" &amp; TEXT($C$2, ""YYYY-MM-DD"") &amp; ""' AND "&amp;"Col1 &lt;= DATE '"" &amp; TEXT($C$3, ""YYYY-MM-DD"") &amp; ""' LABEL SUM(Col11) ''"", 0), """")"),"#REF!")</f>
        <v>#REF!</v>
      </c>
      <c r="F30" s="13" t="str">
        <f t="shared" si="4"/>
        <v>#N/A</v>
      </c>
    </row>
    <row r="31" ht="15.75" customHeight="1">
      <c r="A31" s="1"/>
      <c r="B31" s="1"/>
      <c r="C31" s="13" t="str">
        <f>June_2025!F31</f>
        <v>#N/A</v>
      </c>
      <c r="D31" s="13" t="str">
        <f>IFERROR(__xludf.DUMMYFUNCTION("IFNA(QUERY(IMPORTRANGE(""https://docs.google.com/spreadsheets/d/1EHL-jm_NiShR1a2JqKbpaJGazYH90DJO150spY6io4k/edit?gid=0#gid=0"", 
""Gen_Ledger!A:N""), 
""SELECT SUM(Col10) WHERE Col7 = ""&amp;B31&amp;"" AND Col1 &gt;= DATE '"" &amp; TEXT($C$2, ""YYYY-MM-DD"") &amp; ""' AND "&amp;"Col1 &lt;= DATE '"" &amp; TEXT($C$3, ""YYYY-MM-DD"") &amp; ""' LABEL SUM(Col10) ''"", 0), """")"),"#REF!")</f>
        <v>#REF!</v>
      </c>
      <c r="E31" s="13" t="str">
        <f>IFERROR(__xludf.DUMMYFUNCTION("IFNA(QUERY(IMPORTRANGE(""https://docs.google.com/spreadsheets/d/1EHL-jm_NiShR1a2JqKbpaJGazYH90DJO150spY6io4k/edit?gid=0#gid=0"", 
""Gen_Ledger!A:N""), 
""SELECT SUM(Col11) WHERE Col7 = ""&amp;B31&amp;"" AND Col1 &gt;= DATE '"" &amp; TEXT($C$2, ""YYYY-MM-DD"") &amp; ""' AND "&amp;"Col1 &lt;= DATE '"" &amp; TEXT($C$3, ""YYYY-MM-DD"") &amp; ""' LABEL SUM(Col11) ''"", 0), """")"),"#REF!")</f>
        <v>#REF!</v>
      </c>
      <c r="F31" s="13" t="str">
        <f t="shared" si="4"/>
        <v>#N/A</v>
      </c>
    </row>
    <row r="32" ht="15.75" customHeight="1">
      <c r="A32" s="1"/>
      <c r="B32" s="1"/>
      <c r="C32" s="13" t="str">
        <f>June_2025!F32</f>
        <v>#N/A</v>
      </c>
      <c r="D32" s="13" t="str">
        <f>IFERROR(__xludf.DUMMYFUNCTION("IFNA(QUERY(IMPORTRANGE(""https://docs.google.com/spreadsheets/d/1EHL-jm_NiShR1a2JqKbpaJGazYH90DJO150spY6io4k/edit?gid=0#gid=0"", 
""Gen_Ledger!A:N""), 
""SELECT SUM(Col10) WHERE Col7 = ""&amp;B32&amp;"" AND Col1 &gt;= DATE '"" &amp; TEXT($C$2, ""YYYY-MM-DD"") &amp; ""' AND "&amp;"Col1 &lt;= DATE '"" &amp; TEXT($C$3, ""YYYY-MM-DD"") &amp; ""' LABEL SUM(Col10) ''"", 0), """")"),"#REF!")</f>
        <v>#REF!</v>
      </c>
      <c r="E32" s="13" t="str">
        <f>IFERROR(__xludf.DUMMYFUNCTION("IFNA(QUERY(IMPORTRANGE(""https://docs.google.com/spreadsheets/d/1EHL-jm_NiShR1a2JqKbpaJGazYH90DJO150spY6io4k/edit?gid=0#gid=0"", 
""Gen_Ledger!A:N""), 
""SELECT SUM(Col11) WHERE Col7 = ""&amp;B32&amp;"" AND Col1 &gt;= DATE '"" &amp; TEXT($C$2, ""YYYY-MM-DD"") &amp; ""' AND "&amp;"Col1 &lt;= DATE '"" &amp; TEXT($C$3, ""YYYY-MM-DD"") &amp; ""' LABEL SUM(Col11) ''"", 0), """")"),"#REF!")</f>
        <v>#REF!</v>
      </c>
      <c r="F32" s="13" t="str">
        <f t="shared" si="4"/>
        <v>#N/A</v>
      </c>
    </row>
    <row r="33" ht="15.75" customHeight="1">
      <c r="A33" s="1"/>
      <c r="B33" s="1"/>
      <c r="C33" s="13" t="str">
        <f>June_2025!F33</f>
        <v>#N/A</v>
      </c>
      <c r="D33" s="13" t="str">
        <f>IFERROR(__xludf.DUMMYFUNCTION("IFNA(QUERY(IMPORTRANGE(""https://docs.google.com/spreadsheets/d/1EHL-jm_NiShR1a2JqKbpaJGazYH90DJO150spY6io4k/edit?gid=0#gid=0"", 
""Gen_Ledger!A:N""), 
""SELECT SUM(Col10) WHERE Col7 = ""&amp;B33&amp;"" AND Col1 &gt;= DATE '"" &amp; TEXT($C$2, ""YYYY-MM-DD"") &amp; ""' AND "&amp;"Col1 &lt;= DATE '"" &amp; TEXT($C$3, ""YYYY-MM-DD"") &amp; ""' LABEL SUM(Col10) ''"", 0), """")"),"#REF!")</f>
        <v>#REF!</v>
      </c>
      <c r="E33" s="13" t="str">
        <f>IFERROR(__xludf.DUMMYFUNCTION("IFNA(QUERY(IMPORTRANGE(""https://docs.google.com/spreadsheets/d/1EHL-jm_NiShR1a2JqKbpaJGazYH90DJO150spY6io4k/edit?gid=0#gid=0"", 
""Gen_Ledger!A:N""), 
""SELECT SUM(Col11) WHERE Col7 = ""&amp;B33&amp;"" AND Col1 &gt;= DATE '"" &amp; TEXT($C$2, ""YYYY-MM-DD"") &amp; ""' AND "&amp;"Col1 &lt;= DATE '"" &amp; TEXT($C$3, ""YYYY-MM-DD"") &amp; ""' LABEL SUM(Col11) ''"", 0), """")"),"#REF!")</f>
        <v>#REF!</v>
      </c>
      <c r="F33" s="13" t="str">
        <f t="shared" si="4"/>
        <v>#N/A</v>
      </c>
    </row>
    <row r="34" ht="15.75" customHeight="1">
      <c r="A34" s="1"/>
      <c r="B34" s="1"/>
      <c r="C34" s="13" t="str">
        <f>June_2025!F34</f>
        <v>#N/A</v>
      </c>
      <c r="D34" s="13" t="str">
        <f>IFERROR(__xludf.DUMMYFUNCTION("IFNA(QUERY(IMPORTRANGE(""https://docs.google.com/spreadsheets/d/1EHL-jm_NiShR1a2JqKbpaJGazYH90DJO150spY6io4k/edit?gid=0#gid=0"", 
""Gen_Ledger!A:N""), 
""SELECT SUM(Col10) WHERE Col7 = ""&amp;B34&amp;"" AND Col1 &gt;= DATE '"" &amp; TEXT($C$2, ""YYYY-MM-DD"") &amp; ""' AND "&amp;"Col1 &lt;= DATE '"" &amp; TEXT($C$3, ""YYYY-MM-DD"") &amp; ""' LABEL SUM(Col10) ''"", 0), """")"),"#REF!")</f>
        <v>#REF!</v>
      </c>
      <c r="E34" s="13" t="str">
        <f>IFERROR(__xludf.DUMMYFUNCTION("IFNA(QUERY(IMPORTRANGE(""https://docs.google.com/spreadsheets/d/1EHL-jm_NiShR1a2JqKbpaJGazYH90DJO150spY6io4k/edit?gid=0#gid=0"", 
""Gen_Ledger!A:N""), 
""SELECT SUM(Col11) WHERE Col7 = ""&amp;B34&amp;"" AND Col1 &gt;= DATE '"" &amp; TEXT($C$2, ""YYYY-MM-DD"") &amp; ""' AND "&amp;"Col1 &lt;= DATE '"" &amp; TEXT($C$3, ""YYYY-MM-DD"") &amp; ""' LABEL SUM(Col11) ''"", 0), """")"),"#REF!")</f>
        <v>#REF!</v>
      </c>
      <c r="F34" s="13" t="str">
        <f t="shared" si="4"/>
        <v>#N/A</v>
      </c>
    </row>
    <row r="35" ht="15.75" customHeight="1">
      <c r="A35" s="1"/>
      <c r="B35" s="1"/>
      <c r="C35" s="13" t="str">
        <f>June_2025!F35</f>
        <v>#N/A</v>
      </c>
      <c r="D35" s="13" t="str">
        <f>IFERROR(__xludf.DUMMYFUNCTION("IFNA(QUERY(IMPORTRANGE(""https://docs.google.com/spreadsheets/d/1EHL-jm_NiShR1a2JqKbpaJGazYH90DJO150spY6io4k/edit?gid=0#gid=0"", 
""Gen_Ledger!A:N""), 
""SELECT SUM(Col10) WHERE Col7 = ""&amp;B35&amp;"" AND Col1 &gt;= DATE '"" &amp; TEXT($C$2, ""YYYY-MM-DD"") &amp; ""' AND "&amp;"Col1 &lt;= DATE '"" &amp; TEXT($C$3, ""YYYY-MM-DD"") &amp; ""' LABEL SUM(Col10) ''"", 0), """")"),"#REF!")</f>
        <v>#REF!</v>
      </c>
      <c r="E35" s="13" t="str">
        <f>IFERROR(__xludf.DUMMYFUNCTION("IFNA(QUERY(IMPORTRANGE(""https://docs.google.com/spreadsheets/d/1EHL-jm_NiShR1a2JqKbpaJGazYH90DJO150spY6io4k/edit?gid=0#gid=0"", 
""Gen_Ledger!A:N""), 
""SELECT SUM(Col11) WHERE Col7 = ""&amp;B35&amp;"" AND Col1 &gt;= DATE '"" &amp; TEXT($C$2, ""YYYY-MM-DD"") &amp; ""' AND "&amp;"Col1 &lt;= DATE '"" &amp; TEXT($C$3, ""YYYY-MM-DD"") &amp; ""' LABEL SUM(Col11) ''"", 0), """")"),"#REF!")</f>
        <v>#REF!</v>
      </c>
      <c r="F35" s="13" t="str">
        <f t="shared" si="4"/>
        <v>#N/A</v>
      </c>
    </row>
    <row r="36" ht="15.75" customHeight="1">
      <c r="A36" s="1"/>
      <c r="B36" s="1"/>
      <c r="C36" s="2" t="str">
        <f>VLOOKUP(B36,Helper!$D$99:$F1000,3,FALSE)</f>
        <v>#N/A</v>
      </c>
      <c r="D36" s="13" t="str">
        <f>IFERROR(__xludf.DUMMYFUNCTION("IFNA(QUERY(IMPORTRANGE(""https://docs.google.com/spreadsheets/d/1EHL-jm_NiShR1a2JqKbpaJGazYH90DJO150spY6io4k/edit?gid=0#gid=0"", 
""Gen_Ledger!A:N""), 
""SELECT SUM(Col10) WHERE Col7 = ""&amp;B36&amp;"" AND Col1 &gt;= DATE '"" &amp; TEXT($C$2, ""YYYY-MM-DD"") &amp; ""' AND "&amp;"Col1 &lt;= DATE '"" &amp; TEXT($C$3, ""YYYY-MM-DD"") &amp; ""' LABEL SUM(Col10) ''"", 0), """")"),"#REF!")</f>
        <v>#REF!</v>
      </c>
      <c r="E36" s="13" t="str">
        <f>IFERROR(__xludf.DUMMYFUNCTION("IFNA(QUERY(IMPORTRANGE(""https://docs.google.com/spreadsheets/d/1EHL-jm_NiShR1a2JqKbpaJGazYH90DJO150spY6io4k/edit?gid=0#gid=0"", 
""Gen_Ledger!A:N""), 
""SELECT SUM(Col11) WHERE Col7 = ""&amp;B36&amp;"" AND Col1 &gt;= DATE '"" &amp; TEXT($C$2, ""YYYY-MM-DD"") &amp; ""' AND "&amp;"Col1 &lt;= DATE '"" &amp; TEXT($C$3, ""YYYY-MM-DD"") &amp; ""' LABEL SUM(Col11) ''"", 0), """")"),"#REF!")</f>
        <v>#REF!</v>
      </c>
      <c r="F36" s="13" t="str">
        <f t="shared" si="4"/>
        <v>#N/A</v>
      </c>
    </row>
    <row r="37" ht="15.75" customHeight="1">
      <c r="A37" s="1"/>
      <c r="B37" s="1"/>
      <c r="C37" s="2" t="str">
        <f>VLOOKUP(B37,Helper!$D$99:$F1000,3,FALSE)</f>
        <v>#N/A</v>
      </c>
      <c r="D37" s="13" t="str">
        <f>IFERROR(__xludf.DUMMYFUNCTION("IFNA(QUERY(IMPORTRANGE(""https://docs.google.com/spreadsheets/d/1EHL-jm_NiShR1a2JqKbpaJGazYH90DJO150spY6io4k/edit?gid=0#gid=0"", 
""Gen_Ledger!A:N""), 
""SELECT SUM(Col10) WHERE Col7 = ""&amp;B37&amp;"" AND Col1 &gt;= DATE '"" &amp; TEXT($C$2, ""YYYY-MM-DD"") &amp; ""' AND "&amp;"Col1 &lt;= DATE '"" &amp; TEXT($C$3, ""YYYY-MM-DD"") &amp; ""' LABEL SUM(Col10) ''"", 0), """")"),"#REF!")</f>
        <v>#REF!</v>
      </c>
      <c r="E37" s="13" t="str">
        <f>IFERROR(__xludf.DUMMYFUNCTION("IFNA(QUERY(IMPORTRANGE(""https://docs.google.com/spreadsheets/d/1EHL-jm_NiShR1a2JqKbpaJGazYH90DJO150spY6io4k/edit?gid=0#gid=0"", 
""Gen_Ledger!A:N""), 
""SELECT SUM(Col11) WHERE Col7 = ""&amp;B37&amp;"" AND Col1 &gt;= DATE '"" &amp; TEXT($C$2, ""YYYY-MM-DD"") &amp; ""' AND "&amp;"Col1 &lt;= DATE '"" &amp; TEXT($C$3, ""YYYY-MM-DD"") &amp; ""' LABEL SUM(Col11) ''"", 0), """")"),"#REF!")</f>
        <v>#REF!</v>
      </c>
      <c r="F37" s="13" t="str">
        <f t="shared" ref="F37:F38" si="5">E37</f>
        <v>#REF!</v>
      </c>
    </row>
    <row r="38" ht="15.75" customHeight="1">
      <c r="A38" s="1"/>
      <c r="B38" s="1"/>
      <c r="C38" s="2" t="str">
        <f>VLOOKUP(B38,Helper!$D$99:$F1000,3,FALSE)</f>
        <v>#N/A</v>
      </c>
      <c r="D38" s="13" t="str">
        <f>IFERROR(__xludf.DUMMYFUNCTION("IFNA(QUERY(IMPORTRANGE(""https://docs.google.com/spreadsheets/d/1EHL-jm_NiShR1a2JqKbpaJGazYH90DJO150spY6io4k/edit?gid=0#gid=0"", 
""Gen_Ledger!A:N""), 
""SELECT SUM(Col10) WHERE Col7 = ""&amp;B38&amp;"" AND Col1 &gt;= DATE '"" &amp; TEXT($C$2, ""YYYY-MM-DD"") &amp; ""' AND "&amp;"Col1 &lt;= DATE '"" &amp; TEXT($C$3, ""YYYY-MM-DD"") &amp; ""' LABEL SUM(Col10) ''"", 0), """")"),"#REF!")</f>
        <v>#REF!</v>
      </c>
      <c r="E38" s="13" t="str">
        <f>IFERROR(__xludf.DUMMYFUNCTION("IFNA(QUERY(IMPORTRANGE(""https://docs.google.com/spreadsheets/d/1EHL-jm_NiShR1a2JqKbpaJGazYH90DJO150spY6io4k/edit?gid=0#gid=0"", 
""Gen_Ledger!A:N""), 
""SELECT SUM(Col11) WHERE Col7 = ""&amp;B38&amp;"" AND Col1 &gt;= DATE '"" &amp; TEXT($C$2, ""YYYY-MM-DD"") &amp; ""' AND "&amp;"Col1 &lt;= DATE '"" &amp; TEXT($C$3, ""YYYY-MM-DD"") &amp; ""' LABEL SUM(Col11) ''"", 0), """")"),"#REF!")</f>
        <v>#REF!</v>
      </c>
      <c r="F38" s="13" t="str">
        <f t="shared" si="5"/>
        <v>#REF!</v>
      </c>
    </row>
    <row r="39" ht="15.75" customHeight="1">
      <c r="A39" s="1"/>
      <c r="B39" s="1"/>
      <c r="C39" s="2" t="str">
        <f>VLOOKUP(B39,Helper!$D$99:$F1000,3,FALSE)</f>
        <v>#N/A</v>
      </c>
      <c r="D39" s="13" t="str">
        <f>IFERROR(__xludf.DUMMYFUNCTION("IFNA(QUERY(IMPORTRANGE(""https://docs.google.com/spreadsheets/d/1EHL-jm_NiShR1a2JqKbpaJGazYH90DJO150spY6io4k/edit?gid=0#gid=0"", 
""Gen_Ledger!A:N""), 
""SELECT SUM(Col10) WHERE Col7 = ""&amp;B39&amp;"" AND Col1 &gt;= DATE '"" &amp; TEXT($C$2, ""YYYY-MM-DD"") &amp; ""' AND "&amp;"Col1 &lt;= DATE '"" &amp; TEXT($C$3, ""YYYY-MM-DD"") &amp; ""' LABEL SUM(Col10) ''"", 0), """")"),"#REF!")</f>
        <v>#REF!</v>
      </c>
      <c r="E39" s="13" t="str">
        <f>IFERROR(__xludf.DUMMYFUNCTION("IFNA(QUERY(IMPORTRANGE(""https://docs.google.com/spreadsheets/d/1EHL-jm_NiShR1a2JqKbpaJGazYH90DJO150spY6io4k/edit?gid=0#gid=0"", 
""Gen_Ledger!A:N""), 
""SELECT SUM(Col11) WHERE Col7 = ""&amp;B39&amp;"" AND Col1 &gt;= DATE '"" &amp; TEXT($C$2, ""YYYY-MM-DD"") &amp; ""' AND "&amp;"Col1 &lt;= DATE '"" &amp; TEXT($C$3, ""YYYY-MM-DD"") &amp; ""' LABEL SUM(Col11) ''"", 0), """")"),"#REF!")</f>
        <v>#REF!</v>
      </c>
      <c r="F39" s="13" t="str">
        <f t="shared" ref="F39:F58" si="6">C39-E39+D39</f>
        <v>#N/A</v>
      </c>
    </row>
    <row r="40" ht="15.75" customHeight="1">
      <c r="A40" s="1"/>
      <c r="B40" s="1"/>
      <c r="C40" s="2" t="str">
        <f>VLOOKUP(B40,Helper!$D$99:$F1000,3,FALSE)</f>
        <v>#N/A</v>
      </c>
      <c r="D40" s="13" t="str">
        <f>IFERROR(__xludf.DUMMYFUNCTION("IFNA(QUERY(IMPORTRANGE(""https://docs.google.com/spreadsheets/d/1EHL-jm_NiShR1a2JqKbpaJGazYH90DJO150spY6io4k/edit?gid=0#gid=0"", 
""Gen_Ledger!A:N""), 
""SELECT SUM(Col10) WHERE Col7 = ""&amp;B40&amp;"" AND Col1 &gt;= DATE '"" &amp; TEXT($C$2, ""YYYY-MM-DD"") &amp; ""' AND "&amp;"Col1 &lt;= DATE '"" &amp; TEXT($C$3, ""YYYY-MM-DD"") &amp; ""' LABEL SUM(Col10) ''"", 0), """")"),"#REF!")</f>
        <v>#REF!</v>
      </c>
      <c r="E40" s="13" t="str">
        <f>IFERROR(__xludf.DUMMYFUNCTION("IFNA(QUERY(IMPORTRANGE(""https://docs.google.com/spreadsheets/d/1EHL-jm_NiShR1a2JqKbpaJGazYH90DJO150spY6io4k/edit?gid=0#gid=0"", 
""Gen_Ledger!A:N""), 
""SELECT SUM(Col11) WHERE Col7 = ""&amp;B40&amp;"" AND Col1 &gt;= DATE '"" &amp; TEXT($C$2, ""YYYY-MM-DD"") &amp; ""' AND "&amp;"Col1 &lt;= DATE '"" &amp; TEXT($C$3, ""YYYY-MM-DD"") &amp; ""' LABEL SUM(Col11) ''"", 0), """")"),"#REF!")</f>
        <v>#REF!</v>
      </c>
      <c r="F40" s="13" t="str">
        <f t="shared" si="6"/>
        <v>#N/A</v>
      </c>
    </row>
    <row r="41" ht="15.75" customHeight="1">
      <c r="A41" s="1"/>
      <c r="B41" s="1"/>
      <c r="C41" s="2" t="str">
        <f>VLOOKUP(B41,Helper!$D$99:$F1000,3,FALSE)</f>
        <v>#N/A</v>
      </c>
      <c r="D41" s="13" t="str">
        <f>IFERROR(__xludf.DUMMYFUNCTION("IFNA(QUERY(IMPORTRANGE(""https://docs.google.com/spreadsheets/d/1EHL-jm_NiShR1a2JqKbpaJGazYH90DJO150spY6io4k/edit?gid=0#gid=0"", 
""Gen_Ledger!A:N""), 
""SELECT SUM(Col10) WHERE Col7 = ""&amp;B41&amp;"" AND Col1 &gt;= DATE '"" &amp; TEXT($C$2, ""YYYY-MM-DD"") &amp; ""' AND "&amp;"Col1 &lt;= DATE '"" &amp; TEXT($C$3, ""YYYY-MM-DD"") &amp; ""' LABEL SUM(Col10) ''"", 0), """")"),"#REF!")</f>
        <v>#REF!</v>
      </c>
      <c r="E41" s="13" t="str">
        <f>IFERROR(__xludf.DUMMYFUNCTION("IFNA(QUERY(IMPORTRANGE(""https://docs.google.com/spreadsheets/d/1EHL-jm_NiShR1a2JqKbpaJGazYH90DJO150spY6io4k/edit?gid=0#gid=0"", 
""Gen_Ledger!A:N""), 
""SELECT SUM(Col11) WHERE Col7 = ""&amp;B41&amp;"" AND Col1 &gt;= DATE '"" &amp; TEXT($C$2, ""YYYY-MM-DD"") &amp; ""' AND "&amp;"Col1 &lt;= DATE '"" &amp; TEXT($C$3, ""YYYY-MM-DD"") &amp; ""' LABEL SUM(Col11) ''"", 0), """")"),"#REF!")</f>
        <v>#REF!</v>
      </c>
      <c r="F41" s="13" t="str">
        <f t="shared" si="6"/>
        <v>#N/A</v>
      </c>
    </row>
    <row r="42" ht="15.75" customHeight="1">
      <c r="A42" s="1"/>
      <c r="B42" s="1"/>
      <c r="C42" s="2" t="str">
        <f>VLOOKUP(B42,Helper!$D$99:$F1000,3,FALSE)</f>
        <v>#N/A</v>
      </c>
      <c r="D42" s="13" t="str">
        <f>IFERROR(__xludf.DUMMYFUNCTION("IFNA(QUERY(IMPORTRANGE(""https://docs.google.com/spreadsheets/d/1EHL-jm_NiShR1a2JqKbpaJGazYH90DJO150spY6io4k/edit?gid=0#gid=0"", 
""Gen_Ledger!A:N""), 
""SELECT SUM(Col10) WHERE Col7 = ""&amp;B42&amp;"" AND Col1 &gt;= DATE '"" &amp; TEXT($C$2, ""YYYY-MM-DD"") &amp; ""' AND "&amp;"Col1 &lt;= DATE '"" &amp; TEXT($C$3, ""YYYY-MM-DD"") &amp; ""' LABEL SUM(Col10) ''"", 0), """")"),"#REF!")</f>
        <v>#REF!</v>
      </c>
      <c r="E42" s="13" t="str">
        <f>IFERROR(__xludf.DUMMYFUNCTION("IFNA(QUERY(IMPORTRANGE(""https://docs.google.com/spreadsheets/d/1EHL-jm_NiShR1a2JqKbpaJGazYH90DJO150spY6io4k/edit?gid=0#gid=0"", 
""Gen_Ledger!A:N""), 
""SELECT SUM(Col11) WHERE Col7 = ""&amp;B42&amp;"" AND Col1 &gt;= DATE '"" &amp; TEXT($C$2, ""YYYY-MM-DD"") &amp; ""' AND "&amp;"Col1 &lt;= DATE '"" &amp; TEXT($C$3, ""YYYY-MM-DD"") &amp; ""' LABEL SUM(Col11) ''"", 0), """")"),"#REF!")</f>
        <v>#REF!</v>
      </c>
      <c r="F42" s="13" t="str">
        <f t="shared" si="6"/>
        <v>#N/A</v>
      </c>
    </row>
    <row r="43" ht="15.75" customHeight="1">
      <c r="A43" s="1"/>
      <c r="B43" s="1"/>
      <c r="C43" s="2" t="str">
        <f>VLOOKUP(B43,Helper!$D$99:$F1000,3,FALSE)</f>
        <v>#N/A</v>
      </c>
      <c r="D43" s="13" t="str">
        <f>IFERROR(__xludf.DUMMYFUNCTION("IFNA(QUERY(IMPORTRANGE(""https://docs.google.com/spreadsheets/d/1EHL-jm_NiShR1a2JqKbpaJGazYH90DJO150spY6io4k/edit?gid=0#gid=0"", 
""Gen_Ledger!A:N""), 
""SELECT SUM(Col10) WHERE Col7 = ""&amp;B43&amp;"" AND Col1 &gt;= DATE '"" &amp; TEXT($C$2, ""YYYY-MM-DD"") &amp; ""' AND "&amp;"Col1 &lt;= DATE '"" &amp; TEXT($C$3, ""YYYY-MM-DD"") &amp; ""' LABEL SUM(Col10) ''"", 0), """")"),"#REF!")</f>
        <v>#REF!</v>
      </c>
      <c r="E43" s="13" t="str">
        <f>IFERROR(__xludf.DUMMYFUNCTION("IFNA(QUERY(IMPORTRANGE(""https://docs.google.com/spreadsheets/d/1EHL-jm_NiShR1a2JqKbpaJGazYH90DJO150spY6io4k/edit?gid=0#gid=0"", 
""Gen_Ledger!A:N""), 
""SELECT SUM(Col11) WHERE Col7 = ""&amp;B43&amp;"" AND Col1 &gt;= DATE '"" &amp; TEXT($C$2, ""YYYY-MM-DD"") &amp; ""' AND "&amp;"Col1 &lt;= DATE '"" &amp; TEXT($C$3, ""YYYY-MM-DD"") &amp; ""' LABEL SUM(Col11) ''"", 0), """")"),"#REF!")</f>
        <v>#REF!</v>
      </c>
      <c r="F43" s="13" t="str">
        <f t="shared" si="6"/>
        <v>#N/A</v>
      </c>
    </row>
    <row r="44" ht="15.75" customHeight="1">
      <c r="A44" s="1"/>
      <c r="B44" s="1"/>
      <c r="C44" s="2" t="str">
        <f>VLOOKUP(B44,Helper!$D$99:$F1000,3,FALSE)</f>
        <v>#N/A</v>
      </c>
      <c r="D44" s="13" t="str">
        <f>IFERROR(__xludf.DUMMYFUNCTION("IFNA(QUERY(IMPORTRANGE(""https://docs.google.com/spreadsheets/d/1EHL-jm_NiShR1a2JqKbpaJGazYH90DJO150spY6io4k/edit?gid=0#gid=0"", 
""Gen_Ledger!A:N""), 
""SELECT SUM(Col10) WHERE Col7 = ""&amp;B44&amp;"" AND Col1 &gt;= DATE '"" &amp; TEXT($C$2, ""YYYY-MM-DD"") &amp; ""' AND "&amp;"Col1 &lt;= DATE '"" &amp; TEXT($C$3, ""YYYY-MM-DD"") &amp; ""' LABEL SUM(Col10) ''"", 0), """")"),"#REF!")</f>
        <v>#REF!</v>
      </c>
      <c r="E44" s="13" t="str">
        <f>IFERROR(__xludf.DUMMYFUNCTION("IFNA(QUERY(IMPORTRANGE(""https://docs.google.com/spreadsheets/d/1EHL-jm_NiShR1a2JqKbpaJGazYH90DJO150spY6io4k/edit?gid=0#gid=0"", 
""Gen_Ledger!A:N""), 
""SELECT SUM(Col11) WHERE Col7 = ""&amp;B44&amp;"" AND Col1 &gt;= DATE '"" &amp; TEXT($C$2, ""YYYY-MM-DD"") &amp; ""' AND "&amp;"Col1 &lt;= DATE '"" &amp; TEXT($C$3, ""YYYY-MM-DD"") &amp; ""' LABEL SUM(Col11) ''"", 0), """")"),"#REF!")</f>
        <v>#REF!</v>
      </c>
      <c r="F44" s="13" t="str">
        <f t="shared" si="6"/>
        <v>#N/A</v>
      </c>
    </row>
    <row r="45" ht="15.75" customHeight="1">
      <c r="A45" s="1"/>
      <c r="B45" s="1"/>
      <c r="C45" s="2" t="str">
        <f>VLOOKUP(B45,Helper!$D$99:$F1000,3,FALSE)</f>
        <v>#N/A</v>
      </c>
      <c r="D45" s="13" t="str">
        <f>IFERROR(__xludf.DUMMYFUNCTION("IFNA(QUERY(IMPORTRANGE(""https://docs.google.com/spreadsheets/d/1EHL-jm_NiShR1a2JqKbpaJGazYH90DJO150spY6io4k/edit?gid=0#gid=0"", 
""Gen_Ledger!A:N""), 
""SELECT SUM(Col10) WHERE Col7 = ""&amp;B45&amp;"" AND Col1 &gt;= DATE '"" &amp; TEXT($C$2, ""YYYY-MM-DD"") &amp; ""' AND "&amp;"Col1 &lt;= DATE '"" &amp; TEXT($C$3, ""YYYY-MM-DD"") &amp; ""' LABEL SUM(Col10) ''"", 0), """")"),"#REF!")</f>
        <v>#REF!</v>
      </c>
      <c r="E45" s="13" t="str">
        <f>IFERROR(__xludf.DUMMYFUNCTION("IFNA(QUERY(IMPORTRANGE(""https://docs.google.com/spreadsheets/d/1EHL-jm_NiShR1a2JqKbpaJGazYH90DJO150spY6io4k/edit?gid=0#gid=0"", 
""Gen_Ledger!A:N""), 
""SELECT SUM(Col11) WHERE Col7 = ""&amp;B45&amp;"" AND Col1 &gt;= DATE '"" &amp; TEXT($C$2, ""YYYY-MM-DD"") &amp; ""' AND "&amp;"Col1 &lt;= DATE '"" &amp; TEXT($C$3, ""YYYY-MM-DD"") &amp; ""' LABEL SUM(Col11) ''"", 0), """")"),"#REF!")</f>
        <v>#REF!</v>
      </c>
      <c r="F45" s="13" t="str">
        <f t="shared" si="6"/>
        <v>#N/A</v>
      </c>
    </row>
    <row r="46" ht="15.75" customHeight="1">
      <c r="A46" s="1"/>
      <c r="B46" s="1"/>
      <c r="C46" s="2" t="str">
        <f>VLOOKUP(B46,Helper!$D$99:$F1000,3,FALSE)</f>
        <v>#N/A</v>
      </c>
      <c r="D46" s="13" t="str">
        <f>IFERROR(__xludf.DUMMYFUNCTION("IFNA(QUERY(IMPORTRANGE(""https://docs.google.com/spreadsheets/d/1EHL-jm_NiShR1a2JqKbpaJGazYH90DJO150spY6io4k/edit?gid=0#gid=0"", 
""Gen_Ledger!A:N""), 
""SELECT SUM(Col10) WHERE Col7 = ""&amp;B46&amp;"" AND Col1 &gt;= DATE '"" &amp; TEXT($C$2, ""YYYY-MM-DD"") &amp; ""' AND "&amp;"Col1 &lt;= DATE '"" &amp; TEXT($C$3, ""YYYY-MM-DD"") &amp; ""' LABEL SUM(Col10) ''"", 0), """")"),"#REF!")</f>
        <v>#REF!</v>
      </c>
      <c r="E46" s="13" t="str">
        <f>IFERROR(__xludf.DUMMYFUNCTION("IFNA(QUERY(IMPORTRANGE(""https://docs.google.com/spreadsheets/d/1EHL-jm_NiShR1a2JqKbpaJGazYH90DJO150spY6io4k/edit?gid=0#gid=0"", 
""Gen_Ledger!A:N""), 
""SELECT SUM(Col11) WHERE Col7 = ""&amp;B46&amp;"" AND Col1 &gt;= DATE '"" &amp; TEXT($C$2, ""YYYY-MM-DD"") &amp; ""' AND "&amp;"Col1 &lt;= DATE '"" &amp; TEXT($C$3, ""YYYY-MM-DD"") &amp; ""' LABEL SUM(Col11) ''"", 0), """")"),"#REF!")</f>
        <v>#REF!</v>
      </c>
      <c r="F46" s="13" t="str">
        <f t="shared" si="6"/>
        <v>#N/A</v>
      </c>
    </row>
    <row r="47" ht="15.75" customHeight="1">
      <c r="A47" s="1"/>
      <c r="B47" s="1"/>
      <c r="C47" s="2" t="str">
        <f>VLOOKUP(B47,Helper!$D$99:$F1000,3,FALSE)</f>
        <v>#N/A</v>
      </c>
      <c r="D47" s="13" t="str">
        <f>IFERROR(__xludf.DUMMYFUNCTION("IFNA(QUERY(IMPORTRANGE(""https://docs.google.com/spreadsheets/d/1EHL-jm_NiShR1a2JqKbpaJGazYH90DJO150spY6io4k/edit?gid=0#gid=0"", 
""Gen_Ledger!A:N""), 
""SELECT SUM(Col10) WHERE Col7 = ""&amp;B47&amp;"" AND Col1 &gt;= DATE '"" &amp; TEXT($C$2, ""YYYY-MM-DD"") &amp; ""' AND "&amp;"Col1 &lt;= DATE '"" &amp; TEXT($C$3, ""YYYY-MM-DD"") &amp; ""' LABEL SUM(Col10) ''"", 0), """")"),"#REF!")</f>
        <v>#REF!</v>
      </c>
      <c r="E47" s="13" t="str">
        <f>IFERROR(__xludf.DUMMYFUNCTION("IFNA(QUERY(IMPORTRANGE(""https://docs.google.com/spreadsheets/d/1EHL-jm_NiShR1a2JqKbpaJGazYH90DJO150spY6io4k/edit?gid=0#gid=0"", 
""Gen_Ledger!A:N""), 
""SELECT SUM(Col11) WHERE Col7 = ""&amp;B47&amp;"" AND Col1 &gt;= DATE '"" &amp; TEXT($C$2, ""YYYY-MM-DD"") &amp; ""' AND "&amp;"Col1 &lt;= DATE '"" &amp; TEXT($C$3, ""YYYY-MM-DD"") &amp; ""' LABEL SUM(Col11) ''"", 0), """")"),"#REF!")</f>
        <v>#REF!</v>
      </c>
      <c r="F47" s="13" t="str">
        <f t="shared" si="6"/>
        <v>#N/A</v>
      </c>
    </row>
    <row r="48" ht="15.75" customHeight="1">
      <c r="A48" s="1"/>
      <c r="B48" s="1"/>
      <c r="C48" s="2" t="str">
        <f>VLOOKUP(B48,Helper!$D$99:$F1000,3,FALSE)</f>
        <v>#N/A</v>
      </c>
      <c r="D48" s="13" t="str">
        <f>IFERROR(__xludf.DUMMYFUNCTION("IFNA(QUERY(IMPORTRANGE(""https://docs.google.com/spreadsheets/d/1EHL-jm_NiShR1a2JqKbpaJGazYH90DJO150spY6io4k/edit?gid=0#gid=0"", 
""Gen_Ledger!A:N""), 
""SELECT SUM(Col10) WHERE Col7 = ""&amp;B48&amp;"" AND Col1 &gt;= DATE '"" &amp; TEXT($C$2, ""YYYY-MM-DD"") &amp; ""' AND "&amp;"Col1 &lt;= DATE '"" &amp; TEXT($C$3, ""YYYY-MM-DD"") &amp; ""' LABEL SUM(Col10) ''"", 0), """")"),"#REF!")</f>
        <v>#REF!</v>
      </c>
      <c r="E48" s="13" t="str">
        <f>IFERROR(__xludf.DUMMYFUNCTION("IFNA(QUERY(IMPORTRANGE(""https://docs.google.com/spreadsheets/d/1EHL-jm_NiShR1a2JqKbpaJGazYH90DJO150spY6io4k/edit?gid=0#gid=0"", 
""Gen_Ledger!A:N""), 
""SELECT SUM(Col11) WHERE Col7 = ""&amp;B48&amp;"" AND Col1 &gt;= DATE '"" &amp; TEXT($C$2, ""YYYY-MM-DD"") &amp; ""' AND "&amp;"Col1 &lt;= DATE '"" &amp; TEXT($C$3, ""YYYY-MM-DD"") &amp; ""' LABEL SUM(Col11) ''"", 0), """")"),"#REF!")</f>
        <v>#REF!</v>
      </c>
      <c r="F48" s="13" t="str">
        <f t="shared" si="6"/>
        <v>#N/A</v>
      </c>
    </row>
    <row r="49" ht="15.75" customHeight="1">
      <c r="A49" s="1"/>
      <c r="B49" s="1"/>
      <c r="C49" s="2" t="str">
        <f>VLOOKUP(B49,Helper!$D$99:$F1000,3,FALSE)</f>
        <v>#N/A</v>
      </c>
      <c r="D49" s="13" t="str">
        <f>IFERROR(__xludf.DUMMYFUNCTION("IFNA(QUERY(IMPORTRANGE(""https://docs.google.com/spreadsheets/d/1EHL-jm_NiShR1a2JqKbpaJGazYH90DJO150spY6io4k/edit?gid=0#gid=0"", 
""Gen_Ledger!A:N""), 
""SELECT SUM(Col10) WHERE Col7 = ""&amp;B49&amp;"" AND Col1 &gt;= DATE '"" &amp; TEXT($C$2, ""YYYY-MM-DD"") &amp; ""' AND "&amp;"Col1 &lt;= DATE '"" &amp; TEXT($C$3, ""YYYY-MM-DD"") &amp; ""' LABEL SUM(Col10) ''"", 0), """")"),"#REF!")</f>
        <v>#REF!</v>
      </c>
      <c r="E49" s="13" t="str">
        <f>IFERROR(__xludf.DUMMYFUNCTION("IFNA(QUERY(IMPORTRANGE(""https://docs.google.com/spreadsheets/d/1EHL-jm_NiShR1a2JqKbpaJGazYH90DJO150spY6io4k/edit?gid=0#gid=0"", 
""Gen_Ledger!A:N""), 
""SELECT SUM(Col11) WHERE Col7 = ""&amp;B49&amp;"" AND Col1 &gt;= DATE '"" &amp; TEXT($C$2, ""YYYY-MM-DD"") &amp; ""' AND "&amp;"Col1 &lt;= DATE '"" &amp; TEXT($C$3, ""YYYY-MM-DD"") &amp; ""' LABEL SUM(Col11) ''"", 0), """")"),"#REF!")</f>
        <v>#REF!</v>
      </c>
      <c r="F49" s="13" t="str">
        <f t="shared" si="6"/>
        <v>#N/A</v>
      </c>
    </row>
    <row r="50" ht="15.75" customHeight="1">
      <c r="A50" s="1"/>
      <c r="B50" s="1"/>
      <c r="C50" s="2" t="str">
        <f>VLOOKUP(B50,Helper!$D$99:$F1000,3,FALSE)</f>
        <v>#N/A</v>
      </c>
      <c r="D50" s="13" t="str">
        <f>IFERROR(__xludf.DUMMYFUNCTION("IFNA(QUERY(IMPORTRANGE(""https://docs.google.com/spreadsheets/d/1EHL-jm_NiShR1a2JqKbpaJGazYH90DJO150spY6io4k/edit?gid=0#gid=0"", 
""Gen_Ledger!A:N""), 
""SELECT SUM(Col10) WHERE Col7 = ""&amp;B50&amp;"" AND Col1 &gt;= DATE '"" &amp; TEXT($C$2, ""YYYY-MM-DD"") &amp; ""' AND "&amp;"Col1 &lt;= DATE '"" &amp; TEXT($C$3, ""YYYY-MM-DD"") &amp; ""' LABEL SUM(Col10) ''"", 0), """")"),"#REF!")</f>
        <v>#REF!</v>
      </c>
      <c r="E50" s="13" t="str">
        <f>IFERROR(__xludf.DUMMYFUNCTION("IFNA(QUERY(IMPORTRANGE(""https://docs.google.com/spreadsheets/d/1EHL-jm_NiShR1a2JqKbpaJGazYH90DJO150spY6io4k/edit?gid=0#gid=0"", 
""Gen_Ledger!A:N""), 
""SELECT SUM(Col11) WHERE Col7 = ""&amp;B50&amp;"" AND Col1 &gt;= DATE '"" &amp; TEXT($C$2, ""YYYY-MM-DD"") &amp; ""' AND "&amp;"Col1 &lt;= DATE '"" &amp; TEXT($C$3, ""YYYY-MM-DD"") &amp; ""' LABEL SUM(Col11) ''"", 0), """")"),"#REF!")</f>
        <v>#REF!</v>
      </c>
      <c r="F50" s="13" t="str">
        <f t="shared" si="6"/>
        <v>#N/A</v>
      </c>
    </row>
    <row r="51" ht="15.75" customHeight="1">
      <c r="A51" s="1"/>
      <c r="B51" s="1"/>
      <c r="C51" s="2" t="str">
        <f>VLOOKUP(B51,Helper!$D$99:$F1000,3,FALSE)</f>
        <v>#N/A</v>
      </c>
      <c r="D51" s="13" t="str">
        <f>IFERROR(__xludf.DUMMYFUNCTION("IFNA(QUERY(IMPORTRANGE(""https://docs.google.com/spreadsheets/d/1EHL-jm_NiShR1a2JqKbpaJGazYH90DJO150spY6io4k/edit?gid=0#gid=0"", 
""Gen_Ledger!A:N""), 
""SELECT SUM(Col10) WHERE Col7 = ""&amp;B51&amp;"" AND Col1 &gt;= DATE '"" &amp; TEXT($C$2, ""YYYY-MM-DD"") &amp; ""' AND "&amp;"Col1 &lt;= DATE '"" &amp; TEXT($C$3, ""YYYY-MM-DD"") &amp; ""' LABEL SUM(Col10) ''"", 0), """")"),"#REF!")</f>
        <v>#REF!</v>
      </c>
      <c r="E51" s="13" t="str">
        <f>IFERROR(__xludf.DUMMYFUNCTION("IFNA(QUERY(IMPORTRANGE(""https://docs.google.com/spreadsheets/d/1EHL-jm_NiShR1a2JqKbpaJGazYH90DJO150spY6io4k/edit?gid=0#gid=0"", 
""Gen_Ledger!A:N""), 
""SELECT SUM(Col11) WHERE Col7 = ""&amp;B51&amp;"" AND Col1 &gt;= DATE '"" &amp; TEXT($C$2, ""YYYY-MM-DD"") &amp; ""' AND "&amp;"Col1 &lt;= DATE '"" &amp; TEXT($C$3, ""YYYY-MM-DD"") &amp; ""' LABEL SUM(Col11) ''"", 0), """")"),"#REF!")</f>
        <v>#REF!</v>
      </c>
      <c r="F51" s="13" t="str">
        <f t="shared" si="6"/>
        <v>#N/A</v>
      </c>
    </row>
    <row r="52" ht="15.75" customHeight="1">
      <c r="A52" s="1"/>
      <c r="B52" s="1"/>
      <c r="C52" s="2" t="str">
        <f>VLOOKUP(B52,Helper!$D$99:$F1000,3,FALSE)</f>
        <v>#N/A</v>
      </c>
      <c r="D52" s="13" t="str">
        <f>IFERROR(__xludf.DUMMYFUNCTION("IFNA(QUERY(IMPORTRANGE(""https://docs.google.com/spreadsheets/d/1EHL-jm_NiShR1a2JqKbpaJGazYH90DJO150spY6io4k/edit?gid=0#gid=0"", 
""Gen_Ledger!A:N""), 
""SELECT SUM(Col10) WHERE Col7 = ""&amp;B52&amp;"" AND Col1 &gt;= DATE '"" &amp; TEXT($C$2, ""YYYY-MM-DD"") &amp; ""' AND "&amp;"Col1 &lt;= DATE '"" &amp; TEXT($C$3, ""YYYY-MM-DD"") &amp; ""' LABEL SUM(Col10) ''"", 0), """")"),"#REF!")</f>
        <v>#REF!</v>
      </c>
      <c r="E52" s="13" t="str">
        <f>IFERROR(__xludf.DUMMYFUNCTION("IFNA(QUERY(IMPORTRANGE(""https://docs.google.com/spreadsheets/d/1EHL-jm_NiShR1a2JqKbpaJGazYH90DJO150spY6io4k/edit?gid=0#gid=0"", 
""Gen_Ledger!A:N""), 
""SELECT SUM(Col11) WHERE Col7 = ""&amp;B52&amp;"" AND Col1 &gt;= DATE '"" &amp; TEXT($C$2, ""YYYY-MM-DD"") &amp; ""' AND "&amp;"Col1 &lt;= DATE '"" &amp; TEXT($C$3, ""YYYY-MM-DD"") &amp; ""' LABEL SUM(Col11) ''"", 0), """")"),"#REF!")</f>
        <v>#REF!</v>
      </c>
      <c r="F52" s="13" t="str">
        <f t="shared" si="6"/>
        <v>#N/A</v>
      </c>
    </row>
    <row r="53" ht="15.75" customHeight="1">
      <c r="A53" s="1"/>
      <c r="B53" s="1"/>
      <c r="C53" s="2" t="str">
        <f>VLOOKUP(B53,Helper!$D$99:$F1000,3,FALSE)</f>
        <v>#N/A</v>
      </c>
      <c r="D53" s="13" t="str">
        <f>IFERROR(__xludf.DUMMYFUNCTION("IFNA(QUERY(IMPORTRANGE(""https://docs.google.com/spreadsheets/d/1EHL-jm_NiShR1a2JqKbpaJGazYH90DJO150spY6io4k/edit?gid=0#gid=0"", 
""Gen_Ledger!A:N""), 
""SELECT SUM(Col10) WHERE Col7 = ""&amp;B53&amp;"" AND Col1 &gt;= DATE '"" &amp; TEXT($C$2, ""YYYY-MM-DD"") &amp; ""' AND "&amp;"Col1 &lt;= DATE '"" &amp; TEXT($C$3, ""YYYY-MM-DD"") &amp; ""' LABEL SUM(Col10) ''"", 0), """")"),"#REF!")</f>
        <v>#REF!</v>
      </c>
      <c r="E53" s="13" t="str">
        <f>IFERROR(__xludf.DUMMYFUNCTION("IFNA(QUERY(IMPORTRANGE(""https://docs.google.com/spreadsheets/d/1EHL-jm_NiShR1a2JqKbpaJGazYH90DJO150spY6io4k/edit?gid=0#gid=0"", 
""Gen_Ledger!A:N""), 
""SELECT SUM(Col11) WHERE Col7 = ""&amp;B53&amp;"" AND Col1 &gt;= DATE '"" &amp; TEXT($C$2, ""YYYY-MM-DD"") &amp; ""' AND "&amp;"Col1 &lt;= DATE '"" &amp; TEXT($C$3, ""YYYY-MM-DD"") &amp; ""' LABEL SUM(Col11) ''"", 0), """")"),"#REF!")</f>
        <v>#REF!</v>
      </c>
      <c r="F53" s="13" t="str">
        <f t="shared" si="6"/>
        <v>#N/A</v>
      </c>
    </row>
    <row r="54" ht="15.75" customHeight="1">
      <c r="A54" s="1"/>
      <c r="B54" s="1"/>
      <c r="C54" s="2" t="str">
        <f>VLOOKUP(B54,Helper!$D$99:$F1000,3,FALSE)</f>
        <v>#N/A</v>
      </c>
      <c r="D54" s="13" t="str">
        <f>IFERROR(__xludf.DUMMYFUNCTION("IFNA(QUERY(IMPORTRANGE(""https://docs.google.com/spreadsheets/d/1EHL-jm_NiShR1a2JqKbpaJGazYH90DJO150spY6io4k/edit?gid=0#gid=0"", 
""Gen_Ledger!A:N""), 
""SELECT SUM(Col10) WHERE Col7 = ""&amp;B54&amp;"" AND Col1 &gt;= DATE '"" &amp; TEXT($C$2, ""YYYY-MM-DD"") &amp; ""' AND "&amp;"Col1 &lt;= DATE '"" &amp; TEXT($C$3, ""YYYY-MM-DD"") &amp; ""' LABEL SUM(Col10) ''"", 0), """")"),"#REF!")</f>
        <v>#REF!</v>
      </c>
      <c r="E54" s="13" t="str">
        <f>IFERROR(__xludf.DUMMYFUNCTION("IFNA(QUERY(IMPORTRANGE(""https://docs.google.com/spreadsheets/d/1EHL-jm_NiShR1a2JqKbpaJGazYH90DJO150spY6io4k/edit?gid=0#gid=0"", 
""Gen_Ledger!A:N""), 
""SELECT SUM(Col11) WHERE Col7 = ""&amp;B54&amp;"" AND Col1 &gt;= DATE '"" &amp; TEXT($C$2, ""YYYY-MM-DD"") &amp; ""' AND "&amp;"Col1 &lt;= DATE '"" &amp; TEXT($C$3, ""YYYY-MM-DD"") &amp; ""' LABEL SUM(Col11) ''"", 0), """")"),"#REF!")</f>
        <v>#REF!</v>
      </c>
      <c r="F54" s="13" t="str">
        <f t="shared" si="6"/>
        <v>#N/A</v>
      </c>
    </row>
    <row r="55" ht="15.75" customHeight="1">
      <c r="A55" s="1"/>
      <c r="B55" s="1"/>
      <c r="C55" s="2" t="str">
        <f>VLOOKUP(B55,Helper!$D$99:$F1000,3,FALSE)</f>
        <v>#N/A</v>
      </c>
      <c r="D55" s="13" t="str">
        <f>IFERROR(__xludf.DUMMYFUNCTION("IFNA(QUERY(IMPORTRANGE(""https://docs.google.com/spreadsheets/d/1EHL-jm_NiShR1a2JqKbpaJGazYH90DJO150spY6io4k/edit?gid=0#gid=0"", 
""Gen_Ledger!A:N""), 
""SELECT SUM(Col10) WHERE Col7 = ""&amp;B55&amp;"" AND Col1 &gt;= DATE '"" &amp; TEXT($C$2, ""YYYY-MM-DD"") &amp; ""' AND "&amp;"Col1 &lt;= DATE '"" &amp; TEXT($C$3, ""YYYY-MM-DD"") &amp; ""' LABEL SUM(Col10) ''"", 0), """")"),"#REF!")</f>
        <v>#REF!</v>
      </c>
      <c r="E55" s="13" t="str">
        <f>IFERROR(__xludf.DUMMYFUNCTION("IFNA(QUERY(IMPORTRANGE(""https://docs.google.com/spreadsheets/d/1EHL-jm_NiShR1a2JqKbpaJGazYH90DJO150spY6io4k/edit?gid=0#gid=0"", 
""Gen_Ledger!A:N""), 
""SELECT SUM(Col11) WHERE Col7 = ""&amp;B55&amp;"" AND Col1 &gt;= DATE '"" &amp; TEXT($C$2, ""YYYY-MM-DD"") &amp; ""' AND "&amp;"Col1 &lt;= DATE '"" &amp; TEXT($C$3, ""YYYY-MM-DD"") &amp; ""' LABEL SUM(Col11) ''"", 0), """")"),"#REF!")</f>
        <v>#REF!</v>
      </c>
      <c r="F55" s="13" t="str">
        <f t="shared" si="6"/>
        <v>#N/A</v>
      </c>
    </row>
    <row r="56" ht="15.75" customHeight="1">
      <c r="A56" s="1"/>
      <c r="B56" s="1"/>
      <c r="C56" s="2" t="str">
        <f>VLOOKUP(B56,Helper!$D$99:$F1000,3,FALSE)</f>
        <v>#N/A</v>
      </c>
      <c r="D56" s="13" t="str">
        <f>IFERROR(__xludf.DUMMYFUNCTION("IFNA(QUERY(IMPORTRANGE(""https://docs.google.com/spreadsheets/d/1EHL-jm_NiShR1a2JqKbpaJGazYH90DJO150spY6io4k/edit?gid=0#gid=0"", 
""Gen_Ledger!A:N""), 
""SELECT SUM(Col10) WHERE Col7 = ""&amp;B56&amp;"" AND Col1 &gt;= DATE '"" &amp; TEXT($C$2, ""YYYY-MM-DD"") &amp; ""' AND "&amp;"Col1 &lt;= DATE '"" &amp; TEXT($C$3, ""YYYY-MM-DD"") &amp; ""' LABEL SUM(Col10) ''"", 0), """")"),"#REF!")</f>
        <v>#REF!</v>
      </c>
      <c r="E56" s="13" t="str">
        <f>IFERROR(__xludf.DUMMYFUNCTION("IFNA(QUERY(IMPORTRANGE(""https://docs.google.com/spreadsheets/d/1EHL-jm_NiShR1a2JqKbpaJGazYH90DJO150spY6io4k/edit?gid=0#gid=0"", 
""Gen_Ledger!A:N""), 
""SELECT SUM(Col11) WHERE Col7 = ""&amp;B56&amp;"" AND Col1 &gt;= DATE '"" &amp; TEXT($C$2, ""YYYY-MM-DD"") &amp; ""' AND "&amp;"Col1 &lt;= DATE '"" &amp; TEXT($C$3, ""YYYY-MM-DD"") &amp; ""' LABEL SUM(Col11) ''"", 0), """")"),"#REF!")</f>
        <v>#REF!</v>
      </c>
      <c r="F56" s="13" t="str">
        <f t="shared" si="6"/>
        <v>#N/A</v>
      </c>
    </row>
    <row r="57" ht="15.75" customHeight="1">
      <c r="A57" s="1"/>
      <c r="B57" s="1"/>
      <c r="C57" s="2" t="str">
        <f>VLOOKUP(B57,Helper!$D$99:$F1000,3,FALSE)</f>
        <v>#N/A</v>
      </c>
      <c r="D57" s="13" t="str">
        <f>IFERROR(__xludf.DUMMYFUNCTION("IFNA(QUERY(IMPORTRANGE(""https://docs.google.com/spreadsheets/d/1EHL-jm_NiShR1a2JqKbpaJGazYH90DJO150spY6io4k/edit?gid=0#gid=0"", 
""Gen_Ledger!A:N""), 
""SELECT SUM(Col10) WHERE Col7 = ""&amp;B57&amp;"" AND Col1 &gt;= DATE '"" &amp; TEXT($C$2, ""YYYY-MM-DD"") &amp; ""' AND "&amp;"Col1 &lt;= DATE '"" &amp; TEXT($C$3, ""YYYY-MM-DD"") &amp; ""' LABEL SUM(Col10) ''"", 0), """")"),"#REF!")</f>
        <v>#REF!</v>
      </c>
      <c r="E57" s="13" t="str">
        <f>IFERROR(__xludf.DUMMYFUNCTION("IFNA(QUERY(IMPORTRANGE(""https://docs.google.com/spreadsheets/d/1EHL-jm_NiShR1a2JqKbpaJGazYH90DJO150spY6io4k/edit?gid=0#gid=0"", 
""Gen_Ledger!A:N""), 
""SELECT SUM(Col11) WHERE Col7 = ""&amp;B57&amp;"" AND Col1 &gt;= DATE '"" &amp; TEXT($C$2, ""YYYY-MM-DD"") &amp; ""' AND "&amp;"Col1 &lt;= DATE '"" &amp; TEXT($C$3, ""YYYY-MM-DD"") &amp; ""' LABEL SUM(Col11) ''"", 0), """")"),"#REF!")</f>
        <v>#REF!</v>
      </c>
      <c r="F57" s="13" t="str">
        <f t="shared" si="6"/>
        <v>#N/A</v>
      </c>
    </row>
    <row r="58" ht="15.75" customHeight="1">
      <c r="A58" s="1"/>
      <c r="B58" s="1"/>
      <c r="C58" s="2" t="str">
        <f>VLOOKUP(B58,Helper!$D$99:$F1000,3,FALSE)</f>
        <v>#N/A</v>
      </c>
      <c r="D58" s="13" t="str">
        <f>IFERROR(__xludf.DUMMYFUNCTION("IFNA(QUERY(IMPORTRANGE(""https://docs.google.com/spreadsheets/d/1EHL-jm_NiShR1a2JqKbpaJGazYH90DJO150spY6io4k/edit?gid=0#gid=0"", 
""Gen_Ledger!A:N""), 
""SELECT SUM(Col10) WHERE Col7 = ""&amp;B58&amp;"" AND Col1 &gt;= DATE '"" &amp; TEXT($C$2, ""YYYY-MM-DD"") &amp; ""' AND "&amp;"Col1 &lt;= DATE '"" &amp; TEXT($C$3, ""YYYY-MM-DD"") &amp; ""' LABEL SUM(Col10) ''"", 0), """")"),"#REF!")</f>
        <v>#REF!</v>
      </c>
      <c r="E58" s="13" t="str">
        <f>IFERROR(__xludf.DUMMYFUNCTION("IFNA(QUERY(IMPORTRANGE(""https://docs.google.com/spreadsheets/d/1EHL-jm_NiShR1a2JqKbpaJGazYH90DJO150spY6io4k/edit?gid=0#gid=0"", 
""Gen_Ledger!A:N""), 
""SELECT SUM(Col11) WHERE Col7 = ""&amp;B58&amp;"" AND Col1 &gt;= DATE '"" &amp; TEXT($C$2, ""YYYY-MM-DD"") &amp; ""' AND "&amp;"Col1 &lt;= DATE '"" &amp; TEXT($C$3, ""YYYY-MM-DD"") &amp; ""' LABEL SUM(Col11) ''"", 0), """")"),"#REF!")</f>
        <v>#REF!</v>
      </c>
      <c r="F58" s="13" t="str">
        <f t="shared" si="6"/>
        <v>#N/A</v>
      </c>
    </row>
    <row r="59" ht="15.75" customHeight="1">
      <c r="A59" s="1"/>
      <c r="B59" s="1"/>
      <c r="C59" s="2" t="str">
        <f>VLOOKUP(B59,Helper!$D$99:$F1000,3,FALSE)</f>
        <v>#N/A</v>
      </c>
      <c r="D59" s="13" t="str">
        <f>IFERROR(__xludf.DUMMYFUNCTION("IFNA(QUERY(IMPORTRANGE(""https://docs.google.com/spreadsheets/d/1EHL-jm_NiShR1a2JqKbpaJGazYH90DJO150spY6io4k/edit?gid=0#gid=0"", 
""Gen_Ledger!A:N""), 
""SELECT SUM(Col10) WHERE Col7 = ""&amp;B59&amp;"" AND Col1 &gt;= DATE '"" &amp; TEXT($C$2, ""YYYY-MM-DD"") &amp; ""' AND "&amp;"Col1 &lt;= DATE '"" &amp; TEXT($C$3, ""YYYY-MM-DD"") &amp; ""' LABEL SUM(Col10) ''"", 0), """")"),"#REF!")</f>
        <v>#REF!</v>
      </c>
      <c r="E59" s="13" t="str">
        <f>IFERROR(__xludf.DUMMYFUNCTION("IFNA(QUERY(IMPORTRANGE(""https://docs.google.com/spreadsheets/d/1EHL-jm_NiShR1a2JqKbpaJGazYH90DJO150spY6io4k/edit?gid=0#gid=0"", 
""Gen_Ledger!A:N""), 
""SELECT SUM(Col11) WHERE Col7 = ""&amp;B59&amp;"" AND Col1 &gt;= DATE '"" &amp; TEXT($C$2, ""YYYY-MM-DD"") &amp; ""' AND "&amp;"Col1 &lt;= DATE '"" &amp; TEXT($C$3, ""YYYY-MM-DD"") &amp; ""' LABEL SUM(Col11) ''"", 0), """")"),"#REF!")</f>
        <v>#REF!</v>
      </c>
      <c r="F59" s="13" t="str">
        <f>C59+E59-D59</f>
        <v>#N/A</v>
      </c>
    </row>
    <row r="60" ht="15.75" customHeight="1">
      <c r="A60" s="1"/>
      <c r="B60" s="1"/>
      <c r="C60" s="2" t="str">
        <f>VLOOKUP(B60,Helper!$D$99:$F1000,3,FALSE)</f>
        <v>#N/A</v>
      </c>
      <c r="D60" s="13" t="str">
        <f>IFERROR(__xludf.DUMMYFUNCTION("IFNA(QUERY(IMPORTRANGE(""https://docs.google.com/spreadsheets/d/1EHL-jm_NiShR1a2JqKbpaJGazYH90DJO150spY6io4k/edit?gid=0#gid=0"", 
""Gen_Ledger!A:N""), 
""SELECT SUM(Col10) WHERE Col7 = ""&amp;B60&amp;"" AND Col1 &gt;= DATE '"" &amp; TEXT($C$2, ""YYYY-MM-DD"") &amp; ""' AND "&amp;"Col1 &lt;= DATE '"" &amp; TEXT($C$3, ""YYYY-MM-DD"") &amp; ""' LABEL SUM(Col10) ''"", 0), """")"),"#REF!")</f>
        <v>#REF!</v>
      </c>
      <c r="E60" s="13" t="str">
        <f>IFERROR(__xludf.DUMMYFUNCTION("IFNA(QUERY(IMPORTRANGE(""https://docs.google.com/spreadsheets/d/1EHL-jm_NiShR1a2JqKbpaJGazYH90DJO150spY6io4k/edit?gid=0#gid=0"", 
""Gen_Ledger!A:N""), 
""SELECT SUM(Col11) WHERE Col7 = ""&amp;B60&amp;"" AND Col1 &gt;= DATE '"" &amp; TEXT($C$2, ""YYYY-MM-DD"") &amp; ""' AND "&amp;"Col1 &lt;= DATE '"" &amp; TEXT($C$3, ""YYYY-MM-DD"") &amp; ""' LABEL SUM(Col11) ''"", 0), """")"),"#REF!")</f>
        <v>#REF!</v>
      </c>
      <c r="F60" s="13" t="str">
        <f t="shared" ref="F60:F61" si="7">C60-E60+D60</f>
        <v>#N/A</v>
      </c>
    </row>
    <row r="61" ht="15.75" customHeight="1">
      <c r="A61" s="1"/>
      <c r="B61" s="1"/>
      <c r="C61" s="2" t="str">
        <f>VLOOKUP(B61,Helper!$D$99:$F1000,3,FALSE)</f>
        <v>#N/A</v>
      </c>
      <c r="D61" s="13" t="str">
        <f>IFERROR(__xludf.DUMMYFUNCTION("IFNA(QUERY(IMPORTRANGE(""https://docs.google.com/spreadsheets/d/1EHL-jm_NiShR1a2JqKbpaJGazYH90DJO150spY6io4k/edit?gid=0#gid=0"", 
""Gen_Ledger!A:N""), 
""SELECT SUM(Col10) WHERE Col7 = ""&amp;B61&amp;"" AND Col1 &gt;= DATE '"" &amp; TEXT($C$2, ""YYYY-MM-DD"") &amp; ""' AND "&amp;"Col1 &lt;= DATE '"" &amp; TEXT($C$3, ""YYYY-MM-DD"") &amp; ""' LABEL SUM(Col10) ''"", 0), """")"),"#REF!")</f>
        <v>#REF!</v>
      </c>
      <c r="E61" s="13" t="str">
        <f>IFERROR(__xludf.DUMMYFUNCTION("IFNA(QUERY(IMPORTRANGE(""https://docs.google.com/spreadsheets/d/1EHL-jm_NiShR1a2JqKbpaJGazYH90DJO150spY6io4k/edit?gid=0#gid=0"", 
""Gen_Ledger!A:N""), 
""SELECT SUM(Col11) WHERE Col7 = ""&amp;B61&amp;"" AND Col1 &gt;= DATE '"" &amp; TEXT($C$2, ""YYYY-MM-DD"") &amp; ""' AND "&amp;"Col1 &lt;= DATE '"" &amp; TEXT($C$3, ""YYYY-MM-DD"") &amp; ""' LABEL SUM(Col11) ''"", 0), """")"),"#REF!")</f>
        <v>#REF!</v>
      </c>
      <c r="F61" s="13" t="str">
        <f t="shared" si="7"/>
        <v>#N/A</v>
      </c>
    </row>
    <row r="62" ht="15.75" customHeight="1">
      <c r="A62" s="3"/>
      <c r="B62" s="3"/>
    </row>
    <row r="63" ht="15.75" customHeight="1">
      <c r="A63" s="3"/>
      <c r="B63" s="3"/>
    </row>
    <row r="64" ht="15.75" customHeight="1">
      <c r="A64" s="3"/>
      <c r="B64" s="3"/>
    </row>
    <row r="65" ht="15.75" customHeight="1">
      <c r="A65" s="3"/>
      <c r="B65" s="3"/>
    </row>
    <row r="66" ht="15.75" customHeight="1">
      <c r="A66" s="3"/>
      <c r="B66" s="3"/>
    </row>
    <row r="67" ht="15.75" customHeight="1">
      <c r="A67" s="3"/>
      <c r="B67" s="3"/>
    </row>
    <row r="68" ht="15.75" customHeight="1">
      <c r="A68" s="3"/>
      <c r="B68" s="3"/>
    </row>
    <row r="69" ht="15.75" customHeight="1">
      <c r="A69" s="3"/>
      <c r="B69" s="3"/>
    </row>
    <row r="70" ht="15.75" customHeight="1">
      <c r="A70" s="3"/>
      <c r="B70" s="3"/>
    </row>
    <row r="71" ht="15.75" customHeight="1">
      <c r="A71" s="3"/>
      <c r="B71" s="3"/>
    </row>
    <row r="72" ht="15.75" customHeight="1">
      <c r="A72" s="3"/>
      <c r="B72" s="3"/>
    </row>
    <row r="73" ht="15.75" customHeight="1">
      <c r="A73" s="3"/>
      <c r="B73" s="3"/>
    </row>
    <row r="74" ht="15.75" customHeight="1">
      <c r="A74" s="3"/>
      <c r="B74" s="3"/>
    </row>
    <row r="75" ht="15.75" customHeight="1">
      <c r="A75" s="3"/>
      <c r="B75" s="3"/>
    </row>
    <row r="76" ht="15.75" customHeight="1">
      <c r="A76" s="3"/>
      <c r="B76" s="3"/>
    </row>
    <row r="77" ht="15.75" customHeight="1">
      <c r="A77" s="3"/>
      <c r="B77" s="3"/>
    </row>
    <row r="78" ht="15.75" customHeight="1">
      <c r="A78" s="3"/>
      <c r="B78" s="3"/>
    </row>
    <row r="79" ht="15.75" customHeight="1">
      <c r="A79" s="3"/>
      <c r="B79" s="3"/>
    </row>
    <row r="80" ht="15.75" customHeight="1">
      <c r="A80" s="3"/>
      <c r="B80" s="3"/>
    </row>
    <row r="81" ht="15.75" customHeight="1">
      <c r="A81" s="3"/>
      <c r="B81" s="3"/>
    </row>
    <row r="82" ht="15.75" customHeight="1">
      <c r="A82" s="3"/>
      <c r="B82" s="3"/>
    </row>
    <row r="83" ht="15.75" customHeight="1">
      <c r="A83" s="3"/>
      <c r="B83" s="3"/>
    </row>
    <row r="84" ht="15.75" customHeight="1">
      <c r="A84" s="3"/>
      <c r="B84" s="3"/>
    </row>
    <row r="85" ht="15.75" customHeight="1">
      <c r="A85" s="3"/>
      <c r="B85" s="3"/>
    </row>
    <row r="86" ht="15.75" customHeight="1">
      <c r="A86" s="3"/>
      <c r="B86" s="3"/>
    </row>
    <row r="87" ht="15.75" customHeight="1">
      <c r="A87" s="3"/>
      <c r="B87" s="3"/>
    </row>
    <row r="88" ht="15.75" customHeight="1">
      <c r="A88" s="3"/>
      <c r="B88" s="3"/>
    </row>
    <row r="89" ht="15.75" customHeight="1">
      <c r="A89" s="3"/>
      <c r="B89" s="3"/>
    </row>
    <row r="90" ht="15.75" customHeight="1">
      <c r="A90" s="3"/>
      <c r="B90" s="3"/>
    </row>
    <row r="91" ht="15.75" customHeight="1">
      <c r="A91" s="3"/>
      <c r="B91" s="3"/>
    </row>
    <row r="92" ht="15.75" customHeight="1">
      <c r="A92" s="3"/>
      <c r="B92" s="3"/>
    </row>
    <row r="93" ht="15.75" customHeight="1">
      <c r="A93" s="3"/>
      <c r="B93" s="3"/>
    </row>
    <row r="94" ht="15.75" customHeight="1">
      <c r="A94" s="3"/>
      <c r="B94" s="3"/>
    </row>
    <row r="95" ht="15.75" customHeight="1">
      <c r="A95" s="3"/>
      <c r="B95" s="3"/>
    </row>
    <row r="96" ht="15.75" customHeight="1">
      <c r="A96" s="3"/>
      <c r="B96" s="3"/>
    </row>
    <row r="97" ht="15.75" customHeight="1">
      <c r="A97" s="3"/>
      <c r="B97" s="3"/>
    </row>
    <row r="98" ht="15.75" customHeight="1">
      <c r="A98" s="3"/>
      <c r="B98" s="3"/>
    </row>
    <row r="99" ht="15.75" customHeight="1">
      <c r="A99" s="3"/>
      <c r="B99" s="3"/>
    </row>
    <row r="100" ht="15.75" customHeight="1">
      <c r="A100" s="3"/>
      <c r="B100" s="3"/>
    </row>
    <row r="101" ht="15.75" customHeight="1">
      <c r="A101" s="3"/>
      <c r="B101" s="3"/>
    </row>
    <row r="102" ht="15.75" customHeight="1">
      <c r="A102" s="3"/>
      <c r="B102" s="3"/>
    </row>
    <row r="103" ht="15.75" customHeight="1">
      <c r="A103" s="3"/>
      <c r="B103" s="3"/>
    </row>
    <row r="104" ht="15.75" customHeight="1">
      <c r="A104" s="3"/>
      <c r="B104" s="3"/>
    </row>
    <row r="105" ht="15.75" customHeight="1">
      <c r="A105" s="3"/>
      <c r="B105" s="3"/>
    </row>
    <row r="106" ht="15.75" customHeight="1">
      <c r="A106" s="3"/>
      <c r="B106" s="3"/>
    </row>
    <row r="107" ht="15.75" customHeight="1">
      <c r="A107" s="3"/>
      <c r="B107" s="3"/>
    </row>
    <row r="108" ht="15.75" customHeight="1">
      <c r="A108" s="3"/>
      <c r="B108" s="3"/>
    </row>
    <row r="109" ht="15.75" customHeight="1">
      <c r="A109" s="3"/>
      <c r="B109" s="3"/>
    </row>
    <row r="110" ht="15.75" customHeight="1">
      <c r="A110" s="3"/>
      <c r="B110" s="3"/>
    </row>
    <row r="111" ht="15.75" customHeight="1">
      <c r="A111" s="3"/>
      <c r="B111" s="3"/>
    </row>
    <row r="112" ht="15.75" customHeight="1">
      <c r="A112" s="3"/>
      <c r="B112" s="3"/>
    </row>
    <row r="113" ht="15.75" customHeight="1">
      <c r="A113" s="3"/>
      <c r="B113" s="3"/>
    </row>
    <row r="114" ht="15.75" customHeight="1">
      <c r="A114" s="3"/>
      <c r="B114" s="3"/>
    </row>
    <row r="115" ht="15.75" customHeight="1">
      <c r="A115" s="3"/>
      <c r="B115" s="3"/>
    </row>
    <row r="116" ht="15.75" customHeight="1">
      <c r="A116" s="3"/>
      <c r="B116" s="3"/>
    </row>
    <row r="117" ht="15.75" customHeight="1">
      <c r="A117" s="3"/>
      <c r="B117" s="3"/>
    </row>
    <row r="118" ht="15.75" customHeight="1">
      <c r="A118" s="3"/>
      <c r="B118" s="3"/>
    </row>
    <row r="119" ht="15.75" customHeight="1">
      <c r="A119" s="3"/>
      <c r="B119" s="3"/>
    </row>
    <row r="120" ht="15.75" customHeight="1">
      <c r="A120" s="3"/>
      <c r="B120" s="3"/>
    </row>
    <row r="121" ht="15.75" customHeight="1">
      <c r="A121" s="3"/>
      <c r="B121" s="3"/>
    </row>
    <row r="122" ht="15.75" customHeight="1">
      <c r="A122" s="3"/>
      <c r="B122" s="3"/>
    </row>
    <row r="123" ht="15.75" customHeight="1">
      <c r="A123" s="3"/>
      <c r="B123" s="3"/>
    </row>
    <row r="124" ht="15.75" customHeight="1">
      <c r="A124" s="3"/>
      <c r="B124" s="3"/>
    </row>
    <row r="125" ht="15.75" customHeight="1">
      <c r="A125" s="3"/>
      <c r="B125" s="3"/>
    </row>
    <row r="126" ht="15.75" customHeight="1">
      <c r="A126" s="3"/>
      <c r="B126" s="3"/>
    </row>
    <row r="127" ht="15.75" customHeight="1">
      <c r="A127" s="3"/>
      <c r="B127" s="3"/>
    </row>
    <row r="128" ht="15.75" customHeight="1">
      <c r="A128" s="3"/>
      <c r="B128" s="3"/>
    </row>
    <row r="129" ht="15.75" customHeight="1">
      <c r="A129" s="3"/>
      <c r="B129" s="3"/>
    </row>
    <row r="130" ht="15.75" customHeight="1">
      <c r="A130" s="3"/>
      <c r="B130" s="3"/>
    </row>
    <row r="131" ht="15.75" customHeight="1">
      <c r="A131" s="3"/>
      <c r="B131" s="3"/>
    </row>
    <row r="132" ht="15.75" customHeight="1">
      <c r="A132" s="3"/>
      <c r="B132" s="3"/>
    </row>
    <row r="133" ht="15.75" customHeight="1">
      <c r="A133" s="3"/>
      <c r="B133" s="3"/>
    </row>
    <row r="134" ht="15.75" customHeight="1">
      <c r="A134" s="3"/>
      <c r="B134" s="3"/>
    </row>
    <row r="135" ht="15.75" customHeight="1">
      <c r="A135" s="3"/>
      <c r="B135" s="3"/>
    </row>
    <row r="136" ht="15.75" customHeight="1">
      <c r="A136" s="3"/>
      <c r="B136" s="3"/>
    </row>
    <row r="137" ht="15.75" customHeight="1">
      <c r="A137" s="3"/>
      <c r="B137" s="3"/>
    </row>
    <row r="138" ht="15.75" customHeight="1">
      <c r="A138" s="3"/>
      <c r="B138" s="3"/>
    </row>
    <row r="139" ht="15.75" customHeight="1">
      <c r="A139" s="3"/>
      <c r="B139" s="3"/>
    </row>
    <row r="140" ht="15.75" customHeight="1">
      <c r="A140" s="3"/>
      <c r="B140" s="3"/>
    </row>
    <row r="141" ht="15.75" customHeight="1">
      <c r="A141" s="3"/>
      <c r="B141" s="3"/>
    </row>
    <row r="142" ht="15.75" customHeight="1">
      <c r="A142" s="3"/>
      <c r="B142" s="3"/>
    </row>
    <row r="143" ht="15.75" customHeight="1">
      <c r="A143" s="3"/>
      <c r="B143" s="3"/>
    </row>
    <row r="144" ht="15.75" customHeight="1">
      <c r="A144" s="3"/>
      <c r="B144" s="3"/>
    </row>
    <row r="145" ht="15.75" customHeight="1">
      <c r="A145" s="3"/>
      <c r="B145" s="3"/>
    </row>
    <row r="146" ht="15.75" customHeight="1">
      <c r="A146" s="3"/>
      <c r="B146" s="3"/>
    </row>
    <row r="147" ht="15.75" customHeight="1">
      <c r="A147" s="3"/>
      <c r="B147" s="3"/>
    </row>
    <row r="148" ht="15.75" customHeight="1">
      <c r="A148" s="3"/>
      <c r="B148" s="3"/>
    </row>
    <row r="149" ht="15.75" customHeight="1">
      <c r="A149" s="3"/>
      <c r="B149" s="3"/>
    </row>
    <row r="150" ht="15.75" customHeight="1">
      <c r="A150" s="3"/>
      <c r="B150" s="3"/>
    </row>
    <row r="151" ht="15.75" customHeight="1">
      <c r="A151" s="3"/>
      <c r="B151" s="3"/>
    </row>
    <row r="152" ht="15.75" customHeight="1">
      <c r="A152" s="3"/>
      <c r="B152" s="3"/>
    </row>
    <row r="153" ht="15.75" customHeight="1">
      <c r="A153" s="3"/>
      <c r="B153" s="3"/>
    </row>
    <row r="154" ht="15.75" customHeight="1">
      <c r="A154" s="3"/>
      <c r="B154" s="3"/>
    </row>
    <row r="155" ht="15.75" customHeight="1">
      <c r="A155" s="3"/>
      <c r="B155" s="3"/>
    </row>
    <row r="156" ht="15.75" customHeight="1">
      <c r="A156" s="3"/>
      <c r="B156" s="3"/>
    </row>
    <row r="157" ht="15.75" customHeight="1">
      <c r="A157" s="3"/>
      <c r="B157" s="3"/>
    </row>
    <row r="158" ht="15.75" customHeight="1">
      <c r="A158" s="3"/>
      <c r="B158" s="3"/>
    </row>
    <row r="159" ht="15.75" customHeight="1">
      <c r="A159" s="3"/>
      <c r="B159" s="3"/>
    </row>
    <row r="160" ht="15.75" customHeight="1">
      <c r="A160" s="3"/>
      <c r="B160" s="3"/>
    </row>
    <row r="161" ht="15.75" customHeight="1">
      <c r="A161" s="3"/>
      <c r="B161" s="3"/>
    </row>
    <row r="162" ht="15.75" customHeight="1">
      <c r="A162" s="3"/>
      <c r="B162" s="3"/>
    </row>
    <row r="163" ht="15.75" customHeight="1">
      <c r="A163" s="3"/>
      <c r="B163" s="3"/>
    </row>
    <row r="164" ht="15.75" customHeight="1">
      <c r="A164" s="3"/>
      <c r="B164" s="3"/>
    </row>
    <row r="165" ht="15.75" customHeight="1">
      <c r="A165" s="3"/>
      <c r="B165" s="3"/>
    </row>
    <row r="166" ht="15.75" customHeight="1">
      <c r="A166" s="3"/>
      <c r="B166" s="3"/>
    </row>
    <row r="167" ht="15.75" customHeight="1">
      <c r="A167" s="3"/>
      <c r="B167" s="3"/>
    </row>
    <row r="168" ht="15.75" customHeight="1">
      <c r="A168" s="3"/>
      <c r="B168" s="3"/>
    </row>
    <row r="169" ht="15.75" customHeight="1">
      <c r="A169" s="3"/>
      <c r="B169" s="3"/>
    </row>
    <row r="170" ht="15.75" customHeight="1">
      <c r="A170" s="3"/>
      <c r="B170" s="3"/>
    </row>
    <row r="171" ht="15.75" customHeight="1">
      <c r="A171" s="3"/>
      <c r="B171" s="3"/>
    </row>
    <row r="172" ht="15.75" customHeight="1">
      <c r="A172" s="3"/>
      <c r="B172" s="3"/>
    </row>
    <row r="173" ht="15.75" customHeight="1">
      <c r="A173" s="3"/>
      <c r="B173" s="3"/>
    </row>
    <row r="174" ht="15.75" customHeight="1">
      <c r="A174" s="3"/>
      <c r="B174" s="3"/>
    </row>
    <row r="175" ht="15.75" customHeight="1">
      <c r="A175" s="3"/>
      <c r="B175" s="3"/>
    </row>
    <row r="176" ht="15.75" customHeight="1">
      <c r="A176" s="3"/>
      <c r="B176" s="3"/>
    </row>
    <row r="177" ht="15.75" customHeight="1">
      <c r="A177" s="3"/>
      <c r="B177" s="3"/>
    </row>
    <row r="178" ht="15.75" customHeight="1">
      <c r="A178" s="3"/>
      <c r="B178" s="3"/>
    </row>
    <row r="179" ht="15.75" customHeight="1">
      <c r="A179" s="3"/>
      <c r="B179" s="3"/>
    </row>
    <row r="180" ht="15.75" customHeight="1">
      <c r="A180" s="3"/>
      <c r="B180" s="3"/>
    </row>
    <row r="181" ht="15.75" customHeight="1">
      <c r="A181" s="3"/>
      <c r="B181" s="3"/>
    </row>
    <row r="182" ht="15.75" customHeight="1">
      <c r="A182" s="3"/>
      <c r="B182" s="3"/>
    </row>
    <row r="183" ht="15.75" customHeight="1">
      <c r="A183" s="3"/>
      <c r="B183" s="3"/>
    </row>
    <row r="184" ht="15.75" customHeight="1">
      <c r="A184" s="3"/>
      <c r="B184" s="3"/>
    </row>
    <row r="185" ht="15.75" customHeight="1">
      <c r="A185" s="3"/>
      <c r="B185" s="3"/>
    </row>
    <row r="186" ht="15.75" customHeight="1">
      <c r="A186" s="3"/>
      <c r="B186" s="3"/>
    </row>
    <row r="187" ht="15.75" customHeight="1">
      <c r="A187" s="3"/>
      <c r="B187" s="3"/>
    </row>
    <row r="188" ht="15.75" customHeight="1">
      <c r="A188" s="3"/>
      <c r="B188" s="3"/>
    </row>
    <row r="189" ht="15.75" customHeight="1">
      <c r="A189" s="3"/>
      <c r="B189" s="3"/>
    </row>
    <row r="190" ht="15.75" customHeight="1">
      <c r="A190" s="3"/>
      <c r="B190" s="3"/>
    </row>
    <row r="191" ht="15.75" customHeight="1">
      <c r="A191" s="3"/>
      <c r="B191" s="3"/>
    </row>
    <row r="192" ht="15.75" customHeight="1">
      <c r="A192" s="3"/>
      <c r="B192" s="3"/>
    </row>
    <row r="193" ht="15.75" customHeight="1">
      <c r="A193" s="3"/>
      <c r="B193" s="3"/>
    </row>
    <row r="194" ht="15.75" customHeight="1">
      <c r="A194" s="3"/>
      <c r="B194" s="3"/>
    </row>
    <row r="195" ht="15.75" customHeight="1">
      <c r="A195" s="3"/>
      <c r="B195" s="3"/>
    </row>
    <row r="196" ht="15.75" customHeight="1">
      <c r="A196" s="3"/>
      <c r="B196" s="3"/>
    </row>
    <row r="197" ht="15.75" customHeight="1">
      <c r="A197" s="3"/>
      <c r="B197" s="3"/>
    </row>
    <row r="198" ht="15.75" customHeight="1">
      <c r="A198" s="3"/>
      <c r="B198" s="3"/>
    </row>
    <row r="199" ht="15.75" customHeight="1">
      <c r="A199" s="3"/>
      <c r="B199" s="3"/>
    </row>
    <row r="200" ht="15.75" customHeight="1">
      <c r="A200" s="3"/>
      <c r="B200" s="3"/>
    </row>
    <row r="201" ht="15.75" customHeight="1">
      <c r="A201" s="3"/>
      <c r="B201" s="3"/>
    </row>
    <row r="202" ht="15.75" customHeight="1">
      <c r="A202" s="3"/>
      <c r="B202" s="3"/>
    </row>
    <row r="203" ht="15.75" customHeight="1">
      <c r="A203" s="3"/>
      <c r="B203" s="3"/>
    </row>
    <row r="204" ht="15.75" customHeight="1">
      <c r="A204" s="3"/>
      <c r="B204" s="3"/>
    </row>
    <row r="205" ht="15.75" customHeight="1">
      <c r="A205" s="3"/>
      <c r="B205" s="3"/>
    </row>
    <row r="206" ht="15.75" customHeight="1">
      <c r="A206" s="3"/>
      <c r="B206" s="3"/>
    </row>
    <row r="207" ht="15.75" customHeight="1">
      <c r="A207" s="3"/>
      <c r="B207" s="3"/>
    </row>
    <row r="208" ht="15.75" customHeight="1">
      <c r="A208" s="3"/>
      <c r="B208" s="3"/>
    </row>
    <row r="209" ht="15.75" customHeight="1">
      <c r="A209" s="3"/>
      <c r="B209" s="3"/>
    </row>
    <row r="210" ht="15.75" customHeight="1">
      <c r="A210" s="3"/>
      <c r="B210" s="3"/>
    </row>
    <row r="211" ht="15.75" customHeight="1">
      <c r="A211" s="3"/>
      <c r="B211" s="3"/>
    </row>
    <row r="212" ht="15.75" customHeight="1">
      <c r="A212" s="3"/>
      <c r="B212" s="3"/>
    </row>
    <row r="213" ht="15.75" customHeight="1">
      <c r="A213" s="3"/>
      <c r="B213" s="3"/>
    </row>
    <row r="214" ht="15.75" customHeight="1">
      <c r="A214" s="3"/>
      <c r="B214" s="3"/>
    </row>
    <row r="215" ht="15.75" customHeight="1">
      <c r="A215" s="3"/>
      <c r="B215" s="3"/>
    </row>
    <row r="216" ht="15.75" customHeight="1">
      <c r="A216" s="3"/>
      <c r="B216" s="3"/>
    </row>
    <row r="217" ht="15.75" customHeight="1">
      <c r="A217" s="3"/>
      <c r="B217" s="3"/>
    </row>
    <row r="218" ht="15.75" customHeight="1">
      <c r="A218" s="3"/>
      <c r="B218" s="3"/>
    </row>
    <row r="219" ht="15.75" customHeight="1">
      <c r="A219" s="3"/>
      <c r="B219" s="3"/>
    </row>
    <row r="220" ht="15.75" customHeight="1">
      <c r="A220" s="3"/>
      <c r="B220" s="3"/>
    </row>
    <row r="221" ht="15.75" customHeight="1">
      <c r="A221" s="3"/>
      <c r="B221" s="3"/>
    </row>
    <row r="222" ht="15.75" customHeight="1">
      <c r="A222" s="3"/>
      <c r="B222" s="3"/>
    </row>
    <row r="223" ht="15.75" customHeight="1">
      <c r="A223" s="3"/>
      <c r="B223" s="3"/>
    </row>
    <row r="224" ht="15.75" customHeight="1">
      <c r="A224" s="3"/>
      <c r="B224" s="3"/>
    </row>
    <row r="225" ht="15.75" customHeight="1">
      <c r="A225" s="3"/>
      <c r="B225" s="3"/>
    </row>
    <row r="226" ht="15.75" customHeight="1">
      <c r="A226" s="3"/>
      <c r="B226" s="3"/>
    </row>
    <row r="227" ht="15.75" customHeight="1">
      <c r="A227" s="3"/>
      <c r="B227" s="3"/>
    </row>
    <row r="228" ht="15.75" customHeight="1">
      <c r="A228" s="3"/>
      <c r="B228" s="3"/>
    </row>
    <row r="229" ht="15.75" customHeight="1">
      <c r="A229" s="3"/>
      <c r="B229" s="3"/>
    </row>
    <row r="230" ht="15.75" customHeight="1">
      <c r="A230" s="3"/>
      <c r="B230" s="3"/>
    </row>
    <row r="231" ht="15.75" customHeight="1">
      <c r="A231" s="3"/>
      <c r="B231" s="3"/>
    </row>
    <row r="232" ht="15.75" customHeight="1">
      <c r="A232" s="3"/>
      <c r="B232" s="3"/>
    </row>
    <row r="233" ht="15.75" customHeight="1">
      <c r="A233" s="3"/>
      <c r="B233" s="3"/>
    </row>
    <row r="234" ht="15.75" customHeight="1">
      <c r="A234" s="3"/>
      <c r="B234" s="3"/>
    </row>
    <row r="235" ht="15.75" customHeight="1">
      <c r="A235" s="3"/>
      <c r="B235" s="3"/>
    </row>
    <row r="236" ht="15.75" customHeight="1">
      <c r="A236" s="3"/>
      <c r="B236" s="3"/>
    </row>
    <row r="237" ht="15.75" customHeight="1">
      <c r="A237" s="3"/>
      <c r="B237" s="3"/>
    </row>
    <row r="238" ht="15.75" customHeight="1">
      <c r="A238" s="3"/>
      <c r="B238" s="3"/>
    </row>
    <row r="239" ht="15.75" customHeight="1">
      <c r="A239" s="3"/>
      <c r="B239" s="3"/>
    </row>
    <row r="240" ht="15.75" customHeight="1">
      <c r="A240" s="3"/>
      <c r="B240" s="3"/>
    </row>
    <row r="241" ht="15.75" customHeight="1">
      <c r="A241" s="3"/>
      <c r="B241" s="3"/>
    </row>
    <row r="242" ht="15.75" customHeight="1">
      <c r="A242" s="3"/>
      <c r="B242" s="3"/>
    </row>
    <row r="243" ht="15.75" customHeight="1">
      <c r="A243" s="3"/>
      <c r="B243" s="3"/>
    </row>
    <row r="244" ht="15.75" customHeight="1">
      <c r="A244" s="3"/>
      <c r="B244" s="3"/>
    </row>
    <row r="245" ht="15.75" customHeight="1">
      <c r="A245" s="3"/>
      <c r="B245" s="3"/>
    </row>
    <row r="246" ht="15.75" customHeight="1">
      <c r="A246" s="3"/>
      <c r="B246" s="3"/>
    </row>
    <row r="247" ht="15.75" customHeight="1">
      <c r="A247" s="3"/>
      <c r="B247" s="3"/>
    </row>
    <row r="248" ht="15.75" customHeight="1">
      <c r="A248" s="3"/>
      <c r="B248" s="3"/>
    </row>
    <row r="249" ht="15.75" customHeight="1">
      <c r="A249" s="3"/>
      <c r="B249" s="3"/>
    </row>
    <row r="250" ht="15.75" customHeight="1">
      <c r="A250" s="3"/>
      <c r="B250" s="3"/>
    </row>
    <row r="251" ht="15.75" customHeight="1">
      <c r="A251" s="3"/>
      <c r="B251" s="3"/>
    </row>
    <row r="252" ht="15.75" customHeight="1">
      <c r="A252" s="3"/>
      <c r="B252" s="3"/>
    </row>
    <row r="253" ht="15.75" customHeight="1">
      <c r="A253" s="3"/>
      <c r="B253" s="3"/>
    </row>
    <row r="254" ht="15.75" customHeight="1">
      <c r="A254" s="3"/>
      <c r="B254" s="3"/>
    </row>
    <row r="255" ht="15.75" customHeight="1">
      <c r="A255" s="3"/>
      <c r="B255" s="3"/>
    </row>
    <row r="256" ht="15.75" customHeight="1">
      <c r="A256" s="3"/>
      <c r="B256" s="3"/>
    </row>
    <row r="257" ht="15.75" customHeight="1">
      <c r="A257" s="3"/>
      <c r="B257" s="3"/>
    </row>
    <row r="258" ht="15.75" customHeight="1">
      <c r="A258" s="3"/>
      <c r="B258" s="3"/>
    </row>
    <row r="259" ht="15.75" customHeight="1">
      <c r="A259" s="3"/>
      <c r="B259" s="3"/>
    </row>
    <row r="260" ht="15.75" customHeight="1">
      <c r="A260" s="3"/>
      <c r="B260" s="3"/>
    </row>
    <row r="261" ht="15.75" customHeight="1">
      <c r="A261" s="3"/>
      <c r="B261" s="3"/>
    </row>
    <row r="262" ht="15.75" customHeight="1">
      <c r="A262" s="3"/>
      <c r="B262" s="3"/>
    </row>
    <row r="263" ht="15.75" customHeight="1">
      <c r="A263" s="3"/>
      <c r="B263" s="3"/>
    </row>
    <row r="264" ht="15.75" customHeight="1">
      <c r="A264" s="14"/>
      <c r="B264" s="14"/>
    </row>
    <row r="265" ht="15.75" customHeight="1">
      <c r="A265" s="14"/>
      <c r="B265" s="14"/>
    </row>
    <row r="266" ht="15.75" customHeight="1">
      <c r="A266" s="14"/>
      <c r="B266" s="14"/>
    </row>
    <row r="267" ht="15.75" customHeight="1">
      <c r="A267" s="14"/>
      <c r="B267" s="14"/>
    </row>
    <row r="268" ht="15.75" customHeight="1">
      <c r="A268" s="14"/>
      <c r="B268" s="14"/>
    </row>
    <row r="269" ht="15.75" customHeight="1">
      <c r="A269" s="14"/>
      <c r="B269" s="14"/>
    </row>
    <row r="270" ht="15.75" customHeight="1">
      <c r="A270" s="14"/>
      <c r="B270" s="14"/>
    </row>
    <row r="271" ht="15.75" customHeight="1">
      <c r="A271" s="14"/>
      <c r="B271" s="14"/>
    </row>
    <row r="272" ht="15.75" customHeight="1">
      <c r="A272" s="14"/>
      <c r="B272" s="14"/>
    </row>
    <row r="273" ht="15.75" customHeight="1">
      <c r="A273" s="14"/>
      <c r="B273" s="14"/>
    </row>
    <row r="274" ht="15.75" customHeight="1">
      <c r="A274" s="14"/>
      <c r="B274" s="14"/>
    </row>
    <row r="275" ht="15.75" customHeight="1">
      <c r="A275" s="14"/>
      <c r="B275" s="14"/>
    </row>
    <row r="276" ht="15.75" customHeight="1">
      <c r="A276" s="14"/>
      <c r="B276" s="14"/>
    </row>
    <row r="277" ht="15.75" customHeight="1">
      <c r="A277" s="14"/>
      <c r="B277" s="14"/>
    </row>
    <row r="278" ht="15.75" customHeight="1">
      <c r="A278" s="14"/>
      <c r="B278" s="14"/>
    </row>
    <row r="279" ht="15.75" customHeight="1">
      <c r="A279" s="14"/>
      <c r="B279" s="14"/>
    </row>
    <row r="280" ht="15.75" customHeight="1">
      <c r="A280" s="14"/>
      <c r="B280" s="14"/>
    </row>
    <row r="281" ht="15.75" customHeight="1">
      <c r="A281" s="14"/>
      <c r="B281" s="14"/>
    </row>
    <row r="282" ht="15.75" customHeight="1">
      <c r="A282" s="14"/>
      <c r="B282" s="14"/>
    </row>
    <row r="283" ht="15.75" customHeight="1">
      <c r="A283" s="14"/>
      <c r="B283" s="14"/>
    </row>
    <row r="284" ht="15.75" customHeight="1">
      <c r="A284" s="14"/>
      <c r="B284" s="14"/>
    </row>
    <row r="285" ht="15.75" customHeight="1">
      <c r="A285" s="14"/>
      <c r="B285" s="14"/>
    </row>
    <row r="286" ht="15.75" customHeight="1">
      <c r="A286" s="14"/>
      <c r="B286" s="14"/>
    </row>
    <row r="287" ht="15.75" customHeight="1">
      <c r="A287" s="14"/>
      <c r="B287" s="14"/>
    </row>
    <row r="288" ht="15.75" customHeight="1">
      <c r="A288" s="14"/>
      <c r="B288" s="14"/>
    </row>
    <row r="289" ht="15.75" customHeight="1">
      <c r="A289" s="14"/>
      <c r="B289" s="14"/>
    </row>
    <row r="290" ht="15.75" customHeight="1">
      <c r="A290" s="14"/>
      <c r="B290" s="14"/>
    </row>
    <row r="291" ht="15.75" customHeight="1">
      <c r="A291" s="14"/>
      <c r="B291" s="14"/>
    </row>
    <row r="292" ht="15.75" customHeight="1">
      <c r="A292" s="14"/>
      <c r="B292" s="14"/>
    </row>
    <row r="293" ht="15.75" customHeight="1">
      <c r="A293" s="14"/>
      <c r="B293" s="14"/>
    </row>
    <row r="294" ht="15.75" customHeight="1">
      <c r="A294" s="14"/>
      <c r="B294" s="14"/>
    </row>
    <row r="295" ht="15.75" customHeight="1">
      <c r="A295" s="14"/>
      <c r="B295" s="14"/>
    </row>
    <row r="296" ht="15.75" customHeight="1">
      <c r="A296" s="14"/>
      <c r="B296" s="14"/>
    </row>
    <row r="297" ht="15.75" customHeight="1">
      <c r="A297" s="14"/>
      <c r="B297" s="14"/>
    </row>
    <row r="298" ht="15.75" customHeight="1">
      <c r="A298" s="14"/>
      <c r="B298" s="14"/>
    </row>
    <row r="299" ht="15.75" customHeight="1">
      <c r="A299" s="14"/>
      <c r="B299" s="14"/>
    </row>
    <row r="300" ht="15.75" customHeight="1">
      <c r="A300" s="14"/>
      <c r="B300" s="14"/>
    </row>
    <row r="301" ht="15.75" customHeight="1">
      <c r="A301" s="14"/>
      <c r="B301" s="14"/>
    </row>
    <row r="302" ht="15.75" customHeight="1">
      <c r="A302" s="14"/>
      <c r="B302" s="14"/>
    </row>
    <row r="303" ht="15.75" customHeight="1">
      <c r="A303" s="14"/>
      <c r="B303" s="14"/>
    </row>
    <row r="304" ht="15.75" customHeight="1">
      <c r="A304" s="14"/>
      <c r="B304" s="14"/>
    </row>
    <row r="305" ht="15.75" customHeight="1">
      <c r="A305" s="14"/>
      <c r="B305" s="14"/>
    </row>
    <row r="306" ht="15.75" customHeight="1">
      <c r="A306" s="14"/>
      <c r="B306" s="14"/>
    </row>
    <row r="307" ht="15.75" customHeight="1">
      <c r="A307" s="14"/>
      <c r="B307" s="14"/>
    </row>
    <row r="308" ht="15.75" customHeight="1">
      <c r="A308" s="14"/>
      <c r="B308" s="14"/>
    </row>
    <row r="309" ht="15.75" customHeight="1">
      <c r="A309" s="14"/>
      <c r="B309" s="14"/>
    </row>
    <row r="310" ht="15.75" customHeight="1">
      <c r="A310" s="14"/>
      <c r="B310" s="14"/>
    </row>
    <row r="311" ht="15.75" customHeight="1">
      <c r="A311" s="14"/>
      <c r="B311" s="14"/>
    </row>
    <row r="312" ht="15.75" customHeight="1">
      <c r="A312" s="14"/>
      <c r="B312" s="14"/>
    </row>
    <row r="313" ht="15.75" customHeight="1">
      <c r="A313" s="14"/>
      <c r="B313" s="14"/>
    </row>
    <row r="314" ht="15.75" customHeight="1">
      <c r="A314" s="14"/>
      <c r="B314" s="14"/>
    </row>
    <row r="315" ht="15.75" customHeight="1">
      <c r="A315" s="14"/>
      <c r="B315" s="14"/>
    </row>
    <row r="316" ht="15.75" customHeight="1">
      <c r="A316" s="14"/>
      <c r="B316" s="14"/>
    </row>
    <row r="317" ht="15.75" customHeight="1">
      <c r="A317" s="14"/>
      <c r="B317" s="14"/>
    </row>
    <row r="318" ht="15.75" customHeight="1">
      <c r="A318" s="14"/>
      <c r="B318" s="14"/>
    </row>
    <row r="319" ht="15.75" customHeight="1">
      <c r="A319" s="14"/>
      <c r="B319" s="14"/>
    </row>
    <row r="320" ht="15.75" customHeight="1">
      <c r="A320" s="14"/>
      <c r="B320" s="14"/>
    </row>
    <row r="321" ht="15.75" customHeight="1">
      <c r="A321" s="14"/>
      <c r="B321" s="14"/>
    </row>
    <row r="322" ht="15.75" customHeight="1">
      <c r="A322" s="14"/>
      <c r="B322" s="14"/>
    </row>
    <row r="323" ht="15.75" customHeight="1">
      <c r="A323" s="14"/>
      <c r="B323" s="14"/>
    </row>
    <row r="324" ht="15.75" customHeight="1">
      <c r="A324" s="14"/>
      <c r="B324" s="14"/>
    </row>
    <row r="325" ht="15.75" customHeight="1">
      <c r="A325" s="14"/>
      <c r="B325" s="14"/>
    </row>
    <row r="326" ht="15.75" customHeight="1">
      <c r="A326" s="14"/>
      <c r="B326" s="14"/>
    </row>
    <row r="327" ht="15.75" customHeight="1">
      <c r="A327" s="14"/>
      <c r="B327" s="14"/>
    </row>
    <row r="328" ht="15.75" customHeight="1">
      <c r="A328" s="14"/>
      <c r="B328" s="14"/>
    </row>
    <row r="329" ht="15.75" customHeight="1">
      <c r="A329" s="14"/>
      <c r="B329" s="14"/>
    </row>
    <row r="330" ht="15.75" customHeight="1">
      <c r="A330" s="14"/>
      <c r="B330" s="14"/>
    </row>
    <row r="331" ht="15.75" customHeight="1">
      <c r="A331" s="14"/>
      <c r="B331" s="14"/>
    </row>
    <row r="332" ht="15.75" customHeight="1">
      <c r="A332" s="14"/>
      <c r="B332" s="14"/>
    </row>
    <row r="333" ht="15.75" customHeight="1">
      <c r="A333" s="14"/>
      <c r="B333" s="14"/>
    </row>
    <row r="334" ht="15.75" customHeight="1">
      <c r="A334" s="14"/>
      <c r="B334" s="14"/>
    </row>
    <row r="335" ht="15.75" customHeight="1">
      <c r="A335" s="14"/>
      <c r="B335" s="14"/>
    </row>
    <row r="336" ht="15.75" customHeight="1">
      <c r="A336" s="14"/>
      <c r="B336" s="14"/>
    </row>
    <row r="337" ht="15.75" customHeight="1">
      <c r="A337" s="14"/>
      <c r="B337" s="14"/>
    </row>
    <row r="338" ht="15.75" customHeight="1">
      <c r="A338" s="14"/>
      <c r="B338" s="14"/>
    </row>
    <row r="339" ht="15.75" customHeight="1">
      <c r="A339" s="14"/>
      <c r="B339" s="14"/>
    </row>
    <row r="340" ht="15.75" customHeight="1">
      <c r="A340" s="14"/>
      <c r="B340" s="14"/>
    </row>
    <row r="341" ht="15.75" customHeight="1">
      <c r="A341" s="14"/>
      <c r="B341" s="14"/>
    </row>
    <row r="342" ht="15.75" customHeight="1">
      <c r="A342" s="14"/>
      <c r="B342" s="14"/>
    </row>
    <row r="343" ht="15.75" customHeight="1">
      <c r="A343" s="14"/>
      <c r="B343" s="14"/>
    </row>
    <row r="344" ht="15.75" customHeight="1">
      <c r="A344" s="14"/>
      <c r="B344" s="14"/>
    </row>
    <row r="345" ht="15.75" customHeight="1">
      <c r="A345" s="14"/>
      <c r="B345" s="14"/>
    </row>
    <row r="346" ht="15.75" customHeight="1">
      <c r="A346" s="14"/>
      <c r="B346" s="14"/>
    </row>
    <row r="347" ht="15.75" customHeight="1">
      <c r="A347" s="14"/>
      <c r="B347" s="14"/>
    </row>
    <row r="348" ht="15.75" customHeight="1">
      <c r="A348" s="14"/>
      <c r="B348" s="14"/>
    </row>
    <row r="349" ht="15.75" customHeight="1">
      <c r="A349" s="14"/>
      <c r="B349" s="14"/>
    </row>
    <row r="350" ht="15.75" customHeight="1">
      <c r="A350" s="14"/>
      <c r="B350" s="14"/>
    </row>
    <row r="351" ht="15.75" customHeight="1">
      <c r="A351" s="14"/>
      <c r="B351" s="14"/>
    </row>
    <row r="352" ht="15.75" customHeight="1">
      <c r="A352" s="14"/>
      <c r="B352" s="14"/>
    </row>
    <row r="353" ht="15.75" customHeight="1">
      <c r="A353" s="14"/>
      <c r="B353" s="14"/>
    </row>
    <row r="354" ht="15.75" customHeight="1">
      <c r="A354" s="14"/>
      <c r="B354" s="14"/>
    </row>
    <row r="355" ht="15.75" customHeight="1">
      <c r="A355" s="14"/>
      <c r="B355" s="14"/>
    </row>
    <row r="356" ht="15.75" customHeight="1">
      <c r="A356" s="14"/>
      <c r="B356" s="14"/>
    </row>
    <row r="357" ht="15.75" customHeight="1">
      <c r="A357" s="14"/>
      <c r="B357" s="14"/>
    </row>
    <row r="358" ht="15.75" customHeight="1">
      <c r="A358" s="14"/>
      <c r="B358" s="14"/>
    </row>
    <row r="359" ht="15.75" customHeight="1">
      <c r="A359" s="14"/>
      <c r="B359" s="14"/>
    </row>
    <row r="360" ht="15.75" customHeight="1">
      <c r="A360" s="14"/>
      <c r="B360" s="14"/>
    </row>
    <row r="361" ht="15.75" customHeight="1">
      <c r="A361" s="14"/>
      <c r="B361" s="14"/>
    </row>
    <row r="362" ht="15.75" customHeight="1">
      <c r="A362" s="14"/>
      <c r="B362" s="14"/>
    </row>
    <row r="363" ht="15.75" customHeight="1">
      <c r="A363" s="14"/>
      <c r="B363" s="14"/>
    </row>
    <row r="364" ht="15.75" customHeight="1">
      <c r="A364" s="14"/>
      <c r="B364" s="14"/>
    </row>
    <row r="365" ht="15.75" customHeight="1">
      <c r="A365" s="14"/>
      <c r="B365" s="14"/>
    </row>
    <row r="366" ht="15.75" customHeight="1">
      <c r="A366" s="14"/>
      <c r="B366" s="14"/>
    </row>
    <row r="367" ht="15.75" customHeight="1">
      <c r="A367" s="14"/>
      <c r="B367" s="14"/>
    </row>
    <row r="368" ht="15.75" customHeight="1">
      <c r="A368" s="14"/>
      <c r="B368" s="14"/>
    </row>
    <row r="369" ht="15.75" customHeight="1">
      <c r="A369" s="14"/>
      <c r="B369" s="14"/>
    </row>
    <row r="370" ht="15.75" customHeight="1">
      <c r="A370" s="14"/>
      <c r="B370" s="14"/>
    </row>
    <row r="371" ht="15.75" customHeight="1">
      <c r="A371" s="14"/>
      <c r="B371" s="14"/>
    </row>
    <row r="372" ht="15.75" customHeight="1">
      <c r="A372" s="14"/>
      <c r="B372" s="14"/>
    </row>
    <row r="373" ht="15.75" customHeight="1">
      <c r="A373" s="14"/>
      <c r="B373" s="14"/>
    </row>
    <row r="374" ht="15.75" customHeight="1">
      <c r="A374" s="14"/>
      <c r="B374" s="14"/>
    </row>
    <row r="375" ht="15.75" customHeight="1">
      <c r="A375" s="14"/>
      <c r="B375" s="14"/>
    </row>
    <row r="376" ht="15.75" customHeight="1">
      <c r="A376" s="14"/>
      <c r="B376" s="14"/>
    </row>
    <row r="377" ht="15.75" customHeight="1">
      <c r="A377" s="14"/>
      <c r="B377" s="14"/>
    </row>
    <row r="378" ht="15.75" customHeight="1">
      <c r="A378" s="14"/>
      <c r="B378" s="14"/>
    </row>
    <row r="379" ht="15.75" customHeight="1">
      <c r="A379" s="14"/>
      <c r="B379" s="14"/>
    </row>
    <row r="380" ht="15.75" customHeight="1">
      <c r="A380" s="14"/>
      <c r="B380" s="14"/>
    </row>
    <row r="381" ht="15.75" customHeight="1">
      <c r="A381" s="14"/>
      <c r="B381" s="14"/>
    </row>
    <row r="382" ht="15.75" customHeight="1">
      <c r="A382" s="14"/>
      <c r="B382" s="14"/>
    </row>
    <row r="383" ht="15.75" customHeight="1">
      <c r="A383" s="14"/>
      <c r="B383" s="14"/>
    </row>
    <row r="384" ht="15.75" customHeight="1">
      <c r="A384" s="14"/>
      <c r="B384" s="14"/>
    </row>
    <row r="385" ht="15.75" customHeight="1">
      <c r="A385" s="14"/>
      <c r="B385" s="14"/>
    </row>
    <row r="386" ht="15.75" customHeight="1">
      <c r="A386" s="14"/>
      <c r="B386" s="14"/>
    </row>
    <row r="387" ht="15.75" customHeight="1">
      <c r="A387" s="14"/>
      <c r="B387" s="14"/>
    </row>
    <row r="388" ht="15.75" customHeight="1">
      <c r="A388" s="14"/>
      <c r="B388" s="14"/>
    </row>
    <row r="389" ht="15.75" customHeight="1">
      <c r="A389" s="14"/>
      <c r="B389" s="14"/>
    </row>
    <row r="390" ht="15.75" customHeight="1">
      <c r="A390" s="14"/>
      <c r="B390" s="14"/>
    </row>
    <row r="391" ht="15.75" customHeight="1">
      <c r="A391" s="14"/>
      <c r="B391" s="14"/>
    </row>
    <row r="392" ht="15.75" customHeight="1">
      <c r="A392" s="14"/>
      <c r="B392" s="14"/>
    </row>
    <row r="393" ht="15.75" customHeight="1">
      <c r="A393" s="14"/>
      <c r="B393" s="14"/>
    </row>
    <row r="394" ht="15.75" customHeight="1">
      <c r="A394" s="14"/>
      <c r="B394" s="14"/>
    </row>
    <row r="395" ht="15.75" customHeight="1">
      <c r="A395" s="14"/>
      <c r="B395" s="14"/>
    </row>
    <row r="396" ht="15.75" customHeight="1">
      <c r="A396" s="14"/>
      <c r="B396" s="14"/>
    </row>
    <row r="397" ht="15.75" customHeight="1">
      <c r="A397" s="14"/>
      <c r="B397" s="14"/>
    </row>
    <row r="398" ht="15.75" customHeight="1">
      <c r="A398" s="14"/>
      <c r="B398" s="14"/>
    </row>
    <row r="399" ht="15.75" customHeight="1">
      <c r="A399" s="14"/>
      <c r="B399" s="14"/>
    </row>
    <row r="400" ht="15.75" customHeight="1">
      <c r="A400" s="14"/>
      <c r="B400" s="14"/>
    </row>
    <row r="401" ht="15.75" customHeight="1">
      <c r="A401" s="14"/>
      <c r="B401" s="14"/>
    </row>
    <row r="402" ht="15.75" customHeight="1">
      <c r="A402" s="14"/>
      <c r="B402" s="14"/>
    </row>
    <row r="403" ht="15.75" customHeight="1">
      <c r="A403" s="14"/>
      <c r="B403" s="14"/>
    </row>
    <row r="404" ht="15.75" customHeight="1">
      <c r="A404" s="14"/>
      <c r="B404" s="14"/>
    </row>
    <row r="405" ht="15.75" customHeight="1">
      <c r="A405" s="14"/>
      <c r="B405" s="14"/>
    </row>
    <row r="406" ht="15.75" customHeight="1">
      <c r="A406" s="14"/>
      <c r="B406" s="14"/>
    </row>
    <row r="407" ht="15.75" customHeight="1">
      <c r="A407" s="14"/>
      <c r="B407" s="14"/>
    </row>
    <row r="408" ht="15.75" customHeight="1">
      <c r="A408" s="14"/>
      <c r="B408" s="14"/>
    </row>
    <row r="409" ht="15.75" customHeight="1">
      <c r="A409" s="14"/>
      <c r="B409" s="14"/>
    </row>
    <row r="410" ht="15.75" customHeight="1">
      <c r="A410" s="14"/>
      <c r="B410" s="14"/>
    </row>
    <row r="411" ht="15.75" customHeight="1">
      <c r="A411" s="14"/>
      <c r="B411" s="14"/>
    </row>
    <row r="412" ht="15.75" customHeight="1">
      <c r="A412" s="14"/>
      <c r="B412" s="14"/>
    </row>
    <row r="413" ht="15.75" customHeight="1">
      <c r="A413" s="14"/>
      <c r="B413" s="14"/>
    </row>
    <row r="414" ht="15.75" customHeight="1">
      <c r="A414" s="14"/>
      <c r="B414" s="14"/>
    </row>
    <row r="415" ht="15.75" customHeight="1">
      <c r="A415" s="14"/>
      <c r="B415" s="14"/>
    </row>
    <row r="416" ht="15.75" customHeight="1">
      <c r="A416" s="14"/>
      <c r="B416" s="14"/>
    </row>
    <row r="417" ht="15.75" customHeight="1">
      <c r="A417" s="14"/>
      <c r="B417" s="14"/>
    </row>
    <row r="418" ht="15.75" customHeight="1">
      <c r="A418" s="14"/>
      <c r="B418" s="14"/>
    </row>
    <row r="419" ht="15.75" customHeight="1">
      <c r="A419" s="14"/>
      <c r="B419" s="14"/>
    </row>
    <row r="420" ht="15.75" customHeight="1">
      <c r="A420" s="14"/>
      <c r="B420" s="14"/>
    </row>
    <row r="421" ht="15.75" customHeight="1">
      <c r="A421" s="14"/>
      <c r="B421" s="14"/>
    </row>
    <row r="422" ht="15.75" customHeight="1">
      <c r="A422" s="14"/>
      <c r="B422" s="14"/>
    </row>
    <row r="423" ht="15.75" customHeight="1">
      <c r="A423" s="14"/>
      <c r="B423" s="14"/>
    </row>
    <row r="424" ht="15.75" customHeight="1">
      <c r="A424" s="14"/>
      <c r="B424" s="14"/>
    </row>
    <row r="425" ht="15.75" customHeight="1">
      <c r="A425" s="14"/>
      <c r="B425" s="14"/>
    </row>
    <row r="426" ht="15.75" customHeight="1">
      <c r="A426" s="14"/>
      <c r="B426" s="14"/>
    </row>
    <row r="427" ht="15.75" customHeight="1">
      <c r="A427" s="14"/>
      <c r="B427" s="14"/>
    </row>
    <row r="428" ht="15.75" customHeight="1">
      <c r="A428" s="14"/>
      <c r="B428" s="14"/>
    </row>
    <row r="429" ht="15.75" customHeight="1">
      <c r="A429" s="14"/>
      <c r="B429" s="14"/>
    </row>
    <row r="430" ht="15.75" customHeight="1">
      <c r="A430" s="14"/>
      <c r="B430" s="14"/>
    </row>
    <row r="431" ht="15.75" customHeight="1">
      <c r="A431" s="14"/>
      <c r="B431" s="14"/>
    </row>
    <row r="432" ht="15.75" customHeight="1">
      <c r="A432" s="14"/>
      <c r="B432" s="14"/>
    </row>
    <row r="433" ht="15.75" customHeight="1">
      <c r="A433" s="14"/>
      <c r="B433" s="14"/>
    </row>
    <row r="434" ht="15.75" customHeight="1">
      <c r="A434" s="14"/>
      <c r="B434" s="14"/>
    </row>
    <row r="435" ht="15.75" customHeight="1">
      <c r="A435" s="14"/>
      <c r="B435" s="14"/>
    </row>
    <row r="436" ht="15.75" customHeight="1">
      <c r="A436" s="14"/>
      <c r="B436" s="14"/>
    </row>
    <row r="437" ht="15.75" customHeight="1">
      <c r="A437" s="14"/>
      <c r="B437" s="14"/>
    </row>
    <row r="438" ht="15.75" customHeight="1">
      <c r="A438" s="14"/>
      <c r="B438" s="14"/>
    </row>
    <row r="439" ht="15.75" customHeight="1">
      <c r="A439" s="14"/>
      <c r="B439" s="14"/>
    </row>
    <row r="440" ht="15.75" customHeight="1">
      <c r="A440" s="14"/>
      <c r="B440" s="14"/>
    </row>
    <row r="441" ht="15.75" customHeight="1">
      <c r="A441" s="14"/>
      <c r="B441" s="14"/>
    </row>
    <row r="442" ht="15.75" customHeight="1">
      <c r="A442" s="14"/>
      <c r="B442" s="14"/>
    </row>
    <row r="443" ht="15.75" customHeight="1">
      <c r="A443" s="14"/>
      <c r="B443" s="14"/>
    </row>
    <row r="444" ht="15.75" customHeight="1">
      <c r="A444" s="14"/>
      <c r="B444" s="14"/>
    </row>
    <row r="445" ht="15.75" customHeight="1">
      <c r="A445" s="14"/>
      <c r="B445" s="14"/>
    </row>
    <row r="446" ht="15.75" customHeight="1">
      <c r="A446" s="14"/>
      <c r="B446" s="14"/>
    </row>
    <row r="447" ht="15.75" customHeight="1">
      <c r="A447" s="14"/>
      <c r="B447" s="14"/>
    </row>
    <row r="448" ht="15.75" customHeight="1">
      <c r="A448" s="14"/>
      <c r="B448" s="14"/>
    </row>
    <row r="449" ht="15.75" customHeight="1">
      <c r="A449" s="14"/>
      <c r="B449" s="14"/>
    </row>
    <row r="450" ht="15.75" customHeight="1">
      <c r="A450" s="14"/>
      <c r="B450" s="14"/>
    </row>
    <row r="451" ht="15.75" customHeight="1">
      <c r="A451" s="14"/>
      <c r="B451" s="14"/>
    </row>
    <row r="452" ht="15.75" customHeight="1">
      <c r="A452" s="14"/>
      <c r="B452" s="14"/>
    </row>
    <row r="453" ht="15.75" customHeight="1">
      <c r="A453" s="14"/>
      <c r="B453" s="14"/>
    </row>
    <row r="454" ht="15.75" customHeight="1">
      <c r="A454" s="14"/>
      <c r="B454" s="14"/>
    </row>
    <row r="455" ht="15.75" customHeight="1">
      <c r="A455" s="14"/>
      <c r="B455" s="14"/>
    </row>
    <row r="456" ht="15.75" customHeight="1">
      <c r="A456" s="14"/>
      <c r="B456" s="14"/>
    </row>
    <row r="457" ht="15.75" customHeight="1">
      <c r="A457" s="14"/>
      <c r="B457" s="14"/>
    </row>
    <row r="458" ht="15.75" customHeight="1">
      <c r="A458" s="14"/>
      <c r="B458" s="14"/>
    </row>
    <row r="459" ht="15.75" customHeight="1">
      <c r="A459" s="14"/>
      <c r="B459" s="14"/>
    </row>
    <row r="460" ht="15.75" customHeight="1">
      <c r="A460" s="14"/>
      <c r="B460" s="14"/>
    </row>
    <row r="461" ht="15.75" customHeight="1">
      <c r="A461" s="14"/>
      <c r="B461" s="14"/>
    </row>
    <row r="462" ht="15.75" customHeight="1">
      <c r="A462" s="14"/>
      <c r="B462" s="14"/>
    </row>
    <row r="463" ht="15.75" customHeight="1">
      <c r="A463" s="14"/>
      <c r="B463" s="14"/>
    </row>
    <row r="464" ht="15.75" customHeight="1">
      <c r="A464" s="14"/>
      <c r="B464" s="14"/>
    </row>
    <row r="465" ht="15.75" customHeight="1">
      <c r="A465" s="14"/>
      <c r="B465" s="14"/>
    </row>
    <row r="466" ht="15.75" customHeight="1">
      <c r="A466" s="14"/>
      <c r="B466" s="14"/>
    </row>
    <row r="467" ht="15.75" customHeight="1">
      <c r="A467" s="14"/>
      <c r="B467" s="14"/>
    </row>
    <row r="468" ht="15.75" customHeight="1">
      <c r="A468" s="14"/>
      <c r="B468" s="14"/>
    </row>
    <row r="469" ht="15.75" customHeight="1">
      <c r="A469" s="14"/>
      <c r="B469" s="14"/>
    </row>
    <row r="470" ht="15.75" customHeight="1">
      <c r="A470" s="14"/>
      <c r="B470" s="14"/>
    </row>
    <row r="471" ht="15.75" customHeight="1">
      <c r="A471" s="14"/>
      <c r="B471" s="14"/>
    </row>
    <row r="472" ht="15.75" customHeight="1">
      <c r="A472" s="14"/>
      <c r="B472" s="14"/>
    </row>
    <row r="473" ht="15.75" customHeight="1">
      <c r="A473" s="14"/>
      <c r="B473" s="14"/>
    </row>
    <row r="474" ht="15.75" customHeight="1">
      <c r="A474" s="14"/>
      <c r="B474" s="14"/>
    </row>
    <row r="475" ht="15.75" customHeight="1">
      <c r="A475" s="14"/>
      <c r="B475" s="14"/>
    </row>
    <row r="476" ht="15.75" customHeight="1">
      <c r="A476" s="14"/>
      <c r="B476" s="14"/>
    </row>
    <row r="477" ht="15.75" customHeight="1">
      <c r="A477" s="14"/>
      <c r="B477" s="14"/>
    </row>
    <row r="478" ht="15.75" customHeight="1">
      <c r="A478" s="14"/>
      <c r="B478" s="14"/>
    </row>
    <row r="479" ht="15.75" customHeight="1">
      <c r="A479" s="14"/>
      <c r="B479" s="14"/>
    </row>
    <row r="480" ht="15.75" customHeight="1">
      <c r="A480" s="14"/>
      <c r="B480" s="14"/>
    </row>
    <row r="481" ht="15.75" customHeight="1">
      <c r="A481" s="14"/>
      <c r="B481" s="14"/>
    </row>
    <row r="482" ht="15.75" customHeight="1">
      <c r="A482" s="14"/>
      <c r="B482" s="14"/>
    </row>
    <row r="483" ht="15.75" customHeight="1">
      <c r="A483" s="14"/>
      <c r="B483" s="14"/>
    </row>
    <row r="484" ht="15.75" customHeight="1">
      <c r="A484" s="14"/>
      <c r="B484" s="14"/>
    </row>
    <row r="485" ht="15.75" customHeight="1">
      <c r="A485" s="14"/>
      <c r="B485" s="14"/>
    </row>
    <row r="486" ht="15.75" customHeight="1">
      <c r="A486" s="14"/>
      <c r="B486" s="14"/>
    </row>
    <row r="487" ht="15.75" customHeight="1">
      <c r="A487" s="14"/>
      <c r="B487" s="14"/>
    </row>
    <row r="488" ht="15.75" customHeight="1">
      <c r="A488" s="14"/>
      <c r="B488" s="14"/>
    </row>
    <row r="489" ht="15.75" customHeight="1">
      <c r="A489" s="14"/>
      <c r="B489" s="14"/>
    </row>
    <row r="490" ht="15.75" customHeight="1">
      <c r="A490" s="14"/>
      <c r="B490" s="14"/>
    </row>
    <row r="491" ht="15.75" customHeight="1">
      <c r="A491" s="14"/>
      <c r="B491" s="14"/>
    </row>
    <row r="492" ht="15.75" customHeight="1">
      <c r="A492" s="14"/>
      <c r="B492" s="14"/>
    </row>
    <row r="493" ht="15.75" customHeight="1">
      <c r="A493" s="14"/>
      <c r="B493" s="14"/>
    </row>
    <row r="494" ht="15.75" customHeight="1">
      <c r="A494" s="14"/>
      <c r="B494" s="14"/>
    </row>
    <row r="495" ht="15.75" customHeight="1">
      <c r="A495" s="14"/>
      <c r="B495" s="14"/>
    </row>
    <row r="496" ht="15.75" customHeight="1">
      <c r="A496" s="14"/>
      <c r="B496" s="14"/>
    </row>
    <row r="497" ht="15.75" customHeight="1">
      <c r="A497" s="14"/>
      <c r="B497" s="14"/>
    </row>
    <row r="498" ht="15.75" customHeight="1">
      <c r="A498" s="14"/>
      <c r="B498" s="14"/>
    </row>
    <row r="499" ht="15.75" customHeight="1">
      <c r="A499" s="14"/>
      <c r="B499" s="14"/>
    </row>
    <row r="500" ht="15.75" customHeight="1">
      <c r="A500" s="14"/>
      <c r="B500" s="14"/>
    </row>
    <row r="501" ht="15.75" customHeight="1">
      <c r="A501" s="14"/>
      <c r="B501" s="14"/>
    </row>
    <row r="502" ht="15.75" customHeight="1">
      <c r="A502" s="14"/>
      <c r="B502" s="14"/>
    </row>
    <row r="503" ht="15.75" customHeight="1">
      <c r="A503" s="14"/>
      <c r="B503" s="14"/>
    </row>
    <row r="504" ht="15.75" customHeight="1">
      <c r="A504" s="14"/>
      <c r="B504" s="14"/>
    </row>
    <row r="505" ht="15.75" customHeight="1">
      <c r="A505" s="14"/>
      <c r="B505" s="14"/>
    </row>
    <row r="506" ht="15.75" customHeight="1">
      <c r="A506" s="14"/>
      <c r="B506" s="14"/>
    </row>
    <row r="507" ht="15.75" customHeight="1">
      <c r="A507" s="14"/>
      <c r="B507" s="14"/>
    </row>
    <row r="508" ht="15.75" customHeight="1">
      <c r="A508" s="14"/>
      <c r="B508" s="14"/>
    </row>
    <row r="509" ht="15.75" customHeight="1">
      <c r="A509" s="14"/>
      <c r="B509" s="14"/>
    </row>
    <row r="510" ht="15.75" customHeight="1">
      <c r="A510" s="14"/>
      <c r="B510" s="14"/>
    </row>
    <row r="511" ht="15.75" customHeight="1">
      <c r="A511" s="14"/>
      <c r="B511" s="14"/>
    </row>
    <row r="512" ht="15.75" customHeight="1">
      <c r="A512" s="14"/>
      <c r="B512" s="14"/>
    </row>
    <row r="513" ht="15.75" customHeight="1">
      <c r="A513" s="14"/>
      <c r="B513" s="14"/>
    </row>
    <row r="514" ht="15.75" customHeight="1">
      <c r="A514" s="14"/>
      <c r="B514" s="14"/>
    </row>
    <row r="515" ht="15.75" customHeight="1">
      <c r="A515" s="14"/>
      <c r="B515" s="14"/>
    </row>
    <row r="516" ht="15.75" customHeight="1">
      <c r="A516" s="14"/>
      <c r="B516" s="14"/>
    </row>
    <row r="517" ht="15.75" customHeight="1">
      <c r="A517" s="14"/>
      <c r="B517" s="14"/>
    </row>
    <row r="518" ht="15.75" customHeight="1">
      <c r="A518" s="14"/>
      <c r="B518" s="14"/>
    </row>
    <row r="519" ht="15.75" customHeight="1">
      <c r="A519" s="14"/>
      <c r="B519" s="14"/>
    </row>
    <row r="520" ht="15.75" customHeight="1">
      <c r="A520" s="14"/>
      <c r="B520" s="14"/>
    </row>
    <row r="521" ht="15.75" customHeight="1">
      <c r="A521" s="14"/>
      <c r="B521" s="14"/>
    </row>
    <row r="522" ht="15.75" customHeight="1">
      <c r="A522" s="14"/>
      <c r="B522" s="14"/>
    </row>
    <row r="523" ht="15.75" customHeight="1">
      <c r="A523" s="14"/>
      <c r="B523" s="14"/>
    </row>
    <row r="524" ht="15.75" customHeight="1">
      <c r="A524" s="14"/>
      <c r="B524" s="14"/>
    </row>
    <row r="525" ht="15.75" customHeight="1">
      <c r="A525" s="14"/>
      <c r="B525" s="14"/>
    </row>
    <row r="526" ht="15.75" customHeight="1">
      <c r="A526" s="14"/>
      <c r="B526" s="14"/>
    </row>
    <row r="527" ht="15.75" customHeight="1">
      <c r="A527" s="14"/>
      <c r="B527" s="14"/>
    </row>
    <row r="528" ht="15.75" customHeight="1">
      <c r="A528" s="14"/>
      <c r="B528" s="14"/>
    </row>
    <row r="529" ht="15.75" customHeight="1">
      <c r="A529" s="14"/>
      <c r="B529" s="14"/>
    </row>
    <row r="530" ht="15.75" customHeight="1">
      <c r="A530" s="14"/>
      <c r="B530" s="14"/>
    </row>
    <row r="531" ht="15.75" customHeight="1">
      <c r="A531" s="14"/>
      <c r="B531" s="14"/>
    </row>
    <row r="532" ht="15.75" customHeight="1">
      <c r="A532" s="14"/>
      <c r="B532" s="14"/>
    </row>
    <row r="533" ht="15.75" customHeight="1">
      <c r="A533" s="14"/>
      <c r="B533" s="14"/>
    </row>
    <row r="534" ht="15.75" customHeight="1">
      <c r="A534" s="14"/>
      <c r="B534" s="14"/>
    </row>
    <row r="535" ht="15.75" customHeight="1">
      <c r="A535" s="14"/>
      <c r="B535" s="14"/>
    </row>
    <row r="536" ht="15.75" customHeight="1">
      <c r="A536" s="14"/>
      <c r="B536" s="14"/>
    </row>
    <row r="537" ht="15.75" customHeight="1">
      <c r="A537" s="14"/>
      <c r="B537" s="14"/>
    </row>
    <row r="538" ht="15.75" customHeight="1">
      <c r="A538" s="14"/>
      <c r="B538" s="14"/>
    </row>
    <row r="539" ht="15.75" customHeight="1">
      <c r="A539" s="14"/>
      <c r="B539" s="14"/>
    </row>
    <row r="540" ht="15.75" customHeight="1">
      <c r="A540" s="14"/>
      <c r="B540" s="14"/>
    </row>
    <row r="541" ht="15.75" customHeight="1">
      <c r="A541" s="14"/>
      <c r="B541" s="14"/>
    </row>
    <row r="542" ht="15.75" customHeight="1">
      <c r="A542" s="14"/>
      <c r="B542" s="14"/>
    </row>
    <row r="543" ht="15.75" customHeight="1">
      <c r="A543" s="14"/>
      <c r="B543" s="14"/>
    </row>
    <row r="544" ht="15.75" customHeight="1">
      <c r="A544" s="14"/>
      <c r="B544" s="14"/>
    </row>
    <row r="545" ht="15.75" customHeight="1">
      <c r="A545" s="14"/>
      <c r="B545" s="14"/>
    </row>
    <row r="546" ht="15.75" customHeight="1">
      <c r="A546" s="14"/>
      <c r="B546" s="14"/>
    </row>
    <row r="547" ht="15.75" customHeight="1">
      <c r="A547" s="14"/>
      <c r="B547" s="14"/>
    </row>
    <row r="548" ht="15.75" customHeight="1">
      <c r="A548" s="14"/>
      <c r="B548" s="14"/>
    </row>
    <row r="549" ht="15.75" customHeight="1">
      <c r="A549" s="14"/>
      <c r="B549" s="14"/>
    </row>
    <row r="550" ht="15.75" customHeight="1">
      <c r="A550" s="14"/>
      <c r="B550" s="14"/>
    </row>
    <row r="551" ht="15.75" customHeight="1">
      <c r="A551" s="14"/>
      <c r="B551" s="14"/>
    </row>
    <row r="552" ht="15.75" customHeight="1">
      <c r="A552" s="14"/>
      <c r="B552" s="14"/>
    </row>
    <row r="553" ht="15.75" customHeight="1">
      <c r="A553" s="14"/>
      <c r="B553" s="14"/>
    </row>
    <row r="554" ht="15.75" customHeight="1">
      <c r="A554" s="14"/>
      <c r="B554" s="14"/>
    </row>
    <row r="555" ht="15.75" customHeight="1">
      <c r="A555" s="14"/>
      <c r="B555" s="14"/>
    </row>
    <row r="556" ht="15.75" customHeight="1">
      <c r="A556" s="14"/>
      <c r="B556" s="14"/>
    </row>
    <row r="557" ht="15.75" customHeight="1">
      <c r="A557" s="14"/>
      <c r="B557" s="14"/>
    </row>
    <row r="558" ht="15.75" customHeight="1">
      <c r="A558" s="14"/>
      <c r="B558" s="14"/>
    </row>
    <row r="559" ht="15.75" customHeight="1">
      <c r="A559" s="14"/>
      <c r="B559" s="14"/>
    </row>
    <row r="560" ht="15.75" customHeight="1">
      <c r="A560" s="14"/>
      <c r="B560" s="14"/>
    </row>
    <row r="561" ht="15.75" customHeight="1">
      <c r="A561" s="14"/>
      <c r="B561" s="14"/>
    </row>
    <row r="562" ht="15.75" customHeight="1">
      <c r="A562" s="14"/>
      <c r="B562" s="14"/>
    </row>
    <row r="563" ht="15.75" customHeight="1">
      <c r="A563" s="14"/>
      <c r="B563" s="14"/>
    </row>
    <row r="564" ht="15.75" customHeight="1">
      <c r="A564" s="14"/>
      <c r="B564" s="14"/>
    </row>
    <row r="565" ht="15.75" customHeight="1">
      <c r="A565" s="14"/>
      <c r="B565" s="14"/>
    </row>
    <row r="566" ht="15.75" customHeight="1">
      <c r="A566" s="14"/>
      <c r="B566" s="14"/>
    </row>
    <row r="567" ht="15.75" customHeight="1">
      <c r="A567" s="14"/>
      <c r="B567" s="14"/>
    </row>
    <row r="568" ht="15.75" customHeight="1">
      <c r="A568" s="14"/>
      <c r="B568" s="14"/>
    </row>
    <row r="569" ht="15.75" customHeight="1">
      <c r="A569" s="14"/>
      <c r="B569" s="14"/>
    </row>
    <row r="570" ht="15.75" customHeight="1">
      <c r="A570" s="14"/>
      <c r="B570" s="14"/>
    </row>
    <row r="571" ht="15.75" customHeight="1">
      <c r="A571" s="14"/>
      <c r="B571" s="14"/>
    </row>
    <row r="572" ht="15.75" customHeight="1">
      <c r="A572" s="14"/>
      <c r="B572" s="14"/>
    </row>
    <row r="573" ht="15.75" customHeight="1">
      <c r="A573" s="14"/>
      <c r="B573" s="14"/>
    </row>
    <row r="574" ht="15.75" customHeight="1">
      <c r="A574" s="14"/>
      <c r="B574" s="14"/>
    </row>
    <row r="575" ht="15.75" customHeight="1">
      <c r="A575" s="14"/>
      <c r="B575" s="14"/>
    </row>
    <row r="576" ht="15.75" customHeight="1">
      <c r="A576" s="14"/>
      <c r="B576" s="14"/>
    </row>
    <row r="577" ht="15.75" customHeight="1">
      <c r="A577" s="14"/>
      <c r="B577" s="14"/>
    </row>
    <row r="578" ht="15.75" customHeight="1">
      <c r="A578" s="14"/>
      <c r="B578" s="14"/>
    </row>
    <row r="579" ht="15.75" customHeight="1">
      <c r="A579" s="14"/>
      <c r="B579" s="14"/>
    </row>
    <row r="580" ht="15.75" customHeight="1">
      <c r="A580" s="14"/>
      <c r="B580" s="14"/>
    </row>
    <row r="581" ht="15.75" customHeight="1">
      <c r="A581" s="14"/>
      <c r="B581" s="14"/>
    </row>
    <row r="582" ht="15.75" customHeight="1">
      <c r="A582" s="14"/>
      <c r="B582" s="14"/>
    </row>
    <row r="583" ht="15.75" customHeight="1">
      <c r="A583" s="14"/>
      <c r="B583" s="14"/>
    </row>
    <row r="584" ht="15.75" customHeight="1">
      <c r="A584" s="14"/>
      <c r="B584" s="14"/>
    </row>
    <row r="585" ht="15.75" customHeight="1">
      <c r="A585" s="14"/>
      <c r="B585" s="14"/>
    </row>
    <row r="586" ht="15.75" customHeight="1">
      <c r="A586" s="14"/>
      <c r="B586" s="14"/>
    </row>
    <row r="587" ht="15.75" customHeight="1">
      <c r="A587" s="14"/>
      <c r="B587" s="14"/>
    </row>
    <row r="588" ht="15.75" customHeight="1">
      <c r="A588" s="14"/>
      <c r="B588" s="14"/>
    </row>
    <row r="589" ht="15.75" customHeight="1">
      <c r="A589" s="14"/>
      <c r="B589" s="14"/>
    </row>
    <row r="590" ht="15.75" customHeight="1">
      <c r="A590" s="14"/>
      <c r="B590" s="14"/>
    </row>
    <row r="591" ht="15.75" customHeight="1">
      <c r="A591" s="14"/>
      <c r="B591" s="14"/>
    </row>
    <row r="592" ht="15.75" customHeight="1">
      <c r="A592" s="14"/>
      <c r="B592" s="14"/>
    </row>
    <row r="593" ht="15.75" customHeight="1">
      <c r="A593" s="14"/>
      <c r="B593" s="14"/>
    </row>
    <row r="594" ht="15.75" customHeight="1">
      <c r="A594" s="14"/>
      <c r="B594" s="14"/>
    </row>
    <row r="595" ht="15.75" customHeight="1">
      <c r="A595" s="14"/>
      <c r="B595" s="14"/>
    </row>
    <row r="596" ht="15.75" customHeight="1">
      <c r="A596" s="14"/>
      <c r="B596" s="14"/>
    </row>
    <row r="597" ht="15.75" customHeight="1">
      <c r="A597" s="14"/>
      <c r="B597" s="14"/>
    </row>
    <row r="598" ht="15.75" customHeight="1">
      <c r="A598" s="14"/>
      <c r="B598" s="14"/>
    </row>
    <row r="599" ht="15.75" customHeight="1">
      <c r="A599" s="14"/>
      <c r="B599" s="14"/>
    </row>
    <row r="600" ht="15.75" customHeight="1">
      <c r="A600" s="14"/>
      <c r="B600" s="14"/>
    </row>
    <row r="601" ht="15.75" customHeight="1">
      <c r="A601" s="14"/>
      <c r="B601" s="14"/>
    </row>
    <row r="602" ht="15.75" customHeight="1">
      <c r="A602" s="14"/>
      <c r="B602" s="14"/>
    </row>
    <row r="603" ht="15.75" customHeight="1">
      <c r="A603" s="14"/>
      <c r="B603" s="14"/>
    </row>
    <row r="604" ht="15.75" customHeight="1">
      <c r="A604" s="14"/>
      <c r="B604" s="14"/>
    </row>
    <row r="605" ht="15.75" customHeight="1">
      <c r="A605" s="14"/>
      <c r="B605" s="14"/>
    </row>
    <row r="606" ht="15.75" customHeight="1">
      <c r="A606" s="14"/>
      <c r="B606" s="14"/>
    </row>
    <row r="607" ht="15.75" customHeight="1">
      <c r="A607" s="14"/>
      <c r="B607" s="14"/>
    </row>
    <row r="608" ht="15.75" customHeight="1">
      <c r="A608" s="14"/>
      <c r="B608" s="14"/>
    </row>
    <row r="609" ht="15.75" customHeight="1">
      <c r="A609" s="14"/>
      <c r="B609" s="14"/>
    </row>
    <row r="610" ht="15.75" customHeight="1">
      <c r="A610" s="14"/>
      <c r="B610" s="14"/>
    </row>
    <row r="611" ht="15.75" customHeight="1">
      <c r="A611" s="14"/>
      <c r="B611" s="14"/>
    </row>
    <row r="612" ht="15.75" customHeight="1">
      <c r="A612" s="14"/>
      <c r="B612" s="14"/>
    </row>
    <row r="613" ht="15.75" customHeight="1">
      <c r="A613" s="14"/>
      <c r="B613" s="14"/>
    </row>
    <row r="614" ht="15.75" customHeight="1">
      <c r="A614" s="14"/>
      <c r="B614" s="14"/>
    </row>
    <row r="615" ht="15.75" customHeight="1">
      <c r="A615" s="14"/>
      <c r="B615" s="14"/>
    </row>
    <row r="616" ht="15.75" customHeight="1">
      <c r="A616" s="14"/>
      <c r="B616" s="14"/>
    </row>
    <row r="617" ht="15.75" customHeight="1">
      <c r="A617" s="14"/>
      <c r="B617" s="14"/>
    </row>
    <row r="618" ht="15.75" customHeight="1">
      <c r="A618" s="14"/>
      <c r="B618" s="14"/>
    </row>
    <row r="619" ht="15.75" customHeight="1">
      <c r="A619" s="14"/>
      <c r="B619" s="14"/>
    </row>
    <row r="620" ht="15.75" customHeight="1">
      <c r="A620" s="14"/>
      <c r="B620" s="14"/>
    </row>
    <row r="621" ht="15.75" customHeight="1">
      <c r="A621" s="14"/>
      <c r="B621" s="14"/>
    </row>
    <row r="622" ht="15.75" customHeight="1">
      <c r="A622" s="14"/>
      <c r="B622" s="14"/>
    </row>
    <row r="623" ht="15.75" customHeight="1">
      <c r="A623" s="14"/>
      <c r="B623" s="14"/>
    </row>
    <row r="624" ht="15.75" customHeight="1">
      <c r="A624" s="14"/>
      <c r="B624" s="14"/>
    </row>
    <row r="625" ht="15.75" customHeight="1">
      <c r="A625" s="14"/>
      <c r="B625" s="14"/>
    </row>
    <row r="626" ht="15.75" customHeight="1">
      <c r="A626" s="14"/>
      <c r="B626" s="14"/>
    </row>
    <row r="627" ht="15.75" customHeight="1">
      <c r="A627" s="14"/>
      <c r="B627" s="14"/>
    </row>
    <row r="628" ht="15.75" customHeight="1">
      <c r="A628" s="14"/>
      <c r="B628" s="14"/>
    </row>
    <row r="629" ht="15.75" customHeight="1">
      <c r="A629" s="14"/>
      <c r="B629" s="14"/>
    </row>
    <row r="630" ht="15.75" customHeight="1">
      <c r="A630" s="14"/>
      <c r="B630" s="14"/>
    </row>
    <row r="631" ht="15.75" customHeight="1">
      <c r="A631" s="14"/>
      <c r="B631" s="14"/>
    </row>
    <row r="632" ht="15.75" customHeight="1">
      <c r="A632" s="14"/>
      <c r="B632" s="14"/>
    </row>
    <row r="633" ht="15.75" customHeight="1">
      <c r="A633" s="14"/>
      <c r="B633" s="14"/>
    </row>
    <row r="634" ht="15.75" customHeight="1">
      <c r="A634" s="14"/>
      <c r="B634" s="14"/>
    </row>
    <row r="635" ht="15.75" customHeight="1">
      <c r="A635" s="14"/>
      <c r="B635" s="14"/>
    </row>
    <row r="636" ht="15.75" customHeight="1">
      <c r="A636" s="14"/>
      <c r="B636" s="14"/>
    </row>
    <row r="637" ht="15.75" customHeight="1">
      <c r="A637" s="14"/>
      <c r="B637" s="14"/>
    </row>
    <row r="638" ht="15.75" customHeight="1">
      <c r="A638" s="14"/>
      <c r="B638" s="14"/>
    </row>
    <row r="639" ht="15.75" customHeight="1">
      <c r="A639" s="14"/>
      <c r="B639" s="14"/>
    </row>
    <row r="640" ht="15.75" customHeight="1">
      <c r="A640" s="14"/>
      <c r="B640" s="14"/>
    </row>
    <row r="641" ht="15.75" customHeight="1">
      <c r="A641" s="14"/>
      <c r="B641" s="14"/>
    </row>
    <row r="642" ht="15.75" customHeight="1">
      <c r="A642" s="14"/>
      <c r="B642" s="14"/>
    </row>
    <row r="643" ht="15.75" customHeight="1">
      <c r="A643" s="14"/>
      <c r="B643" s="14"/>
    </row>
    <row r="644" ht="15.75" customHeight="1">
      <c r="A644" s="14"/>
      <c r="B644" s="14"/>
    </row>
    <row r="645" ht="15.75" customHeight="1">
      <c r="A645" s="14"/>
      <c r="B645" s="14"/>
    </row>
    <row r="646" ht="15.75" customHeight="1">
      <c r="A646" s="14"/>
      <c r="B646" s="14"/>
    </row>
    <row r="647" ht="15.75" customHeight="1">
      <c r="A647" s="14"/>
      <c r="B647" s="14"/>
    </row>
    <row r="648" ht="15.75" customHeight="1">
      <c r="A648" s="14"/>
      <c r="B648" s="14"/>
    </row>
    <row r="649" ht="15.75" customHeight="1">
      <c r="A649" s="14"/>
      <c r="B649" s="14"/>
    </row>
    <row r="650" ht="15.75" customHeight="1">
      <c r="A650" s="14"/>
      <c r="B650" s="14"/>
    </row>
    <row r="651" ht="15.75" customHeight="1">
      <c r="A651" s="14"/>
      <c r="B651" s="14"/>
    </row>
    <row r="652" ht="15.75" customHeight="1">
      <c r="A652" s="14"/>
      <c r="B652" s="14"/>
    </row>
    <row r="653" ht="15.75" customHeight="1">
      <c r="A653" s="14"/>
      <c r="B653" s="14"/>
    </row>
    <row r="654" ht="15.75" customHeight="1">
      <c r="A654" s="14"/>
      <c r="B654" s="14"/>
    </row>
    <row r="655" ht="15.75" customHeight="1">
      <c r="A655" s="14"/>
      <c r="B655" s="14"/>
    </row>
    <row r="656" ht="15.75" customHeight="1">
      <c r="A656" s="14"/>
      <c r="B656" s="14"/>
    </row>
    <row r="657" ht="15.75" customHeight="1">
      <c r="A657" s="14"/>
      <c r="B657" s="14"/>
    </row>
    <row r="658" ht="15.75" customHeight="1">
      <c r="A658" s="14"/>
      <c r="B658" s="14"/>
    </row>
    <row r="659" ht="15.75" customHeight="1">
      <c r="A659" s="14"/>
      <c r="B659" s="14"/>
    </row>
    <row r="660" ht="15.75" customHeight="1">
      <c r="A660" s="14"/>
      <c r="B660" s="14"/>
    </row>
    <row r="661" ht="15.75" customHeight="1">
      <c r="A661" s="14"/>
      <c r="B661" s="14"/>
    </row>
    <row r="662" ht="15.75" customHeight="1">
      <c r="A662" s="14"/>
      <c r="B662" s="14"/>
    </row>
    <row r="663" ht="15.75" customHeight="1">
      <c r="A663" s="14"/>
      <c r="B663" s="14"/>
    </row>
    <row r="664" ht="15.75" customHeight="1">
      <c r="A664" s="14"/>
      <c r="B664" s="14"/>
    </row>
    <row r="665" ht="15.75" customHeight="1">
      <c r="A665" s="14"/>
      <c r="B665" s="14"/>
    </row>
    <row r="666" ht="15.75" customHeight="1">
      <c r="A666" s="14"/>
      <c r="B666" s="14"/>
    </row>
    <row r="667" ht="15.75" customHeight="1">
      <c r="A667" s="14"/>
      <c r="B667" s="14"/>
    </row>
    <row r="668" ht="15.75" customHeight="1">
      <c r="A668" s="14"/>
      <c r="B668" s="14"/>
    </row>
    <row r="669" ht="15.75" customHeight="1">
      <c r="A669" s="14"/>
      <c r="B669" s="14"/>
    </row>
    <row r="670" ht="15.75" customHeight="1">
      <c r="A670" s="14"/>
      <c r="B670" s="14"/>
    </row>
    <row r="671" ht="15.75" customHeight="1">
      <c r="A671" s="14"/>
      <c r="B671" s="14"/>
    </row>
    <row r="672" ht="15.75" customHeight="1">
      <c r="A672" s="14"/>
      <c r="B672" s="14"/>
    </row>
    <row r="673" ht="15.75" customHeight="1">
      <c r="A673" s="14"/>
      <c r="B673" s="14"/>
    </row>
    <row r="674" ht="15.75" customHeight="1">
      <c r="A674" s="14"/>
      <c r="B674" s="14"/>
    </row>
    <row r="675" ht="15.75" customHeight="1">
      <c r="A675" s="14"/>
      <c r="B675" s="14"/>
    </row>
    <row r="676" ht="15.75" customHeight="1">
      <c r="A676" s="14"/>
      <c r="B676" s="14"/>
    </row>
    <row r="677" ht="15.75" customHeight="1">
      <c r="A677" s="14"/>
      <c r="B677" s="14"/>
    </row>
    <row r="678" ht="15.75" customHeight="1">
      <c r="A678" s="14"/>
      <c r="B678" s="14"/>
    </row>
    <row r="679" ht="15.75" customHeight="1">
      <c r="A679" s="14"/>
      <c r="B679" s="14"/>
    </row>
    <row r="680" ht="15.75" customHeight="1">
      <c r="A680" s="14"/>
      <c r="B680" s="14"/>
    </row>
    <row r="681" ht="15.75" customHeight="1">
      <c r="A681" s="14"/>
      <c r="B681" s="14"/>
    </row>
    <row r="682" ht="15.75" customHeight="1">
      <c r="A682" s="14"/>
      <c r="B682" s="14"/>
    </row>
    <row r="683" ht="15.75" customHeight="1">
      <c r="A683" s="14"/>
      <c r="B683" s="14"/>
    </row>
    <row r="684" ht="15.75" customHeight="1">
      <c r="A684" s="14"/>
      <c r="B684" s="14"/>
    </row>
    <row r="685" ht="15.75" customHeight="1">
      <c r="A685" s="14"/>
      <c r="B685" s="14"/>
    </row>
    <row r="686" ht="15.75" customHeight="1">
      <c r="A686" s="14"/>
      <c r="B686" s="14"/>
    </row>
    <row r="687" ht="15.75" customHeight="1">
      <c r="A687" s="14"/>
      <c r="B687" s="14"/>
    </row>
    <row r="688" ht="15.75" customHeight="1">
      <c r="A688" s="14"/>
      <c r="B688" s="14"/>
    </row>
    <row r="689" ht="15.75" customHeight="1">
      <c r="A689" s="14"/>
      <c r="B689" s="14"/>
    </row>
    <row r="690" ht="15.75" customHeight="1">
      <c r="A690" s="14"/>
      <c r="B690" s="14"/>
    </row>
    <row r="691" ht="15.75" customHeight="1">
      <c r="A691" s="14"/>
      <c r="B691" s="14"/>
    </row>
    <row r="692" ht="15.75" customHeight="1">
      <c r="A692" s="14"/>
      <c r="B692" s="14"/>
    </row>
    <row r="693" ht="15.75" customHeight="1">
      <c r="A693" s="14"/>
      <c r="B693" s="14"/>
    </row>
    <row r="694" ht="15.75" customHeight="1">
      <c r="A694" s="14"/>
      <c r="B694" s="14"/>
    </row>
    <row r="695" ht="15.75" customHeight="1">
      <c r="A695" s="14"/>
      <c r="B695" s="14"/>
    </row>
    <row r="696" ht="15.75" customHeight="1">
      <c r="A696" s="14"/>
      <c r="B696" s="14"/>
    </row>
    <row r="697" ht="15.75" customHeight="1">
      <c r="A697" s="14"/>
      <c r="B697" s="14"/>
    </row>
    <row r="698" ht="15.75" customHeight="1">
      <c r="A698" s="14"/>
      <c r="B698" s="14"/>
    </row>
    <row r="699" ht="15.75" customHeight="1">
      <c r="A699" s="14"/>
      <c r="B699" s="14"/>
    </row>
    <row r="700" ht="15.75" customHeight="1">
      <c r="A700" s="14"/>
      <c r="B700" s="14"/>
    </row>
    <row r="701" ht="15.75" customHeight="1">
      <c r="A701" s="14"/>
      <c r="B701" s="14"/>
    </row>
    <row r="702" ht="15.75" customHeight="1">
      <c r="A702" s="14"/>
      <c r="B702" s="14"/>
    </row>
    <row r="703" ht="15.75" customHeight="1">
      <c r="A703" s="14"/>
      <c r="B703" s="14"/>
    </row>
    <row r="704" ht="15.75" customHeight="1">
      <c r="A704" s="14"/>
      <c r="B704" s="14"/>
    </row>
    <row r="705" ht="15.75" customHeight="1">
      <c r="A705" s="14"/>
      <c r="B705" s="14"/>
    </row>
    <row r="706" ht="15.75" customHeight="1">
      <c r="A706" s="14"/>
      <c r="B706" s="14"/>
    </row>
    <row r="707" ht="15.75" customHeight="1">
      <c r="A707" s="14"/>
      <c r="B707" s="14"/>
    </row>
    <row r="708" ht="15.75" customHeight="1">
      <c r="A708" s="14"/>
      <c r="B708" s="14"/>
    </row>
    <row r="709" ht="15.75" customHeight="1">
      <c r="A709" s="14"/>
      <c r="B709" s="14"/>
    </row>
    <row r="710" ht="15.75" customHeight="1">
      <c r="A710" s="14"/>
      <c r="B710" s="14"/>
    </row>
    <row r="711" ht="15.75" customHeight="1">
      <c r="A711" s="14"/>
      <c r="B711" s="14"/>
    </row>
    <row r="712" ht="15.75" customHeight="1">
      <c r="A712" s="14"/>
      <c r="B712" s="14"/>
    </row>
    <row r="713" ht="15.75" customHeight="1">
      <c r="A713" s="14"/>
      <c r="B713" s="14"/>
    </row>
    <row r="714" ht="15.75" customHeight="1">
      <c r="A714" s="14"/>
      <c r="B714" s="14"/>
    </row>
    <row r="715" ht="15.75" customHeight="1">
      <c r="A715" s="14"/>
      <c r="B715" s="14"/>
    </row>
    <row r="716" ht="15.75" customHeight="1">
      <c r="A716" s="14"/>
      <c r="B716" s="14"/>
    </row>
    <row r="717" ht="15.75" customHeight="1">
      <c r="A717" s="14"/>
      <c r="B717" s="14"/>
    </row>
    <row r="718" ht="15.75" customHeight="1">
      <c r="A718" s="14"/>
      <c r="B718" s="14"/>
    </row>
    <row r="719" ht="15.75" customHeight="1">
      <c r="A719" s="14"/>
      <c r="B719" s="14"/>
    </row>
    <row r="720" ht="15.75" customHeight="1">
      <c r="A720" s="14"/>
      <c r="B720" s="14"/>
    </row>
    <row r="721" ht="15.75" customHeight="1">
      <c r="A721" s="14"/>
      <c r="B721" s="14"/>
    </row>
    <row r="722" ht="15.75" customHeight="1">
      <c r="A722" s="14"/>
      <c r="B722" s="14"/>
    </row>
    <row r="723" ht="15.75" customHeight="1">
      <c r="A723" s="14"/>
      <c r="B723" s="14"/>
    </row>
    <row r="724" ht="15.75" customHeight="1">
      <c r="A724" s="14"/>
      <c r="B724" s="14"/>
    </row>
    <row r="725" ht="15.75" customHeight="1">
      <c r="A725" s="14"/>
      <c r="B725" s="14"/>
    </row>
    <row r="726" ht="15.75" customHeight="1">
      <c r="A726" s="14"/>
      <c r="B726" s="14"/>
    </row>
    <row r="727" ht="15.75" customHeight="1">
      <c r="A727" s="14"/>
      <c r="B727" s="14"/>
    </row>
    <row r="728" ht="15.75" customHeight="1">
      <c r="A728" s="14"/>
      <c r="B728" s="14"/>
    </row>
    <row r="729" ht="15.75" customHeight="1">
      <c r="A729" s="14"/>
      <c r="B729" s="14"/>
    </row>
    <row r="730" ht="15.75" customHeight="1">
      <c r="A730" s="14"/>
      <c r="B730" s="14"/>
    </row>
    <row r="731" ht="15.75" customHeight="1">
      <c r="A731" s="14"/>
      <c r="B731" s="14"/>
    </row>
    <row r="732" ht="15.75" customHeight="1">
      <c r="A732" s="14"/>
      <c r="B732" s="14"/>
    </row>
    <row r="733" ht="15.75" customHeight="1">
      <c r="A733" s="14"/>
      <c r="B733" s="14"/>
    </row>
    <row r="734" ht="15.75" customHeight="1">
      <c r="A734" s="14"/>
      <c r="B734" s="14"/>
    </row>
    <row r="735" ht="15.75" customHeight="1">
      <c r="A735" s="14"/>
      <c r="B735" s="14"/>
    </row>
    <row r="736" ht="15.75" customHeight="1">
      <c r="A736" s="14"/>
      <c r="B736" s="14"/>
    </row>
    <row r="737" ht="15.75" customHeight="1">
      <c r="A737" s="14"/>
      <c r="B737" s="14"/>
    </row>
    <row r="738" ht="15.75" customHeight="1">
      <c r="A738" s="14"/>
      <c r="B738" s="14"/>
    </row>
    <row r="739" ht="15.75" customHeight="1">
      <c r="A739" s="14"/>
      <c r="B739" s="14"/>
    </row>
    <row r="740" ht="15.75" customHeight="1">
      <c r="A740" s="14"/>
      <c r="B740" s="14"/>
    </row>
    <row r="741" ht="15.75" customHeight="1">
      <c r="A741" s="14"/>
      <c r="B741" s="14"/>
    </row>
    <row r="742" ht="15.75" customHeight="1">
      <c r="A742" s="14"/>
      <c r="B742" s="14"/>
    </row>
    <row r="743" ht="15.75" customHeight="1">
      <c r="A743" s="14"/>
      <c r="B743" s="14"/>
    </row>
    <row r="744" ht="15.75" customHeight="1">
      <c r="A744" s="14"/>
      <c r="B744" s="14"/>
    </row>
    <row r="745" ht="15.75" customHeight="1">
      <c r="A745" s="14"/>
      <c r="B745" s="14"/>
    </row>
    <row r="746" ht="15.75" customHeight="1">
      <c r="A746" s="14"/>
      <c r="B746" s="14"/>
    </row>
    <row r="747" ht="15.75" customHeight="1">
      <c r="A747" s="14"/>
      <c r="B747" s="14"/>
    </row>
    <row r="748" ht="15.75" customHeight="1">
      <c r="A748" s="14"/>
      <c r="B748" s="14"/>
    </row>
    <row r="749" ht="15.75" customHeight="1">
      <c r="A749" s="14"/>
      <c r="B749" s="14"/>
    </row>
    <row r="750" ht="15.75" customHeight="1">
      <c r="A750" s="14"/>
      <c r="B750" s="14"/>
    </row>
    <row r="751" ht="15.75" customHeight="1">
      <c r="A751" s="14"/>
      <c r="B751" s="14"/>
    </row>
    <row r="752" ht="15.75" customHeight="1">
      <c r="A752" s="14"/>
      <c r="B752" s="14"/>
    </row>
    <row r="753" ht="15.75" customHeight="1">
      <c r="A753" s="14"/>
      <c r="B753" s="14"/>
    </row>
    <row r="754" ht="15.75" customHeight="1">
      <c r="A754" s="14"/>
      <c r="B754" s="14"/>
    </row>
    <row r="755" ht="15.75" customHeight="1">
      <c r="A755" s="14"/>
      <c r="B755" s="14"/>
    </row>
    <row r="756" ht="15.75" customHeight="1">
      <c r="A756" s="14"/>
      <c r="B756" s="14"/>
    </row>
    <row r="757" ht="15.75" customHeight="1">
      <c r="A757" s="14"/>
      <c r="B757" s="14"/>
    </row>
    <row r="758" ht="15.75" customHeight="1">
      <c r="A758" s="14"/>
      <c r="B758" s="14"/>
    </row>
    <row r="759" ht="15.75" customHeight="1">
      <c r="A759" s="14"/>
      <c r="B759" s="14"/>
    </row>
    <row r="760" ht="15.75" customHeight="1">
      <c r="A760" s="14"/>
      <c r="B760" s="14"/>
    </row>
    <row r="761" ht="15.75" customHeight="1">
      <c r="A761" s="14"/>
      <c r="B761" s="14"/>
    </row>
    <row r="762" ht="15.75" customHeight="1">
      <c r="A762" s="14"/>
      <c r="B762" s="14"/>
    </row>
    <row r="763" ht="15.75" customHeight="1">
      <c r="A763" s="14"/>
      <c r="B763" s="14"/>
    </row>
    <row r="764" ht="15.75" customHeight="1">
      <c r="A764" s="14"/>
      <c r="B764" s="14"/>
    </row>
    <row r="765" ht="15.75" customHeight="1">
      <c r="A765" s="14"/>
      <c r="B765" s="14"/>
    </row>
    <row r="766" ht="15.75" customHeight="1">
      <c r="A766" s="14"/>
      <c r="B766" s="14"/>
    </row>
    <row r="767" ht="15.75" customHeight="1">
      <c r="A767" s="14"/>
      <c r="B767" s="14"/>
    </row>
    <row r="768" ht="15.75" customHeight="1">
      <c r="A768" s="14"/>
      <c r="B768" s="14"/>
    </row>
    <row r="769" ht="15.75" customHeight="1">
      <c r="A769" s="14"/>
      <c r="B769" s="14"/>
    </row>
    <row r="770" ht="15.75" customHeight="1">
      <c r="A770" s="14"/>
      <c r="B770" s="14"/>
    </row>
    <row r="771" ht="15.75" customHeight="1">
      <c r="A771" s="14"/>
      <c r="B771" s="14"/>
    </row>
    <row r="772" ht="15.75" customHeight="1">
      <c r="A772" s="14"/>
      <c r="B772" s="14"/>
    </row>
    <row r="773" ht="15.75" customHeight="1">
      <c r="A773" s="14"/>
      <c r="B773" s="14"/>
    </row>
    <row r="774" ht="15.75" customHeight="1">
      <c r="A774" s="14"/>
      <c r="B774" s="14"/>
    </row>
    <row r="775" ht="15.75" customHeight="1">
      <c r="A775" s="14"/>
      <c r="B775" s="14"/>
    </row>
    <row r="776" ht="15.75" customHeight="1">
      <c r="A776" s="14"/>
      <c r="B776" s="14"/>
    </row>
    <row r="777" ht="15.75" customHeight="1">
      <c r="A777" s="14"/>
      <c r="B777" s="14"/>
    </row>
    <row r="778" ht="15.75" customHeight="1">
      <c r="A778" s="14"/>
      <c r="B778" s="14"/>
    </row>
    <row r="779" ht="15.75" customHeight="1">
      <c r="A779" s="14"/>
      <c r="B779" s="14"/>
    </row>
    <row r="780" ht="15.75" customHeight="1">
      <c r="A780" s="14"/>
      <c r="B780" s="14"/>
    </row>
    <row r="781" ht="15.75" customHeight="1">
      <c r="A781" s="14"/>
      <c r="B781" s="14"/>
    </row>
    <row r="782" ht="15.75" customHeight="1">
      <c r="A782" s="14"/>
      <c r="B782" s="14"/>
    </row>
    <row r="783" ht="15.75" customHeight="1">
      <c r="A783" s="14"/>
      <c r="B783" s="14"/>
    </row>
    <row r="784" ht="15.75" customHeight="1">
      <c r="A784" s="14"/>
      <c r="B784" s="14"/>
    </row>
    <row r="785" ht="15.75" customHeight="1">
      <c r="A785" s="14"/>
      <c r="B785" s="14"/>
    </row>
    <row r="786" ht="15.75" customHeight="1">
      <c r="A786" s="14"/>
      <c r="B786" s="14"/>
    </row>
    <row r="787" ht="15.75" customHeight="1">
      <c r="A787" s="14"/>
      <c r="B787" s="14"/>
    </row>
    <row r="788" ht="15.75" customHeight="1">
      <c r="A788" s="14"/>
      <c r="B788" s="14"/>
    </row>
    <row r="789" ht="15.75" customHeight="1">
      <c r="A789" s="14"/>
      <c r="B789" s="14"/>
    </row>
    <row r="790" ht="15.75" customHeight="1">
      <c r="A790" s="14"/>
      <c r="B790" s="14"/>
    </row>
    <row r="791" ht="15.75" customHeight="1">
      <c r="A791" s="14"/>
      <c r="B791" s="14"/>
    </row>
    <row r="792" ht="15.75" customHeight="1">
      <c r="A792" s="14"/>
      <c r="B792" s="14"/>
    </row>
    <row r="793" ht="15.75" customHeight="1">
      <c r="A793" s="14"/>
      <c r="B793" s="14"/>
    </row>
    <row r="794" ht="15.75" customHeight="1">
      <c r="A794" s="14"/>
      <c r="B794" s="14"/>
    </row>
    <row r="795" ht="15.75" customHeight="1">
      <c r="A795" s="14"/>
      <c r="B795" s="14"/>
    </row>
    <row r="796" ht="15.75" customHeight="1">
      <c r="A796" s="14"/>
      <c r="B796" s="14"/>
    </row>
    <row r="797" ht="15.75" customHeight="1">
      <c r="A797" s="14"/>
      <c r="B797" s="14"/>
    </row>
    <row r="798" ht="15.75" customHeight="1">
      <c r="A798" s="14"/>
      <c r="B798" s="14"/>
    </row>
    <row r="799" ht="15.75" customHeight="1">
      <c r="A799" s="14"/>
      <c r="B799" s="14"/>
    </row>
    <row r="800" ht="15.75" customHeight="1">
      <c r="A800" s="14"/>
      <c r="B800" s="14"/>
    </row>
    <row r="801" ht="15.75" customHeight="1">
      <c r="A801" s="14"/>
      <c r="B801" s="14"/>
    </row>
    <row r="802" ht="15.75" customHeight="1">
      <c r="A802" s="14"/>
      <c r="B802" s="14"/>
    </row>
    <row r="803" ht="15.75" customHeight="1">
      <c r="A803" s="14"/>
      <c r="B803" s="14"/>
    </row>
    <row r="804" ht="15.75" customHeight="1">
      <c r="A804" s="14"/>
      <c r="B804" s="14"/>
    </row>
    <row r="805" ht="15.75" customHeight="1">
      <c r="A805" s="14"/>
      <c r="B805" s="14"/>
    </row>
    <row r="806" ht="15.75" customHeight="1">
      <c r="A806" s="14"/>
      <c r="B806" s="14"/>
    </row>
    <row r="807" ht="15.75" customHeight="1">
      <c r="A807" s="14"/>
      <c r="B807" s="14"/>
    </row>
    <row r="808" ht="15.75" customHeight="1">
      <c r="A808" s="14"/>
      <c r="B808" s="14"/>
    </row>
    <row r="809" ht="15.75" customHeight="1">
      <c r="A809" s="14"/>
      <c r="B809" s="14"/>
    </row>
    <row r="810" ht="15.75" customHeight="1">
      <c r="A810" s="14"/>
      <c r="B810" s="14"/>
    </row>
    <row r="811" ht="15.75" customHeight="1">
      <c r="A811" s="14"/>
      <c r="B811" s="14"/>
    </row>
    <row r="812" ht="15.75" customHeight="1">
      <c r="A812" s="14"/>
      <c r="B812" s="14"/>
    </row>
    <row r="813" ht="15.75" customHeight="1">
      <c r="A813" s="14"/>
      <c r="B813" s="14"/>
    </row>
    <row r="814" ht="15.75" customHeight="1">
      <c r="A814" s="14"/>
      <c r="B814" s="14"/>
    </row>
    <row r="815" ht="15.75" customHeight="1">
      <c r="A815" s="14"/>
      <c r="B815" s="14"/>
    </row>
    <row r="816" ht="15.75" customHeight="1">
      <c r="A816" s="14"/>
      <c r="B816" s="14"/>
    </row>
    <row r="817" ht="15.75" customHeight="1">
      <c r="A817" s="14"/>
      <c r="B817" s="14"/>
    </row>
    <row r="818" ht="15.75" customHeight="1">
      <c r="A818" s="14"/>
      <c r="B818" s="14"/>
    </row>
    <row r="819" ht="15.75" customHeight="1">
      <c r="A819" s="14"/>
      <c r="B819" s="14"/>
    </row>
    <row r="820" ht="15.75" customHeight="1">
      <c r="A820" s="14"/>
      <c r="B820" s="14"/>
    </row>
    <row r="821" ht="15.75" customHeight="1">
      <c r="A821" s="14"/>
      <c r="B821" s="14"/>
    </row>
    <row r="822" ht="15.75" customHeight="1">
      <c r="A822" s="14"/>
      <c r="B822" s="14"/>
    </row>
    <row r="823" ht="15.75" customHeight="1">
      <c r="A823" s="14"/>
      <c r="B823" s="14"/>
    </row>
    <row r="824" ht="15.75" customHeight="1">
      <c r="A824" s="14"/>
      <c r="B824" s="14"/>
    </row>
    <row r="825" ht="15.75" customHeight="1">
      <c r="A825" s="14"/>
      <c r="B825" s="14"/>
    </row>
    <row r="826" ht="15.75" customHeight="1">
      <c r="A826" s="14"/>
      <c r="B826" s="14"/>
    </row>
    <row r="827" ht="15.75" customHeight="1">
      <c r="A827" s="14"/>
      <c r="B827" s="14"/>
    </row>
    <row r="828" ht="15.75" customHeight="1">
      <c r="A828" s="14"/>
      <c r="B828" s="14"/>
    </row>
    <row r="829" ht="15.75" customHeight="1">
      <c r="A829" s="14"/>
      <c r="B829" s="14"/>
    </row>
    <row r="830" ht="15.75" customHeight="1">
      <c r="A830" s="14"/>
      <c r="B830" s="14"/>
    </row>
    <row r="831" ht="15.75" customHeight="1">
      <c r="A831" s="14"/>
      <c r="B831" s="14"/>
    </row>
    <row r="832" ht="15.75" customHeight="1">
      <c r="A832" s="14"/>
      <c r="B832" s="14"/>
    </row>
    <row r="833" ht="15.75" customHeight="1">
      <c r="A833" s="14"/>
      <c r="B833" s="14"/>
    </row>
    <row r="834" ht="15.75" customHeight="1">
      <c r="A834" s="14"/>
      <c r="B834" s="14"/>
    </row>
    <row r="835" ht="15.75" customHeight="1">
      <c r="A835" s="14"/>
      <c r="B835" s="14"/>
    </row>
    <row r="836" ht="15.75" customHeight="1">
      <c r="A836" s="14"/>
      <c r="B836" s="14"/>
    </row>
    <row r="837" ht="15.75" customHeight="1">
      <c r="A837" s="14"/>
      <c r="B837" s="14"/>
    </row>
    <row r="838" ht="15.75" customHeight="1">
      <c r="A838" s="14"/>
      <c r="B838" s="14"/>
    </row>
    <row r="839" ht="15.75" customHeight="1">
      <c r="A839" s="14"/>
      <c r="B839" s="14"/>
    </row>
    <row r="840" ht="15.75" customHeight="1">
      <c r="A840" s="14"/>
      <c r="B840" s="14"/>
    </row>
    <row r="841" ht="15.75" customHeight="1">
      <c r="A841" s="14"/>
      <c r="B841" s="14"/>
    </row>
    <row r="842" ht="15.75" customHeight="1">
      <c r="A842" s="14"/>
      <c r="B842" s="14"/>
    </row>
    <row r="843" ht="15.75" customHeight="1">
      <c r="A843" s="14"/>
      <c r="B843" s="14"/>
    </row>
    <row r="844" ht="15.75" customHeight="1">
      <c r="A844" s="14"/>
      <c r="B844" s="14"/>
    </row>
    <row r="845" ht="15.75" customHeight="1">
      <c r="A845" s="14"/>
      <c r="B845" s="14"/>
    </row>
    <row r="846" ht="15.75" customHeight="1">
      <c r="A846" s="14"/>
      <c r="B846" s="14"/>
    </row>
    <row r="847" ht="15.75" customHeight="1">
      <c r="A847" s="14"/>
      <c r="B847" s="14"/>
    </row>
    <row r="848" ht="15.75" customHeight="1">
      <c r="A848" s="14"/>
      <c r="B848" s="14"/>
    </row>
    <row r="849" ht="15.75" customHeight="1">
      <c r="A849" s="14"/>
      <c r="B849" s="14"/>
    </row>
    <row r="850" ht="15.75" customHeight="1">
      <c r="A850" s="14"/>
      <c r="B850" s="14"/>
    </row>
    <row r="851" ht="15.75" customHeight="1">
      <c r="A851" s="14"/>
      <c r="B851" s="14"/>
    </row>
    <row r="852" ht="15.75" customHeight="1">
      <c r="A852" s="14"/>
      <c r="B852" s="14"/>
    </row>
    <row r="853" ht="15.75" customHeight="1">
      <c r="A853" s="14"/>
      <c r="B853" s="14"/>
    </row>
    <row r="854" ht="15.75" customHeight="1">
      <c r="A854" s="14"/>
      <c r="B854" s="14"/>
    </row>
    <row r="855" ht="15.75" customHeight="1">
      <c r="A855" s="14"/>
      <c r="B855" s="14"/>
    </row>
    <row r="856" ht="15.75" customHeight="1">
      <c r="A856" s="14"/>
      <c r="B856" s="14"/>
    </row>
    <row r="857" ht="15.75" customHeight="1">
      <c r="A857" s="14"/>
      <c r="B857" s="14"/>
    </row>
    <row r="858" ht="15.75" customHeight="1">
      <c r="A858" s="14"/>
      <c r="B858" s="14"/>
    </row>
    <row r="859" ht="15.75" customHeight="1">
      <c r="A859" s="14"/>
      <c r="B859" s="14"/>
    </row>
    <row r="860" ht="15.75" customHeight="1">
      <c r="A860" s="14"/>
      <c r="B860" s="14"/>
    </row>
    <row r="861" ht="15.75" customHeight="1">
      <c r="A861" s="14"/>
      <c r="B861" s="14"/>
    </row>
    <row r="862" ht="15.75" customHeight="1">
      <c r="A862" s="14"/>
      <c r="B862" s="14"/>
    </row>
    <row r="863" ht="15.75" customHeight="1">
      <c r="A863" s="14"/>
      <c r="B863" s="14"/>
    </row>
    <row r="864" ht="15.75" customHeight="1">
      <c r="A864" s="14"/>
      <c r="B864" s="14"/>
    </row>
    <row r="865" ht="15.75" customHeight="1">
      <c r="A865" s="14"/>
      <c r="B865" s="14"/>
    </row>
    <row r="866" ht="15.75" customHeight="1">
      <c r="A866" s="14"/>
      <c r="B866" s="14"/>
    </row>
    <row r="867" ht="15.75" customHeight="1">
      <c r="A867" s="14"/>
      <c r="B867" s="14"/>
    </row>
    <row r="868" ht="15.75" customHeight="1">
      <c r="A868" s="14"/>
      <c r="B868" s="14"/>
    </row>
    <row r="869" ht="15.75" customHeight="1">
      <c r="A869" s="14"/>
      <c r="B869" s="14"/>
    </row>
    <row r="870" ht="15.75" customHeight="1">
      <c r="A870" s="14"/>
      <c r="B870" s="14"/>
    </row>
    <row r="871" ht="15.75" customHeight="1">
      <c r="A871" s="14"/>
      <c r="B871" s="14"/>
    </row>
    <row r="872" ht="15.75" customHeight="1">
      <c r="A872" s="14"/>
      <c r="B872" s="14"/>
    </row>
    <row r="873" ht="15.75" customHeight="1">
      <c r="A873" s="14"/>
      <c r="B873" s="14"/>
    </row>
    <row r="874" ht="15.75" customHeight="1">
      <c r="A874" s="14"/>
      <c r="B874" s="14"/>
    </row>
    <row r="875" ht="15.75" customHeight="1">
      <c r="A875" s="14"/>
      <c r="B875" s="14"/>
    </row>
    <row r="876" ht="15.75" customHeight="1">
      <c r="A876" s="14"/>
      <c r="B876" s="14"/>
    </row>
    <row r="877" ht="15.75" customHeight="1">
      <c r="A877" s="14"/>
      <c r="B877" s="14"/>
    </row>
    <row r="878" ht="15.75" customHeight="1">
      <c r="A878" s="14"/>
      <c r="B878" s="14"/>
    </row>
    <row r="879" ht="15.75" customHeight="1">
      <c r="A879" s="14"/>
      <c r="B879" s="14"/>
    </row>
    <row r="880" ht="15.75" customHeight="1">
      <c r="A880" s="14"/>
      <c r="B880" s="14"/>
    </row>
    <row r="881" ht="15.75" customHeight="1">
      <c r="A881" s="14"/>
      <c r="B881" s="14"/>
    </row>
    <row r="882" ht="15.75" customHeight="1">
      <c r="A882" s="14"/>
      <c r="B882" s="14"/>
    </row>
    <row r="883" ht="15.75" customHeight="1">
      <c r="A883" s="14"/>
      <c r="B883" s="14"/>
    </row>
    <row r="884" ht="15.75" customHeight="1">
      <c r="A884" s="14"/>
      <c r="B884" s="14"/>
    </row>
    <row r="885" ht="15.75" customHeight="1">
      <c r="A885" s="14"/>
      <c r="B885" s="14"/>
    </row>
    <row r="886" ht="15.75" customHeight="1">
      <c r="A886" s="14"/>
      <c r="B886" s="14"/>
    </row>
    <row r="887" ht="15.75" customHeight="1">
      <c r="A887" s="14"/>
      <c r="B887" s="14"/>
    </row>
    <row r="888" ht="15.75" customHeight="1">
      <c r="A888" s="14"/>
      <c r="B888" s="14"/>
    </row>
    <row r="889" ht="15.75" customHeight="1">
      <c r="A889" s="14"/>
      <c r="B889" s="14"/>
    </row>
    <row r="890" ht="15.75" customHeight="1">
      <c r="A890" s="14"/>
      <c r="B890" s="14"/>
    </row>
    <row r="891" ht="15.75" customHeight="1">
      <c r="A891" s="14"/>
      <c r="B891" s="14"/>
    </row>
    <row r="892" ht="15.75" customHeight="1">
      <c r="A892" s="14"/>
      <c r="B892" s="14"/>
    </row>
    <row r="893" ht="15.75" customHeight="1">
      <c r="A893" s="14"/>
      <c r="B893" s="14"/>
    </row>
    <row r="894" ht="15.75" customHeight="1">
      <c r="A894" s="14"/>
      <c r="B894" s="14"/>
    </row>
    <row r="895" ht="15.75" customHeight="1">
      <c r="A895" s="14"/>
      <c r="B895" s="14"/>
    </row>
    <row r="896" ht="15.75" customHeight="1">
      <c r="A896" s="14"/>
      <c r="B896" s="14"/>
    </row>
    <row r="897" ht="15.75" customHeight="1">
      <c r="A897" s="14"/>
      <c r="B897" s="14"/>
    </row>
    <row r="898" ht="15.75" customHeight="1">
      <c r="A898" s="14"/>
      <c r="B898" s="14"/>
    </row>
    <row r="899" ht="15.75" customHeight="1">
      <c r="A899" s="14"/>
      <c r="B899" s="14"/>
    </row>
    <row r="900" ht="15.75" customHeight="1">
      <c r="A900" s="14"/>
      <c r="B900" s="14"/>
    </row>
    <row r="901" ht="15.75" customHeight="1">
      <c r="A901" s="14"/>
      <c r="B901" s="14"/>
    </row>
    <row r="902" ht="15.75" customHeight="1">
      <c r="A902" s="14"/>
      <c r="B902" s="14"/>
    </row>
    <row r="903" ht="15.75" customHeight="1">
      <c r="A903" s="14"/>
      <c r="B903" s="14"/>
    </row>
    <row r="904" ht="15.75" customHeight="1">
      <c r="A904" s="14"/>
      <c r="B904" s="14"/>
    </row>
    <row r="905" ht="15.75" customHeight="1">
      <c r="A905" s="14"/>
      <c r="B905" s="14"/>
    </row>
    <row r="906" ht="15.75" customHeight="1">
      <c r="A906" s="14"/>
      <c r="B906" s="14"/>
    </row>
    <row r="907" ht="15.75" customHeight="1">
      <c r="A907" s="14"/>
      <c r="B907" s="14"/>
    </row>
    <row r="908" ht="15.75" customHeight="1">
      <c r="A908" s="14"/>
      <c r="B908" s="14"/>
    </row>
    <row r="909" ht="15.75" customHeight="1">
      <c r="A909" s="14"/>
      <c r="B909" s="14"/>
    </row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1" max="1" width="41.88"/>
    <col customWidth="1" min="2" max="2" width="17.5"/>
    <col customWidth="1" min="3" max="3" width="19.25"/>
    <col customWidth="1" min="4" max="4" width="18.5"/>
    <col customWidth="1" min="5" max="5" width="17.63"/>
    <col customWidth="1" min="6" max="6" width="18.13"/>
    <col customWidth="1" min="11" max="11" width="16.88"/>
    <col customWidth="1" min="12" max="12" width="20.0"/>
  </cols>
  <sheetData>
    <row r="1" ht="15.75" customHeight="1">
      <c r="B1" s="3" t="s">
        <v>0</v>
      </c>
      <c r="C1" s="3" t="str">
        <f>TEXT(C3,"MMMM-YYY")</f>
        <v>August-2025</v>
      </c>
    </row>
    <row r="2" ht="15.75" customHeight="1">
      <c r="A2" s="7"/>
      <c r="B2" s="3" t="s">
        <v>1</v>
      </c>
      <c r="C2" s="8">
        <v>45870.0</v>
      </c>
      <c r="E2" s="9" t="s">
        <v>2</v>
      </c>
      <c r="F2" s="10" t="str">
        <f>IF(SUM(D:D) = SUM(E:E), "✅ Balanced", "⚠️ Unbalanced")</f>
        <v>#REF!</v>
      </c>
    </row>
    <row r="3" ht="15.75" customHeight="1">
      <c r="B3" s="3" t="s">
        <v>3</v>
      </c>
      <c r="C3" s="8">
        <f>EOMONTH(C2,0)</f>
        <v>45900</v>
      </c>
      <c r="E3" s="11"/>
    </row>
    <row r="4" ht="15.75" customHeight="1"/>
    <row r="5" ht="15.75" customHeight="1">
      <c r="D5" s="12" t="str">
        <f t="shared" ref="D5:E5" si="1">SUM(D8:D1000)</f>
        <v>#REF!</v>
      </c>
      <c r="E5" s="12" t="str">
        <f t="shared" si="1"/>
        <v>#REF!</v>
      </c>
      <c r="F5" s="12" t="str">
        <f>D5-E5</f>
        <v>#REF!</v>
      </c>
    </row>
    <row r="6" ht="15.75" customHeight="1"/>
    <row r="7" ht="15.75" customHeight="1">
      <c r="A7" s="1" t="s">
        <v>4</v>
      </c>
      <c r="B7" s="1" t="s">
        <v>5</v>
      </c>
      <c r="C7" s="1" t="s">
        <v>6</v>
      </c>
      <c r="D7" s="1" t="s">
        <v>7</v>
      </c>
      <c r="E7" s="1" t="s">
        <v>8</v>
      </c>
      <c r="F7" s="1" t="s">
        <v>9</v>
      </c>
    </row>
    <row r="8" ht="15.75" customHeight="1">
      <c r="A8" s="1" t="str">
        <f t="array" ref="A8:A909">Helper!E99:E1000</f>
        <v/>
      </c>
      <c r="B8" s="1" t="str">
        <f t="array" ref="B8:B909">Helper!D99:D1000</f>
        <v/>
      </c>
      <c r="C8" s="13" t="str">
        <f>July_2025!F8</f>
        <v>#N/A</v>
      </c>
      <c r="D8" s="13" t="str">
        <f>IFERROR(__xludf.DUMMYFUNCTION("IFNA(QUERY(IMPORTRANGE(""https://docs.google.com/spreadsheets/d/1EHL-jm_NiShR1a2JqKbpaJGazYH90DJO150spY6io4k/edit?gid=0#gid=0"", 
""Gen_Ledger!A:N""), 
""SELECT SUM(Col10) WHERE Col7 = ""&amp;B8&amp;"" AND Col1 &gt;= DATE '"" &amp; TEXT($C$2, ""YYYY-MM-DD"") &amp; ""' AND C"&amp;"ol1 &lt;= DATE '"" &amp; TEXT($C$3, ""YYYY-MM-DD"") &amp; ""' LABEL SUM(Col10) ''"", 0), """")"),"#REF!")</f>
        <v>#REF!</v>
      </c>
      <c r="E8" s="13" t="str">
        <f>IFERROR(__xludf.DUMMYFUNCTION("IFNA(QUERY(IMPORTRANGE(""https://docs.google.com/spreadsheets/d/1EHL-jm_NiShR1a2JqKbpaJGazYH90DJO150spY6io4k/edit?gid=0#gid=0"", 
""Gen_Ledger!A:N""), 
""SELECT SUM(Col11) WHERE Col7 = ""&amp;B8&amp;"" AND Col1 &gt;= DATE '"" &amp; TEXT($C$2, ""YYYY-MM-DD"") &amp; ""' AND C"&amp;"ol1 &lt;= DATE '"" &amp; TEXT($C$3, ""YYYY-MM-DD"") &amp; ""' LABEL SUM(Col11) ''"", 0), """")"),"#REF!")</f>
        <v>#REF!</v>
      </c>
      <c r="F8" s="13" t="str">
        <f t="shared" ref="F8:F21" si="2">C8+D8-E8</f>
        <v>#N/A</v>
      </c>
    </row>
    <row r="9" ht="15.75" customHeight="1">
      <c r="A9" s="1"/>
      <c r="B9" s="1"/>
      <c r="C9" s="13" t="str">
        <f>July_2025!F9</f>
        <v>#N/A</v>
      </c>
      <c r="D9" s="13" t="str">
        <f>IFERROR(__xludf.DUMMYFUNCTION("IFNA(QUERY(IMPORTRANGE(""https://docs.google.com/spreadsheets/d/1EHL-jm_NiShR1a2JqKbpaJGazYH90DJO150spY6io4k/edit?gid=0#gid=0"", 
""Gen_Ledger!A:N""), 
""SELECT SUM(Col10) WHERE Col7 = ""&amp;B9&amp;"" AND Col1 &gt;= DATE '"" &amp; TEXT($C$2, ""YYYY-MM-DD"") &amp; ""' AND C"&amp;"ol1 &lt;= DATE '"" &amp; TEXT($C$3, ""YYYY-MM-DD"") &amp; ""' LABEL SUM(Col10) ''"", 0), """")"),"#REF!")</f>
        <v>#REF!</v>
      </c>
      <c r="E9" s="13" t="str">
        <f>IFERROR(__xludf.DUMMYFUNCTION("IFNA(QUERY(IMPORTRANGE(""https://docs.google.com/spreadsheets/d/1EHL-jm_NiShR1a2JqKbpaJGazYH90DJO150spY6io4k/edit?gid=0#gid=0"", 
""Gen_Ledger!A:N""), 
""SELECT SUM(Col11) WHERE Col7 = ""&amp;B9&amp;"" AND Col1 &gt;= DATE '"" &amp; TEXT($C$2, ""YYYY-MM-DD"") &amp; ""' AND C"&amp;"ol1 &lt;= DATE '"" &amp; TEXT($C$3, ""YYYY-MM-DD"") &amp; ""' LABEL SUM(Col11) ''"", 0), """")"),"#REF!")</f>
        <v>#REF!</v>
      </c>
      <c r="F9" s="13" t="str">
        <f t="shared" si="2"/>
        <v>#N/A</v>
      </c>
    </row>
    <row r="10" ht="15.75" customHeight="1">
      <c r="A10" s="1"/>
      <c r="B10" s="1"/>
      <c r="C10" s="13" t="str">
        <f>July_2025!F10</f>
        <v>#N/A</v>
      </c>
      <c r="D10" s="13" t="str">
        <f>IFERROR(__xludf.DUMMYFUNCTION("IFNA(QUERY(IMPORTRANGE(""https://docs.google.com/spreadsheets/d/1EHL-jm_NiShR1a2JqKbpaJGazYH90DJO150spY6io4k/edit?gid=0#gid=0"", 
""Gen_Ledger!A:N""), 
""SELECT SUM(Col10) WHERE Col7 = ""&amp;B10&amp;"" AND Col1 &gt;= DATE '"" &amp; TEXT($C$2, ""YYYY-MM-DD"") &amp; ""' AND "&amp;"Col1 &lt;= DATE '"" &amp; TEXT($C$3, ""YYYY-MM-DD"") &amp; ""' LABEL SUM(Col10) ''"", 0), """")"),"#REF!")</f>
        <v>#REF!</v>
      </c>
      <c r="E10" s="13" t="str">
        <f>IFERROR(__xludf.DUMMYFUNCTION("IFNA(QUERY(IMPORTRANGE(""https://docs.google.com/spreadsheets/d/1EHL-jm_NiShR1a2JqKbpaJGazYH90DJO150spY6io4k/edit?gid=0#gid=0"", 
""Gen_Ledger!A:N""), 
""SELECT SUM(Col11) WHERE Col7 = ""&amp;B10&amp;"" AND Col1 &gt;= DATE '"" &amp; TEXT($C$2, ""YYYY-MM-DD"") &amp; ""' AND "&amp;"Col1 &lt;= DATE '"" &amp; TEXT($C$3, ""YYYY-MM-DD"") &amp; ""' LABEL SUM(Col11) ''"", 0), """")"),"#REF!")</f>
        <v>#REF!</v>
      </c>
      <c r="F10" s="13" t="str">
        <f t="shared" si="2"/>
        <v>#N/A</v>
      </c>
    </row>
    <row r="11" ht="15.75" customHeight="1">
      <c r="A11" s="1"/>
      <c r="B11" s="1"/>
      <c r="C11" s="13" t="str">
        <f>July_2025!F11</f>
        <v>#N/A</v>
      </c>
      <c r="D11" s="13" t="str">
        <f>IFERROR(__xludf.DUMMYFUNCTION("IFNA(QUERY(IMPORTRANGE(""https://docs.google.com/spreadsheets/d/1EHL-jm_NiShR1a2JqKbpaJGazYH90DJO150spY6io4k/edit?gid=0#gid=0"", 
""Gen_Ledger!A:N""), 
""SELECT SUM(Col10) WHERE Col7 = ""&amp;B11&amp;"" AND Col1 &gt;= DATE '"" &amp; TEXT($C$2, ""YYYY-MM-DD"") &amp; ""' AND "&amp;"Col1 &lt;= DATE '"" &amp; TEXT($C$3, ""YYYY-MM-DD"") &amp; ""' LABEL SUM(Col10) ''"", 0), """")"),"#REF!")</f>
        <v>#REF!</v>
      </c>
      <c r="E11" s="13" t="str">
        <f>IFERROR(__xludf.DUMMYFUNCTION("IFNA(QUERY(IMPORTRANGE(""https://docs.google.com/spreadsheets/d/1EHL-jm_NiShR1a2JqKbpaJGazYH90DJO150spY6io4k/edit?gid=0#gid=0"", 
""Gen_Ledger!A:N""), 
""SELECT SUM(Col11) WHERE Col7 = ""&amp;B11&amp;"" AND Col1 &gt;= DATE '"" &amp; TEXT($C$2, ""YYYY-MM-DD"") &amp; ""' AND "&amp;"Col1 &lt;= DATE '"" &amp; TEXT($C$3, ""YYYY-MM-DD"") &amp; ""' LABEL SUM(Col11) ''"", 0), """")"),"#REF!")</f>
        <v>#REF!</v>
      </c>
      <c r="F11" s="13" t="str">
        <f t="shared" si="2"/>
        <v>#N/A</v>
      </c>
    </row>
    <row r="12" ht="15.75" customHeight="1">
      <c r="A12" s="1"/>
      <c r="B12" s="1"/>
      <c r="C12" s="13" t="str">
        <f>July_2025!F12</f>
        <v>#N/A</v>
      </c>
      <c r="D12" s="13" t="str">
        <f>IFERROR(__xludf.DUMMYFUNCTION("IFNA(QUERY(IMPORTRANGE(""https://docs.google.com/spreadsheets/d/1EHL-jm_NiShR1a2JqKbpaJGazYH90DJO150spY6io4k/edit?gid=0#gid=0"", 
""Gen_Ledger!A:N""), 
""SELECT SUM(Col10) WHERE Col7 = ""&amp;B12&amp;"" AND Col1 &gt;= DATE '"" &amp; TEXT($C$2, ""YYYY-MM-DD"") &amp; ""' AND "&amp;"Col1 &lt;= DATE '"" &amp; TEXT($C$3, ""YYYY-MM-DD"") &amp; ""' LABEL SUM(Col10) ''"", 0), """")"),"#REF!")</f>
        <v>#REF!</v>
      </c>
      <c r="E12" s="13" t="str">
        <f>IFERROR(__xludf.DUMMYFUNCTION("IFNA(QUERY(IMPORTRANGE(""https://docs.google.com/spreadsheets/d/1EHL-jm_NiShR1a2JqKbpaJGazYH90DJO150spY6io4k/edit?gid=0#gid=0"", 
""Gen_Ledger!A:N""), 
""SELECT SUM(Col11) WHERE Col7 = ""&amp;B12&amp;"" AND Col1 &gt;= DATE '"" &amp; TEXT($C$2, ""YYYY-MM-DD"") &amp; ""' AND "&amp;"Col1 &lt;= DATE '"" &amp; TEXT($C$3, ""YYYY-MM-DD"") &amp; ""' LABEL SUM(Col11) ''"", 0), """")"),"#REF!")</f>
        <v>#REF!</v>
      </c>
      <c r="F12" s="13" t="str">
        <f t="shared" si="2"/>
        <v>#N/A</v>
      </c>
    </row>
    <row r="13" ht="15.75" customHeight="1">
      <c r="A13" s="1"/>
      <c r="B13" s="1"/>
      <c r="C13" s="13" t="str">
        <f>July_2025!F13</f>
        <v>#N/A</v>
      </c>
      <c r="D13" s="13" t="str">
        <f>IFERROR(__xludf.DUMMYFUNCTION("IFNA(QUERY(IMPORTRANGE(""https://docs.google.com/spreadsheets/d/1EHL-jm_NiShR1a2JqKbpaJGazYH90DJO150spY6io4k/edit?gid=0#gid=0"", 
""Gen_Ledger!A:N""), 
""SELECT SUM(Col10) WHERE Col7 = ""&amp;B13&amp;"" AND Col1 &gt;= DATE '"" &amp; TEXT($C$2, ""YYYY-MM-DD"") &amp; ""' AND "&amp;"Col1 &lt;= DATE '"" &amp; TEXT($C$3, ""YYYY-MM-DD"") &amp; ""' LABEL SUM(Col10) ''"", 0), """")"),"#REF!")</f>
        <v>#REF!</v>
      </c>
      <c r="E13" s="13" t="str">
        <f>IFERROR(__xludf.DUMMYFUNCTION("IFNA(QUERY(IMPORTRANGE(""https://docs.google.com/spreadsheets/d/1EHL-jm_NiShR1a2JqKbpaJGazYH90DJO150spY6io4k/edit?gid=0#gid=0"", 
""Gen_Ledger!A:N""), 
""SELECT SUM(Col11) WHERE Col7 = ""&amp;B13&amp;"" AND Col1 &gt;= DATE '"" &amp; TEXT($C$2, ""YYYY-MM-DD"") &amp; ""' AND "&amp;"Col1 &lt;= DATE '"" &amp; TEXT($C$3, ""YYYY-MM-DD"") &amp; ""' LABEL SUM(Col11) ''"", 0), """")"),"#REF!")</f>
        <v>#REF!</v>
      </c>
      <c r="F13" s="13" t="str">
        <f t="shared" si="2"/>
        <v>#N/A</v>
      </c>
      <c r="I13" s="4"/>
    </row>
    <row r="14" ht="15.75" customHeight="1">
      <c r="A14" s="1"/>
      <c r="B14" s="1"/>
      <c r="C14" s="13" t="str">
        <f>July_2025!F14</f>
        <v>#N/A</v>
      </c>
      <c r="D14" s="13" t="str">
        <f>IFERROR(__xludf.DUMMYFUNCTION("IFNA(QUERY(IMPORTRANGE(""https://docs.google.com/spreadsheets/d/1EHL-jm_NiShR1a2JqKbpaJGazYH90DJO150spY6io4k/edit?gid=0#gid=0"", 
""Gen_Ledger!A:N""), 
""SELECT SUM(Col10) WHERE Col7 = ""&amp;B14&amp;"" AND Col1 &gt;= DATE '"" &amp; TEXT($C$2, ""YYYY-MM-DD"") &amp; ""' AND "&amp;"Col1 &lt;= DATE '"" &amp; TEXT($C$3, ""YYYY-MM-DD"") &amp; ""' LABEL SUM(Col10) ''"", 0), """")"),"#REF!")</f>
        <v>#REF!</v>
      </c>
      <c r="E14" s="13" t="str">
        <f>IFERROR(__xludf.DUMMYFUNCTION("IFNA(QUERY(IMPORTRANGE(""https://docs.google.com/spreadsheets/d/1EHL-jm_NiShR1a2JqKbpaJGazYH90DJO150spY6io4k/edit?gid=0#gid=0"", 
""Gen_Ledger!A:N""), 
""SELECT SUM(Col11) WHERE Col7 = ""&amp;B14&amp;"" AND Col1 &gt;= DATE '"" &amp; TEXT($C$2, ""YYYY-MM-DD"") &amp; ""' AND "&amp;"Col1 &lt;= DATE '"" &amp; TEXT($C$3, ""YYYY-MM-DD"") &amp; ""' LABEL SUM(Col11) ''"", 0), """")"),"#REF!")</f>
        <v>#REF!</v>
      </c>
      <c r="F14" s="13" t="str">
        <f t="shared" si="2"/>
        <v>#N/A</v>
      </c>
    </row>
    <row r="15" ht="15.75" customHeight="1">
      <c r="A15" s="1"/>
      <c r="B15" s="1"/>
      <c r="C15" s="13" t="str">
        <f>July_2025!F15</f>
        <v>#N/A</v>
      </c>
      <c r="D15" s="13" t="str">
        <f>IFERROR(__xludf.DUMMYFUNCTION("IFNA(QUERY(IMPORTRANGE(""https://docs.google.com/spreadsheets/d/1EHL-jm_NiShR1a2JqKbpaJGazYH90DJO150spY6io4k/edit?gid=0#gid=0"", 
""Gen_Ledger!A:N""), 
""SELECT SUM(Col10) WHERE Col7 = ""&amp;B15&amp;"" AND Col1 &gt;= DATE '"" &amp; TEXT($C$2, ""YYYY-MM-DD"") &amp; ""' AND "&amp;"Col1 &lt;= DATE '"" &amp; TEXT($C$3, ""YYYY-MM-DD"") &amp; ""' LABEL SUM(Col10) ''"", 0), """")"),"#REF!")</f>
        <v>#REF!</v>
      </c>
      <c r="E15" s="13" t="str">
        <f>IFERROR(__xludf.DUMMYFUNCTION("IFNA(QUERY(IMPORTRANGE(""https://docs.google.com/spreadsheets/d/1EHL-jm_NiShR1a2JqKbpaJGazYH90DJO150spY6io4k/edit?gid=0#gid=0"", 
""Gen_Ledger!A:N""), 
""SELECT SUM(Col11) WHERE Col7 = ""&amp;B15&amp;"" AND Col1 &gt;= DATE '"" &amp; TEXT($C$2, ""YYYY-MM-DD"") &amp; ""' AND "&amp;"Col1 &lt;= DATE '"" &amp; TEXT($C$3, ""YYYY-MM-DD"") &amp; ""' LABEL SUM(Col11) ''"", 0), """")"),"#REF!")</f>
        <v>#REF!</v>
      </c>
      <c r="F15" s="13" t="str">
        <f t="shared" si="2"/>
        <v>#N/A</v>
      </c>
    </row>
    <row r="16" ht="15.75" customHeight="1">
      <c r="A16" s="1"/>
      <c r="B16" s="1"/>
      <c r="C16" s="13" t="str">
        <f>July_2025!F16</f>
        <v>#N/A</v>
      </c>
      <c r="D16" s="13" t="str">
        <f>IFERROR(__xludf.DUMMYFUNCTION("IFNA(QUERY(IMPORTRANGE(""https://docs.google.com/spreadsheets/d/1EHL-jm_NiShR1a2JqKbpaJGazYH90DJO150spY6io4k/edit?gid=0#gid=0"", 
""Gen_Ledger!A:N""), 
""SELECT SUM(Col10) WHERE Col7 = ""&amp;B16&amp;"" AND Col1 &gt;= DATE '"" &amp; TEXT($C$2, ""YYYY-MM-DD"") &amp; ""' AND "&amp;"Col1 &lt;= DATE '"" &amp; TEXT($C$3, ""YYYY-MM-DD"") &amp; ""' LABEL SUM(Col10) ''"", 0), """")"),"#REF!")</f>
        <v>#REF!</v>
      </c>
      <c r="E16" s="13" t="str">
        <f>IFERROR(__xludf.DUMMYFUNCTION("IFNA(QUERY(IMPORTRANGE(""https://docs.google.com/spreadsheets/d/1EHL-jm_NiShR1a2JqKbpaJGazYH90DJO150spY6io4k/edit?gid=0#gid=0"", 
""Gen_Ledger!A:N""), 
""SELECT SUM(Col11) WHERE Col7 = ""&amp;B16&amp;"" AND Col1 &gt;= DATE '"" &amp; TEXT($C$2, ""YYYY-MM-DD"") &amp; ""' AND "&amp;"Col1 &lt;= DATE '"" &amp; TEXT($C$3, ""YYYY-MM-DD"") &amp; ""' LABEL SUM(Col11) ''"", 0), """")"),"#REF!")</f>
        <v>#REF!</v>
      </c>
      <c r="F16" s="13" t="str">
        <f t="shared" si="2"/>
        <v>#N/A</v>
      </c>
    </row>
    <row r="17" ht="15.75" customHeight="1">
      <c r="A17" s="1"/>
      <c r="B17" s="1"/>
      <c r="C17" s="13" t="str">
        <f>July_2025!F17</f>
        <v>#N/A</v>
      </c>
      <c r="D17" s="13" t="str">
        <f>IFERROR(__xludf.DUMMYFUNCTION("IFNA(QUERY(IMPORTRANGE(""https://docs.google.com/spreadsheets/d/1EHL-jm_NiShR1a2JqKbpaJGazYH90DJO150spY6io4k/edit?gid=0#gid=0"", 
""Gen_Ledger!A:N""), 
""SELECT SUM(Col10) WHERE Col7 = ""&amp;B17&amp;"" AND Col1 &gt;= DATE '"" &amp; TEXT($C$2, ""YYYY-MM-DD"") &amp; ""' AND "&amp;"Col1 &lt;= DATE '"" &amp; TEXT($C$3, ""YYYY-MM-DD"") &amp; ""' LABEL SUM(Col10) ''"", 0), """")"),"#REF!")</f>
        <v>#REF!</v>
      </c>
      <c r="E17" s="13" t="str">
        <f>IFERROR(__xludf.DUMMYFUNCTION("IFNA(QUERY(IMPORTRANGE(""https://docs.google.com/spreadsheets/d/1EHL-jm_NiShR1a2JqKbpaJGazYH90DJO150spY6io4k/edit?gid=0#gid=0"", 
""Gen_Ledger!A:N""), 
""SELECT SUM(Col11) WHERE Col7 = ""&amp;B17&amp;"" AND Col1 &gt;= DATE '"" &amp; TEXT($C$2, ""YYYY-MM-DD"") &amp; ""' AND "&amp;"Col1 &lt;= DATE '"" &amp; TEXT($C$3, ""YYYY-MM-DD"") &amp; ""' LABEL SUM(Col11) ''"", 0), """")"),"#REF!")</f>
        <v>#REF!</v>
      </c>
      <c r="F17" s="13" t="str">
        <f t="shared" si="2"/>
        <v>#N/A</v>
      </c>
    </row>
    <row r="18" ht="15.75" customHeight="1">
      <c r="A18" s="1"/>
      <c r="B18" s="1"/>
      <c r="C18" s="13" t="str">
        <f>July_2025!F18</f>
        <v>#N/A</v>
      </c>
      <c r="D18" s="13" t="str">
        <f>IFERROR(__xludf.DUMMYFUNCTION("IFNA(QUERY(IMPORTRANGE(""https://docs.google.com/spreadsheets/d/1EHL-jm_NiShR1a2JqKbpaJGazYH90DJO150spY6io4k/edit?gid=0#gid=0"", 
""Gen_Ledger!A:N""), 
""SELECT SUM(Col10) WHERE Col7 = ""&amp;B18&amp;"" AND Col1 &gt;= DATE '"" &amp; TEXT($C$2, ""YYYY-MM-DD"") &amp; ""' AND "&amp;"Col1 &lt;= DATE '"" &amp; TEXT($C$3, ""YYYY-MM-DD"") &amp; ""' LABEL SUM(Col10) ''"", 0), """")"),"#REF!")</f>
        <v>#REF!</v>
      </c>
      <c r="E18" s="13" t="str">
        <f>IFERROR(__xludf.DUMMYFUNCTION("IFNA(QUERY(IMPORTRANGE(""https://docs.google.com/spreadsheets/d/1EHL-jm_NiShR1a2JqKbpaJGazYH90DJO150spY6io4k/edit?gid=0#gid=0"", 
""Gen_Ledger!A:N""), 
""SELECT SUM(Col11) WHERE Col7 = ""&amp;B18&amp;"" AND Col1 &gt;= DATE '"" &amp; TEXT($C$2, ""YYYY-MM-DD"") &amp; ""' AND "&amp;"Col1 &lt;= DATE '"" &amp; TEXT($C$3, ""YYYY-MM-DD"") &amp; ""' LABEL SUM(Col11) ''"", 0), """")"),"#REF!")</f>
        <v>#REF!</v>
      </c>
      <c r="F18" s="13" t="str">
        <f t="shared" si="2"/>
        <v>#N/A</v>
      </c>
    </row>
    <row r="19" ht="15.75" customHeight="1">
      <c r="A19" s="1"/>
      <c r="B19" s="1"/>
      <c r="C19" s="13" t="str">
        <f>July_2025!F19</f>
        <v>#N/A</v>
      </c>
      <c r="D19" s="13" t="str">
        <f>IFERROR(__xludf.DUMMYFUNCTION("IFNA(QUERY(IMPORTRANGE(""https://docs.google.com/spreadsheets/d/1EHL-jm_NiShR1a2JqKbpaJGazYH90DJO150spY6io4k/edit?gid=0#gid=0"", 
""Gen_Ledger!A:N""), 
""SELECT SUM(Col10) WHERE Col7 = ""&amp;B19&amp;"" AND Col1 &gt;= DATE '"" &amp; TEXT($C$2, ""YYYY-MM-DD"") &amp; ""' AND "&amp;"Col1 &lt;= DATE '"" &amp; TEXT($C$3, ""YYYY-MM-DD"") &amp; ""' LABEL SUM(Col10) ''"", 0), """")"),"#REF!")</f>
        <v>#REF!</v>
      </c>
      <c r="E19" s="13" t="str">
        <f>IFERROR(__xludf.DUMMYFUNCTION("IFNA(QUERY(IMPORTRANGE(""https://docs.google.com/spreadsheets/d/1EHL-jm_NiShR1a2JqKbpaJGazYH90DJO150spY6io4k/edit?gid=0#gid=0"", 
""Gen_Ledger!A:N""), 
""SELECT SUM(Col11) WHERE Col7 = ""&amp;B19&amp;"" AND Col1 &gt;= DATE '"" &amp; TEXT($C$2, ""YYYY-MM-DD"") &amp; ""' AND "&amp;"Col1 &lt;= DATE '"" &amp; TEXT($C$3, ""YYYY-MM-DD"") &amp; ""' LABEL SUM(Col11) ''"", 0), """")"),"#REF!")</f>
        <v>#REF!</v>
      </c>
      <c r="F19" s="13" t="str">
        <f t="shared" si="2"/>
        <v>#N/A</v>
      </c>
    </row>
    <row r="20" ht="15.75" customHeight="1">
      <c r="A20" s="1"/>
      <c r="B20" s="1"/>
      <c r="C20" s="13" t="str">
        <f>July_2025!F20</f>
        <v>#N/A</v>
      </c>
      <c r="D20" s="13" t="str">
        <f>IFERROR(__xludf.DUMMYFUNCTION("IFNA(QUERY(IMPORTRANGE(""https://docs.google.com/spreadsheets/d/1EHL-jm_NiShR1a2JqKbpaJGazYH90DJO150spY6io4k/edit?gid=0#gid=0"", 
""Gen_Ledger!A:N""), 
""SELECT SUM(Col10) WHERE Col7 = ""&amp;B20&amp;"" AND Col1 &gt;= DATE '"" &amp; TEXT($C$2, ""YYYY-MM-DD"") &amp; ""' AND "&amp;"Col1 &lt;= DATE '"" &amp; TEXT($C$3, ""YYYY-MM-DD"") &amp; ""' LABEL SUM(Col10) ''"", 0), """")"),"#REF!")</f>
        <v>#REF!</v>
      </c>
      <c r="E20" s="13" t="str">
        <f>IFERROR(__xludf.DUMMYFUNCTION("IFNA(QUERY(IMPORTRANGE(""https://docs.google.com/spreadsheets/d/1EHL-jm_NiShR1a2JqKbpaJGazYH90DJO150spY6io4k/edit?gid=0#gid=0"", 
""Gen_Ledger!A:N""), 
""SELECT SUM(Col11) WHERE Col7 = ""&amp;B20&amp;"" AND Col1 &gt;= DATE '"" &amp; TEXT($C$2, ""YYYY-MM-DD"") &amp; ""' AND "&amp;"Col1 &lt;= DATE '"" &amp; TEXT($C$3, ""YYYY-MM-DD"") &amp; ""' LABEL SUM(Col11) ''"", 0), """")"),"#REF!")</f>
        <v>#REF!</v>
      </c>
      <c r="F20" s="13" t="str">
        <f t="shared" si="2"/>
        <v>#N/A</v>
      </c>
    </row>
    <row r="21" ht="15.75" customHeight="1">
      <c r="A21" s="1"/>
      <c r="B21" s="1"/>
      <c r="C21" s="13" t="str">
        <f>July_2025!F21</f>
        <v>#N/A</v>
      </c>
      <c r="D21" s="13" t="str">
        <f>IFERROR(__xludf.DUMMYFUNCTION("IFNA(QUERY(IMPORTRANGE(""https://docs.google.com/spreadsheets/d/1EHL-jm_NiShR1a2JqKbpaJGazYH90DJO150spY6io4k/edit?gid=0#gid=0"", 
""Gen_Ledger!A:N""), 
""SELECT SUM(Col10) WHERE Col7 = ""&amp;B21&amp;"" AND Col1 &gt;= DATE '"" &amp; TEXT($C$2, ""YYYY-MM-DD"") &amp; ""' AND "&amp;"Col1 &lt;= DATE '"" &amp; TEXT($C$3, ""YYYY-MM-DD"") &amp; ""' LABEL SUM(Col10) ''"", 0), """")"),"#REF!")</f>
        <v>#REF!</v>
      </c>
      <c r="E21" s="13" t="str">
        <f>IFERROR(__xludf.DUMMYFUNCTION("IFNA(QUERY(IMPORTRANGE(""https://docs.google.com/spreadsheets/d/1EHL-jm_NiShR1a2JqKbpaJGazYH90DJO150spY6io4k/edit?gid=0#gid=0"", 
""Gen_Ledger!A:N""), 
""SELECT SUM(Col11) WHERE Col7 = ""&amp;B21&amp;"" AND Col1 &gt;= DATE '"" &amp; TEXT($C$2, ""YYYY-MM-DD"") &amp; ""' AND "&amp;"Col1 &lt;= DATE '"" &amp; TEXT($C$3, ""YYYY-MM-DD"") &amp; ""' LABEL SUM(Col11) ''"", 0), """")"),"#REF!")</f>
        <v>#REF!</v>
      </c>
      <c r="F21" s="13" t="str">
        <f t="shared" si="2"/>
        <v>#N/A</v>
      </c>
      <c r="M21" s="12"/>
    </row>
    <row r="22" ht="15.75" customHeight="1">
      <c r="A22" s="1"/>
      <c r="B22" s="1"/>
      <c r="C22" s="13" t="str">
        <f>July_2025!F22</f>
        <v>#N/A</v>
      </c>
      <c r="D22" s="13" t="str">
        <f>IFERROR(__xludf.DUMMYFUNCTION("IFNA(QUERY(IMPORTRANGE(""https://docs.google.com/spreadsheets/d/1EHL-jm_NiShR1a2JqKbpaJGazYH90DJO150spY6io4k/edit?gid=0#gid=0"", 
""Gen_Ledger!A:N""), 
""SELECT SUM(Col10) WHERE Col7 = ""&amp;B22&amp;"" AND Col1 &gt;= DATE '"" &amp; TEXT($C$2, ""YYYY-MM-DD"") &amp; ""' AND "&amp;"Col1 &lt;= DATE '"" &amp; TEXT($C$3, ""YYYY-MM-DD"") &amp; ""' LABEL SUM(Col10) ''"", 0), """")"),"#REF!")</f>
        <v>#REF!</v>
      </c>
      <c r="E22" s="13" t="str">
        <f>IFERROR(__xludf.DUMMYFUNCTION("IFNA(QUERY(IMPORTRANGE(""https://docs.google.com/spreadsheets/d/1EHL-jm_NiShR1a2JqKbpaJGazYH90DJO150spY6io4k/edit?gid=0#gid=0"", 
""Gen_Ledger!A:N""), 
""SELECT SUM(Col11) WHERE Col7 = ""&amp;B22&amp;"" AND Col1 &gt;= DATE '"" &amp; TEXT($C$2, ""YYYY-MM-DD"") &amp; ""' AND "&amp;"Col1 &lt;= DATE '"" &amp; TEXT($C$3, ""YYYY-MM-DD"") &amp; ""' LABEL SUM(Col11) ''"", 0), """")"),"#REF!")</f>
        <v>#REF!</v>
      </c>
      <c r="F22" s="13" t="str">
        <f t="shared" ref="F22:F25" si="3">C22+E22</f>
        <v>#N/A</v>
      </c>
      <c r="M22" s="12"/>
    </row>
    <row r="23" ht="15.75" customHeight="1">
      <c r="A23" s="1"/>
      <c r="B23" s="1"/>
      <c r="C23" s="13" t="str">
        <f>July_2025!F23</f>
        <v>#N/A</v>
      </c>
      <c r="D23" s="13" t="str">
        <f>IFERROR(__xludf.DUMMYFUNCTION("IFNA(QUERY(IMPORTRANGE(""https://docs.google.com/spreadsheets/d/1EHL-jm_NiShR1a2JqKbpaJGazYH90DJO150spY6io4k/edit?gid=0#gid=0"", 
""Gen_Ledger!A:N""), 
""SELECT SUM(Col10) WHERE Col7 = ""&amp;B23&amp;"" AND Col1 &gt;= DATE '"" &amp; TEXT($C$2, ""YYYY-MM-DD"") &amp; ""' AND "&amp;"Col1 &lt;= DATE '"" &amp; TEXT($C$3, ""YYYY-MM-DD"") &amp; ""' LABEL SUM(Col10) ''"", 0), """")"),"#REF!")</f>
        <v>#REF!</v>
      </c>
      <c r="E23" s="13" t="str">
        <f>IFERROR(__xludf.DUMMYFUNCTION("IFNA(QUERY(IMPORTRANGE(""https://docs.google.com/spreadsheets/d/1EHL-jm_NiShR1a2JqKbpaJGazYH90DJO150spY6io4k/edit?gid=0#gid=0"", 
""Gen_Ledger!A:N""), 
""SELECT SUM(Col11) WHERE Col7 = ""&amp;B23&amp;"" AND Col1 &gt;= DATE '"" &amp; TEXT($C$2, ""YYYY-MM-DD"") &amp; ""' AND "&amp;"Col1 &lt;= DATE '"" &amp; TEXT($C$3, ""YYYY-MM-DD"") &amp; ""' LABEL SUM(Col11) ''"", 0), """")"),"#REF!")</f>
        <v>#REF!</v>
      </c>
      <c r="F23" s="13" t="str">
        <f t="shared" si="3"/>
        <v>#N/A</v>
      </c>
      <c r="M23" s="12"/>
    </row>
    <row r="24" ht="15.75" customHeight="1">
      <c r="A24" s="1"/>
      <c r="B24" s="1"/>
      <c r="C24" s="13" t="str">
        <f>July_2025!F24</f>
        <v>#N/A</v>
      </c>
      <c r="D24" s="13" t="str">
        <f>IFERROR(__xludf.DUMMYFUNCTION("IFNA(QUERY(IMPORTRANGE(""https://docs.google.com/spreadsheets/d/1EHL-jm_NiShR1a2JqKbpaJGazYH90DJO150spY6io4k/edit?gid=0#gid=0"", 
""Gen_Ledger!A:N""), 
""SELECT SUM(Col10) WHERE Col7 = ""&amp;B24&amp;"" AND Col1 &gt;= DATE '"" &amp; TEXT($C$2, ""YYYY-MM-DD"") &amp; ""' AND "&amp;"Col1 &lt;= DATE '"" &amp; TEXT($C$3, ""YYYY-MM-DD"") &amp; ""' LABEL SUM(Col10) ''"", 0), """")"),"#REF!")</f>
        <v>#REF!</v>
      </c>
      <c r="E24" s="13" t="str">
        <f>IFERROR(__xludf.DUMMYFUNCTION("IFNA(QUERY(IMPORTRANGE(""https://docs.google.com/spreadsheets/d/1EHL-jm_NiShR1a2JqKbpaJGazYH90DJO150spY6io4k/edit?gid=0#gid=0"", 
""Gen_Ledger!A:N""), 
""SELECT SUM(Col11) WHERE Col7 = ""&amp;B24&amp;"" AND Col1 &gt;= DATE '"" &amp; TEXT($C$2, ""YYYY-MM-DD"") &amp; ""' AND "&amp;"Col1 &lt;= DATE '"" &amp; TEXT($C$3, ""YYYY-MM-DD"") &amp; ""' LABEL SUM(Col11) ''"", 0), """")"),"#REF!")</f>
        <v>#REF!</v>
      </c>
      <c r="F24" s="13" t="str">
        <f t="shared" si="3"/>
        <v>#N/A</v>
      </c>
      <c r="M24" s="12"/>
    </row>
    <row r="25" ht="15.75" customHeight="1">
      <c r="A25" s="1"/>
      <c r="B25" s="1"/>
      <c r="C25" s="13" t="str">
        <f>July_2025!F25</f>
        <v>#N/A</v>
      </c>
      <c r="D25" s="13" t="str">
        <f>IFERROR(__xludf.DUMMYFUNCTION("IFNA(QUERY(IMPORTRANGE(""https://docs.google.com/spreadsheets/d/1EHL-jm_NiShR1a2JqKbpaJGazYH90DJO150spY6io4k/edit?gid=0#gid=0"", 
""Gen_Ledger!A:N""), 
""SELECT SUM(Col10) WHERE Col7 = ""&amp;B25&amp;"" AND Col1 &gt;= DATE '"" &amp; TEXT($C$2, ""YYYY-MM-DD"") &amp; ""' AND "&amp;"Col1 &lt;= DATE '"" &amp; TEXT($C$3, ""YYYY-MM-DD"") &amp; ""' LABEL SUM(Col10) ''"", 0), """")"),"#REF!")</f>
        <v>#REF!</v>
      </c>
      <c r="E25" s="13" t="str">
        <f>IFERROR(__xludf.DUMMYFUNCTION("IFNA(QUERY(IMPORTRANGE(""https://docs.google.com/spreadsheets/d/1EHL-jm_NiShR1a2JqKbpaJGazYH90DJO150spY6io4k/edit?gid=0#gid=0"", 
""Gen_Ledger!A:N""), 
""SELECT SUM(Col11) WHERE Col7 = ""&amp;B25&amp;"" AND Col1 &gt;= DATE '"" &amp; TEXT($C$2, ""YYYY-MM-DD"") &amp; ""' AND "&amp;"Col1 &lt;= DATE '"" &amp; TEXT($C$3, ""YYYY-MM-DD"") &amp; ""' LABEL SUM(Col11) ''"", 0), """")"),"#REF!")</f>
        <v>#REF!</v>
      </c>
      <c r="F25" s="13" t="str">
        <f t="shared" si="3"/>
        <v>#N/A</v>
      </c>
    </row>
    <row r="26" ht="15.75" customHeight="1">
      <c r="A26" s="1"/>
      <c r="B26" s="1"/>
      <c r="C26" s="13" t="str">
        <f>July_2025!F26</f>
        <v>#N/A</v>
      </c>
      <c r="D26" s="13" t="str">
        <f>IFERROR(__xludf.DUMMYFUNCTION("IFNA(QUERY(IMPORTRANGE(""https://docs.google.com/spreadsheets/d/1EHL-jm_NiShR1a2JqKbpaJGazYH90DJO150spY6io4k/edit?gid=0#gid=0"", 
""Gen_Ledger!A:N""), 
""SELECT SUM(Col10) WHERE Col7 = ""&amp;B26&amp;"" AND Col1 &gt;= DATE '"" &amp; TEXT($C$2, ""YYYY-MM-DD"") &amp; ""' AND "&amp;"Col1 &lt;= DATE '"" &amp; TEXT($C$3, ""YYYY-MM-DD"") &amp; ""' LABEL SUM(Col10) ''"", 0), """")"),"#REF!")</f>
        <v>#REF!</v>
      </c>
      <c r="E26" s="13" t="str">
        <f>IFERROR(__xludf.DUMMYFUNCTION("IFNA(QUERY(IMPORTRANGE(""https://docs.google.com/spreadsheets/d/1EHL-jm_NiShR1a2JqKbpaJGazYH90DJO150spY6io4k/edit?gid=0#gid=0"", 
""Gen_Ledger!A:N""), 
""SELECT SUM(Col11) WHERE Col7 = ""&amp;B26&amp;"" AND Col1 &gt;= DATE '"" &amp; TEXT($C$2, ""YYYY-MM-DD"") &amp; ""' AND "&amp;"Col1 &lt;= DATE '"" &amp; TEXT($C$3, ""YYYY-MM-DD"") &amp; ""' LABEL SUM(Col11) ''"", 0), """")"),"#REF!")</f>
        <v>#REF!</v>
      </c>
      <c r="F26" s="13" t="str">
        <f t="shared" ref="F26:F36" si="4">C26+E26-D26</f>
        <v>#N/A</v>
      </c>
    </row>
    <row r="27" ht="15.75" customHeight="1">
      <c r="A27" s="1"/>
      <c r="B27" s="1"/>
      <c r="C27" s="13" t="str">
        <f>July_2025!F27</f>
        <v>#N/A</v>
      </c>
      <c r="D27" s="13" t="str">
        <f>IFERROR(__xludf.DUMMYFUNCTION("IFNA(QUERY(IMPORTRANGE(""https://docs.google.com/spreadsheets/d/1EHL-jm_NiShR1a2JqKbpaJGazYH90DJO150spY6io4k/edit?gid=0#gid=0"", 
""Gen_Ledger!A:N""), 
""SELECT SUM(Col10) WHERE Col7 = ""&amp;B27&amp;"" AND Col1 &gt;= DATE '"" &amp; TEXT($C$2, ""YYYY-MM-DD"") &amp; ""' AND "&amp;"Col1 &lt;= DATE '"" &amp; TEXT($C$3, ""YYYY-MM-DD"") &amp; ""' LABEL SUM(Col10) ''"", 0), """")"),"#REF!")</f>
        <v>#REF!</v>
      </c>
      <c r="E27" s="13" t="str">
        <f>IFERROR(__xludf.DUMMYFUNCTION("IFNA(QUERY(IMPORTRANGE(""https://docs.google.com/spreadsheets/d/1EHL-jm_NiShR1a2JqKbpaJGazYH90DJO150spY6io4k/edit?gid=0#gid=0"", 
""Gen_Ledger!A:N""), 
""SELECT SUM(Col11) WHERE Col7 = ""&amp;B27&amp;"" AND Col1 &gt;= DATE '"" &amp; TEXT($C$2, ""YYYY-MM-DD"") &amp; ""' AND "&amp;"Col1 &lt;= DATE '"" &amp; TEXT($C$3, ""YYYY-MM-DD"") &amp; ""' LABEL SUM(Col11) ''"", 0), """")"),"#REF!")</f>
        <v>#REF!</v>
      </c>
      <c r="F27" s="13" t="str">
        <f t="shared" si="4"/>
        <v>#N/A</v>
      </c>
    </row>
    <row r="28" ht="15.75" customHeight="1">
      <c r="A28" s="1"/>
      <c r="B28" s="1"/>
      <c r="C28" s="13" t="str">
        <f>July_2025!F28</f>
        <v>#N/A</v>
      </c>
      <c r="D28" s="13" t="str">
        <f>IFERROR(__xludf.DUMMYFUNCTION("IFNA(QUERY(IMPORTRANGE(""https://docs.google.com/spreadsheets/d/1EHL-jm_NiShR1a2JqKbpaJGazYH90DJO150spY6io4k/edit?gid=0#gid=0"", 
""Gen_Ledger!A:N""), 
""SELECT SUM(Col10) WHERE Col7 = ""&amp;B28&amp;"" AND Col1 &gt;= DATE '"" &amp; TEXT($C$2, ""YYYY-MM-DD"") &amp; ""' AND "&amp;"Col1 &lt;= DATE '"" &amp; TEXT($C$3, ""YYYY-MM-DD"") &amp; ""' LABEL SUM(Col10) ''"", 0), """")"),"#REF!")</f>
        <v>#REF!</v>
      </c>
      <c r="E28" s="13" t="str">
        <f>IFERROR(__xludf.DUMMYFUNCTION("IFNA(QUERY(IMPORTRANGE(""https://docs.google.com/spreadsheets/d/1EHL-jm_NiShR1a2JqKbpaJGazYH90DJO150spY6io4k/edit?gid=0#gid=0"", 
""Gen_Ledger!A:N""), 
""SELECT SUM(Col11) WHERE Col7 = ""&amp;B28&amp;"" AND Col1 &gt;= DATE '"" &amp; TEXT($C$2, ""YYYY-MM-DD"") &amp; ""' AND "&amp;"Col1 &lt;= DATE '"" &amp; TEXT($C$3, ""YYYY-MM-DD"") &amp; ""' LABEL SUM(Col11) ''"", 0), """")"),"#REF!")</f>
        <v>#REF!</v>
      </c>
      <c r="F28" s="13" t="str">
        <f t="shared" si="4"/>
        <v>#N/A</v>
      </c>
    </row>
    <row r="29" ht="15.75" customHeight="1">
      <c r="A29" s="1"/>
      <c r="B29" s="1"/>
      <c r="C29" s="13" t="str">
        <f>July_2025!F29</f>
        <v>#N/A</v>
      </c>
      <c r="D29" s="13" t="str">
        <f>IFERROR(__xludf.DUMMYFUNCTION("IFNA(QUERY(IMPORTRANGE(""https://docs.google.com/spreadsheets/d/1EHL-jm_NiShR1a2JqKbpaJGazYH90DJO150spY6io4k/edit?gid=0#gid=0"", 
""Gen_Ledger!A:N""), 
""SELECT SUM(Col10) WHERE Col7 = ""&amp;B29&amp;"" AND Col1 &gt;= DATE '"" &amp; TEXT($C$2, ""YYYY-MM-DD"") &amp; ""' AND "&amp;"Col1 &lt;= DATE '"" &amp; TEXT($C$3, ""YYYY-MM-DD"") &amp; ""' LABEL SUM(Col10) ''"", 0), """")"),"#REF!")</f>
        <v>#REF!</v>
      </c>
      <c r="E29" s="13" t="str">
        <f>IFERROR(__xludf.DUMMYFUNCTION("IFNA(QUERY(IMPORTRANGE(""https://docs.google.com/spreadsheets/d/1EHL-jm_NiShR1a2JqKbpaJGazYH90DJO150spY6io4k/edit?gid=0#gid=0"", 
""Gen_Ledger!A:N""), 
""SELECT SUM(Col11) WHERE Col7 = ""&amp;B29&amp;"" AND Col1 &gt;= DATE '"" &amp; TEXT($C$2, ""YYYY-MM-DD"") &amp; ""' AND "&amp;"Col1 &lt;= DATE '"" &amp; TEXT($C$3, ""YYYY-MM-DD"") &amp; ""' LABEL SUM(Col11) ''"", 0), """")"),"#REF!")</f>
        <v>#REF!</v>
      </c>
      <c r="F29" s="13" t="str">
        <f t="shared" si="4"/>
        <v>#N/A</v>
      </c>
    </row>
    <row r="30" ht="15.75" customHeight="1">
      <c r="A30" s="1"/>
      <c r="B30" s="1"/>
      <c r="C30" s="13" t="str">
        <f>July_2025!F30</f>
        <v>#N/A</v>
      </c>
      <c r="D30" s="13" t="str">
        <f>IFERROR(__xludf.DUMMYFUNCTION("IFNA(QUERY(IMPORTRANGE(""https://docs.google.com/spreadsheets/d/1EHL-jm_NiShR1a2JqKbpaJGazYH90DJO150spY6io4k/edit?gid=0#gid=0"", 
""Gen_Ledger!A:N""), 
""SELECT SUM(Col10) WHERE Col7 = ""&amp;B30&amp;"" AND Col1 &gt;= DATE '"" &amp; TEXT($C$2, ""YYYY-MM-DD"") &amp; ""' AND "&amp;"Col1 &lt;= DATE '"" &amp; TEXT($C$3, ""YYYY-MM-DD"") &amp; ""' LABEL SUM(Col10) ''"", 0), """")"),"#REF!")</f>
        <v>#REF!</v>
      </c>
      <c r="E30" s="13" t="str">
        <f>IFERROR(__xludf.DUMMYFUNCTION("IFNA(QUERY(IMPORTRANGE(""https://docs.google.com/spreadsheets/d/1EHL-jm_NiShR1a2JqKbpaJGazYH90DJO150spY6io4k/edit?gid=0#gid=0"", 
""Gen_Ledger!A:N""), 
""SELECT SUM(Col11) WHERE Col7 = ""&amp;B30&amp;"" AND Col1 &gt;= DATE '"" &amp; TEXT($C$2, ""YYYY-MM-DD"") &amp; ""' AND "&amp;"Col1 &lt;= DATE '"" &amp; TEXT($C$3, ""YYYY-MM-DD"") &amp; ""' LABEL SUM(Col11) ''"", 0), """")"),"#REF!")</f>
        <v>#REF!</v>
      </c>
      <c r="F30" s="13" t="str">
        <f t="shared" si="4"/>
        <v>#N/A</v>
      </c>
    </row>
    <row r="31" ht="15.75" customHeight="1">
      <c r="A31" s="1"/>
      <c r="B31" s="1"/>
      <c r="C31" s="13" t="str">
        <f>July_2025!F31</f>
        <v>#N/A</v>
      </c>
      <c r="D31" s="13" t="str">
        <f>IFERROR(__xludf.DUMMYFUNCTION("IFNA(QUERY(IMPORTRANGE(""https://docs.google.com/spreadsheets/d/1EHL-jm_NiShR1a2JqKbpaJGazYH90DJO150spY6io4k/edit?gid=0#gid=0"", 
""Gen_Ledger!A:N""), 
""SELECT SUM(Col10) WHERE Col7 = ""&amp;B31&amp;"" AND Col1 &gt;= DATE '"" &amp; TEXT($C$2, ""YYYY-MM-DD"") &amp; ""' AND "&amp;"Col1 &lt;= DATE '"" &amp; TEXT($C$3, ""YYYY-MM-DD"") &amp; ""' LABEL SUM(Col10) ''"", 0), """")"),"#REF!")</f>
        <v>#REF!</v>
      </c>
      <c r="E31" s="13" t="str">
        <f>IFERROR(__xludf.DUMMYFUNCTION("IFNA(QUERY(IMPORTRANGE(""https://docs.google.com/spreadsheets/d/1EHL-jm_NiShR1a2JqKbpaJGazYH90DJO150spY6io4k/edit?gid=0#gid=0"", 
""Gen_Ledger!A:N""), 
""SELECT SUM(Col11) WHERE Col7 = ""&amp;B31&amp;"" AND Col1 &gt;= DATE '"" &amp; TEXT($C$2, ""YYYY-MM-DD"") &amp; ""' AND "&amp;"Col1 &lt;= DATE '"" &amp; TEXT($C$3, ""YYYY-MM-DD"") &amp; ""' LABEL SUM(Col11) ''"", 0), """")"),"#REF!")</f>
        <v>#REF!</v>
      </c>
      <c r="F31" s="13" t="str">
        <f t="shared" si="4"/>
        <v>#N/A</v>
      </c>
    </row>
    <row r="32" ht="15.75" customHeight="1">
      <c r="A32" s="1"/>
      <c r="B32" s="1"/>
      <c r="C32" s="13" t="str">
        <f>July_2025!F32</f>
        <v>#N/A</v>
      </c>
      <c r="D32" s="13" t="str">
        <f>IFERROR(__xludf.DUMMYFUNCTION("IFNA(QUERY(IMPORTRANGE(""https://docs.google.com/spreadsheets/d/1EHL-jm_NiShR1a2JqKbpaJGazYH90DJO150spY6io4k/edit?gid=0#gid=0"", 
""Gen_Ledger!A:N""), 
""SELECT SUM(Col10) WHERE Col7 = ""&amp;B32&amp;"" AND Col1 &gt;= DATE '"" &amp; TEXT($C$2, ""YYYY-MM-DD"") &amp; ""' AND "&amp;"Col1 &lt;= DATE '"" &amp; TEXT($C$3, ""YYYY-MM-DD"") &amp; ""' LABEL SUM(Col10) ''"", 0), """")"),"#REF!")</f>
        <v>#REF!</v>
      </c>
      <c r="E32" s="13" t="str">
        <f>IFERROR(__xludf.DUMMYFUNCTION("IFNA(QUERY(IMPORTRANGE(""https://docs.google.com/spreadsheets/d/1EHL-jm_NiShR1a2JqKbpaJGazYH90DJO150spY6io4k/edit?gid=0#gid=0"", 
""Gen_Ledger!A:N""), 
""SELECT SUM(Col11) WHERE Col7 = ""&amp;B32&amp;"" AND Col1 &gt;= DATE '"" &amp; TEXT($C$2, ""YYYY-MM-DD"") &amp; ""' AND "&amp;"Col1 &lt;= DATE '"" &amp; TEXT($C$3, ""YYYY-MM-DD"") &amp; ""' LABEL SUM(Col11) ''"", 0), """")"),"#REF!")</f>
        <v>#REF!</v>
      </c>
      <c r="F32" s="13" t="str">
        <f t="shared" si="4"/>
        <v>#N/A</v>
      </c>
    </row>
    <row r="33" ht="15.75" customHeight="1">
      <c r="A33" s="1"/>
      <c r="B33" s="1"/>
      <c r="C33" s="13" t="str">
        <f>July_2025!F33</f>
        <v>#N/A</v>
      </c>
      <c r="D33" s="13" t="str">
        <f>IFERROR(__xludf.DUMMYFUNCTION("IFNA(QUERY(IMPORTRANGE(""https://docs.google.com/spreadsheets/d/1EHL-jm_NiShR1a2JqKbpaJGazYH90DJO150spY6io4k/edit?gid=0#gid=0"", 
""Gen_Ledger!A:N""), 
""SELECT SUM(Col10) WHERE Col7 = ""&amp;B33&amp;"" AND Col1 &gt;= DATE '"" &amp; TEXT($C$2, ""YYYY-MM-DD"") &amp; ""' AND "&amp;"Col1 &lt;= DATE '"" &amp; TEXT($C$3, ""YYYY-MM-DD"") &amp; ""' LABEL SUM(Col10) ''"", 0), """")"),"#REF!")</f>
        <v>#REF!</v>
      </c>
      <c r="E33" s="13" t="str">
        <f>IFERROR(__xludf.DUMMYFUNCTION("IFNA(QUERY(IMPORTRANGE(""https://docs.google.com/spreadsheets/d/1EHL-jm_NiShR1a2JqKbpaJGazYH90DJO150spY6io4k/edit?gid=0#gid=0"", 
""Gen_Ledger!A:N""), 
""SELECT SUM(Col11) WHERE Col7 = ""&amp;B33&amp;"" AND Col1 &gt;= DATE '"" &amp; TEXT($C$2, ""YYYY-MM-DD"") &amp; ""' AND "&amp;"Col1 &lt;= DATE '"" &amp; TEXT($C$3, ""YYYY-MM-DD"") &amp; ""' LABEL SUM(Col11) ''"", 0), """")"),"#REF!")</f>
        <v>#REF!</v>
      </c>
      <c r="F33" s="13" t="str">
        <f t="shared" si="4"/>
        <v>#N/A</v>
      </c>
    </row>
    <row r="34" ht="15.75" customHeight="1">
      <c r="A34" s="1"/>
      <c r="B34" s="1"/>
      <c r="C34" s="13" t="str">
        <f>July_2025!F34</f>
        <v>#N/A</v>
      </c>
      <c r="D34" s="13" t="str">
        <f>IFERROR(__xludf.DUMMYFUNCTION("IFNA(QUERY(IMPORTRANGE(""https://docs.google.com/spreadsheets/d/1EHL-jm_NiShR1a2JqKbpaJGazYH90DJO150spY6io4k/edit?gid=0#gid=0"", 
""Gen_Ledger!A:N""), 
""SELECT SUM(Col10) WHERE Col7 = ""&amp;B34&amp;"" AND Col1 &gt;= DATE '"" &amp; TEXT($C$2, ""YYYY-MM-DD"") &amp; ""' AND "&amp;"Col1 &lt;= DATE '"" &amp; TEXT($C$3, ""YYYY-MM-DD"") &amp; ""' LABEL SUM(Col10) ''"", 0), """")"),"#REF!")</f>
        <v>#REF!</v>
      </c>
      <c r="E34" s="13" t="str">
        <f>IFERROR(__xludf.DUMMYFUNCTION("IFNA(QUERY(IMPORTRANGE(""https://docs.google.com/spreadsheets/d/1EHL-jm_NiShR1a2JqKbpaJGazYH90DJO150spY6io4k/edit?gid=0#gid=0"", 
""Gen_Ledger!A:N""), 
""SELECT SUM(Col11) WHERE Col7 = ""&amp;B34&amp;"" AND Col1 &gt;= DATE '"" &amp; TEXT($C$2, ""YYYY-MM-DD"") &amp; ""' AND "&amp;"Col1 &lt;= DATE '"" &amp; TEXT($C$3, ""YYYY-MM-DD"") &amp; ""' LABEL SUM(Col11) ''"", 0), """")"),"#REF!")</f>
        <v>#REF!</v>
      </c>
      <c r="F34" s="13" t="str">
        <f t="shared" si="4"/>
        <v>#N/A</v>
      </c>
    </row>
    <row r="35" ht="15.75" customHeight="1">
      <c r="A35" s="1"/>
      <c r="B35" s="1"/>
      <c r="C35" s="13" t="str">
        <f>July_2025!F35</f>
        <v>#N/A</v>
      </c>
      <c r="D35" s="13" t="str">
        <f>IFERROR(__xludf.DUMMYFUNCTION("IFNA(QUERY(IMPORTRANGE(""https://docs.google.com/spreadsheets/d/1EHL-jm_NiShR1a2JqKbpaJGazYH90DJO150spY6io4k/edit?gid=0#gid=0"", 
""Gen_Ledger!A:N""), 
""SELECT SUM(Col10) WHERE Col7 = ""&amp;B35&amp;"" AND Col1 &gt;= DATE '"" &amp; TEXT($C$2, ""YYYY-MM-DD"") &amp; ""' AND "&amp;"Col1 &lt;= DATE '"" &amp; TEXT($C$3, ""YYYY-MM-DD"") &amp; ""' LABEL SUM(Col10) ''"", 0), """")"),"#REF!")</f>
        <v>#REF!</v>
      </c>
      <c r="E35" s="13" t="str">
        <f>IFERROR(__xludf.DUMMYFUNCTION("IFNA(QUERY(IMPORTRANGE(""https://docs.google.com/spreadsheets/d/1EHL-jm_NiShR1a2JqKbpaJGazYH90DJO150spY6io4k/edit?gid=0#gid=0"", 
""Gen_Ledger!A:N""), 
""SELECT SUM(Col11) WHERE Col7 = ""&amp;B35&amp;"" AND Col1 &gt;= DATE '"" &amp; TEXT($C$2, ""YYYY-MM-DD"") &amp; ""' AND "&amp;"Col1 &lt;= DATE '"" &amp; TEXT($C$3, ""YYYY-MM-DD"") &amp; ""' LABEL SUM(Col11) ''"", 0), """")"),"#REF!")</f>
        <v>#REF!</v>
      </c>
      <c r="F35" s="13" t="str">
        <f t="shared" si="4"/>
        <v>#N/A</v>
      </c>
    </row>
    <row r="36" ht="15.75" customHeight="1">
      <c r="A36" s="1"/>
      <c r="B36" s="1"/>
      <c r="C36" s="2" t="str">
        <f>VLOOKUP(B36,Helper!$D$99:$F1000,3,FALSE)</f>
        <v>#N/A</v>
      </c>
      <c r="D36" s="13" t="str">
        <f>IFERROR(__xludf.DUMMYFUNCTION("IFNA(QUERY(IMPORTRANGE(""https://docs.google.com/spreadsheets/d/1EHL-jm_NiShR1a2JqKbpaJGazYH90DJO150spY6io4k/edit?gid=0#gid=0"", 
""Gen_Ledger!A:N""), 
""SELECT SUM(Col10) WHERE Col7 = ""&amp;B36&amp;"" AND Col1 &gt;= DATE '"" &amp; TEXT($C$2, ""YYYY-MM-DD"") &amp; ""' AND "&amp;"Col1 &lt;= DATE '"" &amp; TEXT($C$3, ""YYYY-MM-DD"") &amp; ""' LABEL SUM(Col10) ''"", 0), """")"),"#REF!")</f>
        <v>#REF!</v>
      </c>
      <c r="E36" s="13" t="str">
        <f>IFERROR(__xludf.DUMMYFUNCTION("IFNA(QUERY(IMPORTRANGE(""https://docs.google.com/spreadsheets/d/1EHL-jm_NiShR1a2JqKbpaJGazYH90DJO150spY6io4k/edit?gid=0#gid=0"", 
""Gen_Ledger!A:N""), 
""SELECT SUM(Col11) WHERE Col7 = ""&amp;B36&amp;"" AND Col1 &gt;= DATE '"" &amp; TEXT($C$2, ""YYYY-MM-DD"") &amp; ""' AND "&amp;"Col1 &lt;= DATE '"" &amp; TEXT($C$3, ""YYYY-MM-DD"") &amp; ""' LABEL SUM(Col11) ''"", 0), """")"),"#REF!")</f>
        <v>#REF!</v>
      </c>
      <c r="F36" s="13" t="str">
        <f t="shared" si="4"/>
        <v>#N/A</v>
      </c>
    </row>
    <row r="37" ht="15.75" customHeight="1">
      <c r="A37" s="1"/>
      <c r="B37" s="1"/>
      <c r="C37" s="2" t="str">
        <f>VLOOKUP(B37,Helper!$D$99:$F1000,3,FALSE)</f>
        <v>#N/A</v>
      </c>
      <c r="D37" s="13" t="str">
        <f>IFERROR(__xludf.DUMMYFUNCTION("IFNA(QUERY(IMPORTRANGE(""https://docs.google.com/spreadsheets/d/1EHL-jm_NiShR1a2JqKbpaJGazYH90DJO150spY6io4k/edit?gid=0#gid=0"", 
""Gen_Ledger!A:N""), 
""SELECT SUM(Col10) WHERE Col7 = ""&amp;B37&amp;"" AND Col1 &gt;= DATE '"" &amp; TEXT($C$2, ""YYYY-MM-DD"") &amp; ""' AND "&amp;"Col1 &lt;= DATE '"" &amp; TEXT($C$3, ""YYYY-MM-DD"") &amp; ""' LABEL SUM(Col10) ''"", 0), """")"),"#REF!")</f>
        <v>#REF!</v>
      </c>
      <c r="E37" s="13" t="str">
        <f>IFERROR(__xludf.DUMMYFUNCTION("IFNA(QUERY(IMPORTRANGE(""https://docs.google.com/spreadsheets/d/1EHL-jm_NiShR1a2JqKbpaJGazYH90DJO150spY6io4k/edit?gid=0#gid=0"", 
""Gen_Ledger!A:N""), 
""SELECT SUM(Col11) WHERE Col7 = ""&amp;B37&amp;"" AND Col1 &gt;= DATE '"" &amp; TEXT($C$2, ""YYYY-MM-DD"") &amp; ""' AND "&amp;"Col1 &lt;= DATE '"" &amp; TEXT($C$3, ""YYYY-MM-DD"") &amp; ""' LABEL SUM(Col11) ''"", 0), """")"),"#REF!")</f>
        <v>#REF!</v>
      </c>
      <c r="F37" s="13" t="str">
        <f t="shared" ref="F37:F38" si="5">E37</f>
        <v>#REF!</v>
      </c>
    </row>
    <row r="38" ht="15.75" customHeight="1">
      <c r="A38" s="1"/>
      <c r="B38" s="1"/>
      <c r="C38" s="2" t="str">
        <f>VLOOKUP(B38,Helper!$D$99:$F1000,3,FALSE)</f>
        <v>#N/A</v>
      </c>
      <c r="D38" s="13" t="str">
        <f>IFERROR(__xludf.DUMMYFUNCTION("IFNA(QUERY(IMPORTRANGE(""https://docs.google.com/spreadsheets/d/1EHL-jm_NiShR1a2JqKbpaJGazYH90DJO150spY6io4k/edit?gid=0#gid=0"", 
""Gen_Ledger!A:N""), 
""SELECT SUM(Col10) WHERE Col7 = ""&amp;B38&amp;"" AND Col1 &gt;= DATE '"" &amp; TEXT($C$2, ""YYYY-MM-DD"") &amp; ""' AND "&amp;"Col1 &lt;= DATE '"" &amp; TEXT($C$3, ""YYYY-MM-DD"") &amp; ""' LABEL SUM(Col10) ''"", 0), """")"),"#REF!")</f>
        <v>#REF!</v>
      </c>
      <c r="E38" s="13" t="str">
        <f>IFERROR(__xludf.DUMMYFUNCTION("IFNA(QUERY(IMPORTRANGE(""https://docs.google.com/spreadsheets/d/1EHL-jm_NiShR1a2JqKbpaJGazYH90DJO150spY6io4k/edit?gid=0#gid=0"", 
""Gen_Ledger!A:N""), 
""SELECT SUM(Col11) WHERE Col7 = ""&amp;B38&amp;"" AND Col1 &gt;= DATE '"" &amp; TEXT($C$2, ""YYYY-MM-DD"") &amp; ""' AND "&amp;"Col1 &lt;= DATE '"" &amp; TEXT($C$3, ""YYYY-MM-DD"") &amp; ""' LABEL SUM(Col11) ''"", 0), """")"),"#REF!")</f>
        <v>#REF!</v>
      </c>
      <c r="F38" s="13" t="str">
        <f t="shared" si="5"/>
        <v>#REF!</v>
      </c>
    </row>
    <row r="39" ht="15.75" customHeight="1">
      <c r="A39" s="1"/>
      <c r="B39" s="1"/>
      <c r="C39" s="2" t="str">
        <f>VLOOKUP(B39,Helper!$D$99:$F1000,3,FALSE)</f>
        <v>#N/A</v>
      </c>
      <c r="D39" s="13" t="str">
        <f>IFERROR(__xludf.DUMMYFUNCTION("IFNA(QUERY(IMPORTRANGE(""https://docs.google.com/spreadsheets/d/1EHL-jm_NiShR1a2JqKbpaJGazYH90DJO150spY6io4k/edit?gid=0#gid=0"", 
""Gen_Ledger!A:N""), 
""SELECT SUM(Col10) WHERE Col7 = ""&amp;B39&amp;"" AND Col1 &gt;= DATE '"" &amp; TEXT($C$2, ""YYYY-MM-DD"") &amp; ""' AND "&amp;"Col1 &lt;= DATE '"" &amp; TEXT($C$3, ""YYYY-MM-DD"") &amp; ""' LABEL SUM(Col10) ''"", 0), """")"),"#REF!")</f>
        <v>#REF!</v>
      </c>
      <c r="E39" s="13" t="str">
        <f>IFERROR(__xludf.DUMMYFUNCTION("IFNA(QUERY(IMPORTRANGE(""https://docs.google.com/spreadsheets/d/1EHL-jm_NiShR1a2JqKbpaJGazYH90DJO150spY6io4k/edit?gid=0#gid=0"", 
""Gen_Ledger!A:N""), 
""SELECT SUM(Col11) WHERE Col7 = ""&amp;B39&amp;"" AND Col1 &gt;= DATE '"" &amp; TEXT($C$2, ""YYYY-MM-DD"") &amp; ""' AND "&amp;"Col1 &lt;= DATE '"" &amp; TEXT($C$3, ""YYYY-MM-DD"") &amp; ""' LABEL SUM(Col11) ''"", 0), """")"),"#REF!")</f>
        <v>#REF!</v>
      </c>
      <c r="F39" s="13" t="str">
        <f t="shared" ref="F39:F58" si="6">C39-E39+D39</f>
        <v>#N/A</v>
      </c>
    </row>
    <row r="40" ht="15.75" customHeight="1">
      <c r="A40" s="1"/>
      <c r="B40" s="1"/>
      <c r="C40" s="2" t="str">
        <f>VLOOKUP(B40,Helper!$D$99:$F1000,3,FALSE)</f>
        <v>#N/A</v>
      </c>
      <c r="D40" s="13" t="str">
        <f>IFERROR(__xludf.DUMMYFUNCTION("IFNA(QUERY(IMPORTRANGE(""https://docs.google.com/spreadsheets/d/1EHL-jm_NiShR1a2JqKbpaJGazYH90DJO150spY6io4k/edit?gid=0#gid=0"", 
""Gen_Ledger!A:N""), 
""SELECT SUM(Col10) WHERE Col7 = ""&amp;B40&amp;"" AND Col1 &gt;= DATE '"" &amp; TEXT($C$2, ""YYYY-MM-DD"") &amp; ""' AND "&amp;"Col1 &lt;= DATE '"" &amp; TEXT($C$3, ""YYYY-MM-DD"") &amp; ""' LABEL SUM(Col10) ''"", 0), """")"),"#REF!")</f>
        <v>#REF!</v>
      </c>
      <c r="E40" s="13" t="str">
        <f>IFERROR(__xludf.DUMMYFUNCTION("IFNA(QUERY(IMPORTRANGE(""https://docs.google.com/spreadsheets/d/1EHL-jm_NiShR1a2JqKbpaJGazYH90DJO150spY6io4k/edit?gid=0#gid=0"", 
""Gen_Ledger!A:N""), 
""SELECT SUM(Col11) WHERE Col7 = ""&amp;B40&amp;"" AND Col1 &gt;= DATE '"" &amp; TEXT($C$2, ""YYYY-MM-DD"") &amp; ""' AND "&amp;"Col1 &lt;= DATE '"" &amp; TEXT($C$3, ""YYYY-MM-DD"") &amp; ""' LABEL SUM(Col11) ''"", 0), """")"),"#REF!")</f>
        <v>#REF!</v>
      </c>
      <c r="F40" s="13" t="str">
        <f t="shared" si="6"/>
        <v>#N/A</v>
      </c>
    </row>
    <row r="41" ht="15.75" customHeight="1">
      <c r="A41" s="1"/>
      <c r="B41" s="1"/>
      <c r="C41" s="2" t="str">
        <f>VLOOKUP(B41,Helper!$D$99:$F1000,3,FALSE)</f>
        <v>#N/A</v>
      </c>
      <c r="D41" s="13" t="str">
        <f>IFERROR(__xludf.DUMMYFUNCTION("IFNA(QUERY(IMPORTRANGE(""https://docs.google.com/spreadsheets/d/1EHL-jm_NiShR1a2JqKbpaJGazYH90DJO150spY6io4k/edit?gid=0#gid=0"", 
""Gen_Ledger!A:N""), 
""SELECT SUM(Col10) WHERE Col7 = ""&amp;B41&amp;"" AND Col1 &gt;= DATE '"" &amp; TEXT($C$2, ""YYYY-MM-DD"") &amp; ""' AND "&amp;"Col1 &lt;= DATE '"" &amp; TEXT($C$3, ""YYYY-MM-DD"") &amp; ""' LABEL SUM(Col10) ''"", 0), """")"),"#REF!")</f>
        <v>#REF!</v>
      </c>
      <c r="E41" s="13" t="str">
        <f>IFERROR(__xludf.DUMMYFUNCTION("IFNA(QUERY(IMPORTRANGE(""https://docs.google.com/spreadsheets/d/1EHL-jm_NiShR1a2JqKbpaJGazYH90DJO150spY6io4k/edit?gid=0#gid=0"", 
""Gen_Ledger!A:N""), 
""SELECT SUM(Col11) WHERE Col7 = ""&amp;B41&amp;"" AND Col1 &gt;= DATE '"" &amp; TEXT($C$2, ""YYYY-MM-DD"") &amp; ""' AND "&amp;"Col1 &lt;= DATE '"" &amp; TEXT($C$3, ""YYYY-MM-DD"") &amp; ""' LABEL SUM(Col11) ''"", 0), """")"),"#REF!")</f>
        <v>#REF!</v>
      </c>
      <c r="F41" s="13" t="str">
        <f t="shared" si="6"/>
        <v>#N/A</v>
      </c>
    </row>
    <row r="42" ht="15.75" customHeight="1">
      <c r="A42" s="1"/>
      <c r="B42" s="1"/>
      <c r="C42" s="2" t="str">
        <f>VLOOKUP(B42,Helper!$D$99:$F1000,3,FALSE)</f>
        <v>#N/A</v>
      </c>
      <c r="D42" s="13" t="str">
        <f>IFERROR(__xludf.DUMMYFUNCTION("IFNA(QUERY(IMPORTRANGE(""https://docs.google.com/spreadsheets/d/1EHL-jm_NiShR1a2JqKbpaJGazYH90DJO150spY6io4k/edit?gid=0#gid=0"", 
""Gen_Ledger!A:N""), 
""SELECT SUM(Col10) WHERE Col7 = ""&amp;B42&amp;"" AND Col1 &gt;= DATE '"" &amp; TEXT($C$2, ""YYYY-MM-DD"") &amp; ""' AND "&amp;"Col1 &lt;= DATE '"" &amp; TEXT($C$3, ""YYYY-MM-DD"") &amp; ""' LABEL SUM(Col10) ''"", 0), """")"),"#REF!")</f>
        <v>#REF!</v>
      </c>
      <c r="E42" s="13" t="str">
        <f>IFERROR(__xludf.DUMMYFUNCTION("IFNA(QUERY(IMPORTRANGE(""https://docs.google.com/spreadsheets/d/1EHL-jm_NiShR1a2JqKbpaJGazYH90DJO150spY6io4k/edit?gid=0#gid=0"", 
""Gen_Ledger!A:N""), 
""SELECT SUM(Col11) WHERE Col7 = ""&amp;B42&amp;"" AND Col1 &gt;= DATE '"" &amp; TEXT($C$2, ""YYYY-MM-DD"") &amp; ""' AND "&amp;"Col1 &lt;= DATE '"" &amp; TEXT($C$3, ""YYYY-MM-DD"") &amp; ""' LABEL SUM(Col11) ''"", 0), """")"),"#REF!")</f>
        <v>#REF!</v>
      </c>
      <c r="F42" s="13" t="str">
        <f t="shared" si="6"/>
        <v>#N/A</v>
      </c>
    </row>
    <row r="43" ht="15.75" customHeight="1">
      <c r="A43" s="1"/>
      <c r="B43" s="1"/>
      <c r="C43" s="2" t="str">
        <f>VLOOKUP(B43,Helper!$D$99:$F1000,3,FALSE)</f>
        <v>#N/A</v>
      </c>
      <c r="D43" s="13" t="str">
        <f>IFERROR(__xludf.DUMMYFUNCTION("IFNA(QUERY(IMPORTRANGE(""https://docs.google.com/spreadsheets/d/1EHL-jm_NiShR1a2JqKbpaJGazYH90DJO150spY6io4k/edit?gid=0#gid=0"", 
""Gen_Ledger!A:N""), 
""SELECT SUM(Col10) WHERE Col7 = ""&amp;B43&amp;"" AND Col1 &gt;= DATE '"" &amp; TEXT($C$2, ""YYYY-MM-DD"") &amp; ""' AND "&amp;"Col1 &lt;= DATE '"" &amp; TEXT($C$3, ""YYYY-MM-DD"") &amp; ""' LABEL SUM(Col10) ''"", 0), """")"),"#REF!")</f>
        <v>#REF!</v>
      </c>
      <c r="E43" s="13" t="str">
        <f>IFERROR(__xludf.DUMMYFUNCTION("IFNA(QUERY(IMPORTRANGE(""https://docs.google.com/spreadsheets/d/1EHL-jm_NiShR1a2JqKbpaJGazYH90DJO150spY6io4k/edit?gid=0#gid=0"", 
""Gen_Ledger!A:N""), 
""SELECT SUM(Col11) WHERE Col7 = ""&amp;B43&amp;"" AND Col1 &gt;= DATE '"" &amp; TEXT($C$2, ""YYYY-MM-DD"") &amp; ""' AND "&amp;"Col1 &lt;= DATE '"" &amp; TEXT($C$3, ""YYYY-MM-DD"") &amp; ""' LABEL SUM(Col11) ''"", 0), """")"),"#REF!")</f>
        <v>#REF!</v>
      </c>
      <c r="F43" s="13" t="str">
        <f t="shared" si="6"/>
        <v>#N/A</v>
      </c>
    </row>
    <row r="44" ht="15.75" customHeight="1">
      <c r="A44" s="1"/>
      <c r="B44" s="1"/>
      <c r="C44" s="2" t="str">
        <f>VLOOKUP(B44,Helper!$D$99:$F1000,3,FALSE)</f>
        <v>#N/A</v>
      </c>
      <c r="D44" s="13" t="str">
        <f>IFERROR(__xludf.DUMMYFUNCTION("IFNA(QUERY(IMPORTRANGE(""https://docs.google.com/spreadsheets/d/1EHL-jm_NiShR1a2JqKbpaJGazYH90DJO150spY6io4k/edit?gid=0#gid=0"", 
""Gen_Ledger!A:N""), 
""SELECT SUM(Col10) WHERE Col7 = ""&amp;B44&amp;"" AND Col1 &gt;= DATE '"" &amp; TEXT($C$2, ""YYYY-MM-DD"") &amp; ""' AND "&amp;"Col1 &lt;= DATE '"" &amp; TEXT($C$3, ""YYYY-MM-DD"") &amp; ""' LABEL SUM(Col10) ''"", 0), """")"),"#REF!")</f>
        <v>#REF!</v>
      </c>
      <c r="E44" s="13" t="str">
        <f>IFERROR(__xludf.DUMMYFUNCTION("IFNA(QUERY(IMPORTRANGE(""https://docs.google.com/spreadsheets/d/1EHL-jm_NiShR1a2JqKbpaJGazYH90DJO150spY6io4k/edit?gid=0#gid=0"", 
""Gen_Ledger!A:N""), 
""SELECT SUM(Col11) WHERE Col7 = ""&amp;B44&amp;"" AND Col1 &gt;= DATE '"" &amp; TEXT($C$2, ""YYYY-MM-DD"") &amp; ""' AND "&amp;"Col1 &lt;= DATE '"" &amp; TEXT($C$3, ""YYYY-MM-DD"") &amp; ""' LABEL SUM(Col11) ''"", 0), """")"),"#REF!")</f>
        <v>#REF!</v>
      </c>
      <c r="F44" s="13" t="str">
        <f t="shared" si="6"/>
        <v>#N/A</v>
      </c>
    </row>
    <row r="45" ht="15.75" customHeight="1">
      <c r="A45" s="1"/>
      <c r="B45" s="1"/>
      <c r="C45" s="2" t="str">
        <f>VLOOKUP(B45,Helper!$D$99:$F1000,3,FALSE)</f>
        <v>#N/A</v>
      </c>
      <c r="D45" s="13" t="str">
        <f>IFERROR(__xludf.DUMMYFUNCTION("IFNA(QUERY(IMPORTRANGE(""https://docs.google.com/spreadsheets/d/1EHL-jm_NiShR1a2JqKbpaJGazYH90DJO150spY6io4k/edit?gid=0#gid=0"", 
""Gen_Ledger!A:N""), 
""SELECT SUM(Col10) WHERE Col7 = ""&amp;B45&amp;"" AND Col1 &gt;= DATE '"" &amp; TEXT($C$2, ""YYYY-MM-DD"") &amp; ""' AND "&amp;"Col1 &lt;= DATE '"" &amp; TEXT($C$3, ""YYYY-MM-DD"") &amp; ""' LABEL SUM(Col10) ''"", 0), """")"),"#REF!")</f>
        <v>#REF!</v>
      </c>
      <c r="E45" s="13" t="str">
        <f>IFERROR(__xludf.DUMMYFUNCTION("IFNA(QUERY(IMPORTRANGE(""https://docs.google.com/spreadsheets/d/1EHL-jm_NiShR1a2JqKbpaJGazYH90DJO150spY6io4k/edit?gid=0#gid=0"", 
""Gen_Ledger!A:N""), 
""SELECT SUM(Col11) WHERE Col7 = ""&amp;B45&amp;"" AND Col1 &gt;= DATE '"" &amp; TEXT($C$2, ""YYYY-MM-DD"") &amp; ""' AND "&amp;"Col1 &lt;= DATE '"" &amp; TEXT($C$3, ""YYYY-MM-DD"") &amp; ""' LABEL SUM(Col11) ''"", 0), """")"),"#REF!")</f>
        <v>#REF!</v>
      </c>
      <c r="F45" s="13" t="str">
        <f t="shared" si="6"/>
        <v>#N/A</v>
      </c>
    </row>
    <row r="46" ht="15.75" customHeight="1">
      <c r="A46" s="1"/>
      <c r="B46" s="1"/>
      <c r="C46" s="2" t="str">
        <f>VLOOKUP(B46,Helper!$D$99:$F1000,3,FALSE)</f>
        <v>#N/A</v>
      </c>
      <c r="D46" s="13" t="str">
        <f>IFERROR(__xludf.DUMMYFUNCTION("IFNA(QUERY(IMPORTRANGE(""https://docs.google.com/spreadsheets/d/1EHL-jm_NiShR1a2JqKbpaJGazYH90DJO150spY6io4k/edit?gid=0#gid=0"", 
""Gen_Ledger!A:N""), 
""SELECT SUM(Col10) WHERE Col7 = ""&amp;B46&amp;"" AND Col1 &gt;= DATE '"" &amp; TEXT($C$2, ""YYYY-MM-DD"") &amp; ""' AND "&amp;"Col1 &lt;= DATE '"" &amp; TEXT($C$3, ""YYYY-MM-DD"") &amp; ""' LABEL SUM(Col10) ''"", 0), """")"),"#REF!")</f>
        <v>#REF!</v>
      </c>
      <c r="E46" s="13" t="str">
        <f>IFERROR(__xludf.DUMMYFUNCTION("IFNA(QUERY(IMPORTRANGE(""https://docs.google.com/spreadsheets/d/1EHL-jm_NiShR1a2JqKbpaJGazYH90DJO150spY6io4k/edit?gid=0#gid=0"", 
""Gen_Ledger!A:N""), 
""SELECT SUM(Col11) WHERE Col7 = ""&amp;B46&amp;"" AND Col1 &gt;= DATE '"" &amp; TEXT($C$2, ""YYYY-MM-DD"") &amp; ""' AND "&amp;"Col1 &lt;= DATE '"" &amp; TEXT($C$3, ""YYYY-MM-DD"") &amp; ""' LABEL SUM(Col11) ''"", 0), """")"),"#REF!")</f>
        <v>#REF!</v>
      </c>
      <c r="F46" s="13" t="str">
        <f t="shared" si="6"/>
        <v>#N/A</v>
      </c>
    </row>
    <row r="47" ht="15.75" customHeight="1">
      <c r="A47" s="1"/>
      <c r="B47" s="1"/>
      <c r="C47" s="2" t="str">
        <f>VLOOKUP(B47,Helper!$D$99:$F1000,3,FALSE)</f>
        <v>#N/A</v>
      </c>
      <c r="D47" s="13" t="str">
        <f>IFERROR(__xludf.DUMMYFUNCTION("IFNA(QUERY(IMPORTRANGE(""https://docs.google.com/spreadsheets/d/1EHL-jm_NiShR1a2JqKbpaJGazYH90DJO150spY6io4k/edit?gid=0#gid=0"", 
""Gen_Ledger!A:N""), 
""SELECT SUM(Col10) WHERE Col7 = ""&amp;B47&amp;"" AND Col1 &gt;= DATE '"" &amp; TEXT($C$2, ""YYYY-MM-DD"") &amp; ""' AND "&amp;"Col1 &lt;= DATE '"" &amp; TEXT($C$3, ""YYYY-MM-DD"") &amp; ""' LABEL SUM(Col10) ''"", 0), """")"),"#REF!")</f>
        <v>#REF!</v>
      </c>
      <c r="E47" s="13" t="str">
        <f>IFERROR(__xludf.DUMMYFUNCTION("IFNA(QUERY(IMPORTRANGE(""https://docs.google.com/spreadsheets/d/1EHL-jm_NiShR1a2JqKbpaJGazYH90DJO150spY6io4k/edit?gid=0#gid=0"", 
""Gen_Ledger!A:N""), 
""SELECT SUM(Col11) WHERE Col7 = ""&amp;B47&amp;"" AND Col1 &gt;= DATE '"" &amp; TEXT($C$2, ""YYYY-MM-DD"") &amp; ""' AND "&amp;"Col1 &lt;= DATE '"" &amp; TEXT($C$3, ""YYYY-MM-DD"") &amp; ""' LABEL SUM(Col11) ''"", 0), """")"),"#REF!")</f>
        <v>#REF!</v>
      </c>
      <c r="F47" s="13" t="str">
        <f t="shared" si="6"/>
        <v>#N/A</v>
      </c>
    </row>
    <row r="48" ht="15.75" customHeight="1">
      <c r="A48" s="1"/>
      <c r="B48" s="1"/>
      <c r="C48" s="2" t="str">
        <f>VLOOKUP(B48,Helper!$D$99:$F1000,3,FALSE)</f>
        <v>#N/A</v>
      </c>
      <c r="D48" s="13" t="str">
        <f>IFERROR(__xludf.DUMMYFUNCTION("IFNA(QUERY(IMPORTRANGE(""https://docs.google.com/spreadsheets/d/1EHL-jm_NiShR1a2JqKbpaJGazYH90DJO150spY6io4k/edit?gid=0#gid=0"", 
""Gen_Ledger!A:N""), 
""SELECT SUM(Col10) WHERE Col7 = ""&amp;B48&amp;"" AND Col1 &gt;= DATE '"" &amp; TEXT($C$2, ""YYYY-MM-DD"") &amp; ""' AND "&amp;"Col1 &lt;= DATE '"" &amp; TEXT($C$3, ""YYYY-MM-DD"") &amp; ""' LABEL SUM(Col10) ''"", 0), """")"),"#REF!")</f>
        <v>#REF!</v>
      </c>
      <c r="E48" s="13" t="str">
        <f>IFERROR(__xludf.DUMMYFUNCTION("IFNA(QUERY(IMPORTRANGE(""https://docs.google.com/spreadsheets/d/1EHL-jm_NiShR1a2JqKbpaJGazYH90DJO150spY6io4k/edit?gid=0#gid=0"", 
""Gen_Ledger!A:N""), 
""SELECT SUM(Col11) WHERE Col7 = ""&amp;B48&amp;"" AND Col1 &gt;= DATE '"" &amp; TEXT($C$2, ""YYYY-MM-DD"") &amp; ""' AND "&amp;"Col1 &lt;= DATE '"" &amp; TEXT($C$3, ""YYYY-MM-DD"") &amp; ""' LABEL SUM(Col11) ''"", 0), """")"),"#REF!")</f>
        <v>#REF!</v>
      </c>
      <c r="F48" s="13" t="str">
        <f t="shared" si="6"/>
        <v>#N/A</v>
      </c>
    </row>
    <row r="49" ht="15.75" customHeight="1">
      <c r="A49" s="1"/>
      <c r="B49" s="1"/>
      <c r="C49" s="2" t="str">
        <f>VLOOKUP(B49,Helper!$D$99:$F1000,3,FALSE)</f>
        <v>#N/A</v>
      </c>
      <c r="D49" s="13" t="str">
        <f>IFERROR(__xludf.DUMMYFUNCTION("IFNA(QUERY(IMPORTRANGE(""https://docs.google.com/spreadsheets/d/1EHL-jm_NiShR1a2JqKbpaJGazYH90DJO150spY6io4k/edit?gid=0#gid=0"", 
""Gen_Ledger!A:N""), 
""SELECT SUM(Col10) WHERE Col7 = ""&amp;B49&amp;"" AND Col1 &gt;= DATE '"" &amp; TEXT($C$2, ""YYYY-MM-DD"") &amp; ""' AND "&amp;"Col1 &lt;= DATE '"" &amp; TEXT($C$3, ""YYYY-MM-DD"") &amp; ""' LABEL SUM(Col10) ''"", 0), """")"),"#REF!")</f>
        <v>#REF!</v>
      </c>
      <c r="E49" s="13" t="str">
        <f>IFERROR(__xludf.DUMMYFUNCTION("IFNA(QUERY(IMPORTRANGE(""https://docs.google.com/spreadsheets/d/1EHL-jm_NiShR1a2JqKbpaJGazYH90DJO150spY6io4k/edit?gid=0#gid=0"", 
""Gen_Ledger!A:N""), 
""SELECT SUM(Col11) WHERE Col7 = ""&amp;B49&amp;"" AND Col1 &gt;= DATE '"" &amp; TEXT($C$2, ""YYYY-MM-DD"") &amp; ""' AND "&amp;"Col1 &lt;= DATE '"" &amp; TEXT($C$3, ""YYYY-MM-DD"") &amp; ""' LABEL SUM(Col11) ''"", 0), """")"),"#REF!")</f>
        <v>#REF!</v>
      </c>
      <c r="F49" s="13" t="str">
        <f t="shared" si="6"/>
        <v>#N/A</v>
      </c>
    </row>
    <row r="50" ht="15.75" customHeight="1">
      <c r="A50" s="1"/>
      <c r="B50" s="1"/>
      <c r="C50" s="2" t="str">
        <f>VLOOKUP(B50,Helper!$D$99:$F1000,3,FALSE)</f>
        <v>#N/A</v>
      </c>
      <c r="D50" s="13" t="str">
        <f>IFERROR(__xludf.DUMMYFUNCTION("IFNA(QUERY(IMPORTRANGE(""https://docs.google.com/spreadsheets/d/1EHL-jm_NiShR1a2JqKbpaJGazYH90DJO150spY6io4k/edit?gid=0#gid=0"", 
""Gen_Ledger!A:N""), 
""SELECT SUM(Col10) WHERE Col7 = ""&amp;B50&amp;"" AND Col1 &gt;= DATE '"" &amp; TEXT($C$2, ""YYYY-MM-DD"") &amp; ""' AND "&amp;"Col1 &lt;= DATE '"" &amp; TEXT($C$3, ""YYYY-MM-DD"") &amp; ""' LABEL SUM(Col10) ''"", 0), """")"),"#REF!")</f>
        <v>#REF!</v>
      </c>
      <c r="E50" s="13" t="str">
        <f>IFERROR(__xludf.DUMMYFUNCTION("IFNA(QUERY(IMPORTRANGE(""https://docs.google.com/spreadsheets/d/1EHL-jm_NiShR1a2JqKbpaJGazYH90DJO150spY6io4k/edit?gid=0#gid=0"", 
""Gen_Ledger!A:N""), 
""SELECT SUM(Col11) WHERE Col7 = ""&amp;B50&amp;"" AND Col1 &gt;= DATE '"" &amp; TEXT($C$2, ""YYYY-MM-DD"") &amp; ""' AND "&amp;"Col1 &lt;= DATE '"" &amp; TEXT($C$3, ""YYYY-MM-DD"") &amp; ""' LABEL SUM(Col11) ''"", 0), """")"),"#REF!")</f>
        <v>#REF!</v>
      </c>
      <c r="F50" s="13" t="str">
        <f t="shared" si="6"/>
        <v>#N/A</v>
      </c>
    </row>
    <row r="51" ht="15.75" customHeight="1">
      <c r="A51" s="1"/>
      <c r="B51" s="1"/>
      <c r="C51" s="2" t="str">
        <f>VLOOKUP(B51,Helper!$D$99:$F1000,3,FALSE)</f>
        <v>#N/A</v>
      </c>
      <c r="D51" s="13" t="str">
        <f>IFERROR(__xludf.DUMMYFUNCTION("IFNA(QUERY(IMPORTRANGE(""https://docs.google.com/spreadsheets/d/1EHL-jm_NiShR1a2JqKbpaJGazYH90DJO150spY6io4k/edit?gid=0#gid=0"", 
""Gen_Ledger!A:N""), 
""SELECT SUM(Col10) WHERE Col7 = ""&amp;B51&amp;"" AND Col1 &gt;= DATE '"" &amp; TEXT($C$2, ""YYYY-MM-DD"") &amp; ""' AND "&amp;"Col1 &lt;= DATE '"" &amp; TEXT($C$3, ""YYYY-MM-DD"") &amp; ""' LABEL SUM(Col10) ''"", 0), """")"),"#REF!")</f>
        <v>#REF!</v>
      </c>
      <c r="E51" s="13" t="str">
        <f>IFERROR(__xludf.DUMMYFUNCTION("IFNA(QUERY(IMPORTRANGE(""https://docs.google.com/spreadsheets/d/1EHL-jm_NiShR1a2JqKbpaJGazYH90DJO150spY6io4k/edit?gid=0#gid=0"", 
""Gen_Ledger!A:N""), 
""SELECT SUM(Col11) WHERE Col7 = ""&amp;B51&amp;"" AND Col1 &gt;= DATE '"" &amp; TEXT($C$2, ""YYYY-MM-DD"") &amp; ""' AND "&amp;"Col1 &lt;= DATE '"" &amp; TEXT($C$3, ""YYYY-MM-DD"") &amp; ""' LABEL SUM(Col11) ''"", 0), """")"),"#REF!")</f>
        <v>#REF!</v>
      </c>
      <c r="F51" s="13" t="str">
        <f t="shared" si="6"/>
        <v>#N/A</v>
      </c>
    </row>
    <row r="52" ht="15.75" customHeight="1">
      <c r="A52" s="1"/>
      <c r="B52" s="1"/>
      <c r="C52" s="2" t="str">
        <f>VLOOKUP(B52,Helper!$D$99:$F1000,3,FALSE)</f>
        <v>#N/A</v>
      </c>
      <c r="D52" s="13" t="str">
        <f>IFERROR(__xludf.DUMMYFUNCTION("IFNA(QUERY(IMPORTRANGE(""https://docs.google.com/spreadsheets/d/1EHL-jm_NiShR1a2JqKbpaJGazYH90DJO150spY6io4k/edit?gid=0#gid=0"", 
""Gen_Ledger!A:N""), 
""SELECT SUM(Col10) WHERE Col7 = ""&amp;B52&amp;"" AND Col1 &gt;= DATE '"" &amp; TEXT($C$2, ""YYYY-MM-DD"") &amp; ""' AND "&amp;"Col1 &lt;= DATE '"" &amp; TEXT($C$3, ""YYYY-MM-DD"") &amp; ""' LABEL SUM(Col10) ''"", 0), """")"),"#REF!")</f>
        <v>#REF!</v>
      </c>
      <c r="E52" s="13" t="str">
        <f>IFERROR(__xludf.DUMMYFUNCTION("IFNA(QUERY(IMPORTRANGE(""https://docs.google.com/spreadsheets/d/1EHL-jm_NiShR1a2JqKbpaJGazYH90DJO150spY6io4k/edit?gid=0#gid=0"", 
""Gen_Ledger!A:N""), 
""SELECT SUM(Col11) WHERE Col7 = ""&amp;B52&amp;"" AND Col1 &gt;= DATE '"" &amp; TEXT($C$2, ""YYYY-MM-DD"") &amp; ""' AND "&amp;"Col1 &lt;= DATE '"" &amp; TEXT($C$3, ""YYYY-MM-DD"") &amp; ""' LABEL SUM(Col11) ''"", 0), """")"),"#REF!")</f>
        <v>#REF!</v>
      </c>
      <c r="F52" s="13" t="str">
        <f t="shared" si="6"/>
        <v>#N/A</v>
      </c>
    </row>
    <row r="53" ht="15.75" customHeight="1">
      <c r="A53" s="1"/>
      <c r="B53" s="1"/>
      <c r="C53" s="2" t="str">
        <f>VLOOKUP(B53,Helper!$D$99:$F1000,3,FALSE)</f>
        <v>#N/A</v>
      </c>
      <c r="D53" s="13" t="str">
        <f>IFERROR(__xludf.DUMMYFUNCTION("IFNA(QUERY(IMPORTRANGE(""https://docs.google.com/spreadsheets/d/1EHL-jm_NiShR1a2JqKbpaJGazYH90DJO150spY6io4k/edit?gid=0#gid=0"", 
""Gen_Ledger!A:N""), 
""SELECT SUM(Col10) WHERE Col7 = ""&amp;B53&amp;"" AND Col1 &gt;= DATE '"" &amp; TEXT($C$2, ""YYYY-MM-DD"") &amp; ""' AND "&amp;"Col1 &lt;= DATE '"" &amp; TEXT($C$3, ""YYYY-MM-DD"") &amp; ""' LABEL SUM(Col10) ''"", 0), """")"),"#REF!")</f>
        <v>#REF!</v>
      </c>
      <c r="E53" s="13" t="str">
        <f>IFERROR(__xludf.DUMMYFUNCTION("IFNA(QUERY(IMPORTRANGE(""https://docs.google.com/spreadsheets/d/1EHL-jm_NiShR1a2JqKbpaJGazYH90DJO150spY6io4k/edit?gid=0#gid=0"", 
""Gen_Ledger!A:N""), 
""SELECT SUM(Col11) WHERE Col7 = ""&amp;B53&amp;"" AND Col1 &gt;= DATE '"" &amp; TEXT($C$2, ""YYYY-MM-DD"") &amp; ""' AND "&amp;"Col1 &lt;= DATE '"" &amp; TEXT($C$3, ""YYYY-MM-DD"") &amp; ""' LABEL SUM(Col11) ''"", 0), """")"),"#REF!")</f>
        <v>#REF!</v>
      </c>
      <c r="F53" s="13" t="str">
        <f t="shared" si="6"/>
        <v>#N/A</v>
      </c>
    </row>
    <row r="54" ht="15.75" customHeight="1">
      <c r="A54" s="1"/>
      <c r="B54" s="1"/>
      <c r="C54" s="2" t="str">
        <f>VLOOKUP(B54,Helper!$D$99:$F1000,3,FALSE)</f>
        <v>#N/A</v>
      </c>
      <c r="D54" s="13" t="str">
        <f>IFERROR(__xludf.DUMMYFUNCTION("IFNA(QUERY(IMPORTRANGE(""https://docs.google.com/spreadsheets/d/1EHL-jm_NiShR1a2JqKbpaJGazYH90DJO150spY6io4k/edit?gid=0#gid=0"", 
""Gen_Ledger!A:N""), 
""SELECT SUM(Col10) WHERE Col7 = ""&amp;B54&amp;"" AND Col1 &gt;= DATE '"" &amp; TEXT($C$2, ""YYYY-MM-DD"") &amp; ""' AND "&amp;"Col1 &lt;= DATE '"" &amp; TEXT($C$3, ""YYYY-MM-DD"") &amp; ""' LABEL SUM(Col10) ''"", 0), """")"),"#REF!")</f>
        <v>#REF!</v>
      </c>
      <c r="E54" s="13" t="str">
        <f>IFERROR(__xludf.DUMMYFUNCTION("IFNA(QUERY(IMPORTRANGE(""https://docs.google.com/spreadsheets/d/1EHL-jm_NiShR1a2JqKbpaJGazYH90DJO150spY6io4k/edit?gid=0#gid=0"", 
""Gen_Ledger!A:N""), 
""SELECT SUM(Col11) WHERE Col7 = ""&amp;B54&amp;"" AND Col1 &gt;= DATE '"" &amp; TEXT($C$2, ""YYYY-MM-DD"") &amp; ""' AND "&amp;"Col1 &lt;= DATE '"" &amp; TEXT($C$3, ""YYYY-MM-DD"") &amp; ""' LABEL SUM(Col11) ''"", 0), """")"),"#REF!")</f>
        <v>#REF!</v>
      </c>
      <c r="F54" s="13" t="str">
        <f t="shared" si="6"/>
        <v>#N/A</v>
      </c>
    </row>
    <row r="55" ht="15.75" customHeight="1">
      <c r="A55" s="1"/>
      <c r="B55" s="1"/>
      <c r="C55" s="2" t="str">
        <f>VLOOKUP(B55,Helper!$D$99:$F1000,3,FALSE)</f>
        <v>#N/A</v>
      </c>
      <c r="D55" s="13" t="str">
        <f>IFERROR(__xludf.DUMMYFUNCTION("IFNA(QUERY(IMPORTRANGE(""https://docs.google.com/spreadsheets/d/1EHL-jm_NiShR1a2JqKbpaJGazYH90DJO150spY6io4k/edit?gid=0#gid=0"", 
""Gen_Ledger!A:N""), 
""SELECT SUM(Col10) WHERE Col7 = ""&amp;B55&amp;"" AND Col1 &gt;= DATE '"" &amp; TEXT($C$2, ""YYYY-MM-DD"") &amp; ""' AND "&amp;"Col1 &lt;= DATE '"" &amp; TEXT($C$3, ""YYYY-MM-DD"") &amp; ""' LABEL SUM(Col10) ''"", 0), """")"),"#REF!")</f>
        <v>#REF!</v>
      </c>
      <c r="E55" s="13" t="str">
        <f>IFERROR(__xludf.DUMMYFUNCTION("IFNA(QUERY(IMPORTRANGE(""https://docs.google.com/spreadsheets/d/1EHL-jm_NiShR1a2JqKbpaJGazYH90DJO150spY6io4k/edit?gid=0#gid=0"", 
""Gen_Ledger!A:N""), 
""SELECT SUM(Col11) WHERE Col7 = ""&amp;B55&amp;"" AND Col1 &gt;= DATE '"" &amp; TEXT($C$2, ""YYYY-MM-DD"") &amp; ""' AND "&amp;"Col1 &lt;= DATE '"" &amp; TEXT($C$3, ""YYYY-MM-DD"") &amp; ""' LABEL SUM(Col11) ''"", 0), """")"),"#REF!")</f>
        <v>#REF!</v>
      </c>
      <c r="F55" s="13" t="str">
        <f t="shared" si="6"/>
        <v>#N/A</v>
      </c>
    </row>
    <row r="56" ht="15.75" customHeight="1">
      <c r="A56" s="1"/>
      <c r="B56" s="1"/>
      <c r="C56" s="2" t="str">
        <f>VLOOKUP(B56,Helper!$D$99:$F1000,3,FALSE)</f>
        <v>#N/A</v>
      </c>
      <c r="D56" s="13" t="str">
        <f>IFERROR(__xludf.DUMMYFUNCTION("IFNA(QUERY(IMPORTRANGE(""https://docs.google.com/spreadsheets/d/1EHL-jm_NiShR1a2JqKbpaJGazYH90DJO150spY6io4k/edit?gid=0#gid=0"", 
""Gen_Ledger!A:N""), 
""SELECT SUM(Col10) WHERE Col7 = ""&amp;B56&amp;"" AND Col1 &gt;= DATE '"" &amp; TEXT($C$2, ""YYYY-MM-DD"") &amp; ""' AND "&amp;"Col1 &lt;= DATE '"" &amp; TEXT($C$3, ""YYYY-MM-DD"") &amp; ""' LABEL SUM(Col10) ''"", 0), """")"),"#REF!")</f>
        <v>#REF!</v>
      </c>
      <c r="E56" s="13" t="str">
        <f>IFERROR(__xludf.DUMMYFUNCTION("IFNA(QUERY(IMPORTRANGE(""https://docs.google.com/spreadsheets/d/1EHL-jm_NiShR1a2JqKbpaJGazYH90DJO150spY6io4k/edit?gid=0#gid=0"", 
""Gen_Ledger!A:N""), 
""SELECT SUM(Col11) WHERE Col7 = ""&amp;B56&amp;"" AND Col1 &gt;= DATE '"" &amp; TEXT($C$2, ""YYYY-MM-DD"") &amp; ""' AND "&amp;"Col1 &lt;= DATE '"" &amp; TEXT($C$3, ""YYYY-MM-DD"") &amp; ""' LABEL SUM(Col11) ''"", 0), """")"),"#REF!")</f>
        <v>#REF!</v>
      </c>
      <c r="F56" s="13" t="str">
        <f t="shared" si="6"/>
        <v>#N/A</v>
      </c>
    </row>
    <row r="57" ht="15.75" customHeight="1">
      <c r="A57" s="1"/>
      <c r="B57" s="1"/>
      <c r="C57" s="2" t="str">
        <f>VLOOKUP(B57,Helper!$D$99:$F1000,3,FALSE)</f>
        <v>#N/A</v>
      </c>
      <c r="D57" s="13" t="str">
        <f>IFERROR(__xludf.DUMMYFUNCTION("IFNA(QUERY(IMPORTRANGE(""https://docs.google.com/spreadsheets/d/1EHL-jm_NiShR1a2JqKbpaJGazYH90DJO150spY6io4k/edit?gid=0#gid=0"", 
""Gen_Ledger!A:N""), 
""SELECT SUM(Col10) WHERE Col7 = ""&amp;B57&amp;"" AND Col1 &gt;= DATE '"" &amp; TEXT($C$2, ""YYYY-MM-DD"") &amp; ""' AND "&amp;"Col1 &lt;= DATE '"" &amp; TEXT($C$3, ""YYYY-MM-DD"") &amp; ""' LABEL SUM(Col10) ''"", 0), """")"),"#REF!")</f>
        <v>#REF!</v>
      </c>
      <c r="E57" s="13" t="str">
        <f>IFERROR(__xludf.DUMMYFUNCTION("IFNA(QUERY(IMPORTRANGE(""https://docs.google.com/spreadsheets/d/1EHL-jm_NiShR1a2JqKbpaJGazYH90DJO150spY6io4k/edit?gid=0#gid=0"", 
""Gen_Ledger!A:N""), 
""SELECT SUM(Col11) WHERE Col7 = ""&amp;B57&amp;"" AND Col1 &gt;= DATE '"" &amp; TEXT($C$2, ""YYYY-MM-DD"") &amp; ""' AND "&amp;"Col1 &lt;= DATE '"" &amp; TEXT($C$3, ""YYYY-MM-DD"") &amp; ""' LABEL SUM(Col11) ''"", 0), """")"),"#REF!")</f>
        <v>#REF!</v>
      </c>
      <c r="F57" s="13" t="str">
        <f t="shared" si="6"/>
        <v>#N/A</v>
      </c>
    </row>
    <row r="58" ht="15.75" customHeight="1">
      <c r="A58" s="1"/>
      <c r="B58" s="1"/>
      <c r="C58" s="2" t="str">
        <f>VLOOKUP(B58,Helper!$D$99:$F1000,3,FALSE)</f>
        <v>#N/A</v>
      </c>
      <c r="D58" s="13" t="str">
        <f>IFERROR(__xludf.DUMMYFUNCTION("IFNA(QUERY(IMPORTRANGE(""https://docs.google.com/spreadsheets/d/1EHL-jm_NiShR1a2JqKbpaJGazYH90DJO150spY6io4k/edit?gid=0#gid=0"", 
""Gen_Ledger!A:N""), 
""SELECT SUM(Col10) WHERE Col7 = ""&amp;B58&amp;"" AND Col1 &gt;= DATE '"" &amp; TEXT($C$2, ""YYYY-MM-DD"") &amp; ""' AND "&amp;"Col1 &lt;= DATE '"" &amp; TEXT($C$3, ""YYYY-MM-DD"") &amp; ""' LABEL SUM(Col10) ''"", 0), """")"),"#REF!")</f>
        <v>#REF!</v>
      </c>
      <c r="E58" s="13" t="str">
        <f>IFERROR(__xludf.DUMMYFUNCTION("IFNA(QUERY(IMPORTRANGE(""https://docs.google.com/spreadsheets/d/1EHL-jm_NiShR1a2JqKbpaJGazYH90DJO150spY6io4k/edit?gid=0#gid=0"", 
""Gen_Ledger!A:N""), 
""SELECT SUM(Col11) WHERE Col7 = ""&amp;B58&amp;"" AND Col1 &gt;= DATE '"" &amp; TEXT($C$2, ""YYYY-MM-DD"") &amp; ""' AND "&amp;"Col1 &lt;= DATE '"" &amp; TEXT($C$3, ""YYYY-MM-DD"") &amp; ""' LABEL SUM(Col11) ''"", 0), """")"),"#REF!")</f>
        <v>#REF!</v>
      </c>
      <c r="F58" s="13" t="str">
        <f t="shared" si="6"/>
        <v>#N/A</v>
      </c>
    </row>
    <row r="59" ht="15.75" customHeight="1">
      <c r="A59" s="1"/>
      <c r="B59" s="1"/>
      <c r="C59" s="2" t="str">
        <f>VLOOKUP(B59,Helper!$D$99:$F1000,3,FALSE)</f>
        <v>#N/A</v>
      </c>
      <c r="D59" s="13" t="str">
        <f>IFERROR(__xludf.DUMMYFUNCTION("IFNA(QUERY(IMPORTRANGE(""https://docs.google.com/spreadsheets/d/1EHL-jm_NiShR1a2JqKbpaJGazYH90DJO150spY6io4k/edit?gid=0#gid=0"", 
""Gen_Ledger!A:N""), 
""SELECT SUM(Col10) WHERE Col7 = ""&amp;B59&amp;"" AND Col1 &gt;= DATE '"" &amp; TEXT($C$2, ""YYYY-MM-DD"") &amp; ""' AND "&amp;"Col1 &lt;= DATE '"" &amp; TEXT($C$3, ""YYYY-MM-DD"") &amp; ""' LABEL SUM(Col10) ''"", 0), """")"),"#REF!")</f>
        <v>#REF!</v>
      </c>
      <c r="E59" s="13" t="str">
        <f>IFERROR(__xludf.DUMMYFUNCTION("IFNA(QUERY(IMPORTRANGE(""https://docs.google.com/spreadsheets/d/1EHL-jm_NiShR1a2JqKbpaJGazYH90DJO150spY6io4k/edit?gid=0#gid=0"", 
""Gen_Ledger!A:N""), 
""SELECT SUM(Col11) WHERE Col7 = ""&amp;B59&amp;"" AND Col1 &gt;= DATE '"" &amp; TEXT($C$2, ""YYYY-MM-DD"") &amp; ""' AND "&amp;"Col1 &lt;= DATE '"" &amp; TEXT($C$3, ""YYYY-MM-DD"") &amp; ""' LABEL SUM(Col11) ''"", 0), """")"),"#REF!")</f>
        <v>#REF!</v>
      </c>
      <c r="F59" s="13" t="str">
        <f>C59+E59-D59</f>
        <v>#N/A</v>
      </c>
    </row>
    <row r="60" ht="15.75" customHeight="1">
      <c r="A60" s="1"/>
      <c r="B60" s="1"/>
      <c r="C60" s="2" t="str">
        <f>VLOOKUP(B60,Helper!$D$99:$F1000,3,FALSE)</f>
        <v>#N/A</v>
      </c>
      <c r="D60" s="13" t="str">
        <f>IFERROR(__xludf.DUMMYFUNCTION("IFNA(QUERY(IMPORTRANGE(""https://docs.google.com/spreadsheets/d/1EHL-jm_NiShR1a2JqKbpaJGazYH90DJO150spY6io4k/edit?gid=0#gid=0"", 
""Gen_Ledger!A:N""), 
""SELECT SUM(Col10) WHERE Col7 = ""&amp;B60&amp;"" AND Col1 &gt;= DATE '"" &amp; TEXT($C$2, ""YYYY-MM-DD"") &amp; ""' AND "&amp;"Col1 &lt;= DATE '"" &amp; TEXT($C$3, ""YYYY-MM-DD"") &amp; ""' LABEL SUM(Col10) ''"", 0), """")"),"#REF!")</f>
        <v>#REF!</v>
      </c>
      <c r="E60" s="13" t="str">
        <f>IFERROR(__xludf.DUMMYFUNCTION("IFNA(QUERY(IMPORTRANGE(""https://docs.google.com/spreadsheets/d/1EHL-jm_NiShR1a2JqKbpaJGazYH90DJO150spY6io4k/edit?gid=0#gid=0"", 
""Gen_Ledger!A:N""), 
""SELECT SUM(Col11) WHERE Col7 = ""&amp;B60&amp;"" AND Col1 &gt;= DATE '"" &amp; TEXT($C$2, ""YYYY-MM-DD"") &amp; ""' AND "&amp;"Col1 &lt;= DATE '"" &amp; TEXT($C$3, ""YYYY-MM-DD"") &amp; ""' LABEL SUM(Col11) ''"", 0), """")"),"#REF!")</f>
        <v>#REF!</v>
      </c>
      <c r="F60" s="13" t="str">
        <f t="shared" ref="F60:F63" si="7">C60-E60+D60</f>
        <v>#N/A</v>
      </c>
    </row>
    <row r="61" ht="15.75" customHeight="1">
      <c r="A61" s="1"/>
      <c r="B61" s="1"/>
      <c r="C61" s="2" t="str">
        <f>VLOOKUP(B61,Helper!$D$99:$F1000,3,FALSE)</f>
        <v>#N/A</v>
      </c>
      <c r="D61" s="13" t="str">
        <f>IFERROR(__xludf.DUMMYFUNCTION("IFNA(QUERY(IMPORTRANGE(""https://docs.google.com/spreadsheets/d/1EHL-jm_NiShR1a2JqKbpaJGazYH90DJO150spY6io4k/edit?gid=0#gid=0"", 
""Gen_Ledger!A:N""), 
""SELECT SUM(Col10) WHERE Col7 = ""&amp;B61&amp;"" AND Col1 &gt;= DATE '"" &amp; TEXT($C$2, ""YYYY-MM-DD"") &amp; ""' AND "&amp;"Col1 &lt;= DATE '"" &amp; TEXT($C$3, ""YYYY-MM-DD"") &amp; ""' LABEL SUM(Col10) ''"", 0), """")"),"#REF!")</f>
        <v>#REF!</v>
      </c>
      <c r="E61" s="13" t="str">
        <f>IFERROR(__xludf.DUMMYFUNCTION("IFNA(QUERY(IMPORTRANGE(""https://docs.google.com/spreadsheets/d/1EHL-jm_NiShR1a2JqKbpaJGazYH90DJO150spY6io4k/edit?gid=0#gid=0"", 
""Gen_Ledger!A:N""), 
""SELECT SUM(Col11) WHERE Col7 = ""&amp;B61&amp;"" AND Col1 &gt;= DATE '"" &amp; TEXT($C$2, ""YYYY-MM-DD"") &amp; ""' AND "&amp;"Col1 &lt;= DATE '"" &amp; TEXT($C$3, ""YYYY-MM-DD"") &amp; ""' LABEL SUM(Col11) ''"", 0), """")"),"#REF!")</f>
        <v>#REF!</v>
      </c>
      <c r="F61" s="13" t="str">
        <f t="shared" si="7"/>
        <v>#N/A</v>
      </c>
    </row>
    <row r="62" ht="15.75" customHeight="1">
      <c r="A62" s="1"/>
      <c r="B62" s="1"/>
      <c r="C62" s="2" t="str">
        <f>VLOOKUP(B62,Helper!$D$99:$F1000,3,FALSE)</f>
        <v>#N/A</v>
      </c>
      <c r="D62" s="13" t="str">
        <f>IFERROR(__xludf.DUMMYFUNCTION("IFNA(QUERY(IMPORTRANGE(""https://docs.google.com/spreadsheets/d/1EHL-jm_NiShR1a2JqKbpaJGazYH90DJO150spY6io4k/edit?gid=0#gid=0"", 
""Gen_Ledger!A:N""), 
""SELECT SUM(Col10) WHERE Col7 = ""&amp;B62&amp;"" AND Col1 &gt;= DATE '"" &amp; TEXT($C$2, ""YYYY-MM-DD"") &amp; ""' AND "&amp;"Col1 &lt;= DATE '"" &amp; TEXT($C$3, ""YYYY-MM-DD"") &amp; ""' LABEL SUM(Col10) ''"", 0), """")"),"#REF!")</f>
        <v>#REF!</v>
      </c>
      <c r="E62" s="13" t="str">
        <f>IFERROR(__xludf.DUMMYFUNCTION("IFNA(QUERY(IMPORTRANGE(""https://docs.google.com/spreadsheets/d/1EHL-jm_NiShR1a2JqKbpaJGazYH90DJO150spY6io4k/edit?gid=0#gid=0"", 
""Gen_Ledger!A:N""), 
""SELECT SUM(Col11) WHERE Col7 = ""&amp;B62&amp;"" AND Col1 &gt;= DATE '"" &amp; TEXT($C$2, ""YYYY-MM-DD"") &amp; ""' AND "&amp;"Col1 &lt;= DATE '"" &amp; TEXT($C$3, ""YYYY-MM-DD"") &amp; ""' LABEL SUM(Col11) ''"", 0), """")"),"#REF!")</f>
        <v>#REF!</v>
      </c>
      <c r="F62" s="13" t="str">
        <f t="shared" si="7"/>
        <v>#N/A</v>
      </c>
    </row>
    <row r="63" ht="15.75" customHeight="1">
      <c r="A63" s="1"/>
      <c r="B63" s="1"/>
      <c r="C63" s="2" t="str">
        <f>VLOOKUP(B63,Helper!$D$99:$F1000,3,FALSE)</f>
        <v>#N/A</v>
      </c>
      <c r="D63" s="13" t="str">
        <f>IFERROR(__xludf.DUMMYFUNCTION("IFNA(QUERY(IMPORTRANGE(""https://docs.google.com/spreadsheets/d/1EHL-jm_NiShR1a2JqKbpaJGazYH90DJO150spY6io4k/edit?gid=0#gid=0"", 
""Gen_Ledger!A:N""), 
""SELECT SUM(Col10) WHERE Col7 = ""&amp;B63&amp;"" AND Col1 &gt;= DATE '"" &amp; TEXT($C$2, ""YYYY-MM-DD"") &amp; ""' AND "&amp;"Col1 &lt;= DATE '"" &amp; TEXT($C$3, ""YYYY-MM-DD"") &amp; ""' LABEL SUM(Col10) ''"", 0), """")"),"#REF!")</f>
        <v>#REF!</v>
      </c>
      <c r="E63" s="13" t="str">
        <f>IFERROR(__xludf.DUMMYFUNCTION("IFNA(QUERY(IMPORTRANGE(""https://docs.google.com/spreadsheets/d/1EHL-jm_NiShR1a2JqKbpaJGazYH90DJO150spY6io4k/edit?gid=0#gid=0"", 
""Gen_Ledger!A:N""), 
""SELECT SUM(Col11) WHERE Col7 = ""&amp;B63&amp;"" AND Col1 &gt;= DATE '"" &amp; TEXT($C$2, ""YYYY-MM-DD"") &amp; ""' AND "&amp;"Col1 &lt;= DATE '"" &amp; TEXT($C$3, ""YYYY-MM-DD"") &amp; ""' LABEL SUM(Col11) ''"", 0), """")"),"#REF!")</f>
        <v>#REF!</v>
      </c>
      <c r="F63" s="13" t="str">
        <f t="shared" si="7"/>
        <v>#N/A</v>
      </c>
    </row>
    <row r="64" ht="15.75" customHeight="1">
      <c r="A64" s="3"/>
      <c r="B64" s="3"/>
    </row>
    <row r="65" ht="15.75" customHeight="1">
      <c r="A65" s="3"/>
      <c r="B65" s="3"/>
    </row>
    <row r="66" ht="15.75" customHeight="1">
      <c r="A66" s="3"/>
      <c r="B66" s="3"/>
    </row>
    <row r="67" ht="15.75" customHeight="1">
      <c r="A67" s="3"/>
      <c r="B67" s="3"/>
    </row>
    <row r="68" ht="15.75" customHeight="1">
      <c r="A68" s="3"/>
      <c r="B68" s="3"/>
    </row>
    <row r="69" ht="15.75" customHeight="1">
      <c r="A69" s="3"/>
      <c r="B69" s="3"/>
    </row>
    <row r="70" ht="15.75" customHeight="1">
      <c r="A70" s="3"/>
      <c r="B70" s="3"/>
    </row>
    <row r="71" ht="15.75" customHeight="1">
      <c r="A71" s="3"/>
      <c r="B71" s="3"/>
    </row>
    <row r="72" ht="15.75" customHeight="1">
      <c r="A72" s="3"/>
      <c r="B72" s="3"/>
    </row>
    <row r="73" ht="15.75" customHeight="1">
      <c r="A73" s="3"/>
      <c r="B73" s="3"/>
    </row>
    <row r="74" ht="15.75" customHeight="1">
      <c r="A74" s="3"/>
      <c r="B74" s="3"/>
    </row>
    <row r="75" ht="15.75" customHeight="1">
      <c r="A75" s="3"/>
      <c r="B75" s="3"/>
    </row>
    <row r="76" ht="15.75" customHeight="1">
      <c r="A76" s="3"/>
      <c r="B76" s="3"/>
    </row>
    <row r="77" ht="15.75" customHeight="1">
      <c r="A77" s="3"/>
      <c r="B77" s="3"/>
    </row>
    <row r="78" ht="15.75" customHeight="1">
      <c r="A78" s="3"/>
      <c r="B78" s="3"/>
    </row>
    <row r="79" ht="15.75" customHeight="1">
      <c r="A79" s="3"/>
      <c r="B79" s="3"/>
    </row>
    <row r="80" ht="15.75" customHeight="1">
      <c r="A80" s="3"/>
      <c r="B80" s="3"/>
    </row>
    <row r="81" ht="15.75" customHeight="1">
      <c r="A81" s="3"/>
      <c r="B81" s="3"/>
    </row>
    <row r="82" ht="15.75" customHeight="1">
      <c r="A82" s="3"/>
      <c r="B82" s="3"/>
    </row>
    <row r="83" ht="15.75" customHeight="1">
      <c r="A83" s="3"/>
      <c r="B83" s="3"/>
    </row>
    <row r="84" ht="15.75" customHeight="1">
      <c r="A84" s="3"/>
      <c r="B84" s="3"/>
    </row>
    <row r="85" ht="15.75" customHeight="1">
      <c r="A85" s="3"/>
      <c r="B85" s="3"/>
    </row>
    <row r="86" ht="15.75" customHeight="1">
      <c r="A86" s="3"/>
      <c r="B86" s="3"/>
    </row>
    <row r="87" ht="15.75" customHeight="1">
      <c r="A87" s="3"/>
      <c r="B87" s="3"/>
    </row>
    <row r="88" ht="15.75" customHeight="1">
      <c r="A88" s="3"/>
      <c r="B88" s="3"/>
    </row>
    <row r="89" ht="15.75" customHeight="1">
      <c r="A89" s="3"/>
      <c r="B89" s="3"/>
    </row>
    <row r="90" ht="15.75" customHeight="1">
      <c r="A90" s="3"/>
      <c r="B90" s="3"/>
    </row>
    <row r="91" ht="15.75" customHeight="1">
      <c r="A91" s="3"/>
      <c r="B91" s="3"/>
    </row>
    <row r="92" ht="15.75" customHeight="1">
      <c r="A92" s="3"/>
      <c r="B92" s="3"/>
    </row>
    <row r="93" ht="15.75" customHeight="1">
      <c r="A93" s="3"/>
      <c r="B93" s="3"/>
    </row>
    <row r="94" ht="15.75" customHeight="1">
      <c r="A94" s="3"/>
      <c r="B94" s="3"/>
    </row>
    <row r="95" ht="15.75" customHeight="1">
      <c r="A95" s="3"/>
      <c r="B95" s="3"/>
    </row>
    <row r="96" ht="15.75" customHeight="1">
      <c r="A96" s="3"/>
      <c r="B96" s="3"/>
    </row>
    <row r="97" ht="15.75" customHeight="1">
      <c r="A97" s="3"/>
      <c r="B97" s="3"/>
    </row>
    <row r="98" ht="15.75" customHeight="1">
      <c r="A98" s="3"/>
      <c r="B98" s="3"/>
    </row>
    <row r="99" ht="15.75" customHeight="1">
      <c r="A99" s="3"/>
      <c r="B99" s="3"/>
    </row>
    <row r="100" ht="15.75" customHeight="1">
      <c r="A100" s="3"/>
      <c r="B100" s="3"/>
    </row>
    <row r="101" ht="15.75" customHeight="1">
      <c r="A101" s="3"/>
      <c r="B101" s="3"/>
    </row>
    <row r="102" ht="15.75" customHeight="1">
      <c r="A102" s="3"/>
      <c r="B102" s="3"/>
    </row>
    <row r="103" ht="15.75" customHeight="1">
      <c r="A103" s="3"/>
      <c r="B103" s="3"/>
    </row>
    <row r="104" ht="15.75" customHeight="1">
      <c r="A104" s="3"/>
      <c r="B104" s="3"/>
    </row>
    <row r="105" ht="15.75" customHeight="1">
      <c r="A105" s="3"/>
      <c r="B105" s="3"/>
    </row>
    <row r="106" ht="15.75" customHeight="1">
      <c r="A106" s="3"/>
      <c r="B106" s="3"/>
    </row>
    <row r="107" ht="15.75" customHeight="1">
      <c r="A107" s="3"/>
      <c r="B107" s="3"/>
    </row>
    <row r="108" ht="15.75" customHeight="1">
      <c r="A108" s="3"/>
      <c r="B108" s="3"/>
    </row>
    <row r="109" ht="15.75" customHeight="1">
      <c r="A109" s="3"/>
      <c r="B109" s="3"/>
    </row>
    <row r="110" ht="15.75" customHeight="1">
      <c r="A110" s="3"/>
      <c r="B110" s="3"/>
    </row>
    <row r="111" ht="15.75" customHeight="1">
      <c r="A111" s="3"/>
      <c r="B111" s="3"/>
    </row>
    <row r="112" ht="15.75" customHeight="1">
      <c r="A112" s="3"/>
      <c r="B112" s="3"/>
    </row>
    <row r="113" ht="15.75" customHeight="1">
      <c r="A113" s="3"/>
      <c r="B113" s="3"/>
    </row>
    <row r="114" ht="15.75" customHeight="1">
      <c r="A114" s="3"/>
      <c r="B114" s="3"/>
    </row>
    <row r="115" ht="15.75" customHeight="1">
      <c r="A115" s="3"/>
      <c r="B115" s="3"/>
    </row>
    <row r="116" ht="15.75" customHeight="1">
      <c r="A116" s="3"/>
      <c r="B116" s="3"/>
    </row>
    <row r="117" ht="15.75" customHeight="1">
      <c r="A117" s="3"/>
      <c r="B117" s="3"/>
    </row>
    <row r="118" ht="15.75" customHeight="1">
      <c r="A118" s="3"/>
      <c r="B118" s="3"/>
    </row>
    <row r="119" ht="15.75" customHeight="1">
      <c r="A119" s="3"/>
      <c r="B119" s="3"/>
    </row>
    <row r="120" ht="15.75" customHeight="1">
      <c r="A120" s="3"/>
      <c r="B120" s="3"/>
    </row>
    <row r="121" ht="15.75" customHeight="1">
      <c r="A121" s="3"/>
      <c r="B121" s="3"/>
    </row>
    <row r="122" ht="15.75" customHeight="1">
      <c r="A122" s="3"/>
      <c r="B122" s="3"/>
    </row>
    <row r="123" ht="15.75" customHeight="1">
      <c r="A123" s="3"/>
      <c r="B123" s="3"/>
    </row>
    <row r="124" ht="15.75" customHeight="1">
      <c r="A124" s="3"/>
      <c r="B124" s="3"/>
    </row>
    <row r="125" ht="15.75" customHeight="1">
      <c r="A125" s="3"/>
      <c r="B125" s="3"/>
    </row>
    <row r="126" ht="15.75" customHeight="1">
      <c r="A126" s="3"/>
      <c r="B126" s="3"/>
    </row>
    <row r="127" ht="15.75" customHeight="1">
      <c r="A127" s="3"/>
      <c r="B127" s="3"/>
    </row>
    <row r="128" ht="15.75" customHeight="1">
      <c r="A128" s="3"/>
      <c r="B128" s="3"/>
    </row>
    <row r="129" ht="15.75" customHeight="1">
      <c r="A129" s="3"/>
      <c r="B129" s="3"/>
    </row>
    <row r="130" ht="15.75" customHeight="1">
      <c r="A130" s="3"/>
      <c r="B130" s="3"/>
    </row>
    <row r="131" ht="15.75" customHeight="1">
      <c r="A131" s="3"/>
      <c r="B131" s="3"/>
    </row>
    <row r="132" ht="15.75" customHeight="1">
      <c r="A132" s="3"/>
      <c r="B132" s="3"/>
    </row>
    <row r="133" ht="15.75" customHeight="1">
      <c r="A133" s="3"/>
      <c r="B133" s="3"/>
    </row>
    <row r="134" ht="15.75" customHeight="1">
      <c r="A134" s="3"/>
      <c r="B134" s="3"/>
    </row>
    <row r="135" ht="15.75" customHeight="1">
      <c r="A135" s="3"/>
      <c r="B135" s="3"/>
    </row>
    <row r="136" ht="15.75" customHeight="1">
      <c r="A136" s="3"/>
      <c r="B136" s="3"/>
    </row>
    <row r="137" ht="15.75" customHeight="1">
      <c r="A137" s="3"/>
      <c r="B137" s="3"/>
    </row>
    <row r="138" ht="15.75" customHeight="1">
      <c r="A138" s="3"/>
      <c r="B138" s="3"/>
    </row>
    <row r="139" ht="15.75" customHeight="1">
      <c r="A139" s="3"/>
      <c r="B139" s="3"/>
    </row>
    <row r="140" ht="15.75" customHeight="1">
      <c r="A140" s="3"/>
      <c r="B140" s="3"/>
    </row>
    <row r="141" ht="15.75" customHeight="1">
      <c r="A141" s="3"/>
      <c r="B141" s="3"/>
    </row>
    <row r="142" ht="15.75" customHeight="1">
      <c r="A142" s="3"/>
      <c r="B142" s="3"/>
    </row>
    <row r="143" ht="15.75" customHeight="1">
      <c r="A143" s="3"/>
      <c r="B143" s="3"/>
    </row>
    <row r="144" ht="15.75" customHeight="1">
      <c r="A144" s="3"/>
      <c r="B144" s="3"/>
    </row>
    <row r="145" ht="15.75" customHeight="1">
      <c r="A145" s="3"/>
      <c r="B145" s="3"/>
    </row>
    <row r="146" ht="15.75" customHeight="1">
      <c r="A146" s="3"/>
      <c r="B146" s="3"/>
    </row>
    <row r="147" ht="15.75" customHeight="1">
      <c r="A147" s="3"/>
      <c r="B147" s="3"/>
    </row>
    <row r="148" ht="15.75" customHeight="1">
      <c r="A148" s="3"/>
      <c r="B148" s="3"/>
    </row>
    <row r="149" ht="15.75" customHeight="1">
      <c r="A149" s="3"/>
      <c r="B149" s="3"/>
    </row>
    <row r="150" ht="15.75" customHeight="1">
      <c r="A150" s="3"/>
      <c r="B150" s="3"/>
    </row>
    <row r="151" ht="15.75" customHeight="1">
      <c r="A151" s="3"/>
      <c r="B151" s="3"/>
    </row>
    <row r="152" ht="15.75" customHeight="1">
      <c r="A152" s="3"/>
      <c r="B152" s="3"/>
    </row>
    <row r="153" ht="15.75" customHeight="1">
      <c r="A153" s="3"/>
      <c r="B153" s="3"/>
    </row>
    <row r="154" ht="15.75" customHeight="1">
      <c r="A154" s="3"/>
      <c r="B154" s="3"/>
    </row>
    <row r="155" ht="15.75" customHeight="1">
      <c r="A155" s="3"/>
      <c r="B155" s="3"/>
    </row>
    <row r="156" ht="15.75" customHeight="1">
      <c r="A156" s="3"/>
      <c r="B156" s="3"/>
    </row>
    <row r="157" ht="15.75" customHeight="1">
      <c r="A157" s="3"/>
      <c r="B157" s="3"/>
    </row>
    <row r="158" ht="15.75" customHeight="1">
      <c r="A158" s="3"/>
      <c r="B158" s="3"/>
    </row>
    <row r="159" ht="15.75" customHeight="1">
      <c r="A159" s="3"/>
      <c r="B159" s="3"/>
    </row>
    <row r="160" ht="15.75" customHeight="1">
      <c r="A160" s="3"/>
      <c r="B160" s="3"/>
    </row>
    <row r="161" ht="15.75" customHeight="1">
      <c r="A161" s="3"/>
      <c r="B161" s="3"/>
    </row>
    <row r="162" ht="15.75" customHeight="1">
      <c r="A162" s="3"/>
      <c r="B162" s="3"/>
    </row>
    <row r="163" ht="15.75" customHeight="1">
      <c r="A163" s="3"/>
      <c r="B163" s="3"/>
    </row>
    <row r="164" ht="15.75" customHeight="1">
      <c r="A164" s="3"/>
      <c r="B164" s="3"/>
    </row>
    <row r="165" ht="15.75" customHeight="1">
      <c r="A165" s="3"/>
      <c r="B165" s="3"/>
    </row>
    <row r="166" ht="15.75" customHeight="1">
      <c r="A166" s="3"/>
      <c r="B166" s="3"/>
    </row>
    <row r="167" ht="15.75" customHeight="1">
      <c r="A167" s="3"/>
      <c r="B167" s="3"/>
    </row>
    <row r="168" ht="15.75" customHeight="1">
      <c r="A168" s="3"/>
      <c r="B168" s="3"/>
    </row>
    <row r="169" ht="15.75" customHeight="1">
      <c r="A169" s="3"/>
      <c r="B169" s="3"/>
    </row>
    <row r="170" ht="15.75" customHeight="1">
      <c r="A170" s="3"/>
      <c r="B170" s="3"/>
    </row>
    <row r="171" ht="15.75" customHeight="1">
      <c r="A171" s="3"/>
      <c r="B171" s="3"/>
    </row>
    <row r="172" ht="15.75" customHeight="1">
      <c r="A172" s="3"/>
      <c r="B172" s="3"/>
    </row>
    <row r="173" ht="15.75" customHeight="1">
      <c r="A173" s="3"/>
      <c r="B173" s="3"/>
    </row>
    <row r="174" ht="15.75" customHeight="1">
      <c r="A174" s="3"/>
      <c r="B174" s="3"/>
    </row>
    <row r="175" ht="15.75" customHeight="1">
      <c r="A175" s="3"/>
      <c r="B175" s="3"/>
    </row>
    <row r="176" ht="15.75" customHeight="1">
      <c r="A176" s="3"/>
      <c r="B176" s="3"/>
    </row>
    <row r="177" ht="15.75" customHeight="1">
      <c r="A177" s="3"/>
      <c r="B177" s="3"/>
    </row>
    <row r="178" ht="15.75" customHeight="1">
      <c r="A178" s="3"/>
      <c r="B178" s="3"/>
    </row>
    <row r="179" ht="15.75" customHeight="1">
      <c r="A179" s="3"/>
      <c r="B179" s="3"/>
    </row>
    <row r="180" ht="15.75" customHeight="1">
      <c r="A180" s="3"/>
      <c r="B180" s="3"/>
    </row>
    <row r="181" ht="15.75" customHeight="1">
      <c r="A181" s="3"/>
      <c r="B181" s="3"/>
    </row>
    <row r="182" ht="15.75" customHeight="1">
      <c r="A182" s="3"/>
      <c r="B182" s="3"/>
    </row>
    <row r="183" ht="15.75" customHeight="1">
      <c r="A183" s="3"/>
      <c r="B183" s="3"/>
    </row>
    <row r="184" ht="15.75" customHeight="1">
      <c r="A184" s="3"/>
      <c r="B184" s="3"/>
    </row>
    <row r="185" ht="15.75" customHeight="1">
      <c r="A185" s="3"/>
      <c r="B185" s="3"/>
    </row>
    <row r="186" ht="15.75" customHeight="1">
      <c r="A186" s="3"/>
      <c r="B186" s="3"/>
    </row>
    <row r="187" ht="15.75" customHeight="1">
      <c r="A187" s="3"/>
      <c r="B187" s="3"/>
    </row>
    <row r="188" ht="15.75" customHeight="1">
      <c r="A188" s="3"/>
      <c r="B188" s="3"/>
    </row>
    <row r="189" ht="15.75" customHeight="1">
      <c r="A189" s="3"/>
      <c r="B189" s="3"/>
    </row>
    <row r="190" ht="15.75" customHeight="1">
      <c r="A190" s="3"/>
      <c r="B190" s="3"/>
    </row>
    <row r="191" ht="15.75" customHeight="1">
      <c r="A191" s="3"/>
      <c r="B191" s="3"/>
    </row>
    <row r="192" ht="15.75" customHeight="1">
      <c r="A192" s="3"/>
      <c r="B192" s="3"/>
    </row>
    <row r="193" ht="15.75" customHeight="1">
      <c r="A193" s="3"/>
      <c r="B193" s="3"/>
    </row>
    <row r="194" ht="15.75" customHeight="1">
      <c r="A194" s="3"/>
      <c r="B194" s="3"/>
    </row>
    <row r="195" ht="15.75" customHeight="1">
      <c r="A195" s="3"/>
      <c r="B195" s="3"/>
    </row>
    <row r="196" ht="15.75" customHeight="1">
      <c r="A196" s="3"/>
      <c r="B196" s="3"/>
    </row>
    <row r="197" ht="15.75" customHeight="1">
      <c r="A197" s="3"/>
      <c r="B197" s="3"/>
    </row>
    <row r="198" ht="15.75" customHeight="1">
      <c r="A198" s="3"/>
      <c r="B198" s="3"/>
    </row>
    <row r="199" ht="15.75" customHeight="1">
      <c r="A199" s="3"/>
      <c r="B199" s="3"/>
    </row>
    <row r="200" ht="15.75" customHeight="1">
      <c r="A200" s="3"/>
      <c r="B200" s="3"/>
    </row>
    <row r="201" ht="15.75" customHeight="1">
      <c r="A201" s="3"/>
      <c r="B201" s="3"/>
    </row>
    <row r="202" ht="15.75" customHeight="1">
      <c r="A202" s="3"/>
      <c r="B202" s="3"/>
    </row>
    <row r="203" ht="15.75" customHeight="1">
      <c r="A203" s="3"/>
      <c r="B203" s="3"/>
    </row>
    <row r="204" ht="15.75" customHeight="1">
      <c r="A204" s="3"/>
      <c r="B204" s="3"/>
    </row>
    <row r="205" ht="15.75" customHeight="1">
      <c r="A205" s="3"/>
      <c r="B205" s="3"/>
    </row>
    <row r="206" ht="15.75" customHeight="1">
      <c r="A206" s="3"/>
      <c r="B206" s="3"/>
    </row>
    <row r="207" ht="15.75" customHeight="1">
      <c r="A207" s="3"/>
      <c r="B207" s="3"/>
    </row>
    <row r="208" ht="15.75" customHeight="1">
      <c r="A208" s="3"/>
      <c r="B208" s="3"/>
    </row>
    <row r="209" ht="15.75" customHeight="1">
      <c r="A209" s="3"/>
      <c r="B209" s="3"/>
    </row>
    <row r="210" ht="15.75" customHeight="1">
      <c r="A210" s="3"/>
      <c r="B210" s="3"/>
    </row>
    <row r="211" ht="15.75" customHeight="1">
      <c r="A211" s="3"/>
      <c r="B211" s="3"/>
    </row>
    <row r="212" ht="15.75" customHeight="1">
      <c r="A212" s="3"/>
      <c r="B212" s="3"/>
    </row>
    <row r="213" ht="15.75" customHeight="1">
      <c r="A213" s="3"/>
      <c r="B213" s="3"/>
    </row>
    <row r="214" ht="15.75" customHeight="1">
      <c r="A214" s="3"/>
      <c r="B214" s="3"/>
    </row>
    <row r="215" ht="15.75" customHeight="1">
      <c r="A215" s="3"/>
      <c r="B215" s="3"/>
    </row>
    <row r="216" ht="15.75" customHeight="1">
      <c r="A216" s="3"/>
      <c r="B216" s="3"/>
    </row>
    <row r="217" ht="15.75" customHeight="1">
      <c r="A217" s="3"/>
      <c r="B217" s="3"/>
    </row>
    <row r="218" ht="15.75" customHeight="1">
      <c r="A218" s="3"/>
      <c r="B218" s="3"/>
    </row>
    <row r="219" ht="15.75" customHeight="1">
      <c r="A219" s="3"/>
      <c r="B219" s="3"/>
    </row>
    <row r="220" ht="15.75" customHeight="1">
      <c r="A220" s="3"/>
      <c r="B220" s="3"/>
    </row>
    <row r="221" ht="15.75" customHeight="1">
      <c r="A221" s="3"/>
      <c r="B221" s="3"/>
    </row>
    <row r="222" ht="15.75" customHeight="1">
      <c r="A222" s="3"/>
      <c r="B222" s="3"/>
    </row>
    <row r="223" ht="15.75" customHeight="1">
      <c r="A223" s="3"/>
      <c r="B223" s="3"/>
    </row>
    <row r="224" ht="15.75" customHeight="1">
      <c r="A224" s="3"/>
      <c r="B224" s="3"/>
    </row>
    <row r="225" ht="15.75" customHeight="1">
      <c r="A225" s="3"/>
      <c r="B225" s="3"/>
    </row>
    <row r="226" ht="15.75" customHeight="1">
      <c r="A226" s="3"/>
      <c r="B226" s="3"/>
    </row>
    <row r="227" ht="15.75" customHeight="1">
      <c r="A227" s="3"/>
      <c r="B227" s="3"/>
    </row>
    <row r="228" ht="15.75" customHeight="1">
      <c r="A228" s="3"/>
      <c r="B228" s="3"/>
    </row>
    <row r="229" ht="15.75" customHeight="1">
      <c r="A229" s="3"/>
      <c r="B229" s="3"/>
    </row>
    <row r="230" ht="15.75" customHeight="1">
      <c r="A230" s="3"/>
      <c r="B230" s="3"/>
    </row>
    <row r="231" ht="15.75" customHeight="1">
      <c r="A231" s="3"/>
      <c r="B231" s="3"/>
    </row>
    <row r="232" ht="15.75" customHeight="1">
      <c r="A232" s="3"/>
      <c r="B232" s="3"/>
    </row>
    <row r="233" ht="15.75" customHeight="1">
      <c r="A233" s="3"/>
      <c r="B233" s="3"/>
    </row>
    <row r="234" ht="15.75" customHeight="1">
      <c r="A234" s="3"/>
      <c r="B234" s="3"/>
    </row>
    <row r="235" ht="15.75" customHeight="1">
      <c r="A235" s="3"/>
      <c r="B235" s="3"/>
    </row>
    <row r="236" ht="15.75" customHeight="1">
      <c r="A236" s="3"/>
      <c r="B236" s="3"/>
    </row>
    <row r="237" ht="15.75" customHeight="1">
      <c r="A237" s="3"/>
      <c r="B237" s="3"/>
    </row>
    <row r="238" ht="15.75" customHeight="1">
      <c r="A238" s="3"/>
      <c r="B238" s="3"/>
    </row>
    <row r="239" ht="15.75" customHeight="1">
      <c r="A239" s="3"/>
      <c r="B239" s="3"/>
    </row>
    <row r="240" ht="15.75" customHeight="1">
      <c r="A240" s="3"/>
      <c r="B240" s="3"/>
    </row>
    <row r="241" ht="15.75" customHeight="1">
      <c r="A241" s="3"/>
      <c r="B241" s="3"/>
    </row>
    <row r="242" ht="15.75" customHeight="1">
      <c r="A242" s="3"/>
      <c r="B242" s="3"/>
    </row>
    <row r="243" ht="15.75" customHeight="1">
      <c r="A243" s="3"/>
      <c r="B243" s="3"/>
    </row>
    <row r="244" ht="15.75" customHeight="1">
      <c r="A244" s="3"/>
      <c r="B244" s="3"/>
    </row>
    <row r="245" ht="15.75" customHeight="1">
      <c r="A245" s="3"/>
      <c r="B245" s="3"/>
    </row>
    <row r="246" ht="15.75" customHeight="1">
      <c r="A246" s="3"/>
      <c r="B246" s="3"/>
    </row>
    <row r="247" ht="15.75" customHeight="1">
      <c r="A247" s="3"/>
      <c r="B247" s="3"/>
    </row>
    <row r="248" ht="15.75" customHeight="1">
      <c r="A248" s="3"/>
      <c r="B248" s="3"/>
    </row>
    <row r="249" ht="15.75" customHeight="1">
      <c r="A249" s="3"/>
      <c r="B249" s="3"/>
    </row>
    <row r="250" ht="15.75" customHeight="1">
      <c r="A250" s="3"/>
      <c r="B250" s="3"/>
    </row>
    <row r="251" ht="15.75" customHeight="1">
      <c r="A251" s="3"/>
      <c r="B251" s="3"/>
    </row>
    <row r="252" ht="15.75" customHeight="1">
      <c r="A252" s="3"/>
      <c r="B252" s="3"/>
    </row>
    <row r="253" ht="15.75" customHeight="1">
      <c r="A253" s="3"/>
      <c r="B253" s="3"/>
    </row>
    <row r="254" ht="15.75" customHeight="1">
      <c r="A254" s="3"/>
      <c r="B254" s="3"/>
    </row>
    <row r="255" ht="15.75" customHeight="1">
      <c r="A255" s="3"/>
      <c r="B255" s="3"/>
    </row>
    <row r="256" ht="15.75" customHeight="1">
      <c r="A256" s="3"/>
      <c r="B256" s="3"/>
    </row>
    <row r="257" ht="15.75" customHeight="1">
      <c r="A257" s="3"/>
      <c r="B257" s="3"/>
    </row>
    <row r="258" ht="15.75" customHeight="1">
      <c r="A258" s="3"/>
      <c r="B258" s="3"/>
    </row>
    <row r="259" ht="15.75" customHeight="1">
      <c r="A259" s="3"/>
      <c r="B259" s="3"/>
    </row>
    <row r="260" ht="15.75" customHeight="1">
      <c r="A260" s="3"/>
      <c r="B260" s="3"/>
    </row>
    <row r="261" ht="15.75" customHeight="1">
      <c r="A261" s="3"/>
      <c r="B261" s="3"/>
    </row>
    <row r="262" ht="15.75" customHeight="1">
      <c r="A262" s="3"/>
      <c r="B262" s="3"/>
    </row>
    <row r="263" ht="15.75" customHeight="1">
      <c r="A263" s="3"/>
      <c r="B263" s="3"/>
    </row>
    <row r="264" ht="15.75" customHeight="1">
      <c r="A264" s="14"/>
      <c r="B264" s="14"/>
    </row>
    <row r="265" ht="15.75" customHeight="1">
      <c r="A265" s="14"/>
      <c r="B265" s="14"/>
    </row>
    <row r="266" ht="15.75" customHeight="1">
      <c r="A266" s="14"/>
      <c r="B266" s="14"/>
    </row>
    <row r="267" ht="15.75" customHeight="1">
      <c r="A267" s="14"/>
      <c r="B267" s="14"/>
    </row>
    <row r="268" ht="15.75" customHeight="1">
      <c r="A268" s="14"/>
      <c r="B268" s="14"/>
    </row>
    <row r="269" ht="15.75" customHeight="1">
      <c r="A269" s="14"/>
      <c r="B269" s="14"/>
    </row>
    <row r="270" ht="15.75" customHeight="1">
      <c r="A270" s="14"/>
      <c r="B270" s="14"/>
    </row>
    <row r="271" ht="15.75" customHeight="1">
      <c r="A271" s="14"/>
      <c r="B271" s="14"/>
    </row>
    <row r="272" ht="15.75" customHeight="1">
      <c r="A272" s="14"/>
      <c r="B272" s="14"/>
    </row>
    <row r="273" ht="15.75" customHeight="1">
      <c r="A273" s="14"/>
      <c r="B273" s="14"/>
    </row>
    <row r="274" ht="15.75" customHeight="1">
      <c r="A274" s="14"/>
      <c r="B274" s="14"/>
    </row>
    <row r="275" ht="15.75" customHeight="1">
      <c r="A275" s="14"/>
      <c r="B275" s="14"/>
    </row>
    <row r="276" ht="15.75" customHeight="1">
      <c r="A276" s="14"/>
      <c r="B276" s="14"/>
    </row>
    <row r="277" ht="15.75" customHeight="1">
      <c r="A277" s="14"/>
      <c r="B277" s="14"/>
    </row>
    <row r="278" ht="15.75" customHeight="1">
      <c r="A278" s="14"/>
      <c r="B278" s="14"/>
    </row>
    <row r="279" ht="15.75" customHeight="1">
      <c r="A279" s="14"/>
      <c r="B279" s="14"/>
    </row>
    <row r="280" ht="15.75" customHeight="1">
      <c r="A280" s="14"/>
      <c r="B280" s="14"/>
    </row>
    <row r="281" ht="15.75" customHeight="1">
      <c r="A281" s="14"/>
      <c r="B281" s="14"/>
    </row>
    <row r="282" ht="15.75" customHeight="1">
      <c r="A282" s="14"/>
      <c r="B282" s="14"/>
    </row>
    <row r="283" ht="15.75" customHeight="1">
      <c r="A283" s="14"/>
      <c r="B283" s="14"/>
    </row>
    <row r="284" ht="15.75" customHeight="1">
      <c r="A284" s="14"/>
      <c r="B284" s="14"/>
    </row>
    <row r="285" ht="15.75" customHeight="1">
      <c r="A285" s="14"/>
      <c r="B285" s="14"/>
    </row>
    <row r="286" ht="15.75" customHeight="1">
      <c r="A286" s="14"/>
      <c r="B286" s="14"/>
    </row>
    <row r="287" ht="15.75" customHeight="1">
      <c r="A287" s="14"/>
      <c r="B287" s="14"/>
    </row>
    <row r="288" ht="15.75" customHeight="1">
      <c r="A288" s="14"/>
      <c r="B288" s="14"/>
    </row>
    <row r="289" ht="15.75" customHeight="1">
      <c r="A289" s="14"/>
      <c r="B289" s="14"/>
    </row>
    <row r="290" ht="15.75" customHeight="1">
      <c r="A290" s="14"/>
      <c r="B290" s="14"/>
    </row>
    <row r="291" ht="15.75" customHeight="1">
      <c r="A291" s="14"/>
      <c r="B291" s="14"/>
    </row>
    <row r="292" ht="15.75" customHeight="1">
      <c r="A292" s="14"/>
      <c r="B292" s="14"/>
    </row>
    <row r="293" ht="15.75" customHeight="1">
      <c r="A293" s="14"/>
      <c r="B293" s="14"/>
    </row>
    <row r="294" ht="15.75" customHeight="1">
      <c r="A294" s="14"/>
      <c r="B294" s="14"/>
    </row>
    <row r="295" ht="15.75" customHeight="1">
      <c r="A295" s="14"/>
      <c r="B295" s="14"/>
    </row>
    <row r="296" ht="15.75" customHeight="1">
      <c r="A296" s="14"/>
      <c r="B296" s="14"/>
    </row>
    <row r="297" ht="15.75" customHeight="1">
      <c r="A297" s="14"/>
      <c r="B297" s="14"/>
    </row>
    <row r="298" ht="15.75" customHeight="1">
      <c r="A298" s="14"/>
      <c r="B298" s="14"/>
    </row>
    <row r="299" ht="15.75" customHeight="1">
      <c r="A299" s="14"/>
      <c r="B299" s="14"/>
    </row>
    <row r="300" ht="15.75" customHeight="1">
      <c r="A300" s="14"/>
      <c r="B300" s="14"/>
    </row>
    <row r="301" ht="15.75" customHeight="1">
      <c r="A301" s="14"/>
      <c r="B301" s="14"/>
    </row>
    <row r="302" ht="15.75" customHeight="1">
      <c r="A302" s="14"/>
      <c r="B302" s="14"/>
    </row>
    <row r="303" ht="15.75" customHeight="1">
      <c r="A303" s="14"/>
      <c r="B303" s="14"/>
    </row>
    <row r="304" ht="15.75" customHeight="1">
      <c r="A304" s="14"/>
      <c r="B304" s="14"/>
    </row>
    <row r="305" ht="15.75" customHeight="1">
      <c r="A305" s="14"/>
      <c r="B305" s="14"/>
    </row>
    <row r="306" ht="15.75" customHeight="1">
      <c r="A306" s="14"/>
      <c r="B306" s="14"/>
    </row>
    <row r="307" ht="15.75" customHeight="1">
      <c r="A307" s="14"/>
      <c r="B307" s="14"/>
    </row>
    <row r="308" ht="15.75" customHeight="1">
      <c r="A308" s="14"/>
      <c r="B308" s="14"/>
    </row>
    <row r="309" ht="15.75" customHeight="1">
      <c r="A309" s="14"/>
      <c r="B309" s="14"/>
    </row>
    <row r="310" ht="15.75" customHeight="1">
      <c r="A310" s="14"/>
      <c r="B310" s="14"/>
    </row>
    <row r="311" ht="15.75" customHeight="1">
      <c r="A311" s="14"/>
      <c r="B311" s="14"/>
    </row>
    <row r="312" ht="15.75" customHeight="1">
      <c r="A312" s="14"/>
      <c r="B312" s="14"/>
    </row>
    <row r="313" ht="15.75" customHeight="1">
      <c r="A313" s="14"/>
      <c r="B313" s="14"/>
    </row>
    <row r="314" ht="15.75" customHeight="1">
      <c r="A314" s="14"/>
      <c r="B314" s="14"/>
    </row>
    <row r="315" ht="15.75" customHeight="1">
      <c r="A315" s="14"/>
      <c r="B315" s="14"/>
    </row>
    <row r="316" ht="15.75" customHeight="1">
      <c r="A316" s="14"/>
      <c r="B316" s="14"/>
    </row>
    <row r="317" ht="15.75" customHeight="1">
      <c r="A317" s="14"/>
      <c r="B317" s="14"/>
    </row>
    <row r="318" ht="15.75" customHeight="1">
      <c r="A318" s="14"/>
      <c r="B318" s="14"/>
    </row>
    <row r="319" ht="15.75" customHeight="1">
      <c r="A319" s="14"/>
      <c r="B319" s="14"/>
    </row>
    <row r="320" ht="15.75" customHeight="1">
      <c r="A320" s="14"/>
      <c r="B320" s="14"/>
    </row>
    <row r="321" ht="15.75" customHeight="1">
      <c r="A321" s="14"/>
      <c r="B321" s="14"/>
    </row>
    <row r="322" ht="15.75" customHeight="1">
      <c r="A322" s="14"/>
      <c r="B322" s="14"/>
    </row>
    <row r="323" ht="15.75" customHeight="1">
      <c r="A323" s="14"/>
      <c r="B323" s="14"/>
    </row>
    <row r="324" ht="15.75" customHeight="1">
      <c r="A324" s="14"/>
      <c r="B324" s="14"/>
    </row>
    <row r="325" ht="15.75" customHeight="1">
      <c r="A325" s="14"/>
      <c r="B325" s="14"/>
    </row>
    <row r="326" ht="15.75" customHeight="1">
      <c r="A326" s="14"/>
      <c r="B326" s="14"/>
    </row>
    <row r="327" ht="15.75" customHeight="1">
      <c r="A327" s="14"/>
      <c r="B327" s="14"/>
    </row>
    <row r="328" ht="15.75" customHeight="1">
      <c r="A328" s="14"/>
      <c r="B328" s="14"/>
    </row>
    <row r="329" ht="15.75" customHeight="1">
      <c r="A329" s="14"/>
      <c r="B329" s="14"/>
    </row>
    <row r="330" ht="15.75" customHeight="1">
      <c r="A330" s="14"/>
      <c r="B330" s="14"/>
    </row>
    <row r="331" ht="15.75" customHeight="1">
      <c r="A331" s="14"/>
      <c r="B331" s="14"/>
    </row>
    <row r="332" ht="15.75" customHeight="1">
      <c r="A332" s="14"/>
      <c r="B332" s="14"/>
    </row>
    <row r="333" ht="15.75" customHeight="1">
      <c r="A333" s="14"/>
      <c r="B333" s="14"/>
    </row>
    <row r="334" ht="15.75" customHeight="1">
      <c r="A334" s="14"/>
      <c r="B334" s="14"/>
    </row>
    <row r="335" ht="15.75" customHeight="1">
      <c r="A335" s="14"/>
      <c r="B335" s="14"/>
    </row>
    <row r="336" ht="15.75" customHeight="1">
      <c r="A336" s="14"/>
      <c r="B336" s="14"/>
    </row>
    <row r="337" ht="15.75" customHeight="1">
      <c r="A337" s="14"/>
      <c r="B337" s="14"/>
    </row>
    <row r="338" ht="15.75" customHeight="1">
      <c r="A338" s="14"/>
      <c r="B338" s="14"/>
    </row>
    <row r="339" ht="15.75" customHeight="1">
      <c r="A339" s="14"/>
      <c r="B339" s="14"/>
    </row>
    <row r="340" ht="15.75" customHeight="1">
      <c r="A340" s="14"/>
      <c r="B340" s="14"/>
    </row>
    <row r="341" ht="15.75" customHeight="1">
      <c r="A341" s="14"/>
      <c r="B341" s="14"/>
    </row>
    <row r="342" ht="15.75" customHeight="1">
      <c r="A342" s="14"/>
      <c r="B342" s="14"/>
    </row>
    <row r="343" ht="15.75" customHeight="1">
      <c r="A343" s="14"/>
      <c r="B343" s="14"/>
    </row>
    <row r="344" ht="15.75" customHeight="1">
      <c r="A344" s="14"/>
      <c r="B344" s="14"/>
    </row>
    <row r="345" ht="15.75" customHeight="1">
      <c r="A345" s="14"/>
      <c r="B345" s="14"/>
    </row>
    <row r="346" ht="15.75" customHeight="1">
      <c r="A346" s="14"/>
      <c r="B346" s="14"/>
    </row>
    <row r="347" ht="15.75" customHeight="1">
      <c r="A347" s="14"/>
      <c r="B347" s="14"/>
    </row>
    <row r="348" ht="15.75" customHeight="1">
      <c r="A348" s="14"/>
      <c r="B348" s="14"/>
    </row>
    <row r="349" ht="15.75" customHeight="1">
      <c r="A349" s="14"/>
      <c r="B349" s="14"/>
    </row>
    <row r="350" ht="15.75" customHeight="1">
      <c r="A350" s="14"/>
      <c r="B350" s="14"/>
    </row>
    <row r="351" ht="15.75" customHeight="1">
      <c r="A351" s="14"/>
      <c r="B351" s="14"/>
    </row>
    <row r="352" ht="15.75" customHeight="1">
      <c r="A352" s="14"/>
      <c r="B352" s="14"/>
    </row>
    <row r="353" ht="15.75" customHeight="1">
      <c r="A353" s="14"/>
      <c r="B353" s="14"/>
    </row>
    <row r="354" ht="15.75" customHeight="1">
      <c r="A354" s="14"/>
      <c r="B354" s="14"/>
    </row>
    <row r="355" ht="15.75" customHeight="1">
      <c r="A355" s="14"/>
      <c r="B355" s="14"/>
    </row>
    <row r="356" ht="15.75" customHeight="1">
      <c r="A356" s="14"/>
      <c r="B356" s="14"/>
    </row>
    <row r="357" ht="15.75" customHeight="1">
      <c r="A357" s="14"/>
      <c r="B357" s="14"/>
    </row>
    <row r="358" ht="15.75" customHeight="1">
      <c r="A358" s="14"/>
      <c r="B358" s="14"/>
    </row>
    <row r="359" ht="15.75" customHeight="1">
      <c r="A359" s="14"/>
      <c r="B359" s="14"/>
    </row>
    <row r="360" ht="15.75" customHeight="1">
      <c r="A360" s="14"/>
      <c r="B360" s="14"/>
    </row>
    <row r="361" ht="15.75" customHeight="1">
      <c r="A361" s="14"/>
      <c r="B361" s="14"/>
    </row>
    <row r="362" ht="15.75" customHeight="1">
      <c r="A362" s="14"/>
      <c r="B362" s="14"/>
    </row>
    <row r="363" ht="15.75" customHeight="1">
      <c r="A363" s="14"/>
      <c r="B363" s="14"/>
    </row>
    <row r="364" ht="15.75" customHeight="1">
      <c r="A364" s="14"/>
      <c r="B364" s="14"/>
    </row>
    <row r="365" ht="15.75" customHeight="1">
      <c r="A365" s="14"/>
      <c r="B365" s="14"/>
    </row>
    <row r="366" ht="15.75" customHeight="1">
      <c r="A366" s="14"/>
      <c r="B366" s="14"/>
    </row>
    <row r="367" ht="15.75" customHeight="1">
      <c r="A367" s="14"/>
      <c r="B367" s="14"/>
    </row>
    <row r="368" ht="15.75" customHeight="1">
      <c r="A368" s="14"/>
      <c r="B368" s="14"/>
    </row>
    <row r="369" ht="15.75" customHeight="1">
      <c r="A369" s="14"/>
      <c r="B369" s="14"/>
    </row>
    <row r="370" ht="15.75" customHeight="1">
      <c r="A370" s="14"/>
      <c r="B370" s="14"/>
    </row>
    <row r="371" ht="15.75" customHeight="1">
      <c r="A371" s="14"/>
      <c r="B371" s="14"/>
    </row>
    <row r="372" ht="15.75" customHeight="1">
      <c r="A372" s="14"/>
      <c r="B372" s="14"/>
    </row>
    <row r="373" ht="15.75" customHeight="1">
      <c r="A373" s="14"/>
      <c r="B373" s="14"/>
    </row>
    <row r="374" ht="15.75" customHeight="1">
      <c r="A374" s="14"/>
      <c r="B374" s="14"/>
    </row>
    <row r="375" ht="15.75" customHeight="1">
      <c r="A375" s="14"/>
      <c r="B375" s="14"/>
    </row>
    <row r="376" ht="15.75" customHeight="1">
      <c r="A376" s="14"/>
      <c r="B376" s="14"/>
    </row>
    <row r="377" ht="15.75" customHeight="1">
      <c r="A377" s="14"/>
      <c r="B377" s="14"/>
    </row>
    <row r="378" ht="15.75" customHeight="1">
      <c r="A378" s="14"/>
      <c r="B378" s="14"/>
    </row>
    <row r="379" ht="15.75" customHeight="1">
      <c r="A379" s="14"/>
      <c r="B379" s="14"/>
    </row>
    <row r="380" ht="15.75" customHeight="1">
      <c r="A380" s="14"/>
      <c r="B380" s="14"/>
    </row>
    <row r="381" ht="15.75" customHeight="1">
      <c r="A381" s="14"/>
      <c r="B381" s="14"/>
    </row>
    <row r="382" ht="15.75" customHeight="1">
      <c r="A382" s="14"/>
      <c r="B382" s="14"/>
    </row>
    <row r="383" ht="15.75" customHeight="1">
      <c r="A383" s="14"/>
      <c r="B383" s="14"/>
    </row>
    <row r="384" ht="15.75" customHeight="1">
      <c r="A384" s="14"/>
      <c r="B384" s="14"/>
    </row>
    <row r="385" ht="15.75" customHeight="1">
      <c r="A385" s="14"/>
      <c r="B385" s="14"/>
    </row>
    <row r="386" ht="15.75" customHeight="1">
      <c r="A386" s="14"/>
      <c r="B386" s="14"/>
    </row>
    <row r="387" ht="15.75" customHeight="1">
      <c r="A387" s="14"/>
      <c r="B387" s="14"/>
    </row>
    <row r="388" ht="15.75" customHeight="1">
      <c r="A388" s="14"/>
      <c r="B388" s="14"/>
    </row>
    <row r="389" ht="15.75" customHeight="1">
      <c r="A389" s="14"/>
      <c r="B389" s="14"/>
    </row>
    <row r="390" ht="15.75" customHeight="1">
      <c r="A390" s="14"/>
      <c r="B390" s="14"/>
    </row>
    <row r="391" ht="15.75" customHeight="1">
      <c r="A391" s="14"/>
      <c r="B391" s="14"/>
    </row>
    <row r="392" ht="15.75" customHeight="1">
      <c r="A392" s="14"/>
      <c r="B392" s="14"/>
    </row>
    <row r="393" ht="15.75" customHeight="1">
      <c r="A393" s="14"/>
      <c r="B393" s="14"/>
    </row>
    <row r="394" ht="15.75" customHeight="1">
      <c r="A394" s="14"/>
      <c r="B394" s="14"/>
    </row>
    <row r="395" ht="15.75" customHeight="1">
      <c r="A395" s="14"/>
      <c r="B395" s="14"/>
    </row>
    <row r="396" ht="15.75" customHeight="1">
      <c r="A396" s="14"/>
      <c r="B396" s="14"/>
    </row>
    <row r="397" ht="15.75" customHeight="1">
      <c r="A397" s="14"/>
      <c r="B397" s="14"/>
    </row>
    <row r="398" ht="15.75" customHeight="1">
      <c r="A398" s="14"/>
      <c r="B398" s="14"/>
    </row>
    <row r="399" ht="15.75" customHeight="1">
      <c r="A399" s="14"/>
      <c r="B399" s="14"/>
    </row>
    <row r="400" ht="15.75" customHeight="1">
      <c r="A400" s="14"/>
      <c r="B400" s="14"/>
    </row>
    <row r="401" ht="15.75" customHeight="1">
      <c r="A401" s="14"/>
      <c r="B401" s="14"/>
    </row>
    <row r="402" ht="15.75" customHeight="1">
      <c r="A402" s="14"/>
      <c r="B402" s="14"/>
    </row>
    <row r="403" ht="15.75" customHeight="1">
      <c r="A403" s="14"/>
      <c r="B403" s="14"/>
    </row>
    <row r="404" ht="15.75" customHeight="1">
      <c r="A404" s="14"/>
      <c r="B404" s="14"/>
    </row>
    <row r="405" ht="15.75" customHeight="1">
      <c r="A405" s="14"/>
      <c r="B405" s="14"/>
    </row>
    <row r="406" ht="15.75" customHeight="1">
      <c r="A406" s="14"/>
      <c r="B406" s="14"/>
    </row>
    <row r="407" ht="15.75" customHeight="1">
      <c r="A407" s="14"/>
      <c r="B407" s="14"/>
    </row>
    <row r="408" ht="15.75" customHeight="1">
      <c r="A408" s="14"/>
      <c r="B408" s="14"/>
    </row>
    <row r="409" ht="15.75" customHeight="1">
      <c r="A409" s="14"/>
      <c r="B409" s="14"/>
    </row>
    <row r="410" ht="15.75" customHeight="1">
      <c r="A410" s="14"/>
      <c r="B410" s="14"/>
    </row>
    <row r="411" ht="15.75" customHeight="1">
      <c r="A411" s="14"/>
      <c r="B411" s="14"/>
    </row>
    <row r="412" ht="15.75" customHeight="1">
      <c r="A412" s="14"/>
      <c r="B412" s="14"/>
    </row>
    <row r="413" ht="15.75" customHeight="1">
      <c r="A413" s="14"/>
      <c r="B413" s="14"/>
    </row>
    <row r="414" ht="15.75" customHeight="1">
      <c r="A414" s="14"/>
      <c r="B414" s="14"/>
    </row>
    <row r="415" ht="15.75" customHeight="1">
      <c r="A415" s="14"/>
      <c r="B415" s="14"/>
    </row>
    <row r="416" ht="15.75" customHeight="1">
      <c r="A416" s="14"/>
      <c r="B416" s="14"/>
    </row>
    <row r="417" ht="15.75" customHeight="1">
      <c r="A417" s="14"/>
      <c r="B417" s="14"/>
    </row>
    <row r="418" ht="15.75" customHeight="1">
      <c r="A418" s="14"/>
      <c r="B418" s="14"/>
    </row>
    <row r="419" ht="15.75" customHeight="1">
      <c r="A419" s="14"/>
      <c r="B419" s="14"/>
    </row>
    <row r="420" ht="15.75" customHeight="1">
      <c r="A420" s="14"/>
      <c r="B420" s="14"/>
    </row>
    <row r="421" ht="15.75" customHeight="1">
      <c r="A421" s="14"/>
      <c r="B421" s="14"/>
    </row>
    <row r="422" ht="15.75" customHeight="1">
      <c r="A422" s="14"/>
      <c r="B422" s="14"/>
    </row>
    <row r="423" ht="15.75" customHeight="1">
      <c r="A423" s="14"/>
      <c r="B423" s="14"/>
    </row>
    <row r="424" ht="15.75" customHeight="1">
      <c r="A424" s="14"/>
      <c r="B424" s="14"/>
    </row>
    <row r="425" ht="15.75" customHeight="1">
      <c r="A425" s="14"/>
      <c r="B425" s="14"/>
    </row>
    <row r="426" ht="15.75" customHeight="1">
      <c r="A426" s="14"/>
      <c r="B426" s="14"/>
    </row>
    <row r="427" ht="15.75" customHeight="1">
      <c r="A427" s="14"/>
      <c r="B427" s="14"/>
    </row>
    <row r="428" ht="15.75" customHeight="1">
      <c r="A428" s="14"/>
      <c r="B428" s="14"/>
    </row>
    <row r="429" ht="15.75" customHeight="1">
      <c r="A429" s="14"/>
      <c r="B429" s="14"/>
    </row>
    <row r="430" ht="15.75" customHeight="1">
      <c r="A430" s="14"/>
      <c r="B430" s="14"/>
    </row>
    <row r="431" ht="15.75" customHeight="1">
      <c r="A431" s="14"/>
      <c r="B431" s="14"/>
    </row>
    <row r="432" ht="15.75" customHeight="1">
      <c r="A432" s="14"/>
      <c r="B432" s="14"/>
    </row>
    <row r="433" ht="15.75" customHeight="1">
      <c r="A433" s="14"/>
      <c r="B433" s="14"/>
    </row>
    <row r="434" ht="15.75" customHeight="1">
      <c r="A434" s="14"/>
      <c r="B434" s="14"/>
    </row>
    <row r="435" ht="15.75" customHeight="1">
      <c r="A435" s="14"/>
      <c r="B435" s="14"/>
    </row>
    <row r="436" ht="15.75" customHeight="1">
      <c r="A436" s="14"/>
      <c r="B436" s="14"/>
    </row>
    <row r="437" ht="15.75" customHeight="1">
      <c r="A437" s="14"/>
      <c r="B437" s="14"/>
    </row>
    <row r="438" ht="15.75" customHeight="1">
      <c r="A438" s="14"/>
      <c r="B438" s="14"/>
    </row>
    <row r="439" ht="15.75" customHeight="1">
      <c r="A439" s="14"/>
      <c r="B439" s="14"/>
    </row>
    <row r="440" ht="15.75" customHeight="1">
      <c r="A440" s="14"/>
      <c r="B440" s="14"/>
    </row>
    <row r="441" ht="15.75" customHeight="1">
      <c r="A441" s="14"/>
      <c r="B441" s="14"/>
    </row>
    <row r="442" ht="15.75" customHeight="1">
      <c r="A442" s="14"/>
      <c r="B442" s="14"/>
    </row>
    <row r="443" ht="15.75" customHeight="1">
      <c r="A443" s="14"/>
      <c r="B443" s="14"/>
    </row>
    <row r="444" ht="15.75" customHeight="1">
      <c r="A444" s="14"/>
      <c r="B444" s="14"/>
    </row>
    <row r="445" ht="15.75" customHeight="1">
      <c r="A445" s="14"/>
      <c r="B445" s="14"/>
    </row>
    <row r="446" ht="15.75" customHeight="1">
      <c r="A446" s="14"/>
      <c r="B446" s="14"/>
    </row>
    <row r="447" ht="15.75" customHeight="1">
      <c r="A447" s="14"/>
      <c r="B447" s="14"/>
    </row>
    <row r="448" ht="15.75" customHeight="1">
      <c r="A448" s="14"/>
      <c r="B448" s="14"/>
    </row>
    <row r="449" ht="15.75" customHeight="1">
      <c r="A449" s="14"/>
      <c r="B449" s="14"/>
    </row>
    <row r="450" ht="15.75" customHeight="1">
      <c r="A450" s="14"/>
      <c r="B450" s="14"/>
    </row>
    <row r="451" ht="15.75" customHeight="1">
      <c r="A451" s="14"/>
      <c r="B451" s="14"/>
    </row>
    <row r="452" ht="15.75" customHeight="1">
      <c r="A452" s="14"/>
      <c r="B452" s="14"/>
    </row>
    <row r="453" ht="15.75" customHeight="1">
      <c r="A453" s="14"/>
      <c r="B453" s="14"/>
    </row>
    <row r="454" ht="15.75" customHeight="1">
      <c r="A454" s="14"/>
      <c r="B454" s="14"/>
    </row>
    <row r="455" ht="15.75" customHeight="1">
      <c r="A455" s="14"/>
      <c r="B455" s="14"/>
    </row>
    <row r="456" ht="15.75" customHeight="1">
      <c r="A456" s="14"/>
      <c r="B456" s="14"/>
    </row>
    <row r="457" ht="15.75" customHeight="1">
      <c r="A457" s="14"/>
      <c r="B457" s="14"/>
    </row>
    <row r="458" ht="15.75" customHeight="1">
      <c r="A458" s="14"/>
      <c r="B458" s="14"/>
    </row>
    <row r="459" ht="15.75" customHeight="1">
      <c r="A459" s="14"/>
      <c r="B459" s="14"/>
    </row>
    <row r="460" ht="15.75" customHeight="1">
      <c r="A460" s="14"/>
      <c r="B460" s="14"/>
    </row>
    <row r="461" ht="15.75" customHeight="1">
      <c r="A461" s="14"/>
      <c r="B461" s="14"/>
    </row>
    <row r="462" ht="15.75" customHeight="1">
      <c r="A462" s="14"/>
      <c r="B462" s="14"/>
    </row>
    <row r="463" ht="15.75" customHeight="1">
      <c r="A463" s="14"/>
      <c r="B463" s="14"/>
    </row>
    <row r="464" ht="15.75" customHeight="1">
      <c r="A464" s="14"/>
      <c r="B464" s="14"/>
    </row>
    <row r="465" ht="15.75" customHeight="1">
      <c r="A465" s="14"/>
      <c r="B465" s="14"/>
    </row>
    <row r="466" ht="15.75" customHeight="1">
      <c r="A466" s="14"/>
      <c r="B466" s="14"/>
    </row>
    <row r="467" ht="15.75" customHeight="1">
      <c r="A467" s="14"/>
      <c r="B467" s="14"/>
    </row>
    <row r="468" ht="15.75" customHeight="1">
      <c r="A468" s="14"/>
      <c r="B468" s="14"/>
    </row>
    <row r="469" ht="15.75" customHeight="1">
      <c r="A469" s="14"/>
      <c r="B469" s="14"/>
    </row>
    <row r="470" ht="15.75" customHeight="1">
      <c r="A470" s="14"/>
      <c r="B470" s="14"/>
    </row>
    <row r="471" ht="15.75" customHeight="1">
      <c r="A471" s="14"/>
      <c r="B471" s="14"/>
    </row>
    <row r="472" ht="15.75" customHeight="1">
      <c r="A472" s="14"/>
      <c r="B472" s="14"/>
    </row>
    <row r="473" ht="15.75" customHeight="1">
      <c r="A473" s="14"/>
      <c r="B473" s="14"/>
    </row>
    <row r="474" ht="15.75" customHeight="1">
      <c r="A474" s="14"/>
      <c r="B474" s="14"/>
    </row>
    <row r="475" ht="15.75" customHeight="1">
      <c r="A475" s="14"/>
      <c r="B475" s="14"/>
    </row>
    <row r="476" ht="15.75" customHeight="1">
      <c r="A476" s="14"/>
      <c r="B476" s="14"/>
    </row>
    <row r="477" ht="15.75" customHeight="1">
      <c r="A477" s="14"/>
      <c r="B477" s="14"/>
    </row>
    <row r="478" ht="15.75" customHeight="1">
      <c r="A478" s="14"/>
      <c r="B478" s="14"/>
    </row>
    <row r="479" ht="15.75" customHeight="1">
      <c r="A479" s="14"/>
      <c r="B479" s="14"/>
    </row>
    <row r="480" ht="15.75" customHeight="1">
      <c r="A480" s="14"/>
      <c r="B480" s="14"/>
    </row>
    <row r="481" ht="15.75" customHeight="1">
      <c r="A481" s="14"/>
      <c r="B481" s="14"/>
    </row>
    <row r="482" ht="15.75" customHeight="1">
      <c r="A482" s="14"/>
      <c r="B482" s="14"/>
    </row>
    <row r="483" ht="15.75" customHeight="1">
      <c r="A483" s="14"/>
      <c r="B483" s="14"/>
    </row>
    <row r="484" ht="15.75" customHeight="1">
      <c r="A484" s="14"/>
      <c r="B484" s="14"/>
    </row>
    <row r="485" ht="15.75" customHeight="1">
      <c r="A485" s="14"/>
      <c r="B485" s="14"/>
    </row>
    <row r="486" ht="15.75" customHeight="1">
      <c r="A486" s="14"/>
      <c r="B486" s="14"/>
    </row>
    <row r="487" ht="15.75" customHeight="1">
      <c r="A487" s="14"/>
      <c r="B487" s="14"/>
    </row>
    <row r="488" ht="15.75" customHeight="1">
      <c r="A488" s="14"/>
      <c r="B488" s="14"/>
    </row>
    <row r="489" ht="15.75" customHeight="1">
      <c r="A489" s="14"/>
      <c r="B489" s="14"/>
    </row>
    <row r="490" ht="15.75" customHeight="1">
      <c r="A490" s="14"/>
      <c r="B490" s="14"/>
    </row>
    <row r="491" ht="15.75" customHeight="1">
      <c r="A491" s="14"/>
      <c r="B491" s="14"/>
    </row>
    <row r="492" ht="15.75" customHeight="1">
      <c r="A492" s="14"/>
      <c r="B492" s="14"/>
    </row>
    <row r="493" ht="15.75" customHeight="1">
      <c r="A493" s="14"/>
      <c r="B493" s="14"/>
    </row>
    <row r="494" ht="15.75" customHeight="1">
      <c r="A494" s="14"/>
      <c r="B494" s="14"/>
    </row>
    <row r="495" ht="15.75" customHeight="1">
      <c r="A495" s="14"/>
      <c r="B495" s="14"/>
    </row>
    <row r="496" ht="15.75" customHeight="1">
      <c r="A496" s="14"/>
      <c r="B496" s="14"/>
    </row>
    <row r="497" ht="15.75" customHeight="1">
      <c r="A497" s="14"/>
      <c r="B497" s="14"/>
    </row>
    <row r="498" ht="15.75" customHeight="1">
      <c r="A498" s="14"/>
      <c r="B498" s="14"/>
    </row>
    <row r="499" ht="15.75" customHeight="1">
      <c r="A499" s="14"/>
      <c r="B499" s="14"/>
    </row>
    <row r="500" ht="15.75" customHeight="1">
      <c r="A500" s="14"/>
      <c r="B500" s="14"/>
    </row>
    <row r="501" ht="15.75" customHeight="1">
      <c r="A501" s="14"/>
      <c r="B501" s="14"/>
    </row>
    <row r="502" ht="15.75" customHeight="1">
      <c r="A502" s="14"/>
      <c r="B502" s="14"/>
    </row>
    <row r="503" ht="15.75" customHeight="1">
      <c r="A503" s="14"/>
      <c r="B503" s="14"/>
    </row>
    <row r="504" ht="15.75" customHeight="1">
      <c r="A504" s="14"/>
      <c r="B504" s="14"/>
    </row>
    <row r="505" ht="15.75" customHeight="1">
      <c r="A505" s="14"/>
      <c r="B505" s="14"/>
    </row>
    <row r="506" ht="15.75" customHeight="1">
      <c r="A506" s="14"/>
      <c r="B506" s="14"/>
    </row>
    <row r="507" ht="15.75" customHeight="1">
      <c r="A507" s="14"/>
      <c r="B507" s="14"/>
    </row>
    <row r="508" ht="15.75" customHeight="1">
      <c r="A508" s="14"/>
      <c r="B508" s="14"/>
    </row>
    <row r="509" ht="15.75" customHeight="1">
      <c r="A509" s="14"/>
      <c r="B509" s="14"/>
    </row>
    <row r="510" ht="15.75" customHeight="1">
      <c r="A510" s="14"/>
      <c r="B510" s="14"/>
    </row>
    <row r="511" ht="15.75" customHeight="1">
      <c r="A511" s="14"/>
      <c r="B511" s="14"/>
    </row>
    <row r="512" ht="15.75" customHeight="1">
      <c r="A512" s="14"/>
      <c r="B512" s="14"/>
    </row>
    <row r="513" ht="15.75" customHeight="1">
      <c r="A513" s="14"/>
      <c r="B513" s="14"/>
    </row>
    <row r="514" ht="15.75" customHeight="1">
      <c r="A514" s="14"/>
      <c r="B514" s="14"/>
    </row>
    <row r="515" ht="15.75" customHeight="1">
      <c r="A515" s="14"/>
      <c r="B515" s="14"/>
    </row>
    <row r="516" ht="15.75" customHeight="1">
      <c r="A516" s="14"/>
      <c r="B516" s="14"/>
    </row>
    <row r="517" ht="15.75" customHeight="1">
      <c r="A517" s="14"/>
      <c r="B517" s="14"/>
    </row>
    <row r="518" ht="15.75" customHeight="1">
      <c r="A518" s="14"/>
      <c r="B518" s="14"/>
    </row>
    <row r="519" ht="15.75" customHeight="1">
      <c r="A519" s="14"/>
      <c r="B519" s="14"/>
    </row>
    <row r="520" ht="15.75" customHeight="1">
      <c r="A520" s="14"/>
      <c r="B520" s="14"/>
    </row>
    <row r="521" ht="15.75" customHeight="1">
      <c r="A521" s="14"/>
      <c r="B521" s="14"/>
    </row>
    <row r="522" ht="15.75" customHeight="1">
      <c r="A522" s="14"/>
      <c r="B522" s="14"/>
    </row>
    <row r="523" ht="15.75" customHeight="1">
      <c r="A523" s="14"/>
      <c r="B523" s="14"/>
    </row>
    <row r="524" ht="15.75" customHeight="1">
      <c r="A524" s="14"/>
      <c r="B524" s="14"/>
    </row>
    <row r="525" ht="15.75" customHeight="1">
      <c r="A525" s="14"/>
      <c r="B525" s="14"/>
    </row>
    <row r="526" ht="15.75" customHeight="1">
      <c r="A526" s="14"/>
      <c r="B526" s="14"/>
    </row>
    <row r="527" ht="15.75" customHeight="1">
      <c r="A527" s="14"/>
      <c r="B527" s="14"/>
    </row>
    <row r="528" ht="15.75" customHeight="1">
      <c r="A528" s="14"/>
      <c r="B528" s="14"/>
    </row>
    <row r="529" ht="15.75" customHeight="1">
      <c r="A529" s="14"/>
      <c r="B529" s="14"/>
    </row>
    <row r="530" ht="15.75" customHeight="1">
      <c r="A530" s="14"/>
      <c r="B530" s="14"/>
    </row>
    <row r="531" ht="15.75" customHeight="1">
      <c r="A531" s="14"/>
      <c r="B531" s="14"/>
    </row>
    <row r="532" ht="15.75" customHeight="1">
      <c r="A532" s="14"/>
      <c r="B532" s="14"/>
    </row>
    <row r="533" ht="15.75" customHeight="1">
      <c r="A533" s="14"/>
      <c r="B533" s="14"/>
    </row>
    <row r="534" ht="15.75" customHeight="1">
      <c r="A534" s="14"/>
      <c r="B534" s="14"/>
    </row>
    <row r="535" ht="15.75" customHeight="1">
      <c r="A535" s="14"/>
      <c r="B535" s="14"/>
    </row>
    <row r="536" ht="15.75" customHeight="1">
      <c r="A536" s="14"/>
      <c r="B536" s="14"/>
    </row>
    <row r="537" ht="15.75" customHeight="1">
      <c r="A537" s="14"/>
      <c r="B537" s="14"/>
    </row>
    <row r="538" ht="15.75" customHeight="1">
      <c r="A538" s="14"/>
      <c r="B538" s="14"/>
    </row>
    <row r="539" ht="15.75" customHeight="1">
      <c r="A539" s="14"/>
      <c r="B539" s="14"/>
    </row>
    <row r="540" ht="15.75" customHeight="1">
      <c r="A540" s="14"/>
      <c r="B540" s="14"/>
    </row>
    <row r="541" ht="15.75" customHeight="1">
      <c r="A541" s="14"/>
      <c r="B541" s="14"/>
    </row>
    <row r="542" ht="15.75" customHeight="1">
      <c r="A542" s="14"/>
      <c r="B542" s="14"/>
    </row>
    <row r="543" ht="15.75" customHeight="1">
      <c r="A543" s="14"/>
      <c r="B543" s="14"/>
    </row>
    <row r="544" ht="15.75" customHeight="1">
      <c r="A544" s="14"/>
      <c r="B544" s="14"/>
    </row>
    <row r="545" ht="15.75" customHeight="1">
      <c r="A545" s="14"/>
      <c r="B545" s="14"/>
    </row>
    <row r="546" ht="15.75" customHeight="1">
      <c r="A546" s="14"/>
      <c r="B546" s="14"/>
    </row>
    <row r="547" ht="15.75" customHeight="1">
      <c r="A547" s="14"/>
      <c r="B547" s="14"/>
    </row>
    <row r="548" ht="15.75" customHeight="1">
      <c r="A548" s="14"/>
      <c r="B548" s="14"/>
    </row>
    <row r="549" ht="15.75" customHeight="1">
      <c r="A549" s="14"/>
      <c r="B549" s="14"/>
    </row>
    <row r="550" ht="15.75" customHeight="1">
      <c r="A550" s="14"/>
      <c r="B550" s="14"/>
    </row>
    <row r="551" ht="15.75" customHeight="1">
      <c r="A551" s="14"/>
      <c r="B551" s="14"/>
    </row>
    <row r="552" ht="15.75" customHeight="1">
      <c r="A552" s="14"/>
      <c r="B552" s="14"/>
    </row>
    <row r="553" ht="15.75" customHeight="1">
      <c r="A553" s="14"/>
      <c r="B553" s="14"/>
    </row>
    <row r="554" ht="15.75" customHeight="1">
      <c r="A554" s="14"/>
      <c r="B554" s="14"/>
    </row>
    <row r="555" ht="15.75" customHeight="1">
      <c r="A555" s="14"/>
      <c r="B555" s="14"/>
    </row>
    <row r="556" ht="15.75" customHeight="1">
      <c r="A556" s="14"/>
      <c r="B556" s="14"/>
    </row>
    <row r="557" ht="15.75" customHeight="1">
      <c r="A557" s="14"/>
      <c r="B557" s="14"/>
    </row>
    <row r="558" ht="15.75" customHeight="1">
      <c r="A558" s="14"/>
      <c r="B558" s="14"/>
    </row>
    <row r="559" ht="15.75" customHeight="1">
      <c r="A559" s="14"/>
      <c r="B559" s="14"/>
    </row>
    <row r="560" ht="15.75" customHeight="1">
      <c r="A560" s="14"/>
      <c r="B560" s="14"/>
    </row>
    <row r="561" ht="15.75" customHeight="1">
      <c r="A561" s="14"/>
      <c r="B561" s="14"/>
    </row>
    <row r="562" ht="15.75" customHeight="1">
      <c r="A562" s="14"/>
      <c r="B562" s="14"/>
    </row>
    <row r="563" ht="15.75" customHeight="1">
      <c r="A563" s="14"/>
      <c r="B563" s="14"/>
    </row>
    <row r="564" ht="15.75" customHeight="1">
      <c r="A564" s="14"/>
      <c r="B564" s="14"/>
    </row>
    <row r="565" ht="15.75" customHeight="1">
      <c r="A565" s="14"/>
      <c r="B565" s="14"/>
    </row>
    <row r="566" ht="15.75" customHeight="1">
      <c r="A566" s="14"/>
      <c r="B566" s="14"/>
    </row>
    <row r="567" ht="15.75" customHeight="1">
      <c r="A567" s="14"/>
      <c r="B567" s="14"/>
    </row>
    <row r="568" ht="15.75" customHeight="1">
      <c r="A568" s="14"/>
      <c r="B568" s="14"/>
    </row>
    <row r="569" ht="15.75" customHeight="1">
      <c r="A569" s="14"/>
      <c r="B569" s="14"/>
    </row>
    <row r="570" ht="15.75" customHeight="1">
      <c r="A570" s="14"/>
      <c r="B570" s="14"/>
    </row>
    <row r="571" ht="15.75" customHeight="1">
      <c r="A571" s="14"/>
      <c r="B571" s="14"/>
    </row>
    <row r="572" ht="15.75" customHeight="1">
      <c r="A572" s="14"/>
      <c r="B572" s="14"/>
    </row>
    <row r="573" ht="15.75" customHeight="1">
      <c r="A573" s="14"/>
      <c r="B573" s="14"/>
    </row>
    <row r="574" ht="15.75" customHeight="1">
      <c r="A574" s="14"/>
      <c r="B574" s="14"/>
    </row>
    <row r="575" ht="15.75" customHeight="1">
      <c r="A575" s="14"/>
      <c r="B575" s="14"/>
    </row>
    <row r="576" ht="15.75" customHeight="1">
      <c r="A576" s="14"/>
      <c r="B576" s="14"/>
    </row>
    <row r="577" ht="15.75" customHeight="1">
      <c r="A577" s="14"/>
      <c r="B577" s="14"/>
    </row>
    <row r="578" ht="15.75" customHeight="1">
      <c r="A578" s="14"/>
      <c r="B578" s="14"/>
    </row>
    <row r="579" ht="15.75" customHeight="1">
      <c r="A579" s="14"/>
      <c r="B579" s="14"/>
    </row>
    <row r="580" ht="15.75" customHeight="1">
      <c r="A580" s="14"/>
      <c r="B580" s="14"/>
    </row>
    <row r="581" ht="15.75" customHeight="1">
      <c r="A581" s="14"/>
      <c r="B581" s="14"/>
    </row>
    <row r="582" ht="15.75" customHeight="1">
      <c r="A582" s="14"/>
      <c r="B582" s="14"/>
    </row>
    <row r="583" ht="15.75" customHeight="1">
      <c r="A583" s="14"/>
      <c r="B583" s="14"/>
    </row>
    <row r="584" ht="15.75" customHeight="1">
      <c r="A584" s="14"/>
      <c r="B584" s="14"/>
    </row>
    <row r="585" ht="15.75" customHeight="1">
      <c r="A585" s="14"/>
      <c r="B585" s="14"/>
    </row>
    <row r="586" ht="15.75" customHeight="1">
      <c r="A586" s="14"/>
      <c r="B586" s="14"/>
    </row>
    <row r="587" ht="15.75" customHeight="1">
      <c r="A587" s="14"/>
      <c r="B587" s="14"/>
    </row>
    <row r="588" ht="15.75" customHeight="1">
      <c r="A588" s="14"/>
      <c r="B588" s="14"/>
    </row>
    <row r="589" ht="15.75" customHeight="1">
      <c r="A589" s="14"/>
      <c r="B589" s="14"/>
    </row>
    <row r="590" ht="15.75" customHeight="1">
      <c r="A590" s="14"/>
      <c r="B590" s="14"/>
    </row>
    <row r="591" ht="15.75" customHeight="1">
      <c r="A591" s="14"/>
      <c r="B591" s="14"/>
    </row>
    <row r="592" ht="15.75" customHeight="1">
      <c r="A592" s="14"/>
      <c r="B592" s="14"/>
    </row>
    <row r="593" ht="15.75" customHeight="1">
      <c r="A593" s="14"/>
      <c r="B593" s="14"/>
    </row>
    <row r="594" ht="15.75" customHeight="1">
      <c r="A594" s="14"/>
      <c r="B594" s="14"/>
    </row>
    <row r="595" ht="15.75" customHeight="1">
      <c r="A595" s="14"/>
      <c r="B595" s="14"/>
    </row>
    <row r="596" ht="15.75" customHeight="1">
      <c r="A596" s="14"/>
      <c r="B596" s="14"/>
    </row>
    <row r="597" ht="15.75" customHeight="1">
      <c r="A597" s="14"/>
      <c r="B597" s="14"/>
    </row>
    <row r="598" ht="15.75" customHeight="1">
      <c r="A598" s="14"/>
      <c r="B598" s="14"/>
    </row>
    <row r="599" ht="15.75" customHeight="1">
      <c r="A599" s="14"/>
      <c r="B599" s="14"/>
    </row>
    <row r="600" ht="15.75" customHeight="1">
      <c r="A600" s="14"/>
      <c r="B600" s="14"/>
    </row>
    <row r="601" ht="15.75" customHeight="1">
      <c r="A601" s="14"/>
      <c r="B601" s="14"/>
    </row>
    <row r="602" ht="15.75" customHeight="1">
      <c r="A602" s="14"/>
      <c r="B602" s="14"/>
    </row>
    <row r="603" ht="15.75" customHeight="1">
      <c r="A603" s="14"/>
      <c r="B603" s="14"/>
    </row>
    <row r="604" ht="15.75" customHeight="1">
      <c r="A604" s="14"/>
      <c r="B604" s="14"/>
    </row>
    <row r="605" ht="15.75" customHeight="1">
      <c r="A605" s="14"/>
      <c r="B605" s="14"/>
    </row>
    <row r="606" ht="15.75" customHeight="1">
      <c r="A606" s="14"/>
      <c r="B606" s="14"/>
    </row>
    <row r="607" ht="15.75" customHeight="1">
      <c r="A607" s="14"/>
      <c r="B607" s="14"/>
    </row>
    <row r="608" ht="15.75" customHeight="1">
      <c r="A608" s="14"/>
      <c r="B608" s="14"/>
    </row>
    <row r="609" ht="15.75" customHeight="1">
      <c r="A609" s="14"/>
      <c r="B609" s="14"/>
    </row>
    <row r="610" ht="15.75" customHeight="1">
      <c r="A610" s="14"/>
      <c r="B610" s="14"/>
    </row>
    <row r="611" ht="15.75" customHeight="1">
      <c r="A611" s="14"/>
      <c r="B611" s="14"/>
    </row>
    <row r="612" ht="15.75" customHeight="1">
      <c r="A612" s="14"/>
      <c r="B612" s="14"/>
    </row>
    <row r="613" ht="15.75" customHeight="1">
      <c r="A613" s="14"/>
      <c r="B613" s="14"/>
    </row>
    <row r="614" ht="15.75" customHeight="1">
      <c r="A614" s="14"/>
      <c r="B614" s="14"/>
    </row>
    <row r="615" ht="15.75" customHeight="1">
      <c r="A615" s="14"/>
      <c r="B615" s="14"/>
    </row>
    <row r="616" ht="15.75" customHeight="1">
      <c r="A616" s="14"/>
      <c r="B616" s="14"/>
    </row>
    <row r="617" ht="15.75" customHeight="1">
      <c r="A617" s="14"/>
      <c r="B617" s="14"/>
    </row>
    <row r="618" ht="15.75" customHeight="1">
      <c r="A618" s="14"/>
      <c r="B618" s="14"/>
    </row>
    <row r="619" ht="15.75" customHeight="1">
      <c r="A619" s="14"/>
      <c r="B619" s="14"/>
    </row>
    <row r="620" ht="15.75" customHeight="1">
      <c r="A620" s="14"/>
      <c r="B620" s="14"/>
    </row>
    <row r="621" ht="15.75" customHeight="1">
      <c r="A621" s="14"/>
      <c r="B621" s="14"/>
    </row>
    <row r="622" ht="15.75" customHeight="1">
      <c r="A622" s="14"/>
      <c r="B622" s="14"/>
    </row>
    <row r="623" ht="15.75" customHeight="1">
      <c r="A623" s="14"/>
      <c r="B623" s="14"/>
    </row>
    <row r="624" ht="15.75" customHeight="1">
      <c r="A624" s="14"/>
      <c r="B624" s="14"/>
    </row>
    <row r="625" ht="15.75" customHeight="1">
      <c r="A625" s="14"/>
      <c r="B625" s="14"/>
    </row>
    <row r="626" ht="15.75" customHeight="1">
      <c r="A626" s="14"/>
      <c r="B626" s="14"/>
    </row>
    <row r="627" ht="15.75" customHeight="1">
      <c r="A627" s="14"/>
      <c r="B627" s="14"/>
    </row>
    <row r="628" ht="15.75" customHeight="1">
      <c r="A628" s="14"/>
      <c r="B628" s="14"/>
    </row>
    <row r="629" ht="15.75" customHeight="1">
      <c r="A629" s="14"/>
      <c r="B629" s="14"/>
    </row>
    <row r="630" ht="15.75" customHeight="1">
      <c r="A630" s="14"/>
      <c r="B630" s="14"/>
    </row>
    <row r="631" ht="15.75" customHeight="1">
      <c r="A631" s="14"/>
      <c r="B631" s="14"/>
    </row>
    <row r="632" ht="15.75" customHeight="1">
      <c r="A632" s="14"/>
      <c r="B632" s="14"/>
    </row>
    <row r="633" ht="15.75" customHeight="1">
      <c r="A633" s="14"/>
      <c r="B633" s="14"/>
    </row>
    <row r="634" ht="15.75" customHeight="1">
      <c r="A634" s="14"/>
      <c r="B634" s="14"/>
    </row>
    <row r="635" ht="15.75" customHeight="1">
      <c r="A635" s="14"/>
      <c r="B635" s="14"/>
    </row>
    <row r="636" ht="15.75" customHeight="1">
      <c r="A636" s="14"/>
      <c r="B636" s="14"/>
    </row>
    <row r="637" ht="15.75" customHeight="1">
      <c r="A637" s="14"/>
      <c r="B637" s="14"/>
    </row>
    <row r="638" ht="15.75" customHeight="1">
      <c r="A638" s="14"/>
      <c r="B638" s="14"/>
    </row>
    <row r="639" ht="15.75" customHeight="1">
      <c r="A639" s="14"/>
      <c r="B639" s="14"/>
    </row>
    <row r="640" ht="15.75" customHeight="1">
      <c r="A640" s="14"/>
      <c r="B640" s="14"/>
    </row>
    <row r="641" ht="15.75" customHeight="1">
      <c r="A641" s="14"/>
      <c r="B641" s="14"/>
    </row>
    <row r="642" ht="15.75" customHeight="1">
      <c r="A642" s="14"/>
      <c r="B642" s="14"/>
    </row>
    <row r="643" ht="15.75" customHeight="1">
      <c r="A643" s="14"/>
      <c r="B643" s="14"/>
    </row>
    <row r="644" ht="15.75" customHeight="1">
      <c r="A644" s="14"/>
      <c r="B644" s="14"/>
    </row>
    <row r="645" ht="15.75" customHeight="1">
      <c r="A645" s="14"/>
      <c r="B645" s="14"/>
    </row>
    <row r="646" ht="15.75" customHeight="1">
      <c r="A646" s="14"/>
      <c r="B646" s="14"/>
    </row>
    <row r="647" ht="15.75" customHeight="1">
      <c r="A647" s="14"/>
      <c r="B647" s="14"/>
    </row>
    <row r="648" ht="15.75" customHeight="1">
      <c r="A648" s="14"/>
      <c r="B648" s="14"/>
    </row>
    <row r="649" ht="15.75" customHeight="1">
      <c r="A649" s="14"/>
      <c r="B649" s="14"/>
    </row>
    <row r="650" ht="15.75" customHeight="1">
      <c r="A650" s="14"/>
      <c r="B650" s="14"/>
    </row>
    <row r="651" ht="15.75" customHeight="1">
      <c r="A651" s="14"/>
      <c r="B651" s="14"/>
    </row>
    <row r="652" ht="15.75" customHeight="1">
      <c r="A652" s="14"/>
      <c r="B652" s="14"/>
    </row>
    <row r="653" ht="15.75" customHeight="1">
      <c r="A653" s="14"/>
      <c r="B653" s="14"/>
    </row>
    <row r="654" ht="15.75" customHeight="1">
      <c r="A654" s="14"/>
      <c r="B654" s="14"/>
    </row>
    <row r="655" ht="15.75" customHeight="1">
      <c r="A655" s="14"/>
      <c r="B655" s="14"/>
    </row>
    <row r="656" ht="15.75" customHeight="1">
      <c r="A656" s="14"/>
      <c r="B656" s="14"/>
    </row>
    <row r="657" ht="15.75" customHeight="1">
      <c r="A657" s="14"/>
      <c r="B657" s="14"/>
    </row>
    <row r="658" ht="15.75" customHeight="1">
      <c r="A658" s="14"/>
      <c r="B658" s="14"/>
    </row>
    <row r="659" ht="15.75" customHeight="1">
      <c r="A659" s="14"/>
      <c r="B659" s="14"/>
    </row>
    <row r="660" ht="15.75" customHeight="1">
      <c r="A660" s="14"/>
      <c r="B660" s="14"/>
    </row>
    <row r="661" ht="15.75" customHeight="1">
      <c r="A661" s="14"/>
      <c r="B661" s="14"/>
    </row>
    <row r="662" ht="15.75" customHeight="1">
      <c r="A662" s="14"/>
      <c r="B662" s="14"/>
    </row>
    <row r="663" ht="15.75" customHeight="1">
      <c r="A663" s="14"/>
      <c r="B663" s="14"/>
    </row>
    <row r="664" ht="15.75" customHeight="1">
      <c r="A664" s="14"/>
      <c r="B664" s="14"/>
    </row>
    <row r="665" ht="15.75" customHeight="1">
      <c r="A665" s="14"/>
      <c r="B665" s="14"/>
    </row>
    <row r="666" ht="15.75" customHeight="1">
      <c r="A666" s="14"/>
      <c r="B666" s="14"/>
    </row>
    <row r="667" ht="15.75" customHeight="1">
      <c r="A667" s="14"/>
      <c r="B667" s="14"/>
    </row>
    <row r="668" ht="15.75" customHeight="1">
      <c r="A668" s="14"/>
      <c r="B668" s="14"/>
    </row>
    <row r="669" ht="15.75" customHeight="1">
      <c r="A669" s="14"/>
      <c r="B669" s="14"/>
    </row>
    <row r="670" ht="15.75" customHeight="1">
      <c r="A670" s="14"/>
      <c r="B670" s="14"/>
    </row>
    <row r="671" ht="15.75" customHeight="1">
      <c r="A671" s="14"/>
      <c r="B671" s="14"/>
    </row>
    <row r="672" ht="15.75" customHeight="1">
      <c r="A672" s="14"/>
      <c r="B672" s="14"/>
    </row>
    <row r="673" ht="15.75" customHeight="1">
      <c r="A673" s="14"/>
      <c r="B673" s="14"/>
    </row>
    <row r="674" ht="15.75" customHeight="1">
      <c r="A674" s="14"/>
      <c r="B674" s="14"/>
    </row>
    <row r="675" ht="15.75" customHeight="1">
      <c r="A675" s="14"/>
      <c r="B675" s="14"/>
    </row>
    <row r="676" ht="15.75" customHeight="1">
      <c r="A676" s="14"/>
      <c r="B676" s="14"/>
    </row>
    <row r="677" ht="15.75" customHeight="1">
      <c r="A677" s="14"/>
      <c r="B677" s="14"/>
    </row>
    <row r="678" ht="15.75" customHeight="1">
      <c r="A678" s="14"/>
      <c r="B678" s="14"/>
    </row>
    <row r="679" ht="15.75" customHeight="1">
      <c r="A679" s="14"/>
      <c r="B679" s="14"/>
    </row>
    <row r="680" ht="15.75" customHeight="1">
      <c r="A680" s="14"/>
      <c r="B680" s="14"/>
    </row>
    <row r="681" ht="15.75" customHeight="1">
      <c r="A681" s="14"/>
      <c r="B681" s="14"/>
    </row>
    <row r="682" ht="15.75" customHeight="1">
      <c r="A682" s="14"/>
      <c r="B682" s="14"/>
    </row>
    <row r="683" ht="15.75" customHeight="1">
      <c r="A683" s="14"/>
      <c r="B683" s="14"/>
    </row>
    <row r="684" ht="15.75" customHeight="1">
      <c r="A684" s="14"/>
      <c r="B684" s="14"/>
    </row>
    <row r="685" ht="15.75" customHeight="1">
      <c r="A685" s="14"/>
      <c r="B685" s="14"/>
    </row>
    <row r="686" ht="15.75" customHeight="1">
      <c r="A686" s="14"/>
      <c r="B686" s="14"/>
    </row>
    <row r="687" ht="15.75" customHeight="1">
      <c r="A687" s="14"/>
      <c r="B687" s="14"/>
    </row>
    <row r="688" ht="15.75" customHeight="1">
      <c r="A688" s="14"/>
      <c r="B688" s="14"/>
    </row>
    <row r="689" ht="15.75" customHeight="1">
      <c r="A689" s="14"/>
      <c r="B689" s="14"/>
    </row>
    <row r="690" ht="15.75" customHeight="1">
      <c r="A690" s="14"/>
      <c r="B690" s="14"/>
    </row>
    <row r="691" ht="15.75" customHeight="1">
      <c r="A691" s="14"/>
      <c r="B691" s="14"/>
    </row>
    <row r="692" ht="15.75" customHeight="1">
      <c r="A692" s="14"/>
      <c r="B692" s="14"/>
    </row>
    <row r="693" ht="15.75" customHeight="1">
      <c r="A693" s="14"/>
      <c r="B693" s="14"/>
    </row>
    <row r="694" ht="15.75" customHeight="1">
      <c r="A694" s="14"/>
      <c r="B694" s="14"/>
    </row>
    <row r="695" ht="15.75" customHeight="1">
      <c r="A695" s="14"/>
      <c r="B695" s="14"/>
    </row>
    <row r="696" ht="15.75" customHeight="1">
      <c r="A696" s="14"/>
      <c r="B696" s="14"/>
    </row>
    <row r="697" ht="15.75" customHeight="1">
      <c r="A697" s="14"/>
      <c r="B697" s="14"/>
    </row>
    <row r="698" ht="15.75" customHeight="1">
      <c r="A698" s="14"/>
      <c r="B698" s="14"/>
    </row>
    <row r="699" ht="15.75" customHeight="1">
      <c r="A699" s="14"/>
      <c r="B699" s="14"/>
    </row>
    <row r="700" ht="15.75" customHeight="1">
      <c r="A700" s="14"/>
      <c r="B700" s="14"/>
    </row>
    <row r="701" ht="15.75" customHeight="1">
      <c r="A701" s="14"/>
      <c r="B701" s="14"/>
    </row>
    <row r="702" ht="15.75" customHeight="1">
      <c r="A702" s="14"/>
      <c r="B702" s="14"/>
    </row>
    <row r="703" ht="15.75" customHeight="1">
      <c r="A703" s="14"/>
      <c r="B703" s="14"/>
    </row>
    <row r="704" ht="15.75" customHeight="1">
      <c r="A704" s="14"/>
      <c r="B704" s="14"/>
    </row>
    <row r="705" ht="15.75" customHeight="1">
      <c r="A705" s="14"/>
      <c r="B705" s="14"/>
    </row>
    <row r="706" ht="15.75" customHeight="1">
      <c r="A706" s="14"/>
      <c r="B706" s="14"/>
    </row>
    <row r="707" ht="15.75" customHeight="1">
      <c r="A707" s="14"/>
      <c r="B707" s="14"/>
    </row>
    <row r="708" ht="15.75" customHeight="1">
      <c r="A708" s="14"/>
      <c r="B708" s="14"/>
    </row>
    <row r="709" ht="15.75" customHeight="1">
      <c r="A709" s="14"/>
      <c r="B709" s="14"/>
    </row>
    <row r="710" ht="15.75" customHeight="1">
      <c r="A710" s="14"/>
      <c r="B710" s="14"/>
    </row>
    <row r="711" ht="15.75" customHeight="1">
      <c r="A711" s="14"/>
      <c r="B711" s="14"/>
    </row>
    <row r="712" ht="15.75" customHeight="1">
      <c r="A712" s="14"/>
      <c r="B712" s="14"/>
    </row>
    <row r="713" ht="15.75" customHeight="1">
      <c r="A713" s="14"/>
      <c r="B713" s="14"/>
    </row>
    <row r="714" ht="15.75" customHeight="1">
      <c r="A714" s="14"/>
      <c r="B714" s="14"/>
    </row>
    <row r="715" ht="15.75" customHeight="1">
      <c r="A715" s="14"/>
      <c r="B715" s="14"/>
    </row>
    <row r="716" ht="15.75" customHeight="1">
      <c r="A716" s="14"/>
      <c r="B716" s="14"/>
    </row>
    <row r="717" ht="15.75" customHeight="1">
      <c r="A717" s="14"/>
      <c r="B717" s="14"/>
    </row>
    <row r="718" ht="15.75" customHeight="1">
      <c r="A718" s="14"/>
      <c r="B718" s="14"/>
    </row>
    <row r="719" ht="15.75" customHeight="1">
      <c r="A719" s="14"/>
      <c r="B719" s="14"/>
    </row>
    <row r="720" ht="15.75" customHeight="1">
      <c r="A720" s="14"/>
      <c r="B720" s="14"/>
    </row>
    <row r="721" ht="15.75" customHeight="1">
      <c r="A721" s="14"/>
      <c r="B721" s="14"/>
    </row>
    <row r="722" ht="15.75" customHeight="1">
      <c r="A722" s="14"/>
      <c r="B722" s="14"/>
    </row>
    <row r="723" ht="15.75" customHeight="1">
      <c r="A723" s="14"/>
      <c r="B723" s="14"/>
    </row>
    <row r="724" ht="15.75" customHeight="1">
      <c r="A724" s="14"/>
      <c r="B724" s="14"/>
    </row>
    <row r="725" ht="15.75" customHeight="1">
      <c r="A725" s="14"/>
      <c r="B725" s="14"/>
    </row>
    <row r="726" ht="15.75" customHeight="1">
      <c r="A726" s="14"/>
      <c r="B726" s="14"/>
    </row>
    <row r="727" ht="15.75" customHeight="1">
      <c r="A727" s="14"/>
      <c r="B727" s="14"/>
    </row>
    <row r="728" ht="15.75" customHeight="1">
      <c r="A728" s="14"/>
      <c r="B728" s="14"/>
    </row>
    <row r="729" ht="15.75" customHeight="1">
      <c r="A729" s="14"/>
      <c r="B729" s="14"/>
    </row>
    <row r="730" ht="15.75" customHeight="1">
      <c r="A730" s="14"/>
      <c r="B730" s="14"/>
    </row>
    <row r="731" ht="15.75" customHeight="1">
      <c r="A731" s="14"/>
      <c r="B731" s="14"/>
    </row>
    <row r="732" ht="15.75" customHeight="1">
      <c r="A732" s="14"/>
      <c r="B732" s="14"/>
    </row>
    <row r="733" ht="15.75" customHeight="1">
      <c r="A733" s="14"/>
      <c r="B733" s="14"/>
    </row>
    <row r="734" ht="15.75" customHeight="1">
      <c r="A734" s="14"/>
      <c r="B734" s="14"/>
    </row>
    <row r="735" ht="15.75" customHeight="1">
      <c r="A735" s="14"/>
      <c r="B735" s="14"/>
    </row>
    <row r="736" ht="15.75" customHeight="1">
      <c r="A736" s="14"/>
      <c r="B736" s="14"/>
    </row>
    <row r="737" ht="15.75" customHeight="1">
      <c r="A737" s="14"/>
      <c r="B737" s="14"/>
    </row>
    <row r="738" ht="15.75" customHeight="1">
      <c r="A738" s="14"/>
      <c r="B738" s="14"/>
    </row>
    <row r="739" ht="15.75" customHeight="1">
      <c r="A739" s="14"/>
      <c r="B739" s="14"/>
    </row>
    <row r="740" ht="15.75" customHeight="1">
      <c r="A740" s="14"/>
      <c r="B740" s="14"/>
    </row>
    <row r="741" ht="15.75" customHeight="1">
      <c r="A741" s="14"/>
      <c r="B741" s="14"/>
    </row>
    <row r="742" ht="15.75" customHeight="1">
      <c r="A742" s="14"/>
      <c r="B742" s="14"/>
    </row>
    <row r="743" ht="15.75" customHeight="1">
      <c r="A743" s="14"/>
      <c r="B743" s="14"/>
    </row>
    <row r="744" ht="15.75" customHeight="1">
      <c r="A744" s="14"/>
      <c r="B744" s="14"/>
    </row>
    <row r="745" ht="15.75" customHeight="1">
      <c r="A745" s="14"/>
      <c r="B745" s="14"/>
    </row>
    <row r="746" ht="15.75" customHeight="1">
      <c r="A746" s="14"/>
      <c r="B746" s="14"/>
    </row>
    <row r="747" ht="15.75" customHeight="1">
      <c r="A747" s="14"/>
      <c r="B747" s="14"/>
    </row>
    <row r="748" ht="15.75" customHeight="1">
      <c r="A748" s="14"/>
      <c r="B748" s="14"/>
    </row>
    <row r="749" ht="15.75" customHeight="1">
      <c r="A749" s="14"/>
      <c r="B749" s="14"/>
    </row>
    <row r="750" ht="15.75" customHeight="1">
      <c r="A750" s="14"/>
      <c r="B750" s="14"/>
    </row>
    <row r="751" ht="15.75" customHeight="1">
      <c r="A751" s="14"/>
      <c r="B751" s="14"/>
    </row>
    <row r="752" ht="15.75" customHeight="1">
      <c r="A752" s="14"/>
      <c r="B752" s="14"/>
    </row>
    <row r="753" ht="15.75" customHeight="1">
      <c r="A753" s="14"/>
      <c r="B753" s="14"/>
    </row>
    <row r="754" ht="15.75" customHeight="1">
      <c r="A754" s="14"/>
      <c r="B754" s="14"/>
    </row>
    <row r="755" ht="15.75" customHeight="1">
      <c r="A755" s="14"/>
      <c r="B755" s="14"/>
    </row>
    <row r="756" ht="15.75" customHeight="1">
      <c r="A756" s="14"/>
      <c r="B756" s="14"/>
    </row>
    <row r="757" ht="15.75" customHeight="1">
      <c r="A757" s="14"/>
      <c r="B757" s="14"/>
    </row>
    <row r="758" ht="15.75" customHeight="1">
      <c r="A758" s="14"/>
      <c r="B758" s="14"/>
    </row>
    <row r="759" ht="15.75" customHeight="1">
      <c r="A759" s="14"/>
      <c r="B759" s="14"/>
    </row>
    <row r="760" ht="15.75" customHeight="1">
      <c r="A760" s="14"/>
      <c r="B760" s="14"/>
    </row>
    <row r="761" ht="15.75" customHeight="1">
      <c r="A761" s="14"/>
      <c r="B761" s="14"/>
    </row>
    <row r="762" ht="15.75" customHeight="1">
      <c r="A762" s="14"/>
      <c r="B762" s="14"/>
    </row>
    <row r="763" ht="15.75" customHeight="1">
      <c r="A763" s="14"/>
      <c r="B763" s="14"/>
    </row>
    <row r="764" ht="15.75" customHeight="1">
      <c r="A764" s="14"/>
      <c r="B764" s="14"/>
    </row>
    <row r="765" ht="15.75" customHeight="1">
      <c r="A765" s="14"/>
      <c r="B765" s="14"/>
    </row>
    <row r="766" ht="15.75" customHeight="1">
      <c r="A766" s="14"/>
      <c r="B766" s="14"/>
    </row>
    <row r="767" ht="15.75" customHeight="1">
      <c r="A767" s="14"/>
      <c r="B767" s="14"/>
    </row>
    <row r="768" ht="15.75" customHeight="1">
      <c r="A768" s="14"/>
      <c r="B768" s="14"/>
    </row>
    <row r="769" ht="15.75" customHeight="1">
      <c r="A769" s="14"/>
      <c r="B769" s="14"/>
    </row>
    <row r="770" ht="15.75" customHeight="1">
      <c r="A770" s="14"/>
      <c r="B770" s="14"/>
    </row>
    <row r="771" ht="15.75" customHeight="1">
      <c r="A771" s="14"/>
      <c r="B771" s="14"/>
    </row>
    <row r="772" ht="15.75" customHeight="1">
      <c r="A772" s="14"/>
      <c r="B772" s="14"/>
    </row>
    <row r="773" ht="15.75" customHeight="1">
      <c r="A773" s="14"/>
      <c r="B773" s="14"/>
    </row>
    <row r="774" ht="15.75" customHeight="1">
      <c r="A774" s="14"/>
      <c r="B774" s="14"/>
    </row>
    <row r="775" ht="15.75" customHeight="1">
      <c r="A775" s="14"/>
      <c r="B775" s="14"/>
    </row>
    <row r="776" ht="15.75" customHeight="1">
      <c r="A776" s="14"/>
      <c r="B776" s="14"/>
    </row>
    <row r="777" ht="15.75" customHeight="1">
      <c r="A777" s="14"/>
      <c r="B777" s="14"/>
    </row>
    <row r="778" ht="15.75" customHeight="1">
      <c r="A778" s="14"/>
      <c r="B778" s="14"/>
    </row>
    <row r="779" ht="15.75" customHeight="1">
      <c r="A779" s="14"/>
      <c r="B779" s="14"/>
    </row>
    <row r="780" ht="15.75" customHeight="1">
      <c r="A780" s="14"/>
      <c r="B780" s="14"/>
    </row>
    <row r="781" ht="15.75" customHeight="1">
      <c r="A781" s="14"/>
      <c r="B781" s="14"/>
    </row>
    <row r="782" ht="15.75" customHeight="1">
      <c r="A782" s="14"/>
      <c r="B782" s="14"/>
    </row>
    <row r="783" ht="15.75" customHeight="1">
      <c r="A783" s="14"/>
      <c r="B783" s="14"/>
    </row>
    <row r="784" ht="15.75" customHeight="1">
      <c r="A784" s="14"/>
      <c r="B784" s="14"/>
    </row>
    <row r="785" ht="15.75" customHeight="1">
      <c r="A785" s="14"/>
      <c r="B785" s="14"/>
    </row>
    <row r="786" ht="15.75" customHeight="1">
      <c r="A786" s="14"/>
      <c r="B786" s="14"/>
    </row>
    <row r="787" ht="15.75" customHeight="1">
      <c r="A787" s="14"/>
      <c r="B787" s="14"/>
    </row>
    <row r="788" ht="15.75" customHeight="1">
      <c r="A788" s="14"/>
      <c r="B788" s="14"/>
    </row>
    <row r="789" ht="15.75" customHeight="1">
      <c r="A789" s="14"/>
      <c r="B789" s="14"/>
    </row>
    <row r="790" ht="15.75" customHeight="1">
      <c r="A790" s="14"/>
      <c r="B790" s="14"/>
    </row>
    <row r="791" ht="15.75" customHeight="1">
      <c r="A791" s="14"/>
      <c r="B791" s="14"/>
    </row>
    <row r="792" ht="15.75" customHeight="1">
      <c r="A792" s="14"/>
      <c r="B792" s="14"/>
    </row>
    <row r="793" ht="15.75" customHeight="1">
      <c r="A793" s="14"/>
      <c r="B793" s="14"/>
    </row>
    <row r="794" ht="15.75" customHeight="1">
      <c r="A794" s="14"/>
      <c r="B794" s="14"/>
    </row>
    <row r="795" ht="15.75" customHeight="1">
      <c r="A795" s="14"/>
      <c r="B795" s="14"/>
    </row>
    <row r="796" ht="15.75" customHeight="1">
      <c r="A796" s="14"/>
      <c r="B796" s="14"/>
    </row>
    <row r="797" ht="15.75" customHeight="1">
      <c r="A797" s="14"/>
      <c r="B797" s="14"/>
    </row>
    <row r="798" ht="15.75" customHeight="1">
      <c r="A798" s="14"/>
      <c r="B798" s="14"/>
    </row>
    <row r="799" ht="15.75" customHeight="1">
      <c r="A799" s="14"/>
      <c r="B799" s="14"/>
    </row>
    <row r="800" ht="15.75" customHeight="1">
      <c r="A800" s="14"/>
      <c r="B800" s="14"/>
    </row>
    <row r="801" ht="15.75" customHeight="1">
      <c r="A801" s="14"/>
      <c r="B801" s="14"/>
    </row>
    <row r="802" ht="15.75" customHeight="1">
      <c r="A802" s="14"/>
      <c r="B802" s="14"/>
    </row>
    <row r="803" ht="15.75" customHeight="1">
      <c r="A803" s="14"/>
      <c r="B803" s="14"/>
    </row>
    <row r="804" ht="15.75" customHeight="1">
      <c r="A804" s="14"/>
      <c r="B804" s="14"/>
    </row>
    <row r="805" ht="15.75" customHeight="1">
      <c r="A805" s="14"/>
      <c r="B805" s="14"/>
    </row>
    <row r="806" ht="15.75" customHeight="1">
      <c r="A806" s="14"/>
      <c r="B806" s="14"/>
    </row>
    <row r="807" ht="15.75" customHeight="1">
      <c r="A807" s="14"/>
      <c r="B807" s="14"/>
    </row>
    <row r="808" ht="15.75" customHeight="1">
      <c r="A808" s="14"/>
      <c r="B808" s="14"/>
    </row>
    <row r="809" ht="15.75" customHeight="1">
      <c r="A809" s="14"/>
      <c r="B809" s="14"/>
    </row>
    <row r="810" ht="15.75" customHeight="1">
      <c r="A810" s="14"/>
      <c r="B810" s="14"/>
    </row>
    <row r="811" ht="15.75" customHeight="1">
      <c r="A811" s="14"/>
      <c r="B811" s="14"/>
    </row>
    <row r="812" ht="15.75" customHeight="1">
      <c r="A812" s="14"/>
      <c r="B812" s="14"/>
    </row>
    <row r="813" ht="15.75" customHeight="1">
      <c r="A813" s="14"/>
      <c r="B813" s="14"/>
    </row>
    <row r="814" ht="15.75" customHeight="1">
      <c r="A814" s="14"/>
      <c r="B814" s="14"/>
    </row>
    <row r="815" ht="15.75" customHeight="1">
      <c r="A815" s="14"/>
      <c r="B815" s="14"/>
    </row>
    <row r="816" ht="15.75" customHeight="1">
      <c r="A816" s="14"/>
      <c r="B816" s="14"/>
    </row>
    <row r="817" ht="15.75" customHeight="1">
      <c r="A817" s="14"/>
      <c r="B817" s="14"/>
    </row>
    <row r="818" ht="15.75" customHeight="1">
      <c r="A818" s="14"/>
      <c r="B818" s="14"/>
    </row>
    <row r="819" ht="15.75" customHeight="1">
      <c r="A819" s="14"/>
      <c r="B819" s="14"/>
    </row>
    <row r="820" ht="15.75" customHeight="1">
      <c r="A820" s="14"/>
      <c r="B820" s="14"/>
    </row>
    <row r="821" ht="15.75" customHeight="1">
      <c r="A821" s="14"/>
      <c r="B821" s="14"/>
    </row>
    <row r="822" ht="15.75" customHeight="1">
      <c r="A822" s="14"/>
      <c r="B822" s="14"/>
    </row>
    <row r="823" ht="15.75" customHeight="1">
      <c r="A823" s="14"/>
      <c r="B823" s="14"/>
    </row>
    <row r="824" ht="15.75" customHeight="1">
      <c r="A824" s="14"/>
      <c r="B824" s="14"/>
    </row>
    <row r="825" ht="15.75" customHeight="1">
      <c r="A825" s="14"/>
      <c r="B825" s="14"/>
    </row>
    <row r="826" ht="15.75" customHeight="1">
      <c r="A826" s="14"/>
      <c r="B826" s="14"/>
    </row>
    <row r="827" ht="15.75" customHeight="1">
      <c r="A827" s="14"/>
      <c r="B827" s="14"/>
    </row>
    <row r="828" ht="15.75" customHeight="1">
      <c r="A828" s="14"/>
      <c r="B828" s="14"/>
    </row>
    <row r="829" ht="15.75" customHeight="1">
      <c r="A829" s="14"/>
      <c r="B829" s="14"/>
    </row>
    <row r="830" ht="15.75" customHeight="1">
      <c r="A830" s="14"/>
      <c r="B830" s="14"/>
    </row>
    <row r="831" ht="15.75" customHeight="1">
      <c r="A831" s="14"/>
      <c r="B831" s="14"/>
    </row>
    <row r="832" ht="15.75" customHeight="1">
      <c r="A832" s="14"/>
      <c r="B832" s="14"/>
    </row>
    <row r="833" ht="15.75" customHeight="1">
      <c r="A833" s="14"/>
      <c r="B833" s="14"/>
    </row>
    <row r="834" ht="15.75" customHeight="1">
      <c r="A834" s="14"/>
      <c r="B834" s="14"/>
    </row>
    <row r="835" ht="15.75" customHeight="1">
      <c r="A835" s="14"/>
      <c r="B835" s="14"/>
    </row>
    <row r="836" ht="15.75" customHeight="1">
      <c r="A836" s="14"/>
      <c r="B836" s="14"/>
    </row>
    <row r="837" ht="15.75" customHeight="1">
      <c r="A837" s="14"/>
      <c r="B837" s="14"/>
    </row>
    <row r="838" ht="15.75" customHeight="1">
      <c r="A838" s="14"/>
      <c r="B838" s="14"/>
    </row>
    <row r="839" ht="15.75" customHeight="1">
      <c r="A839" s="14"/>
      <c r="B839" s="14"/>
    </row>
    <row r="840" ht="15.75" customHeight="1">
      <c r="A840" s="14"/>
      <c r="B840" s="14"/>
    </row>
    <row r="841" ht="15.75" customHeight="1">
      <c r="A841" s="14"/>
      <c r="B841" s="14"/>
    </row>
    <row r="842" ht="15.75" customHeight="1">
      <c r="A842" s="14"/>
      <c r="B842" s="14"/>
    </row>
    <row r="843" ht="15.75" customHeight="1">
      <c r="A843" s="14"/>
      <c r="B843" s="14"/>
    </row>
    <row r="844" ht="15.75" customHeight="1">
      <c r="A844" s="14"/>
      <c r="B844" s="14"/>
    </row>
    <row r="845" ht="15.75" customHeight="1">
      <c r="A845" s="14"/>
      <c r="B845" s="14"/>
    </row>
    <row r="846" ht="15.75" customHeight="1">
      <c r="A846" s="14"/>
      <c r="B846" s="14"/>
    </row>
    <row r="847" ht="15.75" customHeight="1">
      <c r="A847" s="14"/>
      <c r="B847" s="14"/>
    </row>
    <row r="848" ht="15.75" customHeight="1">
      <c r="A848" s="14"/>
      <c r="B848" s="14"/>
    </row>
    <row r="849" ht="15.75" customHeight="1">
      <c r="A849" s="14"/>
      <c r="B849" s="14"/>
    </row>
    <row r="850" ht="15.75" customHeight="1">
      <c r="A850" s="14"/>
      <c r="B850" s="14"/>
    </row>
    <row r="851" ht="15.75" customHeight="1">
      <c r="A851" s="14"/>
      <c r="B851" s="14"/>
    </row>
    <row r="852" ht="15.75" customHeight="1">
      <c r="A852" s="14"/>
      <c r="B852" s="14"/>
    </row>
    <row r="853" ht="15.75" customHeight="1">
      <c r="A853" s="14"/>
      <c r="B853" s="14"/>
    </row>
    <row r="854" ht="15.75" customHeight="1">
      <c r="A854" s="14"/>
      <c r="B854" s="14"/>
    </row>
    <row r="855" ht="15.75" customHeight="1">
      <c r="A855" s="14"/>
      <c r="B855" s="14"/>
    </row>
    <row r="856" ht="15.75" customHeight="1">
      <c r="A856" s="14"/>
      <c r="B856" s="14"/>
    </row>
    <row r="857" ht="15.75" customHeight="1">
      <c r="A857" s="14"/>
      <c r="B857" s="14"/>
    </row>
    <row r="858" ht="15.75" customHeight="1">
      <c r="A858" s="14"/>
      <c r="B858" s="14"/>
    </row>
    <row r="859" ht="15.75" customHeight="1">
      <c r="A859" s="14"/>
      <c r="B859" s="14"/>
    </row>
    <row r="860" ht="15.75" customHeight="1">
      <c r="A860" s="14"/>
      <c r="B860" s="14"/>
    </row>
    <row r="861" ht="15.75" customHeight="1">
      <c r="A861" s="14"/>
      <c r="B861" s="14"/>
    </row>
    <row r="862" ht="15.75" customHeight="1">
      <c r="A862" s="14"/>
      <c r="B862" s="14"/>
    </row>
    <row r="863" ht="15.75" customHeight="1">
      <c r="A863" s="14"/>
      <c r="B863" s="14"/>
    </row>
    <row r="864" ht="15.75" customHeight="1">
      <c r="A864" s="14"/>
      <c r="B864" s="14"/>
    </row>
    <row r="865" ht="15.75" customHeight="1">
      <c r="A865" s="14"/>
      <c r="B865" s="14"/>
    </row>
    <row r="866" ht="15.75" customHeight="1">
      <c r="A866" s="14"/>
      <c r="B866" s="14"/>
    </row>
    <row r="867" ht="15.75" customHeight="1">
      <c r="A867" s="14"/>
      <c r="B867" s="14"/>
    </row>
    <row r="868" ht="15.75" customHeight="1">
      <c r="A868" s="14"/>
      <c r="B868" s="14"/>
    </row>
    <row r="869" ht="15.75" customHeight="1">
      <c r="A869" s="14"/>
      <c r="B869" s="14"/>
    </row>
    <row r="870" ht="15.75" customHeight="1">
      <c r="A870" s="14"/>
      <c r="B870" s="14"/>
    </row>
    <row r="871" ht="15.75" customHeight="1">
      <c r="A871" s="14"/>
      <c r="B871" s="14"/>
    </row>
    <row r="872" ht="15.75" customHeight="1">
      <c r="A872" s="14"/>
      <c r="B872" s="14"/>
    </row>
    <row r="873" ht="15.75" customHeight="1">
      <c r="A873" s="14"/>
      <c r="B873" s="14"/>
    </row>
    <row r="874" ht="15.75" customHeight="1">
      <c r="A874" s="14"/>
      <c r="B874" s="14"/>
    </row>
    <row r="875" ht="15.75" customHeight="1">
      <c r="A875" s="14"/>
      <c r="B875" s="14"/>
    </row>
    <row r="876" ht="15.75" customHeight="1">
      <c r="A876" s="14"/>
      <c r="B876" s="14"/>
    </row>
    <row r="877" ht="15.75" customHeight="1">
      <c r="A877" s="14"/>
      <c r="B877" s="14"/>
    </row>
    <row r="878" ht="15.75" customHeight="1">
      <c r="A878" s="14"/>
      <c r="B878" s="14"/>
    </row>
    <row r="879" ht="15.75" customHeight="1">
      <c r="A879" s="14"/>
      <c r="B879" s="14"/>
    </row>
    <row r="880" ht="15.75" customHeight="1">
      <c r="A880" s="14"/>
      <c r="B880" s="14"/>
    </row>
    <row r="881" ht="15.75" customHeight="1">
      <c r="A881" s="14"/>
      <c r="B881" s="14"/>
    </row>
    <row r="882" ht="15.75" customHeight="1">
      <c r="A882" s="14"/>
      <c r="B882" s="14"/>
    </row>
    <row r="883" ht="15.75" customHeight="1">
      <c r="A883" s="14"/>
      <c r="B883" s="14"/>
    </row>
    <row r="884" ht="15.75" customHeight="1">
      <c r="A884" s="14"/>
      <c r="B884" s="14"/>
    </row>
    <row r="885" ht="15.75" customHeight="1">
      <c r="A885" s="14"/>
      <c r="B885" s="14"/>
    </row>
    <row r="886" ht="15.75" customHeight="1">
      <c r="A886" s="14"/>
      <c r="B886" s="14"/>
    </row>
    <row r="887" ht="15.75" customHeight="1">
      <c r="A887" s="14"/>
      <c r="B887" s="14"/>
    </row>
    <row r="888" ht="15.75" customHeight="1">
      <c r="A888" s="14"/>
      <c r="B888" s="14"/>
    </row>
    <row r="889" ht="15.75" customHeight="1">
      <c r="A889" s="14"/>
      <c r="B889" s="14"/>
    </row>
    <row r="890" ht="15.75" customHeight="1">
      <c r="A890" s="14"/>
      <c r="B890" s="14"/>
    </row>
    <row r="891" ht="15.75" customHeight="1">
      <c r="A891" s="14"/>
      <c r="B891" s="14"/>
    </row>
    <row r="892" ht="15.75" customHeight="1">
      <c r="A892" s="14"/>
      <c r="B892" s="14"/>
    </row>
    <row r="893" ht="15.75" customHeight="1">
      <c r="A893" s="14"/>
      <c r="B893" s="14"/>
    </row>
    <row r="894" ht="15.75" customHeight="1">
      <c r="A894" s="14"/>
      <c r="B894" s="14"/>
    </row>
    <row r="895" ht="15.75" customHeight="1">
      <c r="A895" s="14"/>
      <c r="B895" s="14"/>
    </row>
    <row r="896" ht="15.75" customHeight="1">
      <c r="A896" s="14"/>
      <c r="B896" s="14"/>
    </row>
    <row r="897" ht="15.75" customHeight="1">
      <c r="A897" s="14"/>
      <c r="B897" s="14"/>
    </row>
    <row r="898" ht="15.75" customHeight="1">
      <c r="A898" s="14"/>
      <c r="B898" s="14"/>
    </row>
    <row r="899" ht="15.75" customHeight="1">
      <c r="A899" s="14"/>
      <c r="B899" s="14"/>
    </row>
    <row r="900" ht="15.75" customHeight="1">
      <c r="A900" s="14"/>
      <c r="B900" s="14"/>
    </row>
    <row r="901" ht="15.75" customHeight="1">
      <c r="A901" s="14"/>
      <c r="B901" s="14"/>
    </row>
    <row r="902" ht="15.75" customHeight="1">
      <c r="A902" s="14"/>
      <c r="B902" s="14"/>
    </row>
    <row r="903" ht="15.75" customHeight="1">
      <c r="A903" s="14"/>
      <c r="B903" s="14"/>
    </row>
    <row r="904" ht="15.75" customHeight="1">
      <c r="A904" s="14"/>
      <c r="B904" s="14"/>
    </row>
    <row r="905" ht="15.75" customHeight="1">
      <c r="A905" s="14"/>
      <c r="B905" s="14"/>
    </row>
    <row r="906" ht="15.75" customHeight="1">
      <c r="A906" s="14"/>
      <c r="B906" s="14"/>
    </row>
    <row r="907" ht="15.75" customHeight="1">
      <c r="A907" s="14"/>
      <c r="B907" s="14"/>
    </row>
    <row r="908" ht="15.75" customHeight="1">
      <c r="A908" s="14"/>
      <c r="B908" s="14"/>
    </row>
    <row r="909" ht="15.75" customHeight="1">
      <c r="A909" s="14"/>
      <c r="B909" s="14"/>
    </row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1" max="1" width="41.88"/>
    <col customWidth="1" min="2" max="2" width="17.5"/>
    <col customWidth="1" min="3" max="3" width="19.25"/>
    <col customWidth="1" min="4" max="4" width="18.5"/>
    <col customWidth="1" min="5" max="5" width="17.63"/>
    <col customWidth="1" min="6" max="6" width="18.13"/>
    <col customWidth="1" min="11" max="11" width="16.88"/>
    <col customWidth="1" min="12" max="12" width="20.0"/>
  </cols>
  <sheetData>
    <row r="1" ht="15.75" customHeight="1">
      <c r="B1" s="3" t="s">
        <v>0</v>
      </c>
      <c r="C1" s="3" t="str">
        <f>TEXT(C3,"MMMM-YYY")</f>
        <v>September-2025</v>
      </c>
    </row>
    <row r="2" ht="15.75" customHeight="1">
      <c r="A2" s="7"/>
      <c r="B2" s="3" t="s">
        <v>1</v>
      </c>
      <c r="C2" s="8">
        <v>45901.0</v>
      </c>
      <c r="E2" s="9" t="s">
        <v>2</v>
      </c>
      <c r="F2" s="10" t="str">
        <f>IF(SUM(D:D) = SUM(E:E), "✅ Balanced", "⚠️ Unbalanced")</f>
        <v>#REF!</v>
      </c>
    </row>
    <row r="3" ht="15.75" customHeight="1">
      <c r="B3" s="3" t="s">
        <v>3</v>
      </c>
      <c r="C3" s="8">
        <f>EOMONTH(C2,0)</f>
        <v>45930</v>
      </c>
      <c r="E3" s="11"/>
    </row>
    <row r="4" ht="15.75" customHeight="1"/>
    <row r="5" ht="15.75" customHeight="1">
      <c r="D5" s="12" t="str">
        <f t="shared" ref="D5:E5" si="1">SUM(D8:D1000)</f>
        <v>#REF!</v>
      </c>
      <c r="E5" s="12" t="str">
        <f t="shared" si="1"/>
        <v>#REF!</v>
      </c>
      <c r="F5" s="12" t="str">
        <f>D5-E5</f>
        <v>#REF!</v>
      </c>
    </row>
    <row r="6" ht="15.75" customHeight="1"/>
    <row r="7" ht="15.75" customHeight="1">
      <c r="A7" s="1" t="s">
        <v>4</v>
      </c>
      <c r="B7" s="1" t="s">
        <v>5</v>
      </c>
      <c r="C7" s="1" t="s">
        <v>6</v>
      </c>
      <c r="D7" s="1" t="s">
        <v>7</v>
      </c>
      <c r="E7" s="1" t="s">
        <v>8</v>
      </c>
      <c r="F7" s="1" t="s">
        <v>9</v>
      </c>
    </row>
    <row r="8" ht="15.75" customHeight="1">
      <c r="A8" s="1" t="str">
        <f t="array" ref="A8:A909">Helper!E99:E1000</f>
        <v/>
      </c>
      <c r="B8" s="1" t="str">
        <f t="array" ref="B8:B909">Helper!D99:D1000</f>
        <v/>
      </c>
      <c r="C8" s="13" t="str">
        <f>Aug_2025!F8</f>
        <v>#N/A</v>
      </c>
      <c r="D8" s="13" t="str">
        <f>IFERROR(__xludf.DUMMYFUNCTION("IFNA(QUERY(IMPORTRANGE(""https://docs.google.com/spreadsheets/d/1EHL-jm_NiShR1a2JqKbpaJGazYH90DJO150spY6io4k/edit?gid=0#gid=0"", 
""Gen_Ledger!A:N""), 
""SELECT SUM(Col10) WHERE Col7 = ""&amp;B8&amp;"" AND Col1 &gt;= DATE '"" &amp; TEXT($C$2, ""YYYY-MM-DD"") &amp; ""' AND C"&amp;"ol1 &lt;= DATE '"" &amp; TEXT($C$3, ""YYYY-MM-DD"") &amp; ""' LABEL SUM(Col10) ''"", 0), """")"),"#REF!")</f>
        <v>#REF!</v>
      </c>
      <c r="E8" s="13" t="str">
        <f>IFERROR(__xludf.DUMMYFUNCTION("IFNA(QUERY(IMPORTRANGE(""https://docs.google.com/spreadsheets/d/1EHL-jm_NiShR1a2JqKbpaJGazYH90DJO150spY6io4k/edit?gid=0#gid=0"", 
""Gen_Ledger!A:N""), 
""SELECT SUM(Col11) WHERE Col7 = ""&amp;B8&amp;"" AND Col1 &gt;= DATE '"" &amp; TEXT($C$2, ""YYYY-MM-DD"") &amp; ""' AND C"&amp;"ol1 &lt;= DATE '"" &amp; TEXT($C$3, ""YYYY-MM-DD"") &amp; ""' LABEL SUM(Col11) ''"", 0), """")"),"#REF!")</f>
        <v>#REF!</v>
      </c>
      <c r="F8" s="13" t="str">
        <f t="shared" ref="F8:F21" si="2">C8+D8-E8</f>
        <v>#N/A</v>
      </c>
    </row>
    <row r="9" ht="15.75" customHeight="1">
      <c r="A9" s="1"/>
      <c r="B9" s="1"/>
      <c r="C9" s="13" t="str">
        <f>Aug_2025!F9</f>
        <v>#N/A</v>
      </c>
      <c r="D9" s="13" t="str">
        <f>IFERROR(__xludf.DUMMYFUNCTION("IFNA(QUERY(IMPORTRANGE(""https://docs.google.com/spreadsheets/d/1EHL-jm_NiShR1a2JqKbpaJGazYH90DJO150spY6io4k/edit?gid=0#gid=0"", 
""Gen_Ledger!A:N""), 
""SELECT SUM(Col10) WHERE Col7 = ""&amp;B9&amp;"" AND Col1 &gt;= DATE '"" &amp; TEXT($C$2, ""YYYY-MM-DD"") &amp; ""' AND C"&amp;"ol1 &lt;= DATE '"" &amp; TEXT($C$3, ""YYYY-MM-DD"") &amp; ""' LABEL SUM(Col10) ''"", 0), """")"),"#REF!")</f>
        <v>#REF!</v>
      </c>
      <c r="E9" s="13" t="str">
        <f>IFERROR(__xludf.DUMMYFUNCTION("IFNA(QUERY(IMPORTRANGE(""https://docs.google.com/spreadsheets/d/1EHL-jm_NiShR1a2JqKbpaJGazYH90DJO150spY6io4k/edit?gid=0#gid=0"", 
""Gen_Ledger!A:N""), 
""SELECT SUM(Col11) WHERE Col7 = ""&amp;B9&amp;"" AND Col1 &gt;= DATE '"" &amp; TEXT($C$2, ""YYYY-MM-DD"") &amp; ""' AND C"&amp;"ol1 &lt;= DATE '"" &amp; TEXT($C$3, ""YYYY-MM-DD"") &amp; ""' LABEL SUM(Col11) ''"", 0), """")"),"#REF!")</f>
        <v>#REF!</v>
      </c>
      <c r="F9" s="13" t="str">
        <f t="shared" si="2"/>
        <v>#N/A</v>
      </c>
    </row>
    <row r="10" ht="15.75" customHeight="1">
      <c r="A10" s="1"/>
      <c r="B10" s="1"/>
      <c r="C10" s="13" t="str">
        <f>Aug_2025!F10</f>
        <v>#N/A</v>
      </c>
      <c r="D10" s="13" t="str">
        <f>IFERROR(__xludf.DUMMYFUNCTION("IFNA(QUERY(IMPORTRANGE(""https://docs.google.com/spreadsheets/d/1EHL-jm_NiShR1a2JqKbpaJGazYH90DJO150spY6io4k/edit?gid=0#gid=0"", 
""Gen_Ledger!A:N""), 
""SELECT SUM(Col10) WHERE Col7 = ""&amp;B10&amp;"" AND Col1 &gt;= DATE '"" &amp; TEXT($C$2, ""YYYY-MM-DD"") &amp; ""' AND "&amp;"Col1 &lt;= DATE '"" &amp; TEXT($C$3, ""YYYY-MM-DD"") &amp; ""' LABEL SUM(Col10) ''"", 0), """")"),"#REF!")</f>
        <v>#REF!</v>
      </c>
      <c r="E10" s="13" t="str">
        <f>IFERROR(__xludf.DUMMYFUNCTION("IFNA(QUERY(IMPORTRANGE(""https://docs.google.com/spreadsheets/d/1EHL-jm_NiShR1a2JqKbpaJGazYH90DJO150spY6io4k/edit?gid=0#gid=0"", 
""Gen_Ledger!A:N""), 
""SELECT SUM(Col11) WHERE Col7 = ""&amp;B10&amp;"" AND Col1 &gt;= DATE '"" &amp; TEXT($C$2, ""YYYY-MM-DD"") &amp; ""' AND "&amp;"Col1 &lt;= DATE '"" &amp; TEXT($C$3, ""YYYY-MM-DD"") &amp; ""' LABEL SUM(Col11) ''"", 0), """")"),"#REF!")</f>
        <v>#REF!</v>
      </c>
      <c r="F10" s="13" t="str">
        <f t="shared" si="2"/>
        <v>#N/A</v>
      </c>
    </row>
    <row r="11" ht="15.75" customHeight="1">
      <c r="A11" s="1"/>
      <c r="B11" s="1"/>
      <c r="C11" s="13" t="str">
        <f>Aug_2025!F11</f>
        <v>#N/A</v>
      </c>
      <c r="D11" s="13" t="str">
        <f>IFERROR(__xludf.DUMMYFUNCTION("IFNA(QUERY(IMPORTRANGE(""https://docs.google.com/spreadsheets/d/1EHL-jm_NiShR1a2JqKbpaJGazYH90DJO150spY6io4k/edit?gid=0#gid=0"", 
""Gen_Ledger!A:N""), 
""SELECT SUM(Col10) WHERE Col7 = ""&amp;B11&amp;"" AND Col1 &gt;= DATE '"" &amp; TEXT($C$2, ""YYYY-MM-DD"") &amp; ""' AND "&amp;"Col1 &lt;= DATE '"" &amp; TEXT($C$3, ""YYYY-MM-DD"") &amp; ""' LABEL SUM(Col10) ''"", 0), """")"),"#REF!")</f>
        <v>#REF!</v>
      </c>
      <c r="E11" s="13" t="str">
        <f>IFERROR(__xludf.DUMMYFUNCTION("IFNA(QUERY(IMPORTRANGE(""https://docs.google.com/spreadsheets/d/1EHL-jm_NiShR1a2JqKbpaJGazYH90DJO150spY6io4k/edit?gid=0#gid=0"", 
""Gen_Ledger!A:N""), 
""SELECT SUM(Col11) WHERE Col7 = ""&amp;B11&amp;"" AND Col1 &gt;= DATE '"" &amp; TEXT($C$2, ""YYYY-MM-DD"") &amp; ""' AND "&amp;"Col1 &lt;= DATE '"" &amp; TEXT($C$3, ""YYYY-MM-DD"") &amp; ""' LABEL SUM(Col11) ''"", 0), """")"),"#REF!")</f>
        <v>#REF!</v>
      </c>
      <c r="F11" s="13" t="str">
        <f t="shared" si="2"/>
        <v>#N/A</v>
      </c>
    </row>
    <row r="12" ht="15.75" customHeight="1">
      <c r="A12" s="1"/>
      <c r="B12" s="1"/>
      <c r="C12" s="13" t="str">
        <f>Aug_2025!F12</f>
        <v>#N/A</v>
      </c>
      <c r="D12" s="13" t="str">
        <f>IFERROR(__xludf.DUMMYFUNCTION("IFNA(QUERY(IMPORTRANGE(""https://docs.google.com/spreadsheets/d/1EHL-jm_NiShR1a2JqKbpaJGazYH90DJO150spY6io4k/edit?gid=0#gid=0"", 
""Gen_Ledger!A:N""), 
""SELECT SUM(Col10) WHERE Col7 = ""&amp;B12&amp;"" AND Col1 &gt;= DATE '"" &amp; TEXT($C$2, ""YYYY-MM-DD"") &amp; ""' AND "&amp;"Col1 &lt;= DATE '"" &amp; TEXT($C$3, ""YYYY-MM-DD"") &amp; ""' LABEL SUM(Col10) ''"", 0), """")"),"#REF!")</f>
        <v>#REF!</v>
      </c>
      <c r="E12" s="13" t="str">
        <f>IFERROR(__xludf.DUMMYFUNCTION("IFNA(QUERY(IMPORTRANGE(""https://docs.google.com/spreadsheets/d/1EHL-jm_NiShR1a2JqKbpaJGazYH90DJO150spY6io4k/edit?gid=0#gid=0"", 
""Gen_Ledger!A:N""), 
""SELECT SUM(Col11) WHERE Col7 = ""&amp;B12&amp;"" AND Col1 &gt;= DATE '"" &amp; TEXT($C$2, ""YYYY-MM-DD"") &amp; ""' AND "&amp;"Col1 &lt;= DATE '"" &amp; TEXT($C$3, ""YYYY-MM-DD"") &amp; ""' LABEL SUM(Col11) ''"", 0), """")"),"#REF!")</f>
        <v>#REF!</v>
      </c>
      <c r="F12" s="13" t="str">
        <f t="shared" si="2"/>
        <v>#N/A</v>
      </c>
    </row>
    <row r="13" ht="15.75" customHeight="1">
      <c r="A13" s="1"/>
      <c r="B13" s="1"/>
      <c r="C13" s="13" t="str">
        <f>Aug_2025!F13</f>
        <v>#N/A</v>
      </c>
      <c r="D13" s="13" t="str">
        <f>IFERROR(__xludf.DUMMYFUNCTION("IFNA(QUERY(IMPORTRANGE(""https://docs.google.com/spreadsheets/d/1EHL-jm_NiShR1a2JqKbpaJGazYH90DJO150spY6io4k/edit?gid=0#gid=0"", 
""Gen_Ledger!A:N""), 
""SELECT SUM(Col10) WHERE Col7 = ""&amp;B13&amp;"" AND Col1 &gt;= DATE '"" &amp; TEXT($C$2, ""YYYY-MM-DD"") &amp; ""' AND "&amp;"Col1 &lt;= DATE '"" &amp; TEXT($C$3, ""YYYY-MM-DD"") &amp; ""' LABEL SUM(Col10) ''"", 0), """")"),"#REF!")</f>
        <v>#REF!</v>
      </c>
      <c r="E13" s="13" t="str">
        <f>IFERROR(__xludf.DUMMYFUNCTION("IFNA(QUERY(IMPORTRANGE(""https://docs.google.com/spreadsheets/d/1EHL-jm_NiShR1a2JqKbpaJGazYH90DJO150spY6io4k/edit?gid=0#gid=0"", 
""Gen_Ledger!A:N""), 
""SELECT SUM(Col11) WHERE Col7 = ""&amp;B13&amp;"" AND Col1 &gt;= DATE '"" &amp; TEXT($C$2, ""YYYY-MM-DD"") &amp; ""' AND "&amp;"Col1 &lt;= DATE '"" &amp; TEXT($C$3, ""YYYY-MM-DD"") &amp; ""' LABEL SUM(Col11) ''"", 0), """")"),"#REF!")</f>
        <v>#REF!</v>
      </c>
      <c r="F13" s="13" t="str">
        <f t="shared" si="2"/>
        <v>#N/A</v>
      </c>
      <c r="I13" s="4"/>
    </row>
    <row r="14" ht="15.75" customHeight="1">
      <c r="A14" s="1"/>
      <c r="B14" s="1"/>
      <c r="C14" s="13" t="str">
        <f>Aug_2025!F14</f>
        <v>#N/A</v>
      </c>
      <c r="D14" s="13" t="str">
        <f>IFERROR(__xludf.DUMMYFUNCTION("IFNA(QUERY(IMPORTRANGE(""https://docs.google.com/spreadsheets/d/1EHL-jm_NiShR1a2JqKbpaJGazYH90DJO150spY6io4k/edit?gid=0#gid=0"", 
""Gen_Ledger!A:N""), 
""SELECT SUM(Col10) WHERE Col7 = ""&amp;B14&amp;"" AND Col1 &gt;= DATE '"" &amp; TEXT($C$2, ""YYYY-MM-DD"") &amp; ""' AND "&amp;"Col1 &lt;= DATE '"" &amp; TEXT($C$3, ""YYYY-MM-DD"") &amp; ""' LABEL SUM(Col10) ''"", 0), """")"),"#REF!")</f>
        <v>#REF!</v>
      </c>
      <c r="E14" s="13" t="str">
        <f>IFERROR(__xludf.DUMMYFUNCTION("IFNA(QUERY(IMPORTRANGE(""https://docs.google.com/spreadsheets/d/1EHL-jm_NiShR1a2JqKbpaJGazYH90DJO150spY6io4k/edit?gid=0#gid=0"", 
""Gen_Ledger!A:N""), 
""SELECT SUM(Col11) WHERE Col7 = ""&amp;B14&amp;"" AND Col1 &gt;= DATE '"" &amp; TEXT($C$2, ""YYYY-MM-DD"") &amp; ""' AND "&amp;"Col1 &lt;= DATE '"" &amp; TEXT($C$3, ""YYYY-MM-DD"") &amp; ""' LABEL SUM(Col11) ''"", 0), """")"),"#REF!")</f>
        <v>#REF!</v>
      </c>
      <c r="F14" s="13" t="str">
        <f t="shared" si="2"/>
        <v>#N/A</v>
      </c>
    </row>
    <row r="15" ht="15.75" customHeight="1">
      <c r="A15" s="1"/>
      <c r="B15" s="1"/>
      <c r="C15" s="13" t="str">
        <f>Aug_2025!F15</f>
        <v>#N/A</v>
      </c>
      <c r="D15" s="13" t="str">
        <f>IFERROR(__xludf.DUMMYFUNCTION("IFNA(QUERY(IMPORTRANGE(""https://docs.google.com/spreadsheets/d/1EHL-jm_NiShR1a2JqKbpaJGazYH90DJO150spY6io4k/edit?gid=0#gid=0"", 
""Gen_Ledger!A:N""), 
""SELECT SUM(Col10) WHERE Col7 = ""&amp;B15&amp;"" AND Col1 &gt;= DATE '"" &amp; TEXT($C$2, ""YYYY-MM-DD"") &amp; ""' AND "&amp;"Col1 &lt;= DATE '"" &amp; TEXT($C$3, ""YYYY-MM-DD"") &amp; ""' LABEL SUM(Col10) ''"", 0), """")"),"#REF!")</f>
        <v>#REF!</v>
      </c>
      <c r="E15" s="13" t="str">
        <f>IFERROR(__xludf.DUMMYFUNCTION("IFNA(QUERY(IMPORTRANGE(""https://docs.google.com/spreadsheets/d/1EHL-jm_NiShR1a2JqKbpaJGazYH90DJO150spY6io4k/edit?gid=0#gid=0"", 
""Gen_Ledger!A:N""), 
""SELECT SUM(Col11) WHERE Col7 = ""&amp;B15&amp;"" AND Col1 &gt;= DATE '"" &amp; TEXT($C$2, ""YYYY-MM-DD"") &amp; ""' AND "&amp;"Col1 &lt;= DATE '"" &amp; TEXT($C$3, ""YYYY-MM-DD"") &amp; ""' LABEL SUM(Col11) ''"", 0), """")"),"#REF!")</f>
        <v>#REF!</v>
      </c>
      <c r="F15" s="13" t="str">
        <f t="shared" si="2"/>
        <v>#N/A</v>
      </c>
    </row>
    <row r="16" ht="15.75" customHeight="1">
      <c r="A16" s="1"/>
      <c r="B16" s="1"/>
      <c r="C16" s="13" t="str">
        <f>Aug_2025!F16</f>
        <v>#N/A</v>
      </c>
      <c r="D16" s="13" t="str">
        <f>IFERROR(__xludf.DUMMYFUNCTION("IFNA(QUERY(IMPORTRANGE(""https://docs.google.com/spreadsheets/d/1EHL-jm_NiShR1a2JqKbpaJGazYH90DJO150spY6io4k/edit?gid=0#gid=0"", 
""Gen_Ledger!A:N""), 
""SELECT SUM(Col10) WHERE Col7 = ""&amp;B16&amp;"" AND Col1 &gt;= DATE '"" &amp; TEXT($C$2, ""YYYY-MM-DD"") &amp; ""' AND "&amp;"Col1 &lt;= DATE '"" &amp; TEXT($C$3, ""YYYY-MM-DD"") &amp; ""' LABEL SUM(Col10) ''"", 0), """")"),"#REF!")</f>
        <v>#REF!</v>
      </c>
      <c r="E16" s="13" t="str">
        <f>IFERROR(__xludf.DUMMYFUNCTION("IFNA(QUERY(IMPORTRANGE(""https://docs.google.com/spreadsheets/d/1EHL-jm_NiShR1a2JqKbpaJGazYH90DJO150spY6io4k/edit?gid=0#gid=0"", 
""Gen_Ledger!A:N""), 
""SELECT SUM(Col11) WHERE Col7 = ""&amp;B16&amp;"" AND Col1 &gt;= DATE '"" &amp; TEXT($C$2, ""YYYY-MM-DD"") &amp; ""' AND "&amp;"Col1 &lt;= DATE '"" &amp; TEXT($C$3, ""YYYY-MM-DD"") &amp; ""' LABEL SUM(Col11) ''"", 0), """")"),"#REF!")</f>
        <v>#REF!</v>
      </c>
      <c r="F16" s="13" t="str">
        <f t="shared" si="2"/>
        <v>#N/A</v>
      </c>
    </row>
    <row r="17" ht="15.75" customHeight="1">
      <c r="A17" s="1"/>
      <c r="B17" s="1"/>
      <c r="C17" s="13" t="str">
        <f>Aug_2025!F17</f>
        <v>#N/A</v>
      </c>
      <c r="D17" s="13" t="str">
        <f>IFERROR(__xludf.DUMMYFUNCTION("IFNA(QUERY(IMPORTRANGE(""https://docs.google.com/spreadsheets/d/1EHL-jm_NiShR1a2JqKbpaJGazYH90DJO150spY6io4k/edit?gid=0#gid=0"", 
""Gen_Ledger!A:N""), 
""SELECT SUM(Col10) WHERE Col7 = ""&amp;B17&amp;"" AND Col1 &gt;= DATE '"" &amp; TEXT($C$2, ""YYYY-MM-DD"") &amp; ""' AND "&amp;"Col1 &lt;= DATE '"" &amp; TEXT($C$3, ""YYYY-MM-DD"") &amp; ""' LABEL SUM(Col10) ''"", 0), """")"),"#REF!")</f>
        <v>#REF!</v>
      </c>
      <c r="E17" s="13" t="str">
        <f>IFERROR(__xludf.DUMMYFUNCTION("IFNA(QUERY(IMPORTRANGE(""https://docs.google.com/spreadsheets/d/1EHL-jm_NiShR1a2JqKbpaJGazYH90DJO150spY6io4k/edit?gid=0#gid=0"", 
""Gen_Ledger!A:N""), 
""SELECT SUM(Col11) WHERE Col7 = ""&amp;B17&amp;"" AND Col1 &gt;= DATE '"" &amp; TEXT($C$2, ""YYYY-MM-DD"") &amp; ""' AND "&amp;"Col1 &lt;= DATE '"" &amp; TEXT($C$3, ""YYYY-MM-DD"") &amp; ""' LABEL SUM(Col11) ''"", 0), """")"),"#REF!")</f>
        <v>#REF!</v>
      </c>
      <c r="F17" s="13" t="str">
        <f t="shared" si="2"/>
        <v>#N/A</v>
      </c>
    </row>
    <row r="18" ht="15.75" customHeight="1">
      <c r="A18" s="1"/>
      <c r="B18" s="1"/>
      <c r="C18" s="13" t="str">
        <f>Aug_2025!F18</f>
        <v>#N/A</v>
      </c>
      <c r="D18" s="13" t="str">
        <f>IFERROR(__xludf.DUMMYFUNCTION("IFNA(QUERY(IMPORTRANGE(""https://docs.google.com/spreadsheets/d/1EHL-jm_NiShR1a2JqKbpaJGazYH90DJO150spY6io4k/edit?gid=0#gid=0"", 
""Gen_Ledger!A:N""), 
""SELECT SUM(Col10) WHERE Col7 = ""&amp;B18&amp;"" AND Col1 &gt;= DATE '"" &amp; TEXT($C$2, ""YYYY-MM-DD"") &amp; ""' AND "&amp;"Col1 &lt;= DATE '"" &amp; TEXT($C$3, ""YYYY-MM-DD"") &amp; ""' LABEL SUM(Col10) ''"", 0), """")"),"#REF!")</f>
        <v>#REF!</v>
      </c>
      <c r="E18" s="13" t="str">
        <f>IFERROR(__xludf.DUMMYFUNCTION("IFNA(QUERY(IMPORTRANGE(""https://docs.google.com/spreadsheets/d/1EHL-jm_NiShR1a2JqKbpaJGazYH90DJO150spY6io4k/edit?gid=0#gid=0"", 
""Gen_Ledger!A:N""), 
""SELECT SUM(Col11) WHERE Col7 = ""&amp;B18&amp;"" AND Col1 &gt;= DATE '"" &amp; TEXT($C$2, ""YYYY-MM-DD"") &amp; ""' AND "&amp;"Col1 &lt;= DATE '"" &amp; TEXT($C$3, ""YYYY-MM-DD"") &amp; ""' LABEL SUM(Col11) ''"", 0), """")"),"#REF!")</f>
        <v>#REF!</v>
      </c>
      <c r="F18" s="13" t="str">
        <f t="shared" si="2"/>
        <v>#N/A</v>
      </c>
    </row>
    <row r="19" ht="15.75" customHeight="1">
      <c r="A19" s="1"/>
      <c r="B19" s="1"/>
      <c r="C19" s="13" t="str">
        <f>Aug_2025!F19</f>
        <v>#N/A</v>
      </c>
      <c r="D19" s="13" t="str">
        <f>IFERROR(__xludf.DUMMYFUNCTION("IFNA(QUERY(IMPORTRANGE(""https://docs.google.com/spreadsheets/d/1EHL-jm_NiShR1a2JqKbpaJGazYH90DJO150spY6io4k/edit?gid=0#gid=0"", 
""Gen_Ledger!A:N""), 
""SELECT SUM(Col10) WHERE Col7 = ""&amp;B19&amp;"" AND Col1 &gt;= DATE '"" &amp; TEXT($C$2, ""YYYY-MM-DD"") &amp; ""' AND "&amp;"Col1 &lt;= DATE '"" &amp; TEXT($C$3, ""YYYY-MM-DD"") &amp; ""' LABEL SUM(Col10) ''"", 0), """")"),"#REF!")</f>
        <v>#REF!</v>
      </c>
      <c r="E19" s="13" t="str">
        <f>IFERROR(__xludf.DUMMYFUNCTION("IFNA(QUERY(IMPORTRANGE(""https://docs.google.com/spreadsheets/d/1EHL-jm_NiShR1a2JqKbpaJGazYH90DJO150spY6io4k/edit?gid=0#gid=0"", 
""Gen_Ledger!A:N""), 
""SELECT SUM(Col11) WHERE Col7 = ""&amp;B19&amp;"" AND Col1 &gt;= DATE '"" &amp; TEXT($C$2, ""YYYY-MM-DD"") &amp; ""' AND "&amp;"Col1 &lt;= DATE '"" &amp; TEXT($C$3, ""YYYY-MM-DD"") &amp; ""' LABEL SUM(Col11) ''"", 0), """")"),"#REF!")</f>
        <v>#REF!</v>
      </c>
      <c r="F19" s="13" t="str">
        <f t="shared" si="2"/>
        <v>#N/A</v>
      </c>
    </row>
    <row r="20" ht="15.75" customHeight="1">
      <c r="A20" s="1"/>
      <c r="B20" s="1"/>
      <c r="C20" s="13" t="str">
        <f>Aug_2025!F20</f>
        <v>#N/A</v>
      </c>
      <c r="D20" s="13" t="str">
        <f>IFERROR(__xludf.DUMMYFUNCTION("IFNA(QUERY(IMPORTRANGE(""https://docs.google.com/spreadsheets/d/1EHL-jm_NiShR1a2JqKbpaJGazYH90DJO150spY6io4k/edit?gid=0#gid=0"", 
""Gen_Ledger!A:N""), 
""SELECT SUM(Col10) WHERE Col7 = ""&amp;B20&amp;"" AND Col1 &gt;= DATE '"" &amp; TEXT($C$2, ""YYYY-MM-DD"") &amp; ""' AND "&amp;"Col1 &lt;= DATE '"" &amp; TEXT($C$3, ""YYYY-MM-DD"") &amp; ""' LABEL SUM(Col10) ''"", 0), """")"),"#REF!")</f>
        <v>#REF!</v>
      </c>
      <c r="E20" s="13" t="str">
        <f>IFERROR(__xludf.DUMMYFUNCTION("IFNA(QUERY(IMPORTRANGE(""https://docs.google.com/spreadsheets/d/1EHL-jm_NiShR1a2JqKbpaJGazYH90DJO150spY6io4k/edit?gid=0#gid=0"", 
""Gen_Ledger!A:N""), 
""SELECT SUM(Col11) WHERE Col7 = ""&amp;B20&amp;"" AND Col1 &gt;= DATE '"" &amp; TEXT($C$2, ""YYYY-MM-DD"") &amp; ""' AND "&amp;"Col1 &lt;= DATE '"" &amp; TEXT($C$3, ""YYYY-MM-DD"") &amp; ""' LABEL SUM(Col11) ''"", 0), """")"),"#REF!")</f>
        <v>#REF!</v>
      </c>
      <c r="F20" s="13" t="str">
        <f t="shared" si="2"/>
        <v>#N/A</v>
      </c>
    </row>
    <row r="21" ht="15.75" customHeight="1">
      <c r="A21" s="1"/>
      <c r="B21" s="1"/>
      <c r="C21" s="13" t="str">
        <f>Aug_2025!F21</f>
        <v>#N/A</v>
      </c>
      <c r="D21" s="13" t="str">
        <f>IFERROR(__xludf.DUMMYFUNCTION("IFNA(QUERY(IMPORTRANGE(""https://docs.google.com/spreadsheets/d/1EHL-jm_NiShR1a2JqKbpaJGazYH90DJO150spY6io4k/edit?gid=0#gid=0"", 
""Gen_Ledger!A:N""), 
""SELECT SUM(Col10) WHERE Col7 = ""&amp;B21&amp;"" AND Col1 &gt;= DATE '"" &amp; TEXT($C$2, ""YYYY-MM-DD"") &amp; ""' AND "&amp;"Col1 &lt;= DATE '"" &amp; TEXT($C$3, ""YYYY-MM-DD"") &amp; ""' LABEL SUM(Col10) ''"", 0), """")"),"#REF!")</f>
        <v>#REF!</v>
      </c>
      <c r="E21" s="13" t="str">
        <f>IFERROR(__xludf.DUMMYFUNCTION("IFNA(QUERY(IMPORTRANGE(""https://docs.google.com/spreadsheets/d/1EHL-jm_NiShR1a2JqKbpaJGazYH90DJO150spY6io4k/edit?gid=0#gid=0"", 
""Gen_Ledger!A:N""), 
""SELECT SUM(Col11) WHERE Col7 = ""&amp;B21&amp;"" AND Col1 &gt;= DATE '"" &amp; TEXT($C$2, ""YYYY-MM-DD"") &amp; ""' AND "&amp;"Col1 &lt;= DATE '"" &amp; TEXT($C$3, ""YYYY-MM-DD"") &amp; ""' LABEL SUM(Col11) ''"", 0), """")"),"#REF!")</f>
        <v>#REF!</v>
      </c>
      <c r="F21" s="13" t="str">
        <f t="shared" si="2"/>
        <v>#N/A</v>
      </c>
      <c r="M21" s="12"/>
    </row>
    <row r="22" ht="15.75" customHeight="1">
      <c r="A22" s="1"/>
      <c r="B22" s="1"/>
      <c r="C22" s="13" t="str">
        <f>Aug_2025!F22</f>
        <v>#N/A</v>
      </c>
      <c r="D22" s="13" t="str">
        <f>IFERROR(__xludf.DUMMYFUNCTION("IFNA(QUERY(IMPORTRANGE(""https://docs.google.com/spreadsheets/d/1EHL-jm_NiShR1a2JqKbpaJGazYH90DJO150spY6io4k/edit?gid=0#gid=0"", 
""Gen_Ledger!A:N""), 
""SELECT SUM(Col10) WHERE Col7 = ""&amp;B22&amp;"" AND Col1 &gt;= DATE '"" &amp; TEXT($C$2, ""YYYY-MM-DD"") &amp; ""' AND "&amp;"Col1 &lt;= DATE '"" &amp; TEXT($C$3, ""YYYY-MM-DD"") &amp; ""' LABEL SUM(Col10) ''"", 0), """")"),"#REF!")</f>
        <v>#REF!</v>
      </c>
      <c r="E22" s="13" t="str">
        <f>IFERROR(__xludf.DUMMYFUNCTION("IFNA(QUERY(IMPORTRANGE(""https://docs.google.com/spreadsheets/d/1EHL-jm_NiShR1a2JqKbpaJGazYH90DJO150spY6io4k/edit?gid=0#gid=0"", 
""Gen_Ledger!A:N""), 
""SELECT SUM(Col11) WHERE Col7 = ""&amp;B22&amp;"" AND Col1 &gt;= DATE '"" &amp; TEXT($C$2, ""YYYY-MM-DD"") &amp; ""' AND "&amp;"Col1 &lt;= DATE '"" &amp; TEXT($C$3, ""YYYY-MM-DD"") &amp; ""' LABEL SUM(Col11) ''"", 0), """")"),"#REF!")</f>
        <v>#REF!</v>
      </c>
      <c r="F22" s="13" t="str">
        <f t="shared" ref="F22:F25" si="3">C22+E22</f>
        <v>#N/A</v>
      </c>
      <c r="M22" s="12"/>
    </row>
    <row r="23" ht="15.75" customHeight="1">
      <c r="A23" s="1"/>
      <c r="B23" s="1"/>
      <c r="C23" s="13" t="str">
        <f>Aug_2025!F23</f>
        <v>#N/A</v>
      </c>
      <c r="D23" s="13" t="str">
        <f>IFERROR(__xludf.DUMMYFUNCTION("IFNA(QUERY(IMPORTRANGE(""https://docs.google.com/spreadsheets/d/1EHL-jm_NiShR1a2JqKbpaJGazYH90DJO150spY6io4k/edit?gid=0#gid=0"", 
""Gen_Ledger!A:N""), 
""SELECT SUM(Col10) WHERE Col7 = ""&amp;B23&amp;"" AND Col1 &gt;= DATE '"" &amp; TEXT($C$2, ""YYYY-MM-DD"") &amp; ""' AND "&amp;"Col1 &lt;= DATE '"" &amp; TEXT($C$3, ""YYYY-MM-DD"") &amp; ""' LABEL SUM(Col10) ''"", 0), """")"),"#REF!")</f>
        <v>#REF!</v>
      </c>
      <c r="E23" s="13" t="str">
        <f>IFERROR(__xludf.DUMMYFUNCTION("IFNA(QUERY(IMPORTRANGE(""https://docs.google.com/spreadsheets/d/1EHL-jm_NiShR1a2JqKbpaJGazYH90DJO150spY6io4k/edit?gid=0#gid=0"", 
""Gen_Ledger!A:N""), 
""SELECT SUM(Col11) WHERE Col7 = ""&amp;B23&amp;"" AND Col1 &gt;= DATE '"" &amp; TEXT($C$2, ""YYYY-MM-DD"") &amp; ""' AND "&amp;"Col1 &lt;= DATE '"" &amp; TEXT($C$3, ""YYYY-MM-DD"") &amp; ""' LABEL SUM(Col11) ''"", 0), """")"),"#REF!")</f>
        <v>#REF!</v>
      </c>
      <c r="F23" s="13" t="str">
        <f t="shared" si="3"/>
        <v>#N/A</v>
      </c>
      <c r="M23" s="12"/>
    </row>
    <row r="24" ht="15.75" customHeight="1">
      <c r="A24" s="1"/>
      <c r="B24" s="1"/>
      <c r="C24" s="13" t="str">
        <f>Aug_2025!F24</f>
        <v>#N/A</v>
      </c>
      <c r="D24" s="13" t="str">
        <f>IFERROR(__xludf.DUMMYFUNCTION("IFNA(QUERY(IMPORTRANGE(""https://docs.google.com/spreadsheets/d/1EHL-jm_NiShR1a2JqKbpaJGazYH90DJO150spY6io4k/edit?gid=0#gid=0"", 
""Gen_Ledger!A:N""), 
""SELECT SUM(Col10) WHERE Col7 = ""&amp;B24&amp;"" AND Col1 &gt;= DATE '"" &amp; TEXT($C$2, ""YYYY-MM-DD"") &amp; ""' AND "&amp;"Col1 &lt;= DATE '"" &amp; TEXT($C$3, ""YYYY-MM-DD"") &amp; ""' LABEL SUM(Col10) ''"", 0), """")"),"#REF!")</f>
        <v>#REF!</v>
      </c>
      <c r="E24" s="13" t="str">
        <f>IFERROR(__xludf.DUMMYFUNCTION("IFNA(QUERY(IMPORTRANGE(""https://docs.google.com/spreadsheets/d/1EHL-jm_NiShR1a2JqKbpaJGazYH90DJO150spY6io4k/edit?gid=0#gid=0"", 
""Gen_Ledger!A:N""), 
""SELECT SUM(Col11) WHERE Col7 = ""&amp;B24&amp;"" AND Col1 &gt;= DATE '"" &amp; TEXT($C$2, ""YYYY-MM-DD"") &amp; ""' AND "&amp;"Col1 &lt;= DATE '"" &amp; TEXT($C$3, ""YYYY-MM-DD"") &amp; ""' LABEL SUM(Col11) ''"", 0), """")"),"#REF!")</f>
        <v>#REF!</v>
      </c>
      <c r="F24" s="13" t="str">
        <f t="shared" si="3"/>
        <v>#N/A</v>
      </c>
      <c r="M24" s="12"/>
    </row>
    <row r="25" ht="15.75" customHeight="1">
      <c r="A25" s="1"/>
      <c r="B25" s="1"/>
      <c r="C25" s="13" t="str">
        <f>Aug_2025!F25</f>
        <v>#N/A</v>
      </c>
      <c r="D25" s="13" t="str">
        <f>IFERROR(__xludf.DUMMYFUNCTION("IFNA(QUERY(IMPORTRANGE(""https://docs.google.com/spreadsheets/d/1EHL-jm_NiShR1a2JqKbpaJGazYH90DJO150spY6io4k/edit?gid=0#gid=0"", 
""Gen_Ledger!A:N""), 
""SELECT SUM(Col10) WHERE Col7 = ""&amp;B25&amp;"" AND Col1 &gt;= DATE '"" &amp; TEXT($C$2, ""YYYY-MM-DD"") &amp; ""' AND "&amp;"Col1 &lt;= DATE '"" &amp; TEXT($C$3, ""YYYY-MM-DD"") &amp; ""' LABEL SUM(Col10) ''"", 0), """")"),"#REF!")</f>
        <v>#REF!</v>
      </c>
      <c r="E25" s="13" t="str">
        <f>IFERROR(__xludf.DUMMYFUNCTION("IFNA(QUERY(IMPORTRANGE(""https://docs.google.com/spreadsheets/d/1EHL-jm_NiShR1a2JqKbpaJGazYH90DJO150spY6io4k/edit?gid=0#gid=0"", 
""Gen_Ledger!A:N""), 
""SELECT SUM(Col11) WHERE Col7 = ""&amp;B25&amp;"" AND Col1 &gt;= DATE '"" &amp; TEXT($C$2, ""YYYY-MM-DD"") &amp; ""' AND "&amp;"Col1 &lt;= DATE '"" &amp; TEXT($C$3, ""YYYY-MM-DD"") &amp; ""' LABEL SUM(Col11) ''"", 0), """")"),"#REF!")</f>
        <v>#REF!</v>
      </c>
      <c r="F25" s="13" t="str">
        <f t="shared" si="3"/>
        <v>#N/A</v>
      </c>
    </row>
    <row r="26" ht="15.75" customHeight="1">
      <c r="A26" s="1"/>
      <c r="B26" s="1"/>
      <c r="C26" s="13" t="str">
        <f>Aug_2025!F26</f>
        <v>#N/A</v>
      </c>
      <c r="D26" s="13" t="str">
        <f>IFERROR(__xludf.DUMMYFUNCTION("IFNA(QUERY(IMPORTRANGE(""https://docs.google.com/spreadsheets/d/1EHL-jm_NiShR1a2JqKbpaJGazYH90DJO150spY6io4k/edit?gid=0#gid=0"", 
""Gen_Ledger!A:N""), 
""SELECT SUM(Col10) WHERE Col7 = ""&amp;B26&amp;"" AND Col1 &gt;= DATE '"" &amp; TEXT($C$2, ""YYYY-MM-DD"") &amp; ""' AND "&amp;"Col1 &lt;= DATE '"" &amp; TEXT($C$3, ""YYYY-MM-DD"") &amp; ""' LABEL SUM(Col10) ''"", 0), """")"),"#REF!")</f>
        <v>#REF!</v>
      </c>
      <c r="E26" s="13" t="str">
        <f>IFERROR(__xludf.DUMMYFUNCTION("IFNA(QUERY(IMPORTRANGE(""https://docs.google.com/spreadsheets/d/1EHL-jm_NiShR1a2JqKbpaJGazYH90DJO150spY6io4k/edit?gid=0#gid=0"", 
""Gen_Ledger!A:N""), 
""SELECT SUM(Col11) WHERE Col7 = ""&amp;B26&amp;"" AND Col1 &gt;= DATE '"" &amp; TEXT($C$2, ""YYYY-MM-DD"") &amp; ""' AND "&amp;"Col1 &lt;= DATE '"" &amp; TEXT($C$3, ""YYYY-MM-DD"") &amp; ""' LABEL SUM(Col11) ''"", 0), """")"),"#REF!")</f>
        <v>#REF!</v>
      </c>
      <c r="F26" s="13" t="str">
        <f t="shared" ref="F26:F36" si="4">C26+E26-D26</f>
        <v>#N/A</v>
      </c>
    </row>
    <row r="27" ht="15.75" customHeight="1">
      <c r="A27" s="1"/>
      <c r="B27" s="1"/>
      <c r="C27" s="13" t="str">
        <f>Aug_2025!F27</f>
        <v>#N/A</v>
      </c>
      <c r="D27" s="13" t="str">
        <f>IFERROR(__xludf.DUMMYFUNCTION("IFNA(QUERY(IMPORTRANGE(""https://docs.google.com/spreadsheets/d/1EHL-jm_NiShR1a2JqKbpaJGazYH90DJO150spY6io4k/edit?gid=0#gid=0"", 
""Gen_Ledger!A:N""), 
""SELECT SUM(Col10) WHERE Col7 = ""&amp;B27&amp;"" AND Col1 &gt;= DATE '"" &amp; TEXT($C$2, ""YYYY-MM-DD"") &amp; ""' AND "&amp;"Col1 &lt;= DATE '"" &amp; TEXT($C$3, ""YYYY-MM-DD"") &amp; ""' LABEL SUM(Col10) ''"", 0), """")"),"#REF!")</f>
        <v>#REF!</v>
      </c>
      <c r="E27" s="13" t="str">
        <f>IFERROR(__xludf.DUMMYFUNCTION("IFNA(QUERY(IMPORTRANGE(""https://docs.google.com/spreadsheets/d/1EHL-jm_NiShR1a2JqKbpaJGazYH90DJO150spY6io4k/edit?gid=0#gid=0"", 
""Gen_Ledger!A:N""), 
""SELECT SUM(Col11) WHERE Col7 = ""&amp;B27&amp;"" AND Col1 &gt;= DATE '"" &amp; TEXT($C$2, ""YYYY-MM-DD"") &amp; ""' AND "&amp;"Col1 &lt;= DATE '"" &amp; TEXT($C$3, ""YYYY-MM-DD"") &amp; ""' LABEL SUM(Col11) ''"", 0), """")"),"#REF!")</f>
        <v>#REF!</v>
      </c>
      <c r="F27" s="13" t="str">
        <f t="shared" si="4"/>
        <v>#N/A</v>
      </c>
    </row>
    <row r="28" ht="15.75" customHeight="1">
      <c r="A28" s="1"/>
      <c r="B28" s="1"/>
      <c r="C28" s="13" t="str">
        <f>Aug_2025!F28</f>
        <v>#N/A</v>
      </c>
      <c r="D28" s="13" t="str">
        <f>IFERROR(__xludf.DUMMYFUNCTION("IFNA(QUERY(IMPORTRANGE(""https://docs.google.com/spreadsheets/d/1EHL-jm_NiShR1a2JqKbpaJGazYH90DJO150spY6io4k/edit?gid=0#gid=0"", 
""Gen_Ledger!A:N""), 
""SELECT SUM(Col10) WHERE Col7 = ""&amp;B28&amp;"" AND Col1 &gt;= DATE '"" &amp; TEXT($C$2, ""YYYY-MM-DD"") &amp; ""' AND "&amp;"Col1 &lt;= DATE '"" &amp; TEXT($C$3, ""YYYY-MM-DD"") &amp; ""' LABEL SUM(Col10) ''"", 0), """")"),"#REF!")</f>
        <v>#REF!</v>
      </c>
      <c r="E28" s="13" t="str">
        <f>IFERROR(__xludf.DUMMYFUNCTION("IFNA(QUERY(IMPORTRANGE(""https://docs.google.com/spreadsheets/d/1EHL-jm_NiShR1a2JqKbpaJGazYH90DJO150spY6io4k/edit?gid=0#gid=0"", 
""Gen_Ledger!A:N""), 
""SELECT SUM(Col11) WHERE Col7 = ""&amp;B28&amp;"" AND Col1 &gt;= DATE '"" &amp; TEXT($C$2, ""YYYY-MM-DD"") &amp; ""' AND "&amp;"Col1 &lt;= DATE '"" &amp; TEXT($C$3, ""YYYY-MM-DD"") &amp; ""' LABEL SUM(Col11) ''"", 0), """")"),"#REF!")</f>
        <v>#REF!</v>
      </c>
      <c r="F28" s="13" t="str">
        <f t="shared" si="4"/>
        <v>#N/A</v>
      </c>
    </row>
    <row r="29" ht="15.75" customHeight="1">
      <c r="A29" s="1"/>
      <c r="B29" s="1"/>
      <c r="C29" s="13" t="str">
        <f>Aug_2025!F29</f>
        <v>#N/A</v>
      </c>
      <c r="D29" s="13" t="str">
        <f>IFERROR(__xludf.DUMMYFUNCTION("IFNA(QUERY(IMPORTRANGE(""https://docs.google.com/spreadsheets/d/1EHL-jm_NiShR1a2JqKbpaJGazYH90DJO150spY6io4k/edit?gid=0#gid=0"", 
""Gen_Ledger!A:N""), 
""SELECT SUM(Col10) WHERE Col7 = ""&amp;B29&amp;"" AND Col1 &gt;= DATE '"" &amp; TEXT($C$2, ""YYYY-MM-DD"") &amp; ""' AND "&amp;"Col1 &lt;= DATE '"" &amp; TEXT($C$3, ""YYYY-MM-DD"") &amp; ""' LABEL SUM(Col10) ''"", 0), """")"),"#REF!")</f>
        <v>#REF!</v>
      </c>
      <c r="E29" s="13" t="str">
        <f>IFERROR(__xludf.DUMMYFUNCTION("IFNA(QUERY(IMPORTRANGE(""https://docs.google.com/spreadsheets/d/1EHL-jm_NiShR1a2JqKbpaJGazYH90DJO150spY6io4k/edit?gid=0#gid=0"", 
""Gen_Ledger!A:N""), 
""SELECT SUM(Col11) WHERE Col7 = ""&amp;B29&amp;"" AND Col1 &gt;= DATE '"" &amp; TEXT($C$2, ""YYYY-MM-DD"") &amp; ""' AND "&amp;"Col1 &lt;= DATE '"" &amp; TEXT($C$3, ""YYYY-MM-DD"") &amp; ""' LABEL SUM(Col11) ''"", 0), """")"),"#REF!")</f>
        <v>#REF!</v>
      </c>
      <c r="F29" s="13" t="str">
        <f t="shared" si="4"/>
        <v>#N/A</v>
      </c>
    </row>
    <row r="30" ht="15.75" customHeight="1">
      <c r="A30" s="1"/>
      <c r="B30" s="1"/>
      <c r="C30" s="13" t="str">
        <f>Aug_2025!F30</f>
        <v>#N/A</v>
      </c>
      <c r="D30" s="13" t="str">
        <f>IFERROR(__xludf.DUMMYFUNCTION("IFNA(QUERY(IMPORTRANGE(""https://docs.google.com/spreadsheets/d/1EHL-jm_NiShR1a2JqKbpaJGazYH90DJO150spY6io4k/edit?gid=0#gid=0"", 
""Gen_Ledger!A:N""), 
""SELECT SUM(Col10) WHERE Col7 = ""&amp;B30&amp;"" AND Col1 &gt;= DATE '"" &amp; TEXT($C$2, ""YYYY-MM-DD"") &amp; ""' AND "&amp;"Col1 &lt;= DATE '"" &amp; TEXT($C$3, ""YYYY-MM-DD"") &amp; ""' LABEL SUM(Col10) ''"", 0), """")"),"#REF!")</f>
        <v>#REF!</v>
      </c>
      <c r="E30" s="13" t="str">
        <f>IFERROR(__xludf.DUMMYFUNCTION("IFNA(QUERY(IMPORTRANGE(""https://docs.google.com/spreadsheets/d/1EHL-jm_NiShR1a2JqKbpaJGazYH90DJO150spY6io4k/edit?gid=0#gid=0"", 
""Gen_Ledger!A:N""), 
""SELECT SUM(Col11) WHERE Col7 = ""&amp;B30&amp;"" AND Col1 &gt;= DATE '"" &amp; TEXT($C$2, ""YYYY-MM-DD"") &amp; ""' AND "&amp;"Col1 &lt;= DATE '"" &amp; TEXT($C$3, ""YYYY-MM-DD"") &amp; ""' LABEL SUM(Col11) ''"", 0), """")"),"#REF!")</f>
        <v>#REF!</v>
      </c>
      <c r="F30" s="13" t="str">
        <f t="shared" si="4"/>
        <v>#N/A</v>
      </c>
    </row>
    <row r="31" ht="15.75" customHeight="1">
      <c r="A31" s="1"/>
      <c r="B31" s="1"/>
      <c r="C31" s="13" t="str">
        <f>Aug_2025!F31</f>
        <v>#N/A</v>
      </c>
      <c r="D31" s="13" t="str">
        <f>IFERROR(__xludf.DUMMYFUNCTION("IFNA(QUERY(IMPORTRANGE(""https://docs.google.com/spreadsheets/d/1EHL-jm_NiShR1a2JqKbpaJGazYH90DJO150spY6io4k/edit?gid=0#gid=0"", 
""Gen_Ledger!A:N""), 
""SELECT SUM(Col10) WHERE Col7 = ""&amp;B31&amp;"" AND Col1 &gt;= DATE '"" &amp; TEXT($C$2, ""YYYY-MM-DD"") &amp; ""' AND "&amp;"Col1 &lt;= DATE '"" &amp; TEXT($C$3, ""YYYY-MM-DD"") &amp; ""' LABEL SUM(Col10) ''"", 0), """")"),"#REF!")</f>
        <v>#REF!</v>
      </c>
      <c r="E31" s="13" t="str">
        <f>IFERROR(__xludf.DUMMYFUNCTION("IFNA(QUERY(IMPORTRANGE(""https://docs.google.com/spreadsheets/d/1EHL-jm_NiShR1a2JqKbpaJGazYH90DJO150spY6io4k/edit?gid=0#gid=0"", 
""Gen_Ledger!A:N""), 
""SELECT SUM(Col11) WHERE Col7 = ""&amp;B31&amp;"" AND Col1 &gt;= DATE '"" &amp; TEXT($C$2, ""YYYY-MM-DD"") &amp; ""' AND "&amp;"Col1 &lt;= DATE '"" &amp; TEXT($C$3, ""YYYY-MM-DD"") &amp; ""' LABEL SUM(Col11) ''"", 0), """")"),"#REF!")</f>
        <v>#REF!</v>
      </c>
      <c r="F31" s="13" t="str">
        <f t="shared" si="4"/>
        <v>#N/A</v>
      </c>
    </row>
    <row r="32" ht="15.75" customHeight="1">
      <c r="A32" s="1"/>
      <c r="B32" s="1"/>
      <c r="C32" s="13" t="str">
        <f>Aug_2025!F32</f>
        <v>#N/A</v>
      </c>
      <c r="D32" s="13" t="str">
        <f>IFERROR(__xludf.DUMMYFUNCTION("IFNA(QUERY(IMPORTRANGE(""https://docs.google.com/spreadsheets/d/1EHL-jm_NiShR1a2JqKbpaJGazYH90DJO150spY6io4k/edit?gid=0#gid=0"", 
""Gen_Ledger!A:N""), 
""SELECT SUM(Col10) WHERE Col7 = ""&amp;B32&amp;"" AND Col1 &gt;= DATE '"" &amp; TEXT($C$2, ""YYYY-MM-DD"") &amp; ""' AND "&amp;"Col1 &lt;= DATE '"" &amp; TEXT($C$3, ""YYYY-MM-DD"") &amp; ""' LABEL SUM(Col10) ''"", 0), """")"),"#REF!")</f>
        <v>#REF!</v>
      </c>
      <c r="E32" s="13" t="str">
        <f>IFERROR(__xludf.DUMMYFUNCTION("IFNA(QUERY(IMPORTRANGE(""https://docs.google.com/spreadsheets/d/1EHL-jm_NiShR1a2JqKbpaJGazYH90DJO150spY6io4k/edit?gid=0#gid=0"", 
""Gen_Ledger!A:N""), 
""SELECT SUM(Col11) WHERE Col7 = ""&amp;B32&amp;"" AND Col1 &gt;= DATE '"" &amp; TEXT($C$2, ""YYYY-MM-DD"") &amp; ""' AND "&amp;"Col1 &lt;= DATE '"" &amp; TEXT($C$3, ""YYYY-MM-DD"") &amp; ""' LABEL SUM(Col11) ''"", 0), """")"),"#REF!")</f>
        <v>#REF!</v>
      </c>
      <c r="F32" s="13" t="str">
        <f t="shared" si="4"/>
        <v>#N/A</v>
      </c>
    </row>
    <row r="33" ht="15.75" customHeight="1">
      <c r="A33" s="1"/>
      <c r="B33" s="1"/>
      <c r="C33" s="13" t="str">
        <f>Aug_2025!F33</f>
        <v>#N/A</v>
      </c>
      <c r="D33" s="13" t="str">
        <f>IFERROR(__xludf.DUMMYFUNCTION("IFNA(QUERY(IMPORTRANGE(""https://docs.google.com/spreadsheets/d/1EHL-jm_NiShR1a2JqKbpaJGazYH90DJO150spY6io4k/edit?gid=0#gid=0"", 
""Gen_Ledger!A:N""), 
""SELECT SUM(Col10) WHERE Col7 = ""&amp;B33&amp;"" AND Col1 &gt;= DATE '"" &amp; TEXT($C$2, ""YYYY-MM-DD"") &amp; ""' AND "&amp;"Col1 &lt;= DATE '"" &amp; TEXT($C$3, ""YYYY-MM-DD"") &amp; ""' LABEL SUM(Col10) ''"", 0), """")"),"#REF!")</f>
        <v>#REF!</v>
      </c>
      <c r="E33" s="13" t="str">
        <f>IFERROR(__xludf.DUMMYFUNCTION("IFNA(QUERY(IMPORTRANGE(""https://docs.google.com/spreadsheets/d/1EHL-jm_NiShR1a2JqKbpaJGazYH90DJO150spY6io4k/edit?gid=0#gid=0"", 
""Gen_Ledger!A:N""), 
""SELECT SUM(Col11) WHERE Col7 = ""&amp;B33&amp;"" AND Col1 &gt;= DATE '"" &amp; TEXT($C$2, ""YYYY-MM-DD"") &amp; ""' AND "&amp;"Col1 &lt;= DATE '"" &amp; TEXT($C$3, ""YYYY-MM-DD"") &amp; ""' LABEL SUM(Col11) ''"", 0), """")"),"#REF!")</f>
        <v>#REF!</v>
      </c>
      <c r="F33" s="13" t="str">
        <f t="shared" si="4"/>
        <v>#N/A</v>
      </c>
    </row>
    <row r="34" ht="15.75" customHeight="1">
      <c r="A34" s="1"/>
      <c r="B34" s="1"/>
      <c r="C34" s="13" t="str">
        <f>Aug_2025!F34</f>
        <v>#N/A</v>
      </c>
      <c r="D34" s="13" t="str">
        <f>IFERROR(__xludf.DUMMYFUNCTION("IFNA(QUERY(IMPORTRANGE(""https://docs.google.com/spreadsheets/d/1EHL-jm_NiShR1a2JqKbpaJGazYH90DJO150spY6io4k/edit?gid=0#gid=0"", 
""Gen_Ledger!A:N""), 
""SELECT SUM(Col10) WHERE Col7 = ""&amp;B34&amp;"" AND Col1 &gt;= DATE '"" &amp; TEXT($C$2, ""YYYY-MM-DD"") &amp; ""' AND "&amp;"Col1 &lt;= DATE '"" &amp; TEXT($C$3, ""YYYY-MM-DD"") &amp; ""' LABEL SUM(Col10) ''"", 0), """")"),"#REF!")</f>
        <v>#REF!</v>
      </c>
      <c r="E34" s="13" t="str">
        <f>IFERROR(__xludf.DUMMYFUNCTION("IFNA(QUERY(IMPORTRANGE(""https://docs.google.com/spreadsheets/d/1EHL-jm_NiShR1a2JqKbpaJGazYH90DJO150spY6io4k/edit?gid=0#gid=0"", 
""Gen_Ledger!A:N""), 
""SELECT SUM(Col11) WHERE Col7 = ""&amp;B34&amp;"" AND Col1 &gt;= DATE '"" &amp; TEXT($C$2, ""YYYY-MM-DD"") &amp; ""' AND "&amp;"Col1 &lt;= DATE '"" &amp; TEXT($C$3, ""YYYY-MM-DD"") &amp; ""' LABEL SUM(Col11) ''"", 0), """")"),"#REF!")</f>
        <v>#REF!</v>
      </c>
      <c r="F34" s="13" t="str">
        <f t="shared" si="4"/>
        <v>#N/A</v>
      </c>
    </row>
    <row r="35" ht="15.75" customHeight="1">
      <c r="A35" s="1"/>
      <c r="B35" s="1"/>
      <c r="C35" s="13" t="str">
        <f>Aug_2025!F35</f>
        <v>#N/A</v>
      </c>
      <c r="D35" s="13" t="str">
        <f>IFERROR(__xludf.DUMMYFUNCTION("IFNA(QUERY(IMPORTRANGE(""https://docs.google.com/spreadsheets/d/1EHL-jm_NiShR1a2JqKbpaJGazYH90DJO150spY6io4k/edit?gid=0#gid=0"", 
""Gen_Ledger!A:N""), 
""SELECT SUM(Col10) WHERE Col7 = ""&amp;B35&amp;"" AND Col1 &gt;= DATE '"" &amp; TEXT($C$2, ""YYYY-MM-DD"") &amp; ""' AND "&amp;"Col1 &lt;= DATE '"" &amp; TEXT($C$3, ""YYYY-MM-DD"") &amp; ""' LABEL SUM(Col10) ''"", 0), """")"),"#REF!")</f>
        <v>#REF!</v>
      </c>
      <c r="E35" s="13" t="str">
        <f>IFERROR(__xludf.DUMMYFUNCTION("IFNA(QUERY(IMPORTRANGE(""https://docs.google.com/spreadsheets/d/1EHL-jm_NiShR1a2JqKbpaJGazYH90DJO150spY6io4k/edit?gid=0#gid=0"", 
""Gen_Ledger!A:N""), 
""SELECT SUM(Col11) WHERE Col7 = ""&amp;B35&amp;"" AND Col1 &gt;= DATE '"" &amp; TEXT($C$2, ""YYYY-MM-DD"") &amp; ""' AND "&amp;"Col1 &lt;= DATE '"" &amp; TEXT($C$3, ""YYYY-MM-DD"") &amp; ""' LABEL SUM(Col11) ''"", 0), """")"),"#REF!")</f>
        <v>#REF!</v>
      </c>
      <c r="F35" s="13" t="str">
        <f t="shared" si="4"/>
        <v>#N/A</v>
      </c>
    </row>
    <row r="36" ht="15.75" customHeight="1">
      <c r="A36" s="1"/>
      <c r="B36" s="1"/>
      <c r="C36" s="2" t="str">
        <f>VLOOKUP(B36,Helper!$D$99:$F1000,3,FALSE)</f>
        <v>#N/A</v>
      </c>
      <c r="D36" s="13" t="str">
        <f>IFERROR(__xludf.DUMMYFUNCTION("IFNA(QUERY(IMPORTRANGE(""https://docs.google.com/spreadsheets/d/1EHL-jm_NiShR1a2JqKbpaJGazYH90DJO150spY6io4k/edit?gid=0#gid=0"", 
""Gen_Ledger!A:N""), 
""SELECT SUM(Col10) WHERE Col7 = ""&amp;B36&amp;"" AND Col1 &gt;= DATE '"" &amp; TEXT($C$2, ""YYYY-MM-DD"") &amp; ""' AND "&amp;"Col1 &lt;= DATE '"" &amp; TEXT($C$3, ""YYYY-MM-DD"") &amp; ""' LABEL SUM(Col10) ''"", 0), """")"),"#REF!")</f>
        <v>#REF!</v>
      </c>
      <c r="E36" s="13" t="str">
        <f>IFERROR(__xludf.DUMMYFUNCTION("IFNA(QUERY(IMPORTRANGE(""https://docs.google.com/spreadsheets/d/1EHL-jm_NiShR1a2JqKbpaJGazYH90DJO150spY6io4k/edit?gid=0#gid=0"", 
""Gen_Ledger!A:N""), 
""SELECT SUM(Col11) WHERE Col7 = ""&amp;B36&amp;"" AND Col1 &gt;= DATE '"" &amp; TEXT($C$2, ""YYYY-MM-DD"") &amp; ""' AND "&amp;"Col1 &lt;= DATE '"" &amp; TEXT($C$3, ""YYYY-MM-DD"") &amp; ""' LABEL SUM(Col11) ''"", 0), """")"),"#REF!")</f>
        <v>#REF!</v>
      </c>
      <c r="F36" s="13" t="str">
        <f t="shared" si="4"/>
        <v>#N/A</v>
      </c>
    </row>
    <row r="37" ht="15.75" customHeight="1">
      <c r="A37" s="1"/>
      <c r="B37" s="1"/>
      <c r="C37" s="2" t="str">
        <f>VLOOKUP(B37,Helper!$D$99:$F1000,3,FALSE)</f>
        <v>#N/A</v>
      </c>
      <c r="D37" s="13" t="str">
        <f>IFERROR(__xludf.DUMMYFUNCTION("IFNA(QUERY(IMPORTRANGE(""https://docs.google.com/spreadsheets/d/1EHL-jm_NiShR1a2JqKbpaJGazYH90DJO150spY6io4k/edit?gid=0#gid=0"", 
""Gen_Ledger!A:N""), 
""SELECT SUM(Col10) WHERE Col7 = ""&amp;B37&amp;"" AND Col1 &gt;= DATE '"" &amp; TEXT($C$2, ""YYYY-MM-DD"") &amp; ""' AND "&amp;"Col1 &lt;= DATE '"" &amp; TEXT($C$3, ""YYYY-MM-DD"") &amp; ""' LABEL SUM(Col10) ''"", 0), """")"),"#REF!")</f>
        <v>#REF!</v>
      </c>
      <c r="E37" s="13" t="str">
        <f>IFERROR(__xludf.DUMMYFUNCTION("IFNA(QUERY(IMPORTRANGE(""https://docs.google.com/spreadsheets/d/1EHL-jm_NiShR1a2JqKbpaJGazYH90DJO150spY6io4k/edit?gid=0#gid=0"", 
""Gen_Ledger!A:N""), 
""SELECT SUM(Col11) WHERE Col7 = ""&amp;B37&amp;"" AND Col1 &gt;= DATE '"" &amp; TEXT($C$2, ""YYYY-MM-DD"") &amp; ""' AND "&amp;"Col1 &lt;= DATE '"" &amp; TEXT($C$3, ""YYYY-MM-DD"") &amp; ""' LABEL SUM(Col11) ''"", 0), """")"),"#REF!")</f>
        <v>#REF!</v>
      </c>
      <c r="F37" s="13" t="str">
        <f t="shared" ref="F37:F38" si="5">E37</f>
        <v>#REF!</v>
      </c>
    </row>
    <row r="38" ht="15.75" customHeight="1">
      <c r="A38" s="1"/>
      <c r="B38" s="1"/>
      <c r="C38" s="2" t="str">
        <f>VLOOKUP(B38,Helper!$D$99:$F1000,3,FALSE)</f>
        <v>#N/A</v>
      </c>
      <c r="D38" s="13" t="str">
        <f>IFERROR(__xludf.DUMMYFUNCTION("IFNA(QUERY(IMPORTRANGE(""https://docs.google.com/spreadsheets/d/1EHL-jm_NiShR1a2JqKbpaJGazYH90DJO150spY6io4k/edit?gid=0#gid=0"", 
""Gen_Ledger!A:N""), 
""SELECT SUM(Col10) WHERE Col7 = ""&amp;B38&amp;"" AND Col1 &gt;= DATE '"" &amp; TEXT($C$2, ""YYYY-MM-DD"") &amp; ""' AND "&amp;"Col1 &lt;= DATE '"" &amp; TEXT($C$3, ""YYYY-MM-DD"") &amp; ""' LABEL SUM(Col10) ''"", 0), """")"),"#REF!")</f>
        <v>#REF!</v>
      </c>
      <c r="E38" s="13" t="str">
        <f>IFERROR(__xludf.DUMMYFUNCTION("IFNA(QUERY(IMPORTRANGE(""https://docs.google.com/spreadsheets/d/1EHL-jm_NiShR1a2JqKbpaJGazYH90DJO150spY6io4k/edit?gid=0#gid=0"", 
""Gen_Ledger!A:N""), 
""SELECT SUM(Col11) WHERE Col7 = ""&amp;B38&amp;"" AND Col1 &gt;= DATE '"" &amp; TEXT($C$2, ""YYYY-MM-DD"") &amp; ""' AND "&amp;"Col1 &lt;= DATE '"" &amp; TEXT($C$3, ""YYYY-MM-DD"") &amp; ""' LABEL SUM(Col11) ''"", 0), """")"),"#REF!")</f>
        <v>#REF!</v>
      </c>
      <c r="F38" s="13" t="str">
        <f t="shared" si="5"/>
        <v>#REF!</v>
      </c>
    </row>
    <row r="39" ht="15.75" customHeight="1">
      <c r="A39" s="1"/>
      <c r="B39" s="1"/>
      <c r="C39" s="2" t="str">
        <f>VLOOKUP(B39,Helper!$D$99:$F1000,3,FALSE)</f>
        <v>#N/A</v>
      </c>
      <c r="D39" s="13" t="str">
        <f>IFERROR(__xludf.DUMMYFUNCTION("IFNA(QUERY(IMPORTRANGE(""https://docs.google.com/spreadsheets/d/1EHL-jm_NiShR1a2JqKbpaJGazYH90DJO150spY6io4k/edit?gid=0#gid=0"", 
""Gen_Ledger!A:N""), 
""SELECT SUM(Col10) WHERE Col7 = ""&amp;B39&amp;"" AND Col1 &gt;= DATE '"" &amp; TEXT($C$2, ""YYYY-MM-DD"") &amp; ""' AND "&amp;"Col1 &lt;= DATE '"" &amp; TEXT($C$3, ""YYYY-MM-DD"") &amp; ""' LABEL SUM(Col10) ''"", 0), """")"),"#REF!")</f>
        <v>#REF!</v>
      </c>
      <c r="E39" s="13" t="str">
        <f>IFERROR(__xludf.DUMMYFUNCTION("IFNA(QUERY(IMPORTRANGE(""https://docs.google.com/spreadsheets/d/1EHL-jm_NiShR1a2JqKbpaJGazYH90DJO150spY6io4k/edit?gid=0#gid=0"", 
""Gen_Ledger!A:N""), 
""SELECT SUM(Col11) WHERE Col7 = ""&amp;B39&amp;"" AND Col1 &gt;= DATE '"" &amp; TEXT($C$2, ""YYYY-MM-DD"") &amp; ""' AND "&amp;"Col1 &lt;= DATE '"" &amp; TEXT($C$3, ""YYYY-MM-DD"") &amp; ""' LABEL SUM(Col11) ''"", 0), """")"),"#REF!")</f>
        <v>#REF!</v>
      </c>
      <c r="F39" s="13" t="str">
        <f t="shared" ref="F39:F58" si="6">C39-E39+D39</f>
        <v>#N/A</v>
      </c>
    </row>
    <row r="40" ht="15.75" customHeight="1">
      <c r="A40" s="1"/>
      <c r="B40" s="1"/>
      <c r="C40" s="2" t="str">
        <f>VLOOKUP(B40,Helper!$D$99:$F1000,3,FALSE)</f>
        <v>#N/A</v>
      </c>
      <c r="D40" s="13" t="str">
        <f>IFERROR(__xludf.DUMMYFUNCTION("IFNA(QUERY(IMPORTRANGE(""https://docs.google.com/spreadsheets/d/1EHL-jm_NiShR1a2JqKbpaJGazYH90DJO150spY6io4k/edit?gid=0#gid=0"", 
""Gen_Ledger!A:N""), 
""SELECT SUM(Col10) WHERE Col7 = ""&amp;B40&amp;"" AND Col1 &gt;= DATE '"" &amp; TEXT($C$2, ""YYYY-MM-DD"") &amp; ""' AND "&amp;"Col1 &lt;= DATE '"" &amp; TEXT($C$3, ""YYYY-MM-DD"") &amp; ""' LABEL SUM(Col10) ''"", 0), """")"),"#REF!")</f>
        <v>#REF!</v>
      </c>
      <c r="E40" s="13" t="str">
        <f>IFERROR(__xludf.DUMMYFUNCTION("IFNA(QUERY(IMPORTRANGE(""https://docs.google.com/spreadsheets/d/1EHL-jm_NiShR1a2JqKbpaJGazYH90DJO150spY6io4k/edit?gid=0#gid=0"", 
""Gen_Ledger!A:N""), 
""SELECT SUM(Col11) WHERE Col7 = ""&amp;B40&amp;"" AND Col1 &gt;= DATE '"" &amp; TEXT($C$2, ""YYYY-MM-DD"") &amp; ""' AND "&amp;"Col1 &lt;= DATE '"" &amp; TEXT($C$3, ""YYYY-MM-DD"") &amp; ""' LABEL SUM(Col11) ''"", 0), """")"),"#REF!")</f>
        <v>#REF!</v>
      </c>
      <c r="F40" s="13" t="str">
        <f t="shared" si="6"/>
        <v>#N/A</v>
      </c>
    </row>
    <row r="41" ht="15.75" customHeight="1">
      <c r="A41" s="1"/>
      <c r="B41" s="1"/>
      <c r="C41" s="2" t="str">
        <f>VLOOKUP(B41,Helper!$D$99:$F1000,3,FALSE)</f>
        <v>#N/A</v>
      </c>
      <c r="D41" s="13" t="str">
        <f>IFERROR(__xludf.DUMMYFUNCTION("IFNA(QUERY(IMPORTRANGE(""https://docs.google.com/spreadsheets/d/1EHL-jm_NiShR1a2JqKbpaJGazYH90DJO150spY6io4k/edit?gid=0#gid=0"", 
""Gen_Ledger!A:N""), 
""SELECT SUM(Col10) WHERE Col7 = ""&amp;B41&amp;"" AND Col1 &gt;= DATE '"" &amp; TEXT($C$2, ""YYYY-MM-DD"") &amp; ""' AND "&amp;"Col1 &lt;= DATE '"" &amp; TEXT($C$3, ""YYYY-MM-DD"") &amp; ""' LABEL SUM(Col10) ''"", 0), """")"),"#REF!")</f>
        <v>#REF!</v>
      </c>
      <c r="E41" s="13" t="str">
        <f>IFERROR(__xludf.DUMMYFUNCTION("IFNA(QUERY(IMPORTRANGE(""https://docs.google.com/spreadsheets/d/1EHL-jm_NiShR1a2JqKbpaJGazYH90DJO150spY6io4k/edit?gid=0#gid=0"", 
""Gen_Ledger!A:N""), 
""SELECT SUM(Col11) WHERE Col7 = ""&amp;B41&amp;"" AND Col1 &gt;= DATE '"" &amp; TEXT($C$2, ""YYYY-MM-DD"") &amp; ""' AND "&amp;"Col1 &lt;= DATE '"" &amp; TEXT($C$3, ""YYYY-MM-DD"") &amp; ""' LABEL SUM(Col11) ''"", 0), """")"),"#REF!")</f>
        <v>#REF!</v>
      </c>
      <c r="F41" s="13" t="str">
        <f t="shared" si="6"/>
        <v>#N/A</v>
      </c>
    </row>
    <row r="42" ht="15.75" customHeight="1">
      <c r="A42" s="1"/>
      <c r="B42" s="1"/>
      <c r="C42" s="2" t="str">
        <f>VLOOKUP(B42,Helper!$D$99:$F1000,3,FALSE)</f>
        <v>#N/A</v>
      </c>
      <c r="D42" s="13" t="str">
        <f>IFERROR(__xludf.DUMMYFUNCTION("IFNA(QUERY(IMPORTRANGE(""https://docs.google.com/spreadsheets/d/1EHL-jm_NiShR1a2JqKbpaJGazYH90DJO150spY6io4k/edit?gid=0#gid=0"", 
""Gen_Ledger!A:N""), 
""SELECT SUM(Col10) WHERE Col7 = ""&amp;B42&amp;"" AND Col1 &gt;= DATE '"" &amp; TEXT($C$2, ""YYYY-MM-DD"") &amp; ""' AND "&amp;"Col1 &lt;= DATE '"" &amp; TEXT($C$3, ""YYYY-MM-DD"") &amp; ""' LABEL SUM(Col10) ''"", 0), """")"),"#REF!")</f>
        <v>#REF!</v>
      </c>
      <c r="E42" s="13" t="str">
        <f>IFERROR(__xludf.DUMMYFUNCTION("IFNA(QUERY(IMPORTRANGE(""https://docs.google.com/spreadsheets/d/1EHL-jm_NiShR1a2JqKbpaJGazYH90DJO150spY6io4k/edit?gid=0#gid=0"", 
""Gen_Ledger!A:N""), 
""SELECT SUM(Col11) WHERE Col7 = ""&amp;B42&amp;"" AND Col1 &gt;= DATE '"" &amp; TEXT($C$2, ""YYYY-MM-DD"") &amp; ""' AND "&amp;"Col1 &lt;= DATE '"" &amp; TEXT($C$3, ""YYYY-MM-DD"") &amp; ""' LABEL SUM(Col11) ''"", 0), """")"),"#REF!")</f>
        <v>#REF!</v>
      </c>
      <c r="F42" s="13" t="str">
        <f t="shared" si="6"/>
        <v>#N/A</v>
      </c>
    </row>
    <row r="43" ht="15.75" customHeight="1">
      <c r="A43" s="1"/>
      <c r="B43" s="1"/>
      <c r="C43" s="2" t="str">
        <f>VLOOKUP(B43,Helper!$D$99:$F1000,3,FALSE)</f>
        <v>#N/A</v>
      </c>
      <c r="D43" s="13" t="str">
        <f>IFERROR(__xludf.DUMMYFUNCTION("IFNA(QUERY(IMPORTRANGE(""https://docs.google.com/spreadsheets/d/1EHL-jm_NiShR1a2JqKbpaJGazYH90DJO150spY6io4k/edit?gid=0#gid=0"", 
""Gen_Ledger!A:N""), 
""SELECT SUM(Col10) WHERE Col7 = ""&amp;B43&amp;"" AND Col1 &gt;= DATE '"" &amp; TEXT($C$2, ""YYYY-MM-DD"") &amp; ""' AND "&amp;"Col1 &lt;= DATE '"" &amp; TEXT($C$3, ""YYYY-MM-DD"") &amp; ""' LABEL SUM(Col10) ''"", 0), """")"),"#REF!")</f>
        <v>#REF!</v>
      </c>
      <c r="E43" s="13" t="str">
        <f>IFERROR(__xludf.DUMMYFUNCTION("IFNA(QUERY(IMPORTRANGE(""https://docs.google.com/spreadsheets/d/1EHL-jm_NiShR1a2JqKbpaJGazYH90DJO150spY6io4k/edit?gid=0#gid=0"", 
""Gen_Ledger!A:N""), 
""SELECT SUM(Col11) WHERE Col7 = ""&amp;B43&amp;"" AND Col1 &gt;= DATE '"" &amp; TEXT($C$2, ""YYYY-MM-DD"") &amp; ""' AND "&amp;"Col1 &lt;= DATE '"" &amp; TEXT($C$3, ""YYYY-MM-DD"") &amp; ""' LABEL SUM(Col11) ''"", 0), """")"),"#REF!")</f>
        <v>#REF!</v>
      </c>
      <c r="F43" s="13" t="str">
        <f t="shared" si="6"/>
        <v>#N/A</v>
      </c>
    </row>
    <row r="44" ht="15.75" customHeight="1">
      <c r="A44" s="1"/>
      <c r="B44" s="1"/>
      <c r="C44" s="2" t="str">
        <f>VLOOKUP(B44,Helper!$D$99:$F1000,3,FALSE)</f>
        <v>#N/A</v>
      </c>
      <c r="D44" s="13" t="str">
        <f>IFERROR(__xludf.DUMMYFUNCTION("IFNA(QUERY(IMPORTRANGE(""https://docs.google.com/spreadsheets/d/1EHL-jm_NiShR1a2JqKbpaJGazYH90DJO150spY6io4k/edit?gid=0#gid=0"", 
""Gen_Ledger!A:N""), 
""SELECT SUM(Col10) WHERE Col7 = ""&amp;B44&amp;"" AND Col1 &gt;= DATE '"" &amp; TEXT($C$2, ""YYYY-MM-DD"") &amp; ""' AND "&amp;"Col1 &lt;= DATE '"" &amp; TEXT($C$3, ""YYYY-MM-DD"") &amp; ""' LABEL SUM(Col10) ''"", 0), """")"),"#REF!")</f>
        <v>#REF!</v>
      </c>
      <c r="E44" s="13" t="str">
        <f>IFERROR(__xludf.DUMMYFUNCTION("IFNA(QUERY(IMPORTRANGE(""https://docs.google.com/spreadsheets/d/1EHL-jm_NiShR1a2JqKbpaJGazYH90DJO150spY6io4k/edit?gid=0#gid=0"", 
""Gen_Ledger!A:N""), 
""SELECT SUM(Col11) WHERE Col7 = ""&amp;B44&amp;"" AND Col1 &gt;= DATE '"" &amp; TEXT($C$2, ""YYYY-MM-DD"") &amp; ""' AND "&amp;"Col1 &lt;= DATE '"" &amp; TEXT($C$3, ""YYYY-MM-DD"") &amp; ""' LABEL SUM(Col11) ''"", 0), """")"),"#REF!")</f>
        <v>#REF!</v>
      </c>
      <c r="F44" s="13" t="str">
        <f t="shared" si="6"/>
        <v>#N/A</v>
      </c>
    </row>
    <row r="45" ht="15.75" customHeight="1">
      <c r="A45" s="1"/>
      <c r="B45" s="1"/>
      <c r="C45" s="2" t="str">
        <f>VLOOKUP(B45,Helper!$D$99:$F1000,3,FALSE)</f>
        <v>#N/A</v>
      </c>
      <c r="D45" s="13" t="str">
        <f>IFERROR(__xludf.DUMMYFUNCTION("IFNA(QUERY(IMPORTRANGE(""https://docs.google.com/spreadsheets/d/1EHL-jm_NiShR1a2JqKbpaJGazYH90DJO150spY6io4k/edit?gid=0#gid=0"", 
""Gen_Ledger!A:N""), 
""SELECT SUM(Col10) WHERE Col7 = ""&amp;B45&amp;"" AND Col1 &gt;= DATE '"" &amp; TEXT($C$2, ""YYYY-MM-DD"") &amp; ""' AND "&amp;"Col1 &lt;= DATE '"" &amp; TEXT($C$3, ""YYYY-MM-DD"") &amp; ""' LABEL SUM(Col10) ''"", 0), """")"),"#REF!")</f>
        <v>#REF!</v>
      </c>
      <c r="E45" s="13" t="str">
        <f>IFERROR(__xludf.DUMMYFUNCTION("IFNA(QUERY(IMPORTRANGE(""https://docs.google.com/spreadsheets/d/1EHL-jm_NiShR1a2JqKbpaJGazYH90DJO150spY6io4k/edit?gid=0#gid=0"", 
""Gen_Ledger!A:N""), 
""SELECT SUM(Col11) WHERE Col7 = ""&amp;B45&amp;"" AND Col1 &gt;= DATE '"" &amp; TEXT($C$2, ""YYYY-MM-DD"") &amp; ""' AND "&amp;"Col1 &lt;= DATE '"" &amp; TEXT($C$3, ""YYYY-MM-DD"") &amp; ""' LABEL SUM(Col11) ''"", 0), """")"),"#REF!")</f>
        <v>#REF!</v>
      </c>
      <c r="F45" s="13" t="str">
        <f t="shared" si="6"/>
        <v>#N/A</v>
      </c>
    </row>
    <row r="46" ht="15.75" customHeight="1">
      <c r="A46" s="1"/>
      <c r="B46" s="1"/>
      <c r="C46" s="2" t="str">
        <f>VLOOKUP(B46,Helper!$D$99:$F1000,3,FALSE)</f>
        <v>#N/A</v>
      </c>
      <c r="D46" s="13" t="str">
        <f>IFERROR(__xludf.DUMMYFUNCTION("IFNA(QUERY(IMPORTRANGE(""https://docs.google.com/spreadsheets/d/1EHL-jm_NiShR1a2JqKbpaJGazYH90DJO150spY6io4k/edit?gid=0#gid=0"", 
""Gen_Ledger!A:N""), 
""SELECT SUM(Col10) WHERE Col7 = ""&amp;B46&amp;"" AND Col1 &gt;= DATE '"" &amp; TEXT($C$2, ""YYYY-MM-DD"") &amp; ""' AND "&amp;"Col1 &lt;= DATE '"" &amp; TEXT($C$3, ""YYYY-MM-DD"") &amp; ""' LABEL SUM(Col10) ''"", 0), """")"),"#REF!")</f>
        <v>#REF!</v>
      </c>
      <c r="E46" s="13" t="str">
        <f>IFERROR(__xludf.DUMMYFUNCTION("IFNA(QUERY(IMPORTRANGE(""https://docs.google.com/spreadsheets/d/1EHL-jm_NiShR1a2JqKbpaJGazYH90DJO150spY6io4k/edit?gid=0#gid=0"", 
""Gen_Ledger!A:N""), 
""SELECT SUM(Col11) WHERE Col7 = ""&amp;B46&amp;"" AND Col1 &gt;= DATE '"" &amp; TEXT($C$2, ""YYYY-MM-DD"") &amp; ""' AND "&amp;"Col1 &lt;= DATE '"" &amp; TEXT($C$3, ""YYYY-MM-DD"") &amp; ""' LABEL SUM(Col11) ''"", 0), """")"),"#REF!")</f>
        <v>#REF!</v>
      </c>
      <c r="F46" s="13" t="str">
        <f t="shared" si="6"/>
        <v>#N/A</v>
      </c>
    </row>
    <row r="47" ht="15.75" customHeight="1">
      <c r="A47" s="1"/>
      <c r="B47" s="1"/>
      <c r="C47" s="2" t="str">
        <f>VLOOKUP(B47,Helper!$D$99:$F1000,3,FALSE)</f>
        <v>#N/A</v>
      </c>
      <c r="D47" s="13" t="str">
        <f>IFERROR(__xludf.DUMMYFUNCTION("IFNA(QUERY(IMPORTRANGE(""https://docs.google.com/spreadsheets/d/1EHL-jm_NiShR1a2JqKbpaJGazYH90DJO150spY6io4k/edit?gid=0#gid=0"", 
""Gen_Ledger!A:N""), 
""SELECT SUM(Col10) WHERE Col7 = ""&amp;B47&amp;"" AND Col1 &gt;= DATE '"" &amp; TEXT($C$2, ""YYYY-MM-DD"") &amp; ""' AND "&amp;"Col1 &lt;= DATE '"" &amp; TEXT($C$3, ""YYYY-MM-DD"") &amp; ""' LABEL SUM(Col10) ''"", 0), """")"),"#REF!")</f>
        <v>#REF!</v>
      </c>
      <c r="E47" s="13" t="str">
        <f>IFERROR(__xludf.DUMMYFUNCTION("IFNA(QUERY(IMPORTRANGE(""https://docs.google.com/spreadsheets/d/1EHL-jm_NiShR1a2JqKbpaJGazYH90DJO150spY6io4k/edit?gid=0#gid=0"", 
""Gen_Ledger!A:N""), 
""SELECT SUM(Col11) WHERE Col7 = ""&amp;B47&amp;"" AND Col1 &gt;= DATE '"" &amp; TEXT($C$2, ""YYYY-MM-DD"") &amp; ""' AND "&amp;"Col1 &lt;= DATE '"" &amp; TEXT($C$3, ""YYYY-MM-DD"") &amp; ""' LABEL SUM(Col11) ''"", 0), """")"),"#REF!")</f>
        <v>#REF!</v>
      </c>
      <c r="F47" s="13" t="str">
        <f t="shared" si="6"/>
        <v>#N/A</v>
      </c>
      <c r="I47" s="12" t="str">
        <f>SUM(D44:D47)</f>
        <v>#REF!</v>
      </c>
    </row>
    <row r="48" ht="15.75" customHeight="1">
      <c r="A48" s="1"/>
      <c r="B48" s="1"/>
      <c r="C48" s="2" t="str">
        <f>VLOOKUP(B48,Helper!$D$99:$F1000,3,FALSE)</f>
        <v>#N/A</v>
      </c>
      <c r="D48" s="13" t="str">
        <f>IFERROR(__xludf.DUMMYFUNCTION("IFNA(QUERY(IMPORTRANGE(""https://docs.google.com/spreadsheets/d/1EHL-jm_NiShR1a2JqKbpaJGazYH90DJO150spY6io4k/edit?gid=0#gid=0"", 
""Gen_Ledger!A:N""), 
""SELECT SUM(Col10) WHERE Col7 = ""&amp;B48&amp;"" AND Col1 &gt;= DATE '"" &amp; TEXT($C$2, ""YYYY-MM-DD"") &amp; ""' AND "&amp;"Col1 &lt;= DATE '"" &amp; TEXT($C$3, ""YYYY-MM-DD"") &amp; ""' LABEL SUM(Col10) ''"", 0), """")"),"#REF!")</f>
        <v>#REF!</v>
      </c>
      <c r="E48" s="13" t="str">
        <f>IFERROR(__xludf.DUMMYFUNCTION("IFNA(QUERY(IMPORTRANGE(""https://docs.google.com/spreadsheets/d/1EHL-jm_NiShR1a2JqKbpaJGazYH90DJO150spY6io4k/edit?gid=0#gid=0"", 
""Gen_Ledger!A:N""), 
""SELECT SUM(Col11) WHERE Col7 = ""&amp;B48&amp;"" AND Col1 &gt;= DATE '"" &amp; TEXT($C$2, ""YYYY-MM-DD"") &amp; ""' AND "&amp;"Col1 &lt;= DATE '"" &amp; TEXT($C$3, ""YYYY-MM-DD"") &amp; ""' LABEL SUM(Col11) ''"", 0), """")"),"#REF!")</f>
        <v>#REF!</v>
      </c>
      <c r="F48" s="13" t="str">
        <f t="shared" si="6"/>
        <v>#N/A</v>
      </c>
    </row>
    <row r="49" ht="15.75" customHeight="1">
      <c r="A49" s="1"/>
      <c r="B49" s="1"/>
      <c r="C49" s="2" t="str">
        <f>VLOOKUP(B49,Helper!$D$99:$F1000,3,FALSE)</f>
        <v>#N/A</v>
      </c>
      <c r="D49" s="13" t="str">
        <f>IFERROR(__xludf.DUMMYFUNCTION("IFNA(QUERY(IMPORTRANGE(""https://docs.google.com/spreadsheets/d/1EHL-jm_NiShR1a2JqKbpaJGazYH90DJO150spY6io4k/edit?gid=0#gid=0"", 
""Gen_Ledger!A:N""), 
""SELECT SUM(Col10) WHERE Col7 = ""&amp;B49&amp;"" AND Col1 &gt;= DATE '"" &amp; TEXT($C$2, ""YYYY-MM-DD"") &amp; ""' AND "&amp;"Col1 &lt;= DATE '"" &amp; TEXT($C$3, ""YYYY-MM-DD"") &amp; ""' LABEL SUM(Col10) ''"", 0), """")"),"#REF!")</f>
        <v>#REF!</v>
      </c>
      <c r="E49" s="13" t="str">
        <f>IFERROR(__xludf.DUMMYFUNCTION("IFNA(QUERY(IMPORTRANGE(""https://docs.google.com/spreadsheets/d/1EHL-jm_NiShR1a2JqKbpaJGazYH90DJO150spY6io4k/edit?gid=0#gid=0"", 
""Gen_Ledger!A:N""), 
""SELECT SUM(Col11) WHERE Col7 = ""&amp;B49&amp;"" AND Col1 &gt;= DATE '"" &amp; TEXT($C$2, ""YYYY-MM-DD"") &amp; ""' AND "&amp;"Col1 &lt;= DATE '"" &amp; TEXT($C$3, ""YYYY-MM-DD"") &amp; ""' LABEL SUM(Col11) ''"", 0), """")"),"#REF!")</f>
        <v>#REF!</v>
      </c>
      <c r="F49" s="13" t="str">
        <f t="shared" si="6"/>
        <v>#N/A</v>
      </c>
    </row>
    <row r="50" ht="15.75" customHeight="1">
      <c r="A50" s="1"/>
      <c r="B50" s="1"/>
      <c r="C50" s="2" t="str">
        <f>VLOOKUP(B50,Helper!$D$99:$F1000,3,FALSE)</f>
        <v>#N/A</v>
      </c>
      <c r="D50" s="13" t="str">
        <f>IFERROR(__xludf.DUMMYFUNCTION("IFNA(QUERY(IMPORTRANGE(""https://docs.google.com/spreadsheets/d/1EHL-jm_NiShR1a2JqKbpaJGazYH90DJO150spY6io4k/edit?gid=0#gid=0"", 
""Gen_Ledger!A:N""), 
""SELECT SUM(Col10) WHERE Col7 = ""&amp;B50&amp;"" AND Col1 &gt;= DATE '"" &amp; TEXT($C$2, ""YYYY-MM-DD"") &amp; ""' AND "&amp;"Col1 &lt;= DATE '"" &amp; TEXT($C$3, ""YYYY-MM-DD"") &amp; ""' LABEL SUM(Col10) ''"", 0), """")"),"#REF!")</f>
        <v>#REF!</v>
      </c>
      <c r="E50" s="13" t="str">
        <f>IFERROR(__xludf.DUMMYFUNCTION("IFNA(QUERY(IMPORTRANGE(""https://docs.google.com/spreadsheets/d/1EHL-jm_NiShR1a2JqKbpaJGazYH90DJO150spY6io4k/edit?gid=0#gid=0"", 
""Gen_Ledger!A:N""), 
""SELECT SUM(Col11) WHERE Col7 = ""&amp;B50&amp;"" AND Col1 &gt;= DATE '"" &amp; TEXT($C$2, ""YYYY-MM-DD"") &amp; ""' AND "&amp;"Col1 &lt;= DATE '"" &amp; TEXT($C$3, ""YYYY-MM-DD"") &amp; ""' LABEL SUM(Col11) ''"", 0), """")"),"#REF!")</f>
        <v>#REF!</v>
      </c>
      <c r="F50" s="13" t="str">
        <f t="shared" si="6"/>
        <v>#N/A</v>
      </c>
    </row>
    <row r="51" ht="15.75" customHeight="1">
      <c r="A51" s="1"/>
      <c r="B51" s="1"/>
      <c r="C51" s="2" t="str">
        <f>VLOOKUP(B51,Helper!$D$99:$F1000,3,FALSE)</f>
        <v>#N/A</v>
      </c>
      <c r="D51" s="13" t="str">
        <f>IFERROR(__xludf.DUMMYFUNCTION("IFNA(QUERY(IMPORTRANGE(""https://docs.google.com/spreadsheets/d/1EHL-jm_NiShR1a2JqKbpaJGazYH90DJO150spY6io4k/edit?gid=0#gid=0"", 
""Gen_Ledger!A:N""), 
""SELECT SUM(Col10) WHERE Col7 = ""&amp;B51&amp;"" AND Col1 &gt;= DATE '"" &amp; TEXT($C$2, ""YYYY-MM-DD"") &amp; ""' AND "&amp;"Col1 &lt;= DATE '"" &amp; TEXT($C$3, ""YYYY-MM-DD"") &amp; ""' LABEL SUM(Col10) ''"", 0), """")"),"#REF!")</f>
        <v>#REF!</v>
      </c>
      <c r="E51" s="13" t="str">
        <f>IFERROR(__xludf.DUMMYFUNCTION("IFNA(QUERY(IMPORTRANGE(""https://docs.google.com/spreadsheets/d/1EHL-jm_NiShR1a2JqKbpaJGazYH90DJO150spY6io4k/edit?gid=0#gid=0"", 
""Gen_Ledger!A:N""), 
""SELECT SUM(Col11) WHERE Col7 = ""&amp;B51&amp;"" AND Col1 &gt;= DATE '"" &amp; TEXT($C$2, ""YYYY-MM-DD"") &amp; ""' AND "&amp;"Col1 &lt;= DATE '"" &amp; TEXT($C$3, ""YYYY-MM-DD"") &amp; ""' LABEL SUM(Col11) ''"", 0), """")"),"#REF!")</f>
        <v>#REF!</v>
      </c>
      <c r="F51" s="13" t="str">
        <f t="shared" si="6"/>
        <v>#N/A</v>
      </c>
    </row>
    <row r="52" ht="15.75" customHeight="1">
      <c r="A52" s="1"/>
      <c r="B52" s="1"/>
      <c r="C52" s="2" t="str">
        <f>VLOOKUP(B52,Helper!$D$99:$F1000,3,FALSE)</f>
        <v>#N/A</v>
      </c>
      <c r="D52" s="13" t="str">
        <f>IFERROR(__xludf.DUMMYFUNCTION("IFNA(QUERY(IMPORTRANGE(""https://docs.google.com/spreadsheets/d/1EHL-jm_NiShR1a2JqKbpaJGazYH90DJO150spY6io4k/edit?gid=0#gid=0"", 
""Gen_Ledger!A:N""), 
""SELECT SUM(Col10) WHERE Col7 = ""&amp;B52&amp;"" AND Col1 &gt;= DATE '"" &amp; TEXT($C$2, ""YYYY-MM-DD"") &amp; ""' AND "&amp;"Col1 &lt;= DATE '"" &amp; TEXT($C$3, ""YYYY-MM-DD"") &amp; ""' LABEL SUM(Col10) ''"", 0), """")"),"#REF!")</f>
        <v>#REF!</v>
      </c>
      <c r="E52" s="13" t="str">
        <f>IFERROR(__xludf.DUMMYFUNCTION("IFNA(QUERY(IMPORTRANGE(""https://docs.google.com/spreadsheets/d/1EHL-jm_NiShR1a2JqKbpaJGazYH90DJO150spY6io4k/edit?gid=0#gid=0"", 
""Gen_Ledger!A:N""), 
""SELECT SUM(Col11) WHERE Col7 = ""&amp;B52&amp;"" AND Col1 &gt;= DATE '"" &amp; TEXT($C$2, ""YYYY-MM-DD"") &amp; ""' AND "&amp;"Col1 &lt;= DATE '"" &amp; TEXT($C$3, ""YYYY-MM-DD"") &amp; ""' LABEL SUM(Col11) ''"", 0), """")"),"#REF!")</f>
        <v>#REF!</v>
      </c>
      <c r="F52" s="13" t="str">
        <f t="shared" si="6"/>
        <v>#N/A</v>
      </c>
    </row>
    <row r="53" ht="15.75" customHeight="1">
      <c r="A53" s="1"/>
      <c r="B53" s="1"/>
      <c r="C53" s="2" t="str">
        <f>VLOOKUP(B53,Helper!$D$99:$F1000,3,FALSE)</f>
        <v>#N/A</v>
      </c>
      <c r="D53" s="13" t="str">
        <f>IFERROR(__xludf.DUMMYFUNCTION("IFNA(QUERY(IMPORTRANGE(""https://docs.google.com/spreadsheets/d/1EHL-jm_NiShR1a2JqKbpaJGazYH90DJO150spY6io4k/edit?gid=0#gid=0"", 
""Gen_Ledger!A:N""), 
""SELECT SUM(Col10) WHERE Col7 = ""&amp;B53&amp;"" AND Col1 &gt;= DATE '"" &amp; TEXT($C$2, ""YYYY-MM-DD"") &amp; ""' AND "&amp;"Col1 &lt;= DATE '"" &amp; TEXT($C$3, ""YYYY-MM-DD"") &amp; ""' LABEL SUM(Col10) ''"", 0), """")"),"#REF!")</f>
        <v>#REF!</v>
      </c>
      <c r="E53" s="13" t="str">
        <f>IFERROR(__xludf.DUMMYFUNCTION("IFNA(QUERY(IMPORTRANGE(""https://docs.google.com/spreadsheets/d/1EHL-jm_NiShR1a2JqKbpaJGazYH90DJO150spY6io4k/edit?gid=0#gid=0"", 
""Gen_Ledger!A:N""), 
""SELECT SUM(Col11) WHERE Col7 = ""&amp;B53&amp;"" AND Col1 &gt;= DATE '"" &amp; TEXT($C$2, ""YYYY-MM-DD"") &amp; ""' AND "&amp;"Col1 &lt;= DATE '"" &amp; TEXT($C$3, ""YYYY-MM-DD"") &amp; ""' LABEL SUM(Col11) ''"", 0), """")"),"#REF!")</f>
        <v>#REF!</v>
      </c>
      <c r="F53" s="13" t="str">
        <f t="shared" si="6"/>
        <v>#N/A</v>
      </c>
    </row>
    <row r="54" ht="15.75" customHeight="1">
      <c r="A54" s="1"/>
      <c r="B54" s="1"/>
      <c r="C54" s="2" t="str">
        <f>VLOOKUP(B54,Helper!$D$99:$F1000,3,FALSE)</f>
        <v>#N/A</v>
      </c>
      <c r="D54" s="13" t="str">
        <f>IFERROR(__xludf.DUMMYFUNCTION("IFNA(QUERY(IMPORTRANGE(""https://docs.google.com/spreadsheets/d/1EHL-jm_NiShR1a2JqKbpaJGazYH90DJO150spY6io4k/edit?gid=0#gid=0"", 
""Gen_Ledger!A:N""), 
""SELECT SUM(Col10) WHERE Col7 = ""&amp;B54&amp;"" AND Col1 &gt;= DATE '"" &amp; TEXT($C$2, ""YYYY-MM-DD"") &amp; ""' AND "&amp;"Col1 &lt;= DATE '"" &amp; TEXT($C$3, ""YYYY-MM-DD"") &amp; ""' LABEL SUM(Col10) ''"", 0), """")"),"#REF!")</f>
        <v>#REF!</v>
      </c>
      <c r="E54" s="13" t="str">
        <f>IFERROR(__xludf.DUMMYFUNCTION("IFNA(QUERY(IMPORTRANGE(""https://docs.google.com/spreadsheets/d/1EHL-jm_NiShR1a2JqKbpaJGazYH90DJO150spY6io4k/edit?gid=0#gid=0"", 
""Gen_Ledger!A:N""), 
""SELECT SUM(Col11) WHERE Col7 = ""&amp;B54&amp;"" AND Col1 &gt;= DATE '"" &amp; TEXT($C$2, ""YYYY-MM-DD"") &amp; ""' AND "&amp;"Col1 &lt;= DATE '"" &amp; TEXT($C$3, ""YYYY-MM-DD"") &amp; ""' LABEL SUM(Col11) ''"", 0), """")"),"#REF!")</f>
        <v>#REF!</v>
      </c>
      <c r="F54" s="13" t="str">
        <f t="shared" si="6"/>
        <v>#N/A</v>
      </c>
    </row>
    <row r="55" ht="15.75" customHeight="1">
      <c r="A55" s="1"/>
      <c r="B55" s="1"/>
      <c r="C55" s="2" t="str">
        <f>VLOOKUP(B55,Helper!$D$99:$F1000,3,FALSE)</f>
        <v>#N/A</v>
      </c>
      <c r="D55" s="13" t="str">
        <f>IFERROR(__xludf.DUMMYFUNCTION("IFNA(QUERY(IMPORTRANGE(""https://docs.google.com/spreadsheets/d/1EHL-jm_NiShR1a2JqKbpaJGazYH90DJO150spY6io4k/edit?gid=0#gid=0"", 
""Gen_Ledger!A:N""), 
""SELECT SUM(Col10) WHERE Col7 = ""&amp;B55&amp;"" AND Col1 &gt;= DATE '"" &amp; TEXT($C$2, ""YYYY-MM-DD"") &amp; ""' AND "&amp;"Col1 &lt;= DATE '"" &amp; TEXT($C$3, ""YYYY-MM-DD"") &amp; ""' LABEL SUM(Col10) ''"", 0), """")"),"#REF!")</f>
        <v>#REF!</v>
      </c>
      <c r="E55" s="13" t="str">
        <f>IFERROR(__xludf.DUMMYFUNCTION("IFNA(QUERY(IMPORTRANGE(""https://docs.google.com/spreadsheets/d/1EHL-jm_NiShR1a2JqKbpaJGazYH90DJO150spY6io4k/edit?gid=0#gid=0"", 
""Gen_Ledger!A:N""), 
""SELECT SUM(Col11) WHERE Col7 = ""&amp;B55&amp;"" AND Col1 &gt;= DATE '"" &amp; TEXT($C$2, ""YYYY-MM-DD"") &amp; ""' AND "&amp;"Col1 &lt;= DATE '"" &amp; TEXT($C$3, ""YYYY-MM-DD"") &amp; ""' LABEL SUM(Col11) ''"", 0), """")"),"#REF!")</f>
        <v>#REF!</v>
      </c>
      <c r="F55" s="13" t="str">
        <f t="shared" si="6"/>
        <v>#N/A</v>
      </c>
    </row>
    <row r="56" ht="15.75" customHeight="1">
      <c r="A56" s="1"/>
      <c r="B56" s="1"/>
      <c r="C56" s="2" t="str">
        <f>VLOOKUP(B56,Helper!$D$99:$F1000,3,FALSE)</f>
        <v>#N/A</v>
      </c>
      <c r="D56" s="13" t="str">
        <f>IFERROR(__xludf.DUMMYFUNCTION("IFNA(QUERY(IMPORTRANGE(""https://docs.google.com/spreadsheets/d/1EHL-jm_NiShR1a2JqKbpaJGazYH90DJO150spY6io4k/edit?gid=0#gid=0"", 
""Gen_Ledger!A:N""), 
""SELECT SUM(Col10) WHERE Col7 = ""&amp;B56&amp;"" AND Col1 &gt;= DATE '"" &amp; TEXT($C$2, ""YYYY-MM-DD"") &amp; ""' AND "&amp;"Col1 &lt;= DATE '"" &amp; TEXT($C$3, ""YYYY-MM-DD"") &amp; ""' LABEL SUM(Col10) ''"", 0), """")"),"#REF!")</f>
        <v>#REF!</v>
      </c>
      <c r="E56" s="13" t="str">
        <f>IFERROR(__xludf.DUMMYFUNCTION("IFNA(QUERY(IMPORTRANGE(""https://docs.google.com/spreadsheets/d/1EHL-jm_NiShR1a2JqKbpaJGazYH90DJO150spY6io4k/edit?gid=0#gid=0"", 
""Gen_Ledger!A:N""), 
""SELECT SUM(Col11) WHERE Col7 = ""&amp;B56&amp;"" AND Col1 &gt;= DATE '"" &amp; TEXT($C$2, ""YYYY-MM-DD"") &amp; ""' AND "&amp;"Col1 &lt;= DATE '"" &amp; TEXT($C$3, ""YYYY-MM-DD"") &amp; ""' LABEL SUM(Col11) ''"", 0), """")"),"#REF!")</f>
        <v>#REF!</v>
      </c>
      <c r="F56" s="13" t="str">
        <f t="shared" si="6"/>
        <v>#N/A</v>
      </c>
    </row>
    <row r="57" ht="15.75" customHeight="1">
      <c r="A57" s="1"/>
      <c r="B57" s="1"/>
      <c r="C57" s="2" t="str">
        <f>VLOOKUP(B57,Helper!$D$99:$F1000,3,FALSE)</f>
        <v>#N/A</v>
      </c>
      <c r="D57" s="13" t="str">
        <f>IFERROR(__xludf.DUMMYFUNCTION("IFNA(QUERY(IMPORTRANGE(""https://docs.google.com/spreadsheets/d/1EHL-jm_NiShR1a2JqKbpaJGazYH90DJO150spY6io4k/edit?gid=0#gid=0"", 
""Gen_Ledger!A:N""), 
""SELECT SUM(Col10) WHERE Col7 = ""&amp;B57&amp;"" AND Col1 &gt;= DATE '"" &amp; TEXT($C$2, ""YYYY-MM-DD"") &amp; ""' AND "&amp;"Col1 &lt;= DATE '"" &amp; TEXT($C$3, ""YYYY-MM-DD"") &amp; ""' LABEL SUM(Col10) ''"", 0), """")"),"#REF!")</f>
        <v>#REF!</v>
      </c>
      <c r="E57" s="13" t="str">
        <f>IFERROR(__xludf.DUMMYFUNCTION("IFNA(QUERY(IMPORTRANGE(""https://docs.google.com/spreadsheets/d/1EHL-jm_NiShR1a2JqKbpaJGazYH90DJO150spY6io4k/edit?gid=0#gid=0"", 
""Gen_Ledger!A:N""), 
""SELECT SUM(Col11) WHERE Col7 = ""&amp;B57&amp;"" AND Col1 &gt;= DATE '"" &amp; TEXT($C$2, ""YYYY-MM-DD"") &amp; ""' AND "&amp;"Col1 &lt;= DATE '"" &amp; TEXT($C$3, ""YYYY-MM-DD"") &amp; ""' LABEL SUM(Col11) ''"", 0), """")"),"#REF!")</f>
        <v>#REF!</v>
      </c>
      <c r="F57" s="13" t="str">
        <f t="shared" si="6"/>
        <v>#N/A</v>
      </c>
    </row>
    <row r="58" ht="15.75" customHeight="1">
      <c r="A58" s="1"/>
      <c r="B58" s="1"/>
      <c r="C58" s="2" t="str">
        <f>VLOOKUP(B58,Helper!$D$99:$F1000,3,FALSE)</f>
        <v>#N/A</v>
      </c>
      <c r="D58" s="13" t="str">
        <f>IFERROR(__xludf.DUMMYFUNCTION("IFNA(QUERY(IMPORTRANGE(""https://docs.google.com/spreadsheets/d/1EHL-jm_NiShR1a2JqKbpaJGazYH90DJO150spY6io4k/edit?gid=0#gid=0"", 
""Gen_Ledger!A:N""), 
""SELECT SUM(Col10) WHERE Col7 = ""&amp;B58&amp;"" AND Col1 &gt;= DATE '"" &amp; TEXT($C$2, ""YYYY-MM-DD"") &amp; ""' AND "&amp;"Col1 &lt;= DATE '"" &amp; TEXT($C$3, ""YYYY-MM-DD"") &amp; ""' LABEL SUM(Col10) ''"", 0), """")"),"#REF!")</f>
        <v>#REF!</v>
      </c>
      <c r="E58" s="13" t="str">
        <f>IFERROR(__xludf.DUMMYFUNCTION("IFNA(QUERY(IMPORTRANGE(""https://docs.google.com/spreadsheets/d/1EHL-jm_NiShR1a2JqKbpaJGazYH90DJO150spY6io4k/edit?gid=0#gid=0"", 
""Gen_Ledger!A:N""), 
""SELECT SUM(Col11) WHERE Col7 = ""&amp;B58&amp;"" AND Col1 &gt;= DATE '"" &amp; TEXT($C$2, ""YYYY-MM-DD"") &amp; ""' AND "&amp;"Col1 &lt;= DATE '"" &amp; TEXT($C$3, ""YYYY-MM-DD"") &amp; ""' LABEL SUM(Col11) ''"", 0), """")"),"#REF!")</f>
        <v>#REF!</v>
      </c>
      <c r="F58" s="13" t="str">
        <f t="shared" si="6"/>
        <v>#N/A</v>
      </c>
    </row>
    <row r="59" ht="15.75" customHeight="1">
      <c r="A59" s="1"/>
      <c r="B59" s="1"/>
      <c r="C59" s="2" t="str">
        <f>VLOOKUP(B59,Helper!$D$99:$F1000,3,FALSE)</f>
        <v>#N/A</v>
      </c>
      <c r="D59" s="13" t="str">
        <f>IFERROR(__xludf.DUMMYFUNCTION("IFNA(QUERY(IMPORTRANGE(""https://docs.google.com/spreadsheets/d/1EHL-jm_NiShR1a2JqKbpaJGazYH90DJO150spY6io4k/edit?gid=0#gid=0"", 
""Gen_Ledger!A:N""), 
""SELECT SUM(Col10) WHERE Col7 = ""&amp;B59&amp;"" AND Col1 &gt;= DATE '"" &amp; TEXT($C$2, ""YYYY-MM-DD"") &amp; ""' AND "&amp;"Col1 &lt;= DATE '"" &amp; TEXT($C$3, ""YYYY-MM-DD"") &amp; ""' LABEL SUM(Col10) ''"", 0), """")"),"#REF!")</f>
        <v>#REF!</v>
      </c>
      <c r="E59" s="13" t="str">
        <f>IFERROR(__xludf.DUMMYFUNCTION("IFNA(QUERY(IMPORTRANGE(""https://docs.google.com/spreadsheets/d/1EHL-jm_NiShR1a2JqKbpaJGazYH90DJO150spY6io4k/edit?gid=0#gid=0"", 
""Gen_Ledger!A:N""), 
""SELECT SUM(Col11) WHERE Col7 = ""&amp;B59&amp;"" AND Col1 &gt;= DATE '"" &amp; TEXT($C$2, ""YYYY-MM-DD"") &amp; ""' AND "&amp;"Col1 &lt;= DATE '"" &amp; TEXT($C$3, ""YYYY-MM-DD"") &amp; ""' LABEL SUM(Col11) ''"", 0), """")"),"#REF!")</f>
        <v>#REF!</v>
      </c>
      <c r="F59" s="13" t="str">
        <f>C59+E59-D59</f>
        <v>#N/A</v>
      </c>
    </row>
    <row r="60" ht="15.75" customHeight="1">
      <c r="A60" s="1"/>
      <c r="B60" s="1"/>
      <c r="C60" s="2" t="str">
        <f>VLOOKUP(B60,Helper!$D$99:$F1000,3,FALSE)</f>
        <v>#N/A</v>
      </c>
      <c r="D60" s="13" t="str">
        <f>IFERROR(__xludf.DUMMYFUNCTION("IFNA(QUERY(IMPORTRANGE(""https://docs.google.com/spreadsheets/d/1EHL-jm_NiShR1a2JqKbpaJGazYH90DJO150spY6io4k/edit?gid=0#gid=0"", 
""Gen_Ledger!A:N""), 
""SELECT SUM(Col10) WHERE Col7 = ""&amp;B60&amp;"" AND Col1 &gt;= DATE '"" &amp; TEXT($C$2, ""YYYY-MM-DD"") &amp; ""' AND "&amp;"Col1 &lt;= DATE '"" &amp; TEXT($C$3, ""YYYY-MM-DD"") &amp; ""' LABEL SUM(Col10) ''"", 0), """")"),"#REF!")</f>
        <v>#REF!</v>
      </c>
      <c r="E60" s="13" t="str">
        <f>IFERROR(__xludf.DUMMYFUNCTION("IFNA(QUERY(IMPORTRANGE(""https://docs.google.com/spreadsheets/d/1EHL-jm_NiShR1a2JqKbpaJGazYH90DJO150spY6io4k/edit?gid=0#gid=0"", 
""Gen_Ledger!A:N""), 
""SELECT SUM(Col11) WHERE Col7 = ""&amp;B60&amp;"" AND Col1 &gt;= DATE '"" &amp; TEXT($C$2, ""YYYY-MM-DD"") &amp; ""' AND "&amp;"Col1 &lt;= DATE '"" &amp; TEXT($C$3, ""YYYY-MM-DD"") &amp; ""' LABEL SUM(Col11) ''"", 0), """")"),"#REF!")</f>
        <v>#REF!</v>
      </c>
      <c r="F60" s="13" t="str">
        <f t="shared" ref="F60:F63" si="7">C60-E60+D60</f>
        <v>#N/A</v>
      </c>
    </row>
    <row r="61" ht="15.75" customHeight="1">
      <c r="A61" s="1"/>
      <c r="B61" s="1"/>
      <c r="C61" s="2" t="str">
        <f>VLOOKUP(B61,Helper!$D$99:$F1000,3,FALSE)</f>
        <v>#N/A</v>
      </c>
      <c r="D61" s="13" t="str">
        <f>IFERROR(__xludf.DUMMYFUNCTION("IFNA(QUERY(IMPORTRANGE(""https://docs.google.com/spreadsheets/d/1EHL-jm_NiShR1a2JqKbpaJGazYH90DJO150spY6io4k/edit?gid=0#gid=0"", 
""Gen_Ledger!A:N""), 
""SELECT SUM(Col10) WHERE Col7 = ""&amp;B61&amp;"" AND Col1 &gt;= DATE '"" &amp; TEXT($C$2, ""YYYY-MM-DD"") &amp; ""' AND "&amp;"Col1 &lt;= DATE '"" &amp; TEXT($C$3, ""YYYY-MM-DD"") &amp; ""' LABEL SUM(Col10) ''"", 0), """")"),"#REF!")</f>
        <v>#REF!</v>
      </c>
      <c r="E61" s="13" t="str">
        <f>IFERROR(__xludf.DUMMYFUNCTION("IFNA(QUERY(IMPORTRANGE(""https://docs.google.com/spreadsheets/d/1EHL-jm_NiShR1a2JqKbpaJGazYH90DJO150spY6io4k/edit?gid=0#gid=0"", 
""Gen_Ledger!A:N""), 
""SELECT SUM(Col11) WHERE Col7 = ""&amp;B61&amp;"" AND Col1 &gt;= DATE '"" &amp; TEXT($C$2, ""YYYY-MM-DD"") &amp; ""' AND "&amp;"Col1 &lt;= DATE '"" &amp; TEXT($C$3, ""YYYY-MM-DD"") &amp; ""' LABEL SUM(Col11) ''"", 0), """")"),"#REF!")</f>
        <v>#REF!</v>
      </c>
      <c r="F61" s="13" t="str">
        <f t="shared" si="7"/>
        <v>#N/A</v>
      </c>
    </row>
    <row r="62" ht="15.75" customHeight="1">
      <c r="A62" s="1"/>
      <c r="B62" s="1"/>
      <c r="C62" s="2" t="str">
        <f>VLOOKUP(B62,Helper!$D$99:$F1000,3,FALSE)</f>
        <v>#N/A</v>
      </c>
      <c r="D62" s="13" t="str">
        <f>IFERROR(__xludf.DUMMYFUNCTION("IFNA(QUERY(IMPORTRANGE(""https://docs.google.com/spreadsheets/d/1EHL-jm_NiShR1a2JqKbpaJGazYH90DJO150spY6io4k/edit?gid=0#gid=0"", 
""Gen_Ledger!A:N""), 
""SELECT SUM(Col10) WHERE Col7 = ""&amp;B62&amp;"" AND Col1 &gt;= DATE '"" &amp; TEXT($C$2, ""YYYY-MM-DD"") &amp; ""' AND "&amp;"Col1 &lt;= DATE '"" &amp; TEXT($C$3, ""YYYY-MM-DD"") &amp; ""' LABEL SUM(Col10) ''"", 0), """")"),"#REF!")</f>
        <v>#REF!</v>
      </c>
      <c r="E62" s="13" t="str">
        <f>IFERROR(__xludf.DUMMYFUNCTION("IFNA(QUERY(IMPORTRANGE(""https://docs.google.com/spreadsheets/d/1EHL-jm_NiShR1a2JqKbpaJGazYH90DJO150spY6io4k/edit?gid=0#gid=0"", 
""Gen_Ledger!A:N""), 
""SELECT SUM(Col11) WHERE Col7 = ""&amp;B62&amp;"" AND Col1 &gt;= DATE '"" &amp; TEXT($C$2, ""YYYY-MM-DD"") &amp; ""' AND "&amp;"Col1 &lt;= DATE '"" &amp; TEXT($C$3, ""YYYY-MM-DD"") &amp; ""' LABEL SUM(Col11) ''"", 0), """")"),"#REF!")</f>
        <v>#REF!</v>
      </c>
      <c r="F62" s="13" t="str">
        <f t="shared" si="7"/>
        <v>#N/A</v>
      </c>
    </row>
    <row r="63" ht="15.75" customHeight="1">
      <c r="A63" s="1"/>
      <c r="B63" s="1"/>
      <c r="C63" s="2" t="str">
        <f>VLOOKUP(B63,Helper!$D$99:$F1000,3,FALSE)</f>
        <v>#N/A</v>
      </c>
      <c r="D63" s="13" t="str">
        <f>IFERROR(__xludf.DUMMYFUNCTION("IFNA(QUERY(IMPORTRANGE(""https://docs.google.com/spreadsheets/d/1EHL-jm_NiShR1a2JqKbpaJGazYH90DJO150spY6io4k/edit?gid=0#gid=0"", 
""Gen_Ledger!A:N""), 
""SELECT SUM(Col10) WHERE Col7 = ""&amp;B63&amp;"" AND Col1 &gt;= DATE '"" &amp; TEXT($C$2, ""YYYY-MM-DD"") &amp; ""' AND "&amp;"Col1 &lt;= DATE '"" &amp; TEXT($C$3, ""YYYY-MM-DD"") &amp; ""' LABEL SUM(Col10) ''"", 0), """")"),"#REF!")</f>
        <v>#REF!</v>
      </c>
      <c r="E63" s="13" t="str">
        <f>IFERROR(__xludf.DUMMYFUNCTION("IFNA(QUERY(IMPORTRANGE(""https://docs.google.com/spreadsheets/d/1EHL-jm_NiShR1a2JqKbpaJGazYH90DJO150spY6io4k/edit?gid=0#gid=0"", 
""Gen_Ledger!A:N""), 
""SELECT SUM(Col11) WHERE Col7 = ""&amp;B63&amp;"" AND Col1 &gt;= DATE '"" &amp; TEXT($C$2, ""YYYY-MM-DD"") &amp; ""' AND "&amp;"Col1 &lt;= DATE '"" &amp; TEXT($C$3, ""YYYY-MM-DD"") &amp; ""' LABEL SUM(Col11) ''"", 0), """")"),"#REF!")</f>
        <v>#REF!</v>
      </c>
      <c r="F63" s="13" t="str">
        <f t="shared" si="7"/>
        <v>#N/A</v>
      </c>
    </row>
    <row r="64" ht="15.75" customHeight="1">
      <c r="A64" s="3"/>
      <c r="B64" s="3"/>
    </row>
    <row r="65" ht="15.75" customHeight="1">
      <c r="A65" s="3"/>
      <c r="B65" s="3"/>
    </row>
    <row r="66" ht="15.75" customHeight="1">
      <c r="A66" s="3"/>
      <c r="B66" s="3"/>
    </row>
    <row r="67" ht="15.75" customHeight="1">
      <c r="A67" s="3"/>
      <c r="B67" s="3"/>
    </row>
    <row r="68" ht="15.75" customHeight="1">
      <c r="A68" s="3"/>
      <c r="B68" s="3"/>
    </row>
    <row r="69" ht="15.75" customHeight="1">
      <c r="A69" s="3"/>
      <c r="B69" s="3"/>
    </row>
    <row r="70" ht="15.75" customHeight="1">
      <c r="A70" s="3"/>
      <c r="B70" s="3"/>
    </row>
    <row r="71" ht="15.75" customHeight="1">
      <c r="A71" s="3"/>
      <c r="B71" s="3"/>
    </row>
    <row r="72" ht="15.75" customHeight="1">
      <c r="A72" s="3"/>
      <c r="B72" s="3"/>
    </row>
    <row r="73" ht="15.75" customHeight="1">
      <c r="A73" s="3"/>
      <c r="B73" s="3"/>
    </row>
    <row r="74" ht="15.75" customHeight="1">
      <c r="A74" s="3"/>
      <c r="B74" s="3"/>
    </row>
    <row r="75" ht="15.75" customHeight="1">
      <c r="A75" s="3"/>
      <c r="B75" s="3"/>
    </row>
    <row r="76" ht="15.75" customHeight="1">
      <c r="A76" s="3"/>
      <c r="B76" s="3"/>
    </row>
    <row r="77" ht="15.75" customHeight="1">
      <c r="A77" s="3"/>
      <c r="B77" s="3"/>
    </row>
    <row r="78" ht="15.75" customHeight="1">
      <c r="A78" s="3"/>
      <c r="B78" s="3"/>
    </row>
    <row r="79" ht="15.75" customHeight="1">
      <c r="A79" s="3"/>
      <c r="B79" s="3"/>
    </row>
    <row r="80" ht="15.75" customHeight="1">
      <c r="A80" s="3"/>
      <c r="B80" s="3"/>
    </row>
    <row r="81" ht="15.75" customHeight="1">
      <c r="A81" s="3"/>
      <c r="B81" s="3"/>
    </row>
    <row r="82" ht="15.75" customHeight="1">
      <c r="A82" s="3"/>
      <c r="B82" s="3"/>
    </row>
    <row r="83" ht="15.75" customHeight="1">
      <c r="A83" s="3"/>
      <c r="B83" s="3"/>
    </row>
    <row r="84" ht="15.75" customHeight="1">
      <c r="A84" s="3"/>
      <c r="B84" s="3"/>
    </row>
    <row r="85" ht="15.75" customHeight="1">
      <c r="A85" s="3"/>
      <c r="B85" s="3"/>
    </row>
    <row r="86" ht="15.75" customHeight="1">
      <c r="A86" s="3"/>
      <c r="B86" s="3"/>
    </row>
    <row r="87" ht="15.75" customHeight="1">
      <c r="A87" s="3"/>
      <c r="B87" s="3"/>
    </row>
    <row r="88" ht="15.75" customHeight="1">
      <c r="A88" s="3"/>
      <c r="B88" s="3"/>
    </row>
    <row r="89" ht="15.75" customHeight="1">
      <c r="A89" s="3"/>
      <c r="B89" s="3"/>
    </row>
    <row r="90" ht="15.75" customHeight="1">
      <c r="A90" s="3"/>
      <c r="B90" s="3"/>
    </row>
    <row r="91" ht="15.75" customHeight="1">
      <c r="A91" s="3"/>
      <c r="B91" s="3"/>
    </row>
    <row r="92" ht="15.75" customHeight="1">
      <c r="A92" s="3"/>
      <c r="B92" s="3"/>
    </row>
    <row r="93" ht="15.75" customHeight="1">
      <c r="A93" s="3"/>
      <c r="B93" s="3"/>
    </row>
    <row r="94" ht="15.75" customHeight="1">
      <c r="A94" s="3"/>
      <c r="B94" s="3"/>
    </row>
    <row r="95" ht="15.75" customHeight="1">
      <c r="A95" s="3"/>
      <c r="B95" s="3"/>
    </row>
    <row r="96" ht="15.75" customHeight="1">
      <c r="A96" s="3"/>
      <c r="B96" s="3"/>
    </row>
    <row r="97" ht="15.75" customHeight="1">
      <c r="A97" s="3"/>
      <c r="B97" s="3"/>
    </row>
    <row r="98" ht="15.75" customHeight="1">
      <c r="A98" s="3"/>
      <c r="B98" s="3"/>
    </row>
    <row r="99" ht="15.75" customHeight="1">
      <c r="A99" s="3"/>
      <c r="B99" s="3"/>
    </row>
    <row r="100" ht="15.75" customHeight="1">
      <c r="A100" s="3"/>
      <c r="B100" s="3"/>
    </row>
    <row r="101" ht="15.75" customHeight="1">
      <c r="A101" s="3"/>
      <c r="B101" s="3"/>
    </row>
    <row r="102" ht="15.75" customHeight="1">
      <c r="A102" s="3"/>
      <c r="B102" s="3"/>
    </row>
    <row r="103" ht="15.75" customHeight="1">
      <c r="A103" s="3"/>
      <c r="B103" s="3"/>
    </row>
    <row r="104" ht="15.75" customHeight="1">
      <c r="A104" s="3"/>
      <c r="B104" s="3"/>
    </row>
    <row r="105" ht="15.75" customHeight="1">
      <c r="A105" s="3"/>
      <c r="B105" s="3"/>
    </row>
    <row r="106" ht="15.75" customHeight="1">
      <c r="A106" s="3"/>
      <c r="B106" s="3"/>
    </row>
    <row r="107" ht="15.75" customHeight="1">
      <c r="A107" s="3"/>
      <c r="B107" s="3"/>
    </row>
    <row r="108" ht="15.75" customHeight="1">
      <c r="A108" s="3"/>
      <c r="B108" s="3"/>
    </row>
    <row r="109" ht="15.75" customHeight="1">
      <c r="A109" s="3"/>
      <c r="B109" s="3"/>
    </row>
    <row r="110" ht="15.75" customHeight="1">
      <c r="A110" s="3"/>
      <c r="B110" s="3"/>
    </row>
    <row r="111" ht="15.75" customHeight="1">
      <c r="A111" s="3"/>
      <c r="B111" s="3"/>
    </row>
    <row r="112" ht="15.75" customHeight="1">
      <c r="A112" s="3"/>
      <c r="B112" s="3"/>
    </row>
    <row r="113" ht="15.75" customHeight="1">
      <c r="A113" s="3"/>
      <c r="B113" s="3"/>
    </row>
    <row r="114" ht="15.75" customHeight="1">
      <c r="A114" s="3"/>
      <c r="B114" s="3"/>
    </row>
    <row r="115" ht="15.75" customHeight="1">
      <c r="A115" s="3"/>
      <c r="B115" s="3"/>
    </row>
    <row r="116" ht="15.75" customHeight="1">
      <c r="A116" s="3"/>
      <c r="B116" s="3"/>
    </row>
    <row r="117" ht="15.75" customHeight="1">
      <c r="A117" s="3"/>
      <c r="B117" s="3"/>
    </row>
    <row r="118" ht="15.75" customHeight="1">
      <c r="A118" s="3"/>
      <c r="B118" s="3"/>
    </row>
    <row r="119" ht="15.75" customHeight="1">
      <c r="A119" s="3"/>
      <c r="B119" s="3"/>
    </row>
    <row r="120" ht="15.75" customHeight="1">
      <c r="A120" s="3"/>
      <c r="B120" s="3"/>
    </row>
    <row r="121" ht="15.75" customHeight="1">
      <c r="A121" s="3"/>
      <c r="B121" s="3"/>
    </row>
    <row r="122" ht="15.75" customHeight="1">
      <c r="A122" s="3"/>
      <c r="B122" s="3"/>
    </row>
    <row r="123" ht="15.75" customHeight="1">
      <c r="A123" s="3"/>
      <c r="B123" s="3"/>
    </row>
    <row r="124" ht="15.75" customHeight="1">
      <c r="A124" s="3"/>
      <c r="B124" s="3"/>
    </row>
    <row r="125" ht="15.75" customHeight="1">
      <c r="A125" s="3"/>
      <c r="B125" s="3"/>
    </row>
    <row r="126" ht="15.75" customHeight="1">
      <c r="A126" s="3"/>
      <c r="B126" s="3"/>
    </row>
    <row r="127" ht="15.75" customHeight="1">
      <c r="A127" s="3"/>
      <c r="B127" s="3"/>
    </row>
    <row r="128" ht="15.75" customHeight="1">
      <c r="A128" s="3"/>
      <c r="B128" s="3"/>
    </row>
    <row r="129" ht="15.75" customHeight="1">
      <c r="A129" s="3"/>
      <c r="B129" s="3"/>
    </row>
    <row r="130" ht="15.75" customHeight="1">
      <c r="A130" s="3"/>
      <c r="B130" s="3"/>
    </row>
    <row r="131" ht="15.75" customHeight="1">
      <c r="A131" s="3"/>
      <c r="B131" s="3"/>
    </row>
    <row r="132" ht="15.75" customHeight="1">
      <c r="A132" s="3"/>
      <c r="B132" s="3"/>
    </row>
    <row r="133" ht="15.75" customHeight="1">
      <c r="A133" s="3"/>
      <c r="B133" s="3"/>
    </row>
    <row r="134" ht="15.75" customHeight="1">
      <c r="A134" s="3"/>
      <c r="B134" s="3"/>
    </row>
    <row r="135" ht="15.75" customHeight="1">
      <c r="A135" s="3"/>
      <c r="B135" s="3"/>
    </row>
    <row r="136" ht="15.75" customHeight="1">
      <c r="A136" s="3"/>
      <c r="B136" s="3"/>
    </row>
    <row r="137" ht="15.75" customHeight="1">
      <c r="A137" s="3"/>
      <c r="B137" s="3"/>
    </row>
    <row r="138" ht="15.75" customHeight="1">
      <c r="A138" s="3"/>
      <c r="B138" s="3"/>
    </row>
    <row r="139" ht="15.75" customHeight="1">
      <c r="A139" s="3"/>
      <c r="B139" s="3"/>
    </row>
    <row r="140" ht="15.75" customHeight="1">
      <c r="A140" s="3"/>
      <c r="B140" s="3"/>
    </row>
    <row r="141" ht="15.75" customHeight="1">
      <c r="A141" s="3"/>
      <c r="B141" s="3"/>
    </row>
    <row r="142" ht="15.75" customHeight="1">
      <c r="A142" s="3"/>
      <c r="B142" s="3"/>
    </row>
    <row r="143" ht="15.75" customHeight="1">
      <c r="A143" s="3"/>
      <c r="B143" s="3"/>
    </row>
    <row r="144" ht="15.75" customHeight="1">
      <c r="A144" s="3"/>
      <c r="B144" s="3"/>
    </row>
    <row r="145" ht="15.75" customHeight="1">
      <c r="A145" s="3"/>
      <c r="B145" s="3"/>
    </row>
    <row r="146" ht="15.75" customHeight="1">
      <c r="A146" s="3"/>
      <c r="B146" s="3"/>
    </row>
    <row r="147" ht="15.75" customHeight="1">
      <c r="A147" s="3"/>
      <c r="B147" s="3"/>
    </row>
    <row r="148" ht="15.75" customHeight="1">
      <c r="A148" s="3"/>
      <c r="B148" s="3"/>
    </row>
    <row r="149" ht="15.75" customHeight="1">
      <c r="A149" s="3"/>
      <c r="B149" s="3"/>
    </row>
    <row r="150" ht="15.75" customHeight="1">
      <c r="A150" s="3"/>
      <c r="B150" s="3"/>
    </row>
    <row r="151" ht="15.75" customHeight="1">
      <c r="A151" s="3"/>
      <c r="B151" s="3"/>
    </row>
    <row r="152" ht="15.75" customHeight="1">
      <c r="A152" s="3"/>
      <c r="B152" s="3"/>
    </row>
    <row r="153" ht="15.75" customHeight="1">
      <c r="A153" s="3"/>
      <c r="B153" s="3"/>
    </row>
    <row r="154" ht="15.75" customHeight="1">
      <c r="A154" s="3"/>
      <c r="B154" s="3"/>
    </row>
    <row r="155" ht="15.75" customHeight="1">
      <c r="A155" s="3"/>
      <c r="B155" s="3"/>
    </row>
    <row r="156" ht="15.75" customHeight="1">
      <c r="A156" s="3"/>
      <c r="B156" s="3"/>
    </row>
    <row r="157" ht="15.75" customHeight="1">
      <c r="A157" s="3"/>
      <c r="B157" s="3"/>
    </row>
    <row r="158" ht="15.75" customHeight="1">
      <c r="A158" s="3"/>
      <c r="B158" s="3"/>
    </row>
    <row r="159" ht="15.75" customHeight="1">
      <c r="A159" s="3"/>
      <c r="B159" s="3"/>
    </row>
    <row r="160" ht="15.75" customHeight="1">
      <c r="A160" s="3"/>
      <c r="B160" s="3"/>
    </row>
    <row r="161" ht="15.75" customHeight="1">
      <c r="A161" s="3"/>
      <c r="B161" s="3"/>
    </row>
    <row r="162" ht="15.75" customHeight="1">
      <c r="A162" s="3"/>
      <c r="B162" s="3"/>
    </row>
    <row r="163" ht="15.75" customHeight="1">
      <c r="A163" s="3"/>
      <c r="B163" s="3"/>
    </row>
    <row r="164" ht="15.75" customHeight="1">
      <c r="A164" s="3"/>
      <c r="B164" s="3"/>
    </row>
    <row r="165" ht="15.75" customHeight="1">
      <c r="A165" s="3"/>
      <c r="B165" s="3"/>
    </row>
    <row r="166" ht="15.75" customHeight="1">
      <c r="A166" s="3"/>
      <c r="B166" s="3"/>
    </row>
    <row r="167" ht="15.75" customHeight="1">
      <c r="A167" s="3"/>
      <c r="B167" s="3"/>
    </row>
    <row r="168" ht="15.75" customHeight="1">
      <c r="A168" s="3"/>
      <c r="B168" s="3"/>
    </row>
    <row r="169" ht="15.75" customHeight="1">
      <c r="A169" s="3"/>
      <c r="B169" s="3"/>
    </row>
    <row r="170" ht="15.75" customHeight="1">
      <c r="A170" s="3"/>
      <c r="B170" s="3"/>
    </row>
    <row r="171" ht="15.75" customHeight="1">
      <c r="A171" s="3"/>
      <c r="B171" s="3"/>
    </row>
    <row r="172" ht="15.75" customHeight="1">
      <c r="A172" s="3"/>
      <c r="B172" s="3"/>
    </row>
    <row r="173" ht="15.75" customHeight="1">
      <c r="A173" s="3"/>
      <c r="B173" s="3"/>
    </row>
    <row r="174" ht="15.75" customHeight="1">
      <c r="A174" s="3"/>
      <c r="B174" s="3"/>
    </row>
    <row r="175" ht="15.75" customHeight="1">
      <c r="A175" s="3"/>
      <c r="B175" s="3"/>
    </row>
    <row r="176" ht="15.75" customHeight="1">
      <c r="A176" s="3"/>
      <c r="B176" s="3"/>
    </row>
    <row r="177" ht="15.75" customHeight="1">
      <c r="A177" s="3"/>
      <c r="B177" s="3"/>
    </row>
    <row r="178" ht="15.75" customHeight="1">
      <c r="A178" s="3"/>
      <c r="B178" s="3"/>
    </row>
    <row r="179" ht="15.75" customHeight="1">
      <c r="A179" s="3"/>
      <c r="B179" s="3"/>
    </row>
    <row r="180" ht="15.75" customHeight="1">
      <c r="A180" s="3"/>
      <c r="B180" s="3"/>
    </row>
    <row r="181" ht="15.75" customHeight="1">
      <c r="A181" s="3"/>
      <c r="B181" s="3"/>
    </row>
    <row r="182" ht="15.75" customHeight="1">
      <c r="A182" s="3"/>
      <c r="B182" s="3"/>
    </row>
    <row r="183" ht="15.75" customHeight="1">
      <c r="A183" s="3"/>
      <c r="B183" s="3"/>
    </row>
    <row r="184" ht="15.75" customHeight="1">
      <c r="A184" s="3"/>
      <c r="B184" s="3"/>
    </row>
    <row r="185" ht="15.75" customHeight="1">
      <c r="A185" s="3"/>
      <c r="B185" s="3"/>
    </row>
    <row r="186" ht="15.75" customHeight="1">
      <c r="A186" s="3"/>
      <c r="B186" s="3"/>
    </row>
    <row r="187" ht="15.75" customHeight="1">
      <c r="A187" s="3"/>
      <c r="B187" s="3"/>
    </row>
    <row r="188" ht="15.75" customHeight="1">
      <c r="A188" s="3"/>
      <c r="B188" s="3"/>
    </row>
    <row r="189" ht="15.75" customHeight="1">
      <c r="A189" s="3"/>
      <c r="B189" s="3"/>
    </row>
    <row r="190" ht="15.75" customHeight="1">
      <c r="A190" s="3"/>
      <c r="B190" s="3"/>
    </row>
    <row r="191" ht="15.75" customHeight="1">
      <c r="A191" s="3"/>
      <c r="B191" s="3"/>
    </row>
    <row r="192" ht="15.75" customHeight="1">
      <c r="A192" s="3"/>
      <c r="B192" s="3"/>
    </row>
    <row r="193" ht="15.75" customHeight="1">
      <c r="A193" s="3"/>
      <c r="B193" s="3"/>
    </row>
    <row r="194" ht="15.75" customHeight="1">
      <c r="A194" s="3"/>
      <c r="B194" s="3"/>
    </row>
    <row r="195" ht="15.75" customHeight="1">
      <c r="A195" s="3"/>
      <c r="B195" s="3"/>
    </row>
    <row r="196" ht="15.75" customHeight="1">
      <c r="A196" s="3"/>
      <c r="B196" s="3"/>
    </row>
    <row r="197" ht="15.75" customHeight="1">
      <c r="A197" s="3"/>
      <c r="B197" s="3"/>
    </row>
    <row r="198" ht="15.75" customHeight="1">
      <c r="A198" s="3"/>
      <c r="B198" s="3"/>
    </row>
    <row r="199" ht="15.75" customHeight="1">
      <c r="A199" s="3"/>
      <c r="B199" s="3"/>
    </row>
    <row r="200" ht="15.75" customHeight="1">
      <c r="A200" s="3"/>
      <c r="B200" s="3"/>
    </row>
    <row r="201" ht="15.75" customHeight="1">
      <c r="A201" s="3"/>
      <c r="B201" s="3"/>
    </row>
    <row r="202" ht="15.75" customHeight="1">
      <c r="A202" s="3"/>
      <c r="B202" s="3"/>
    </row>
    <row r="203" ht="15.75" customHeight="1">
      <c r="A203" s="3"/>
      <c r="B203" s="3"/>
    </row>
    <row r="204" ht="15.75" customHeight="1">
      <c r="A204" s="3"/>
      <c r="B204" s="3"/>
    </row>
    <row r="205" ht="15.75" customHeight="1">
      <c r="A205" s="3"/>
      <c r="B205" s="3"/>
    </row>
    <row r="206" ht="15.75" customHeight="1">
      <c r="A206" s="3"/>
      <c r="B206" s="3"/>
    </row>
    <row r="207" ht="15.75" customHeight="1">
      <c r="A207" s="3"/>
      <c r="B207" s="3"/>
    </row>
    <row r="208" ht="15.75" customHeight="1">
      <c r="A208" s="3"/>
      <c r="B208" s="3"/>
    </row>
    <row r="209" ht="15.75" customHeight="1">
      <c r="A209" s="3"/>
      <c r="B209" s="3"/>
    </row>
    <row r="210" ht="15.75" customHeight="1">
      <c r="A210" s="3"/>
      <c r="B210" s="3"/>
    </row>
    <row r="211" ht="15.75" customHeight="1">
      <c r="A211" s="3"/>
      <c r="B211" s="3"/>
    </row>
    <row r="212" ht="15.75" customHeight="1">
      <c r="A212" s="3"/>
      <c r="B212" s="3"/>
    </row>
    <row r="213" ht="15.75" customHeight="1">
      <c r="A213" s="3"/>
      <c r="B213" s="3"/>
    </row>
    <row r="214" ht="15.75" customHeight="1">
      <c r="A214" s="3"/>
      <c r="B214" s="3"/>
    </row>
    <row r="215" ht="15.75" customHeight="1">
      <c r="A215" s="3"/>
      <c r="B215" s="3"/>
    </row>
    <row r="216" ht="15.75" customHeight="1">
      <c r="A216" s="3"/>
      <c r="B216" s="3"/>
    </row>
    <row r="217" ht="15.75" customHeight="1">
      <c r="A217" s="3"/>
      <c r="B217" s="3"/>
    </row>
    <row r="218" ht="15.75" customHeight="1">
      <c r="A218" s="3"/>
      <c r="B218" s="3"/>
    </row>
    <row r="219" ht="15.75" customHeight="1">
      <c r="A219" s="3"/>
      <c r="B219" s="3"/>
    </row>
    <row r="220" ht="15.75" customHeight="1">
      <c r="A220" s="3"/>
      <c r="B220" s="3"/>
    </row>
    <row r="221" ht="15.75" customHeight="1">
      <c r="A221" s="3"/>
      <c r="B221" s="3"/>
    </row>
    <row r="222" ht="15.75" customHeight="1">
      <c r="A222" s="3"/>
      <c r="B222" s="3"/>
    </row>
    <row r="223" ht="15.75" customHeight="1">
      <c r="A223" s="3"/>
      <c r="B223" s="3"/>
    </row>
    <row r="224" ht="15.75" customHeight="1">
      <c r="A224" s="3"/>
      <c r="B224" s="3"/>
    </row>
    <row r="225" ht="15.75" customHeight="1">
      <c r="A225" s="3"/>
      <c r="B225" s="3"/>
    </row>
    <row r="226" ht="15.75" customHeight="1">
      <c r="A226" s="3"/>
      <c r="B226" s="3"/>
    </row>
    <row r="227" ht="15.75" customHeight="1">
      <c r="A227" s="3"/>
      <c r="B227" s="3"/>
    </row>
    <row r="228" ht="15.75" customHeight="1">
      <c r="A228" s="3"/>
      <c r="B228" s="3"/>
    </row>
    <row r="229" ht="15.75" customHeight="1">
      <c r="A229" s="3"/>
      <c r="B229" s="3"/>
    </row>
    <row r="230" ht="15.75" customHeight="1">
      <c r="A230" s="3"/>
      <c r="B230" s="3"/>
    </row>
    <row r="231" ht="15.75" customHeight="1">
      <c r="A231" s="3"/>
      <c r="B231" s="3"/>
    </row>
    <row r="232" ht="15.75" customHeight="1">
      <c r="A232" s="3"/>
      <c r="B232" s="3"/>
    </row>
    <row r="233" ht="15.75" customHeight="1">
      <c r="A233" s="3"/>
      <c r="B233" s="3"/>
    </row>
    <row r="234" ht="15.75" customHeight="1">
      <c r="A234" s="3"/>
      <c r="B234" s="3"/>
    </row>
    <row r="235" ht="15.75" customHeight="1">
      <c r="A235" s="3"/>
      <c r="B235" s="3"/>
    </row>
    <row r="236" ht="15.75" customHeight="1">
      <c r="A236" s="3"/>
      <c r="B236" s="3"/>
    </row>
    <row r="237" ht="15.75" customHeight="1">
      <c r="A237" s="3"/>
      <c r="B237" s="3"/>
    </row>
    <row r="238" ht="15.75" customHeight="1">
      <c r="A238" s="3"/>
      <c r="B238" s="3"/>
    </row>
    <row r="239" ht="15.75" customHeight="1">
      <c r="A239" s="3"/>
      <c r="B239" s="3"/>
    </row>
    <row r="240" ht="15.75" customHeight="1">
      <c r="A240" s="3"/>
      <c r="B240" s="3"/>
    </row>
    <row r="241" ht="15.75" customHeight="1">
      <c r="A241" s="3"/>
      <c r="B241" s="3"/>
    </row>
    <row r="242" ht="15.75" customHeight="1">
      <c r="A242" s="3"/>
      <c r="B242" s="3"/>
    </row>
    <row r="243" ht="15.75" customHeight="1">
      <c r="A243" s="3"/>
      <c r="B243" s="3"/>
    </row>
    <row r="244" ht="15.75" customHeight="1">
      <c r="A244" s="3"/>
      <c r="B244" s="3"/>
    </row>
    <row r="245" ht="15.75" customHeight="1">
      <c r="A245" s="3"/>
      <c r="B245" s="3"/>
    </row>
    <row r="246" ht="15.75" customHeight="1">
      <c r="A246" s="3"/>
      <c r="B246" s="3"/>
    </row>
    <row r="247" ht="15.75" customHeight="1">
      <c r="A247" s="3"/>
      <c r="B247" s="3"/>
    </row>
    <row r="248" ht="15.75" customHeight="1">
      <c r="A248" s="3"/>
      <c r="B248" s="3"/>
    </row>
    <row r="249" ht="15.75" customHeight="1">
      <c r="A249" s="3"/>
      <c r="B249" s="3"/>
    </row>
    <row r="250" ht="15.75" customHeight="1">
      <c r="A250" s="3"/>
      <c r="B250" s="3"/>
    </row>
    <row r="251" ht="15.75" customHeight="1">
      <c r="A251" s="3"/>
      <c r="B251" s="3"/>
    </row>
    <row r="252" ht="15.75" customHeight="1">
      <c r="A252" s="3"/>
      <c r="B252" s="3"/>
    </row>
    <row r="253" ht="15.75" customHeight="1">
      <c r="A253" s="3"/>
      <c r="B253" s="3"/>
    </row>
    <row r="254" ht="15.75" customHeight="1">
      <c r="A254" s="3"/>
      <c r="B254" s="3"/>
    </row>
    <row r="255" ht="15.75" customHeight="1">
      <c r="A255" s="3"/>
      <c r="B255" s="3"/>
    </row>
    <row r="256" ht="15.75" customHeight="1">
      <c r="A256" s="3"/>
      <c r="B256" s="3"/>
    </row>
    <row r="257" ht="15.75" customHeight="1">
      <c r="A257" s="3"/>
      <c r="B257" s="3"/>
    </row>
    <row r="258" ht="15.75" customHeight="1">
      <c r="A258" s="3"/>
      <c r="B258" s="3"/>
    </row>
    <row r="259" ht="15.75" customHeight="1">
      <c r="A259" s="3"/>
      <c r="B259" s="3"/>
    </row>
    <row r="260" ht="15.75" customHeight="1">
      <c r="A260" s="3"/>
      <c r="B260" s="3"/>
    </row>
    <row r="261" ht="15.75" customHeight="1">
      <c r="A261" s="3"/>
      <c r="B261" s="3"/>
    </row>
    <row r="262" ht="15.75" customHeight="1">
      <c r="A262" s="3"/>
      <c r="B262" s="3"/>
    </row>
    <row r="263" ht="15.75" customHeight="1">
      <c r="A263" s="3"/>
      <c r="B263" s="3"/>
    </row>
    <row r="264" ht="15.75" customHeight="1">
      <c r="A264" s="14"/>
      <c r="B264" s="14"/>
    </row>
    <row r="265" ht="15.75" customHeight="1">
      <c r="A265" s="14"/>
      <c r="B265" s="14"/>
    </row>
    <row r="266" ht="15.75" customHeight="1">
      <c r="A266" s="14"/>
      <c r="B266" s="14"/>
    </row>
    <row r="267" ht="15.75" customHeight="1">
      <c r="A267" s="14"/>
      <c r="B267" s="14"/>
    </row>
    <row r="268" ht="15.75" customHeight="1">
      <c r="A268" s="14"/>
      <c r="B268" s="14"/>
    </row>
    <row r="269" ht="15.75" customHeight="1">
      <c r="A269" s="14"/>
      <c r="B269" s="14"/>
    </row>
    <row r="270" ht="15.75" customHeight="1">
      <c r="A270" s="14"/>
      <c r="B270" s="14"/>
    </row>
    <row r="271" ht="15.75" customHeight="1">
      <c r="A271" s="14"/>
      <c r="B271" s="14"/>
    </row>
    <row r="272" ht="15.75" customHeight="1">
      <c r="A272" s="14"/>
      <c r="B272" s="14"/>
    </row>
    <row r="273" ht="15.75" customHeight="1">
      <c r="A273" s="14"/>
      <c r="B273" s="14"/>
    </row>
    <row r="274" ht="15.75" customHeight="1">
      <c r="A274" s="14"/>
      <c r="B274" s="14"/>
    </row>
    <row r="275" ht="15.75" customHeight="1">
      <c r="A275" s="14"/>
      <c r="B275" s="14"/>
    </row>
    <row r="276" ht="15.75" customHeight="1">
      <c r="A276" s="14"/>
      <c r="B276" s="14"/>
    </row>
    <row r="277" ht="15.75" customHeight="1">
      <c r="A277" s="14"/>
      <c r="B277" s="14"/>
    </row>
    <row r="278" ht="15.75" customHeight="1">
      <c r="A278" s="14"/>
      <c r="B278" s="14"/>
    </row>
    <row r="279" ht="15.75" customHeight="1">
      <c r="A279" s="14"/>
      <c r="B279" s="14"/>
    </row>
    <row r="280" ht="15.75" customHeight="1">
      <c r="A280" s="14"/>
      <c r="B280" s="14"/>
    </row>
    <row r="281" ht="15.75" customHeight="1">
      <c r="A281" s="14"/>
      <c r="B281" s="14"/>
    </row>
    <row r="282" ht="15.75" customHeight="1">
      <c r="A282" s="14"/>
      <c r="B282" s="14"/>
    </row>
    <row r="283" ht="15.75" customHeight="1">
      <c r="A283" s="14"/>
      <c r="B283" s="14"/>
    </row>
    <row r="284" ht="15.75" customHeight="1">
      <c r="A284" s="14"/>
      <c r="B284" s="14"/>
    </row>
    <row r="285" ht="15.75" customHeight="1">
      <c r="A285" s="14"/>
      <c r="B285" s="14"/>
    </row>
    <row r="286" ht="15.75" customHeight="1">
      <c r="A286" s="14"/>
      <c r="B286" s="14"/>
    </row>
    <row r="287" ht="15.75" customHeight="1">
      <c r="A287" s="14"/>
      <c r="B287" s="14"/>
    </row>
    <row r="288" ht="15.75" customHeight="1">
      <c r="A288" s="14"/>
      <c r="B288" s="14"/>
    </row>
    <row r="289" ht="15.75" customHeight="1">
      <c r="A289" s="14"/>
      <c r="B289" s="14"/>
    </row>
    <row r="290" ht="15.75" customHeight="1">
      <c r="A290" s="14"/>
      <c r="B290" s="14"/>
    </row>
    <row r="291" ht="15.75" customHeight="1">
      <c r="A291" s="14"/>
      <c r="B291" s="14"/>
    </row>
    <row r="292" ht="15.75" customHeight="1">
      <c r="A292" s="14"/>
      <c r="B292" s="14"/>
    </row>
    <row r="293" ht="15.75" customHeight="1">
      <c r="A293" s="14"/>
      <c r="B293" s="14"/>
    </row>
    <row r="294" ht="15.75" customHeight="1">
      <c r="A294" s="14"/>
      <c r="B294" s="14"/>
    </row>
    <row r="295" ht="15.75" customHeight="1">
      <c r="A295" s="14"/>
      <c r="B295" s="14"/>
    </row>
    <row r="296" ht="15.75" customHeight="1">
      <c r="A296" s="14"/>
      <c r="B296" s="14"/>
    </row>
    <row r="297" ht="15.75" customHeight="1">
      <c r="A297" s="14"/>
      <c r="B297" s="14"/>
    </row>
    <row r="298" ht="15.75" customHeight="1">
      <c r="A298" s="14"/>
      <c r="B298" s="14"/>
    </row>
    <row r="299" ht="15.75" customHeight="1">
      <c r="A299" s="14"/>
      <c r="B299" s="14"/>
    </row>
    <row r="300" ht="15.75" customHeight="1">
      <c r="A300" s="14"/>
      <c r="B300" s="14"/>
    </row>
    <row r="301" ht="15.75" customHeight="1">
      <c r="A301" s="14"/>
      <c r="B301" s="14"/>
    </row>
    <row r="302" ht="15.75" customHeight="1">
      <c r="A302" s="14"/>
      <c r="B302" s="14"/>
    </row>
    <row r="303" ht="15.75" customHeight="1">
      <c r="A303" s="14"/>
      <c r="B303" s="14"/>
    </row>
    <row r="304" ht="15.75" customHeight="1">
      <c r="A304" s="14"/>
      <c r="B304" s="14"/>
    </row>
    <row r="305" ht="15.75" customHeight="1">
      <c r="A305" s="14"/>
      <c r="B305" s="14"/>
    </row>
    <row r="306" ht="15.75" customHeight="1">
      <c r="A306" s="14"/>
      <c r="B306" s="14"/>
    </row>
    <row r="307" ht="15.75" customHeight="1">
      <c r="A307" s="14"/>
      <c r="B307" s="14"/>
    </row>
    <row r="308" ht="15.75" customHeight="1">
      <c r="A308" s="14"/>
      <c r="B308" s="14"/>
    </row>
    <row r="309" ht="15.75" customHeight="1">
      <c r="A309" s="14"/>
      <c r="B309" s="14"/>
    </row>
    <row r="310" ht="15.75" customHeight="1">
      <c r="A310" s="14"/>
      <c r="B310" s="14"/>
    </row>
    <row r="311" ht="15.75" customHeight="1">
      <c r="A311" s="14"/>
      <c r="B311" s="14"/>
    </row>
    <row r="312" ht="15.75" customHeight="1">
      <c r="A312" s="14"/>
      <c r="B312" s="14"/>
    </row>
    <row r="313" ht="15.75" customHeight="1">
      <c r="A313" s="14"/>
      <c r="B313" s="14"/>
    </row>
    <row r="314" ht="15.75" customHeight="1">
      <c r="A314" s="14"/>
      <c r="B314" s="14"/>
    </row>
    <row r="315" ht="15.75" customHeight="1">
      <c r="A315" s="14"/>
      <c r="B315" s="14"/>
    </row>
    <row r="316" ht="15.75" customHeight="1">
      <c r="A316" s="14"/>
      <c r="B316" s="14"/>
    </row>
    <row r="317" ht="15.75" customHeight="1">
      <c r="A317" s="14"/>
      <c r="B317" s="14"/>
    </row>
    <row r="318" ht="15.75" customHeight="1">
      <c r="A318" s="14"/>
      <c r="B318" s="14"/>
    </row>
    <row r="319" ht="15.75" customHeight="1">
      <c r="A319" s="14"/>
      <c r="B319" s="14"/>
    </row>
    <row r="320" ht="15.75" customHeight="1">
      <c r="A320" s="14"/>
      <c r="B320" s="14"/>
    </row>
    <row r="321" ht="15.75" customHeight="1">
      <c r="A321" s="14"/>
      <c r="B321" s="14"/>
    </row>
    <row r="322" ht="15.75" customHeight="1">
      <c r="A322" s="14"/>
      <c r="B322" s="14"/>
    </row>
    <row r="323" ht="15.75" customHeight="1">
      <c r="A323" s="14"/>
      <c r="B323" s="14"/>
    </row>
    <row r="324" ht="15.75" customHeight="1">
      <c r="A324" s="14"/>
      <c r="B324" s="14"/>
    </row>
    <row r="325" ht="15.75" customHeight="1">
      <c r="A325" s="14"/>
      <c r="B325" s="14"/>
    </row>
    <row r="326" ht="15.75" customHeight="1">
      <c r="A326" s="14"/>
      <c r="B326" s="14"/>
    </row>
    <row r="327" ht="15.75" customHeight="1">
      <c r="A327" s="14"/>
      <c r="B327" s="14"/>
    </row>
    <row r="328" ht="15.75" customHeight="1">
      <c r="A328" s="14"/>
      <c r="B328" s="14"/>
    </row>
    <row r="329" ht="15.75" customHeight="1">
      <c r="A329" s="14"/>
      <c r="B329" s="14"/>
    </row>
    <row r="330" ht="15.75" customHeight="1">
      <c r="A330" s="14"/>
      <c r="B330" s="14"/>
    </row>
    <row r="331" ht="15.75" customHeight="1">
      <c r="A331" s="14"/>
      <c r="B331" s="14"/>
    </row>
    <row r="332" ht="15.75" customHeight="1">
      <c r="A332" s="14"/>
      <c r="B332" s="14"/>
    </row>
    <row r="333" ht="15.75" customHeight="1">
      <c r="A333" s="14"/>
      <c r="B333" s="14"/>
    </row>
    <row r="334" ht="15.75" customHeight="1">
      <c r="A334" s="14"/>
      <c r="B334" s="14"/>
    </row>
    <row r="335" ht="15.75" customHeight="1">
      <c r="A335" s="14"/>
      <c r="B335" s="14"/>
    </row>
    <row r="336" ht="15.75" customHeight="1">
      <c r="A336" s="14"/>
      <c r="B336" s="14"/>
    </row>
    <row r="337" ht="15.75" customHeight="1">
      <c r="A337" s="14"/>
      <c r="B337" s="14"/>
    </row>
    <row r="338" ht="15.75" customHeight="1">
      <c r="A338" s="14"/>
      <c r="B338" s="14"/>
    </row>
    <row r="339" ht="15.75" customHeight="1">
      <c r="A339" s="14"/>
      <c r="B339" s="14"/>
    </row>
    <row r="340" ht="15.75" customHeight="1">
      <c r="A340" s="14"/>
      <c r="B340" s="14"/>
    </row>
    <row r="341" ht="15.75" customHeight="1">
      <c r="A341" s="14"/>
      <c r="B341" s="14"/>
    </row>
    <row r="342" ht="15.75" customHeight="1">
      <c r="A342" s="14"/>
      <c r="B342" s="14"/>
    </row>
    <row r="343" ht="15.75" customHeight="1">
      <c r="A343" s="14"/>
      <c r="B343" s="14"/>
    </row>
    <row r="344" ht="15.75" customHeight="1">
      <c r="A344" s="14"/>
      <c r="B344" s="14"/>
    </row>
    <row r="345" ht="15.75" customHeight="1">
      <c r="A345" s="14"/>
      <c r="B345" s="14"/>
    </row>
    <row r="346" ht="15.75" customHeight="1">
      <c r="A346" s="14"/>
      <c r="B346" s="14"/>
    </row>
    <row r="347" ht="15.75" customHeight="1">
      <c r="A347" s="14"/>
      <c r="B347" s="14"/>
    </row>
    <row r="348" ht="15.75" customHeight="1">
      <c r="A348" s="14"/>
      <c r="B348" s="14"/>
    </row>
    <row r="349" ht="15.75" customHeight="1">
      <c r="A349" s="14"/>
      <c r="B349" s="14"/>
    </row>
    <row r="350" ht="15.75" customHeight="1">
      <c r="A350" s="14"/>
      <c r="B350" s="14"/>
    </row>
    <row r="351" ht="15.75" customHeight="1">
      <c r="A351" s="14"/>
      <c r="B351" s="14"/>
    </row>
    <row r="352" ht="15.75" customHeight="1">
      <c r="A352" s="14"/>
      <c r="B352" s="14"/>
    </row>
    <row r="353" ht="15.75" customHeight="1">
      <c r="A353" s="14"/>
      <c r="B353" s="14"/>
    </row>
    <row r="354" ht="15.75" customHeight="1">
      <c r="A354" s="14"/>
      <c r="B354" s="14"/>
    </row>
    <row r="355" ht="15.75" customHeight="1">
      <c r="A355" s="14"/>
      <c r="B355" s="14"/>
    </row>
    <row r="356" ht="15.75" customHeight="1">
      <c r="A356" s="14"/>
      <c r="B356" s="14"/>
    </row>
    <row r="357" ht="15.75" customHeight="1">
      <c r="A357" s="14"/>
      <c r="B357" s="14"/>
    </row>
    <row r="358" ht="15.75" customHeight="1">
      <c r="A358" s="14"/>
      <c r="B358" s="14"/>
    </row>
    <row r="359" ht="15.75" customHeight="1">
      <c r="A359" s="14"/>
      <c r="B359" s="14"/>
    </row>
    <row r="360" ht="15.75" customHeight="1">
      <c r="A360" s="14"/>
      <c r="B360" s="14"/>
    </row>
    <row r="361" ht="15.75" customHeight="1">
      <c r="A361" s="14"/>
      <c r="B361" s="14"/>
    </row>
    <row r="362" ht="15.75" customHeight="1">
      <c r="A362" s="14"/>
      <c r="B362" s="14"/>
    </row>
    <row r="363" ht="15.75" customHeight="1">
      <c r="A363" s="14"/>
      <c r="B363" s="14"/>
    </row>
    <row r="364" ht="15.75" customHeight="1">
      <c r="A364" s="14"/>
      <c r="B364" s="14"/>
    </row>
    <row r="365" ht="15.75" customHeight="1">
      <c r="A365" s="14"/>
      <c r="B365" s="14"/>
    </row>
    <row r="366" ht="15.75" customHeight="1">
      <c r="A366" s="14"/>
      <c r="B366" s="14"/>
    </row>
    <row r="367" ht="15.75" customHeight="1">
      <c r="A367" s="14"/>
      <c r="B367" s="14"/>
    </row>
    <row r="368" ht="15.75" customHeight="1">
      <c r="A368" s="14"/>
      <c r="B368" s="14"/>
    </row>
    <row r="369" ht="15.75" customHeight="1">
      <c r="A369" s="14"/>
      <c r="B369" s="14"/>
    </row>
    <row r="370" ht="15.75" customHeight="1">
      <c r="A370" s="14"/>
      <c r="B370" s="14"/>
    </row>
    <row r="371" ht="15.75" customHeight="1">
      <c r="A371" s="14"/>
      <c r="B371" s="14"/>
    </row>
    <row r="372" ht="15.75" customHeight="1">
      <c r="A372" s="14"/>
      <c r="B372" s="14"/>
    </row>
    <row r="373" ht="15.75" customHeight="1">
      <c r="A373" s="14"/>
      <c r="B373" s="14"/>
    </row>
    <row r="374" ht="15.75" customHeight="1">
      <c r="A374" s="14"/>
      <c r="B374" s="14"/>
    </row>
    <row r="375" ht="15.75" customHeight="1">
      <c r="A375" s="14"/>
      <c r="B375" s="14"/>
    </row>
    <row r="376" ht="15.75" customHeight="1">
      <c r="A376" s="14"/>
      <c r="B376" s="14"/>
    </row>
    <row r="377" ht="15.75" customHeight="1">
      <c r="A377" s="14"/>
      <c r="B377" s="14"/>
    </row>
    <row r="378" ht="15.75" customHeight="1">
      <c r="A378" s="14"/>
      <c r="B378" s="14"/>
    </row>
    <row r="379" ht="15.75" customHeight="1">
      <c r="A379" s="14"/>
      <c r="B379" s="14"/>
    </row>
    <row r="380" ht="15.75" customHeight="1">
      <c r="A380" s="14"/>
      <c r="B380" s="14"/>
    </row>
    <row r="381" ht="15.75" customHeight="1">
      <c r="A381" s="14"/>
      <c r="B381" s="14"/>
    </row>
    <row r="382" ht="15.75" customHeight="1">
      <c r="A382" s="14"/>
      <c r="B382" s="14"/>
    </row>
    <row r="383" ht="15.75" customHeight="1">
      <c r="A383" s="14"/>
      <c r="B383" s="14"/>
    </row>
    <row r="384" ht="15.75" customHeight="1">
      <c r="A384" s="14"/>
      <c r="B384" s="14"/>
    </row>
    <row r="385" ht="15.75" customHeight="1">
      <c r="A385" s="14"/>
      <c r="B385" s="14"/>
    </row>
    <row r="386" ht="15.75" customHeight="1">
      <c r="A386" s="14"/>
      <c r="B386" s="14"/>
    </row>
    <row r="387" ht="15.75" customHeight="1">
      <c r="A387" s="14"/>
      <c r="B387" s="14"/>
    </row>
    <row r="388" ht="15.75" customHeight="1">
      <c r="A388" s="14"/>
      <c r="B388" s="14"/>
    </row>
    <row r="389" ht="15.75" customHeight="1">
      <c r="A389" s="14"/>
      <c r="B389" s="14"/>
    </row>
    <row r="390" ht="15.75" customHeight="1">
      <c r="A390" s="14"/>
      <c r="B390" s="14"/>
    </row>
    <row r="391" ht="15.75" customHeight="1">
      <c r="A391" s="14"/>
      <c r="B391" s="14"/>
    </row>
    <row r="392" ht="15.75" customHeight="1">
      <c r="A392" s="14"/>
      <c r="B392" s="14"/>
    </row>
    <row r="393" ht="15.75" customHeight="1">
      <c r="A393" s="14"/>
      <c r="B393" s="14"/>
    </row>
    <row r="394" ht="15.75" customHeight="1">
      <c r="A394" s="14"/>
      <c r="B394" s="14"/>
    </row>
    <row r="395" ht="15.75" customHeight="1">
      <c r="A395" s="14"/>
      <c r="B395" s="14"/>
    </row>
    <row r="396" ht="15.75" customHeight="1">
      <c r="A396" s="14"/>
      <c r="B396" s="14"/>
    </row>
    <row r="397" ht="15.75" customHeight="1">
      <c r="A397" s="14"/>
      <c r="B397" s="14"/>
    </row>
    <row r="398" ht="15.75" customHeight="1">
      <c r="A398" s="14"/>
      <c r="B398" s="14"/>
    </row>
    <row r="399" ht="15.75" customHeight="1">
      <c r="A399" s="14"/>
      <c r="B399" s="14"/>
    </row>
    <row r="400" ht="15.75" customHeight="1">
      <c r="A400" s="14"/>
      <c r="B400" s="14"/>
    </row>
    <row r="401" ht="15.75" customHeight="1">
      <c r="A401" s="14"/>
      <c r="B401" s="14"/>
    </row>
    <row r="402" ht="15.75" customHeight="1">
      <c r="A402" s="14"/>
      <c r="B402" s="14"/>
    </row>
    <row r="403" ht="15.75" customHeight="1">
      <c r="A403" s="14"/>
      <c r="B403" s="14"/>
    </row>
    <row r="404" ht="15.75" customHeight="1">
      <c r="A404" s="14"/>
      <c r="B404" s="14"/>
    </row>
    <row r="405" ht="15.75" customHeight="1">
      <c r="A405" s="14"/>
      <c r="B405" s="14"/>
    </row>
    <row r="406" ht="15.75" customHeight="1">
      <c r="A406" s="14"/>
      <c r="B406" s="14"/>
    </row>
    <row r="407" ht="15.75" customHeight="1">
      <c r="A407" s="14"/>
      <c r="B407" s="14"/>
    </row>
    <row r="408" ht="15.75" customHeight="1">
      <c r="A408" s="14"/>
      <c r="B408" s="14"/>
    </row>
    <row r="409" ht="15.75" customHeight="1">
      <c r="A409" s="14"/>
      <c r="B409" s="14"/>
    </row>
    <row r="410" ht="15.75" customHeight="1">
      <c r="A410" s="14"/>
      <c r="B410" s="14"/>
    </row>
    <row r="411" ht="15.75" customHeight="1">
      <c r="A411" s="14"/>
      <c r="B411" s="14"/>
    </row>
    <row r="412" ht="15.75" customHeight="1">
      <c r="A412" s="14"/>
      <c r="B412" s="14"/>
    </row>
    <row r="413" ht="15.75" customHeight="1">
      <c r="A413" s="14"/>
      <c r="B413" s="14"/>
    </row>
    <row r="414" ht="15.75" customHeight="1">
      <c r="A414" s="14"/>
      <c r="B414" s="14"/>
    </row>
    <row r="415" ht="15.75" customHeight="1">
      <c r="A415" s="14"/>
      <c r="B415" s="14"/>
    </row>
    <row r="416" ht="15.75" customHeight="1">
      <c r="A416" s="14"/>
      <c r="B416" s="14"/>
    </row>
    <row r="417" ht="15.75" customHeight="1">
      <c r="A417" s="14"/>
      <c r="B417" s="14"/>
    </row>
    <row r="418" ht="15.75" customHeight="1">
      <c r="A418" s="14"/>
      <c r="B418" s="14"/>
    </row>
    <row r="419" ht="15.75" customHeight="1">
      <c r="A419" s="14"/>
      <c r="B419" s="14"/>
    </row>
    <row r="420" ht="15.75" customHeight="1">
      <c r="A420" s="14"/>
      <c r="B420" s="14"/>
    </row>
    <row r="421" ht="15.75" customHeight="1">
      <c r="A421" s="14"/>
      <c r="B421" s="14"/>
    </row>
    <row r="422" ht="15.75" customHeight="1">
      <c r="A422" s="14"/>
      <c r="B422" s="14"/>
    </row>
    <row r="423" ht="15.75" customHeight="1">
      <c r="A423" s="14"/>
      <c r="B423" s="14"/>
    </row>
    <row r="424" ht="15.75" customHeight="1">
      <c r="A424" s="14"/>
      <c r="B424" s="14"/>
    </row>
    <row r="425" ht="15.75" customHeight="1">
      <c r="A425" s="14"/>
      <c r="B425" s="14"/>
    </row>
    <row r="426" ht="15.75" customHeight="1">
      <c r="A426" s="14"/>
      <c r="B426" s="14"/>
    </row>
    <row r="427" ht="15.75" customHeight="1">
      <c r="A427" s="14"/>
      <c r="B427" s="14"/>
    </row>
    <row r="428" ht="15.75" customHeight="1">
      <c r="A428" s="14"/>
      <c r="B428" s="14"/>
    </row>
    <row r="429" ht="15.75" customHeight="1">
      <c r="A429" s="14"/>
      <c r="B429" s="14"/>
    </row>
    <row r="430" ht="15.75" customHeight="1">
      <c r="A430" s="14"/>
      <c r="B430" s="14"/>
    </row>
    <row r="431" ht="15.75" customHeight="1">
      <c r="A431" s="14"/>
      <c r="B431" s="14"/>
    </row>
    <row r="432" ht="15.75" customHeight="1">
      <c r="A432" s="14"/>
      <c r="B432" s="14"/>
    </row>
    <row r="433" ht="15.75" customHeight="1">
      <c r="A433" s="14"/>
      <c r="B433" s="14"/>
    </row>
    <row r="434" ht="15.75" customHeight="1">
      <c r="A434" s="14"/>
      <c r="B434" s="14"/>
    </row>
    <row r="435" ht="15.75" customHeight="1">
      <c r="A435" s="14"/>
      <c r="B435" s="14"/>
    </row>
    <row r="436" ht="15.75" customHeight="1">
      <c r="A436" s="14"/>
      <c r="B436" s="14"/>
    </row>
    <row r="437" ht="15.75" customHeight="1">
      <c r="A437" s="14"/>
      <c r="B437" s="14"/>
    </row>
    <row r="438" ht="15.75" customHeight="1">
      <c r="A438" s="14"/>
      <c r="B438" s="14"/>
    </row>
    <row r="439" ht="15.75" customHeight="1">
      <c r="A439" s="14"/>
      <c r="B439" s="14"/>
    </row>
    <row r="440" ht="15.75" customHeight="1">
      <c r="A440" s="14"/>
      <c r="B440" s="14"/>
    </row>
    <row r="441" ht="15.75" customHeight="1">
      <c r="A441" s="14"/>
      <c r="B441" s="14"/>
    </row>
    <row r="442" ht="15.75" customHeight="1">
      <c r="A442" s="14"/>
      <c r="B442" s="14"/>
    </row>
    <row r="443" ht="15.75" customHeight="1">
      <c r="A443" s="14"/>
      <c r="B443" s="14"/>
    </row>
    <row r="444" ht="15.75" customHeight="1">
      <c r="A444" s="14"/>
      <c r="B444" s="14"/>
    </row>
    <row r="445" ht="15.75" customHeight="1">
      <c r="A445" s="14"/>
      <c r="B445" s="14"/>
    </row>
    <row r="446" ht="15.75" customHeight="1">
      <c r="A446" s="14"/>
      <c r="B446" s="14"/>
    </row>
    <row r="447" ht="15.75" customHeight="1">
      <c r="A447" s="14"/>
      <c r="B447" s="14"/>
    </row>
    <row r="448" ht="15.75" customHeight="1">
      <c r="A448" s="14"/>
      <c r="B448" s="14"/>
    </row>
    <row r="449" ht="15.75" customHeight="1">
      <c r="A449" s="14"/>
      <c r="B449" s="14"/>
    </row>
    <row r="450" ht="15.75" customHeight="1">
      <c r="A450" s="14"/>
      <c r="B450" s="14"/>
    </row>
    <row r="451" ht="15.75" customHeight="1">
      <c r="A451" s="14"/>
      <c r="B451" s="14"/>
    </row>
    <row r="452" ht="15.75" customHeight="1">
      <c r="A452" s="14"/>
      <c r="B452" s="14"/>
    </row>
    <row r="453" ht="15.75" customHeight="1">
      <c r="A453" s="14"/>
      <c r="B453" s="14"/>
    </row>
    <row r="454" ht="15.75" customHeight="1">
      <c r="A454" s="14"/>
      <c r="B454" s="14"/>
    </row>
    <row r="455" ht="15.75" customHeight="1">
      <c r="A455" s="14"/>
      <c r="B455" s="14"/>
    </row>
    <row r="456" ht="15.75" customHeight="1">
      <c r="A456" s="14"/>
      <c r="B456" s="14"/>
    </row>
    <row r="457" ht="15.75" customHeight="1">
      <c r="A457" s="14"/>
      <c r="B457" s="14"/>
    </row>
    <row r="458" ht="15.75" customHeight="1">
      <c r="A458" s="14"/>
      <c r="B458" s="14"/>
    </row>
    <row r="459" ht="15.75" customHeight="1">
      <c r="A459" s="14"/>
      <c r="B459" s="14"/>
    </row>
    <row r="460" ht="15.75" customHeight="1">
      <c r="A460" s="14"/>
      <c r="B460" s="14"/>
    </row>
    <row r="461" ht="15.75" customHeight="1">
      <c r="A461" s="14"/>
      <c r="B461" s="14"/>
    </row>
    <row r="462" ht="15.75" customHeight="1">
      <c r="A462" s="14"/>
      <c r="B462" s="14"/>
    </row>
    <row r="463" ht="15.75" customHeight="1">
      <c r="A463" s="14"/>
      <c r="B463" s="14"/>
    </row>
    <row r="464" ht="15.75" customHeight="1">
      <c r="A464" s="14"/>
      <c r="B464" s="14"/>
    </row>
    <row r="465" ht="15.75" customHeight="1">
      <c r="A465" s="14"/>
      <c r="B465" s="14"/>
    </row>
    <row r="466" ht="15.75" customHeight="1">
      <c r="A466" s="14"/>
      <c r="B466" s="14"/>
    </row>
    <row r="467" ht="15.75" customHeight="1">
      <c r="A467" s="14"/>
      <c r="B467" s="14"/>
    </row>
    <row r="468" ht="15.75" customHeight="1">
      <c r="A468" s="14"/>
      <c r="B468" s="14"/>
    </row>
    <row r="469" ht="15.75" customHeight="1">
      <c r="A469" s="14"/>
      <c r="B469" s="14"/>
    </row>
    <row r="470" ht="15.75" customHeight="1">
      <c r="A470" s="14"/>
      <c r="B470" s="14"/>
    </row>
    <row r="471" ht="15.75" customHeight="1">
      <c r="A471" s="14"/>
      <c r="B471" s="14"/>
    </row>
    <row r="472" ht="15.75" customHeight="1">
      <c r="A472" s="14"/>
      <c r="B472" s="14"/>
    </row>
    <row r="473" ht="15.75" customHeight="1">
      <c r="A473" s="14"/>
      <c r="B473" s="14"/>
    </row>
    <row r="474" ht="15.75" customHeight="1">
      <c r="A474" s="14"/>
      <c r="B474" s="14"/>
    </row>
    <row r="475" ht="15.75" customHeight="1">
      <c r="A475" s="14"/>
      <c r="B475" s="14"/>
    </row>
    <row r="476" ht="15.75" customHeight="1">
      <c r="A476" s="14"/>
      <c r="B476" s="14"/>
    </row>
    <row r="477" ht="15.75" customHeight="1">
      <c r="A477" s="14"/>
      <c r="B477" s="14"/>
    </row>
    <row r="478" ht="15.75" customHeight="1">
      <c r="A478" s="14"/>
      <c r="B478" s="14"/>
    </row>
    <row r="479" ht="15.75" customHeight="1">
      <c r="A479" s="14"/>
      <c r="B479" s="14"/>
    </row>
    <row r="480" ht="15.75" customHeight="1">
      <c r="A480" s="14"/>
      <c r="B480" s="14"/>
    </row>
    <row r="481" ht="15.75" customHeight="1">
      <c r="A481" s="14"/>
      <c r="B481" s="14"/>
    </row>
    <row r="482" ht="15.75" customHeight="1">
      <c r="A482" s="14"/>
      <c r="B482" s="14"/>
    </row>
    <row r="483" ht="15.75" customHeight="1">
      <c r="A483" s="14"/>
      <c r="B483" s="14"/>
    </row>
    <row r="484" ht="15.75" customHeight="1">
      <c r="A484" s="14"/>
      <c r="B484" s="14"/>
    </row>
    <row r="485" ht="15.75" customHeight="1">
      <c r="A485" s="14"/>
      <c r="B485" s="14"/>
    </row>
    <row r="486" ht="15.75" customHeight="1">
      <c r="A486" s="14"/>
      <c r="B486" s="14"/>
    </row>
    <row r="487" ht="15.75" customHeight="1">
      <c r="A487" s="14"/>
      <c r="B487" s="14"/>
    </row>
    <row r="488" ht="15.75" customHeight="1">
      <c r="A488" s="14"/>
      <c r="B488" s="14"/>
    </row>
    <row r="489" ht="15.75" customHeight="1">
      <c r="A489" s="14"/>
      <c r="B489" s="14"/>
    </row>
    <row r="490" ht="15.75" customHeight="1">
      <c r="A490" s="14"/>
      <c r="B490" s="14"/>
    </row>
    <row r="491" ht="15.75" customHeight="1">
      <c r="A491" s="14"/>
      <c r="B491" s="14"/>
    </row>
    <row r="492" ht="15.75" customHeight="1">
      <c r="A492" s="14"/>
      <c r="B492" s="14"/>
    </row>
    <row r="493" ht="15.75" customHeight="1">
      <c r="A493" s="14"/>
      <c r="B493" s="14"/>
    </row>
    <row r="494" ht="15.75" customHeight="1">
      <c r="A494" s="14"/>
      <c r="B494" s="14"/>
    </row>
    <row r="495" ht="15.75" customHeight="1">
      <c r="A495" s="14"/>
      <c r="B495" s="14"/>
    </row>
    <row r="496" ht="15.75" customHeight="1">
      <c r="A496" s="14"/>
      <c r="B496" s="14"/>
    </row>
    <row r="497" ht="15.75" customHeight="1">
      <c r="A497" s="14"/>
      <c r="B497" s="14"/>
    </row>
    <row r="498" ht="15.75" customHeight="1">
      <c r="A498" s="14"/>
      <c r="B498" s="14"/>
    </row>
    <row r="499" ht="15.75" customHeight="1">
      <c r="A499" s="14"/>
      <c r="B499" s="14"/>
    </row>
    <row r="500" ht="15.75" customHeight="1">
      <c r="A500" s="14"/>
      <c r="B500" s="14"/>
    </row>
    <row r="501" ht="15.75" customHeight="1">
      <c r="A501" s="14"/>
      <c r="B501" s="14"/>
    </row>
    <row r="502" ht="15.75" customHeight="1">
      <c r="A502" s="14"/>
      <c r="B502" s="14"/>
    </row>
    <row r="503" ht="15.75" customHeight="1">
      <c r="A503" s="14"/>
      <c r="B503" s="14"/>
    </row>
    <row r="504" ht="15.75" customHeight="1">
      <c r="A504" s="14"/>
      <c r="B504" s="14"/>
    </row>
    <row r="505" ht="15.75" customHeight="1">
      <c r="A505" s="14"/>
      <c r="B505" s="14"/>
    </row>
    <row r="506" ht="15.75" customHeight="1">
      <c r="A506" s="14"/>
      <c r="B506" s="14"/>
    </row>
    <row r="507" ht="15.75" customHeight="1">
      <c r="A507" s="14"/>
      <c r="B507" s="14"/>
    </row>
    <row r="508" ht="15.75" customHeight="1">
      <c r="A508" s="14"/>
      <c r="B508" s="14"/>
    </row>
    <row r="509" ht="15.75" customHeight="1">
      <c r="A509" s="14"/>
      <c r="B509" s="14"/>
    </row>
    <row r="510" ht="15.75" customHeight="1">
      <c r="A510" s="14"/>
      <c r="B510" s="14"/>
    </row>
    <row r="511" ht="15.75" customHeight="1">
      <c r="A511" s="14"/>
      <c r="B511" s="14"/>
    </row>
    <row r="512" ht="15.75" customHeight="1">
      <c r="A512" s="14"/>
      <c r="B512" s="14"/>
    </row>
    <row r="513" ht="15.75" customHeight="1">
      <c r="A513" s="14"/>
      <c r="B513" s="14"/>
    </row>
    <row r="514" ht="15.75" customHeight="1">
      <c r="A514" s="14"/>
      <c r="B514" s="14"/>
    </row>
    <row r="515" ht="15.75" customHeight="1">
      <c r="A515" s="14"/>
      <c r="B515" s="14"/>
    </row>
    <row r="516" ht="15.75" customHeight="1">
      <c r="A516" s="14"/>
      <c r="B516" s="14"/>
    </row>
    <row r="517" ht="15.75" customHeight="1">
      <c r="A517" s="14"/>
      <c r="B517" s="14"/>
    </row>
    <row r="518" ht="15.75" customHeight="1">
      <c r="A518" s="14"/>
      <c r="B518" s="14"/>
    </row>
    <row r="519" ht="15.75" customHeight="1">
      <c r="A519" s="14"/>
      <c r="B519" s="14"/>
    </row>
    <row r="520" ht="15.75" customHeight="1">
      <c r="A520" s="14"/>
      <c r="B520" s="14"/>
    </row>
    <row r="521" ht="15.75" customHeight="1">
      <c r="A521" s="14"/>
      <c r="B521" s="14"/>
    </row>
    <row r="522" ht="15.75" customHeight="1">
      <c r="A522" s="14"/>
      <c r="B522" s="14"/>
    </row>
    <row r="523" ht="15.75" customHeight="1">
      <c r="A523" s="14"/>
      <c r="B523" s="14"/>
    </row>
    <row r="524" ht="15.75" customHeight="1">
      <c r="A524" s="14"/>
      <c r="B524" s="14"/>
    </row>
    <row r="525" ht="15.75" customHeight="1">
      <c r="A525" s="14"/>
      <c r="B525" s="14"/>
    </row>
    <row r="526" ht="15.75" customHeight="1">
      <c r="A526" s="14"/>
      <c r="B526" s="14"/>
    </row>
    <row r="527" ht="15.75" customHeight="1">
      <c r="A527" s="14"/>
      <c r="B527" s="14"/>
    </row>
    <row r="528" ht="15.75" customHeight="1">
      <c r="A528" s="14"/>
      <c r="B528" s="14"/>
    </row>
    <row r="529" ht="15.75" customHeight="1">
      <c r="A529" s="14"/>
      <c r="B529" s="14"/>
    </row>
    <row r="530" ht="15.75" customHeight="1">
      <c r="A530" s="14"/>
      <c r="B530" s="14"/>
    </row>
    <row r="531" ht="15.75" customHeight="1">
      <c r="A531" s="14"/>
      <c r="B531" s="14"/>
    </row>
    <row r="532" ht="15.75" customHeight="1">
      <c r="A532" s="14"/>
      <c r="B532" s="14"/>
    </row>
    <row r="533" ht="15.75" customHeight="1">
      <c r="A533" s="14"/>
      <c r="B533" s="14"/>
    </row>
    <row r="534" ht="15.75" customHeight="1">
      <c r="A534" s="14"/>
      <c r="B534" s="14"/>
    </row>
    <row r="535" ht="15.75" customHeight="1">
      <c r="A535" s="14"/>
      <c r="B535" s="14"/>
    </row>
    <row r="536" ht="15.75" customHeight="1">
      <c r="A536" s="14"/>
      <c r="B536" s="14"/>
    </row>
    <row r="537" ht="15.75" customHeight="1">
      <c r="A537" s="14"/>
      <c r="B537" s="14"/>
    </row>
    <row r="538" ht="15.75" customHeight="1">
      <c r="A538" s="14"/>
      <c r="B538" s="14"/>
    </row>
    <row r="539" ht="15.75" customHeight="1">
      <c r="A539" s="14"/>
      <c r="B539" s="14"/>
    </row>
    <row r="540" ht="15.75" customHeight="1">
      <c r="A540" s="14"/>
      <c r="B540" s="14"/>
    </row>
    <row r="541" ht="15.75" customHeight="1">
      <c r="A541" s="14"/>
      <c r="B541" s="14"/>
    </row>
    <row r="542" ht="15.75" customHeight="1">
      <c r="A542" s="14"/>
      <c r="B542" s="14"/>
    </row>
    <row r="543" ht="15.75" customHeight="1">
      <c r="A543" s="14"/>
      <c r="B543" s="14"/>
    </row>
    <row r="544" ht="15.75" customHeight="1">
      <c r="A544" s="14"/>
      <c r="B544" s="14"/>
    </row>
    <row r="545" ht="15.75" customHeight="1">
      <c r="A545" s="14"/>
      <c r="B545" s="14"/>
    </row>
    <row r="546" ht="15.75" customHeight="1">
      <c r="A546" s="14"/>
      <c r="B546" s="14"/>
    </row>
    <row r="547" ht="15.75" customHeight="1">
      <c r="A547" s="14"/>
      <c r="B547" s="14"/>
    </row>
    <row r="548" ht="15.75" customHeight="1">
      <c r="A548" s="14"/>
      <c r="B548" s="14"/>
    </row>
    <row r="549" ht="15.75" customHeight="1">
      <c r="A549" s="14"/>
      <c r="B549" s="14"/>
    </row>
    <row r="550" ht="15.75" customHeight="1">
      <c r="A550" s="14"/>
      <c r="B550" s="14"/>
    </row>
    <row r="551" ht="15.75" customHeight="1">
      <c r="A551" s="14"/>
      <c r="B551" s="14"/>
    </row>
    <row r="552" ht="15.75" customHeight="1">
      <c r="A552" s="14"/>
      <c r="B552" s="14"/>
    </row>
    <row r="553" ht="15.75" customHeight="1">
      <c r="A553" s="14"/>
      <c r="B553" s="14"/>
    </row>
    <row r="554" ht="15.75" customHeight="1">
      <c r="A554" s="14"/>
      <c r="B554" s="14"/>
    </row>
    <row r="555" ht="15.75" customHeight="1">
      <c r="A555" s="14"/>
      <c r="B555" s="14"/>
    </row>
    <row r="556" ht="15.75" customHeight="1">
      <c r="A556" s="14"/>
      <c r="B556" s="14"/>
    </row>
    <row r="557" ht="15.75" customHeight="1">
      <c r="A557" s="14"/>
      <c r="B557" s="14"/>
    </row>
    <row r="558" ht="15.75" customHeight="1">
      <c r="A558" s="14"/>
      <c r="B558" s="14"/>
    </row>
    <row r="559" ht="15.75" customHeight="1">
      <c r="A559" s="14"/>
      <c r="B559" s="14"/>
    </row>
    <row r="560" ht="15.75" customHeight="1">
      <c r="A560" s="14"/>
      <c r="B560" s="14"/>
    </row>
    <row r="561" ht="15.75" customHeight="1">
      <c r="A561" s="14"/>
      <c r="B561" s="14"/>
    </row>
    <row r="562" ht="15.75" customHeight="1">
      <c r="A562" s="14"/>
      <c r="B562" s="14"/>
    </row>
    <row r="563" ht="15.75" customHeight="1">
      <c r="A563" s="14"/>
      <c r="B563" s="14"/>
    </row>
    <row r="564" ht="15.75" customHeight="1">
      <c r="A564" s="14"/>
      <c r="B564" s="14"/>
    </row>
    <row r="565" ht="15.75" customHeight="1">
      <c r="A565" s="14"/>
      <c r="B565" s="14"/>
    </row>
    <row r="566" ht="15.75" customHeight="1">
      <c r="A566" s="14"/>
      <c r="B566" s="14"/>
    </row>
    <row r="567" ht="15.75" customHeight="1">
      <c r="A567" s="14"/>
      <c r="B567" s="14"/>
    </row>
    <row r="568" ht="15.75" customHeight="1">
      <c r="A568" s="14"/>
      <c r="B568" s="14"/>
    </row>
    <row r="569" ht="15.75" customHeight="1">
      <c r="A569" s="14"/>
      <c r="B569" s="14"/>
    </row>
    <row r="570" ht="15.75" customHeight="1">
      <c r="A570" s="14"/>
      <c r="B570" s="14"/>
    </row>
    <row r="571" ht="15.75" customHeight="1">
      <c r="A571" s="14"/>
      <c r="B571" s="14"/>
    </row>
    <row r="572" ht="15.75" customHeight="1">
      <c r="A572" s="14"/>
      <c r="B572" s="14"/>
    </row>
    <row r="573" ht="15.75" customHeight="1">
      <c r="A573" s="14"/>
      <c r="B573" s="14"/>
    </row>
    <row r="574" ht="15.75" customHeight="1">
      <c r="A574" s="14"/>
      <c r="B574" s="14"/>
    </row>
    <row r="575" ht="15.75" customHeight="1">
      <c r="A575" s="14"/>
      <c r="B575" s="14"/>
    </row>
    <row r="576" ht="15.75" customHeight="1">
      <c r="A576" s="14"/>
      <c r="B576" s="14"/>
    </row>
    <row r="577" ht="15.75" customHeight="1">
      <c r="A577" s="14"/>
      <c r="B577" s="14"/>
    </row>
    <row r="578" ht="15.75" customHeight="1">
      <c r="A578" s="14"/>
      <c r="B578" s="14"/>
    </row>
    <row r="579" ht="15.75" customHeight="1">
      <c r="A579" s="14"/>
      <c r="B579" s="14"/>
    </row>
    <row r="580" ht="15.75" customHeight="1">
      <c r="A580" s="14"/>
      <c r="B580" s="14"/>
    </row>
    <row r="581" ht="15.75" customHeight="1">
      <c r="A581" s="14"/>
      <c r="B581" s="14"/>
    </row>
    <row r="582" ht="15.75" customHeight="1">
      <c r="A582" s="14"/>
      <c r="B582" s="14"/>
    </row>
    <row r="583" ht="15.75" customHeight="1">
      <c r="A583" s="14"/>
      <c r="B583" s="14"/>
    </row>
    <row r="584" ht="15.75" customHeight="1">
      <c r="A584" s="14"/>
      <c r="B584" s="14"/>
    </row>
    <row r="585" ht="15.75" customHeight="1">
      <c r="A585" s="14"/>
      <c r="B585" s="14"/>
    </row>
    <row r="586" ht="15.75" customHeight="1">
      <c r="A586" s="14"/>
      <c r="B586" s="14"/>
    </row>
    <row r="587" ht="15.75" customHeight="1">
      <c r="A587" s="14"/>
      <c r="B587" s="14"/>
    </row>
    <row r="588" ht="15.75" customHeight="1">
      <c r="A588" s="14"/>
      <c r="B588" s="14"/>
    </row>
    <row r="589" ht="15.75" customHeight="1">
      <c r="A589" s="14"/>
      <c r="B589" s="14"/>
    </row>
    <row r="590" ht="15.75" customHeight="1">
      <c r="A590" s="14"/>
      <c r="B590" s="14"/>
    </row>
    <row r="591" ht="15.75" customHeight="1">
      <c r="A591" s="14"/>
      <c r="B591" s="14"/>
    </row>
    <row r="592" ht="15.75" customHeight="1">
      <c r="A592" s="14"/>
      <c r="B592" s="14"/>
    </row>
    <row r="593" ht="15.75" customHeight="1">
      <c r="A593" s="14"/>
      <c r="B593" s="14"/>
    </row>
    <row r="594" ht="15.75" customHeight="1">
      <c r="A594" s="14"/>
      <c r="B594" s="14"/>
    </row>
    <row r="595" ht="15.75" customHeight="1">
      <c r="A595" s="14"/>
      <c r="B595" s="14"/>
    </row>
    <row r="596" ht="15.75" customHeight="1">
      <c r="A596" s="14"/>
      <c r="B596" s="14"/>
    </row>
    <row r="597" ht="15.75" customHeight="1">
      <c r="A597" s="14"/>
      <c r="B597" s="14"/>
    </row>
    <row r="598" ht="15.75" customHeight="1">
      <c r="A598" s="14"/>
      <c r="B598" s="14"/>
    </row>
    <row r="599" ht="15.75" customHeight="1">
      <c r="A599" s="14"/>
      <c r="B599" s="14"/>
    </row>
    <row r="600" ht="15.75" customHeight="1">
      <c r="A600" s="14"/>
      <c r="B600" s="14"/>
    </row>
    <row r="601" ht="15.75" customHeight="1">
      <c r="A601" s="14"/>
      <c r="B601" s="14"/>
    </row>
    <row r="602" ht="15.75" customHeight="1">
      <c r="A602" s="14"/>
      <c r="B602" s="14"/>
    </row>
    <row r="603" ht="15.75" customHeight="1">
      <c r="A603" s="14"/>
      <c r="B603" s="14"/>
    </row>
    <row r="604" ht="15.75" customHeight="1">
      <c r="A604" s="14"/>
      <c r="B604" s="14"/>
    </row>
    <row r="605" ht="15.75" customHeight="1">
      <c r="A605" s="14"/>
      <c r="B605" s="14"/>
    </row>
    <row r="606" ht="15.75" customHeight="1">
      <c r="A606" s="14"/>
      <c r="B606" s="14"/>
    </row>
    <row r="607" ht="15.75" customHeight="1">
      <c r="A607" s="14"/>
      <c r="B607" s="14"/>
    </row>
    <row r="608" ht="15.75" customHeight="1">
      <c r="A608" s="14"/>
      <c r="B608" s="14"/>
    </row>
    <row r="609" ht="15.75" customHeight="1">
      <c r="A609" s="14"/>
      <c r="B609" s="14"/>
    </row>
    <row r="610" ht="15.75" customHeight="1">
      <c r="A610" s="14"/>
      <c r="B610" s="14"/>
    </row>
    <row r="611" ht="15.75" customHeight="1">
      <c r="A611" s="14"/>
      <c r="B611" s="14"/>
    </row>
    <row r="612" ht="15.75" customHeight="1">
      <c r="A612" s="14"/>
      <c r="B612" s="14"/>
    </row>
    <row r="613" ht="15.75" customHeight="1">
      <c r="A613" s="14"/>
      <c r="B613" s="14"/>
    </row>
    <row r="614" ht="15.75" customHeight="1">
      <c r="A614" s="14"/>
      <c r="B614" s="14"/>
    </row>
    <row r="615" ht="15.75" customHeight="1">
      <c r="A615" s="14"/>
      <c r="B615" s="14"/>
    </row>
    <row r="616" ht="15.75" customHeight="1">
      <c r="A616" s="14"/>
      <c r="B616" s="14"/>
    </row>
    <row r="617" ht="15.75" customHeight="1">
      <c r="A617" s="14"/>
      <c r="B617" s="14"/>
    </row>
    <row r="618" ht="15.75" customHeight="1">
      <c r="A618" s="14"/>
      <c r="B618" s="14"/>
    </row>
    <row r="619" ht="15.75" customHeight="1">
      <c r="A619" s="14"/>
      <c r="B619" s="14"/>
    </row>
    <row r="620" ht="15.75" customHeight="1">
      <c r="A620" s="14"/>
      <c r="B620" s="14"/>
    </row>
    <row r="621" ht="15.75" customHeight="1">
      <c r="A621" s="14"/>
      <c r="B621" s="14"/>
    </row>
    <row r="622" ht="15.75" customHeight="1">
      <c r="A622" s="14"/>
      <c r="B622" s="14"/>
    </row>
    <row r="623" ht="15.75" customHeight="1">
      <c r="A623" s="14"/>
      <c r="B623" s="14"/>
    </row>
    <row r="624" ht="15.75" customHeight="1">
      <c r="A624" s="14"/>
      <c r="B624" s="14"/>
    </row>
    <row r="625" ht="15.75" customHeight="1">
      <c r="A625" s="14"/>
      <c r="B625" s="14"/>
    </row>
    <row r="626" ht="15.75" customHeight="1">
      <c r="A626" s="14"/>
      <c r="B626" s="14"/>
    </row>
    <row r="627" ht="15.75" customHeight="1">
      <c r="A627" s="14"/>
      <c r="B627" s="14"/>
    </row>
    <row r="628" ht="15.75" customHeight="1">
      <c r="A628" s="14"/>
      <c r="B628" s="14"/>
    </row>
    <row r="629" ht="15.75" customHeight="1">
      <c r="A629" s="14"/>
      <c r="B629" s="14"/>
    </row>
    <row r="630" ht="15.75" customHeight="1">
      <c r="A630" s="14"/>
      <c r="B630" s="14"/>
    </row>
    <row r="631" ht="15.75" customHeight="1">
      <c r="A631" s="14"/>
      <c r="B631" s="14"/>
    </row>
    <row r="632" ht="15.75" customHeight="1">
      <c r="A632" s="14"/>
      <c r="B632" s="14"/>
    </row>
    <row r="633" ht="15.75" customHeight="1">
      <c r="A633" s="14"/>
      <c r="B633" s="14"/>
    </row>
    <row r="634" ht="15.75" customHeight="1">
      <c r="A634" s="14"/>
      <c r="B634" s="14"/>
    </row>
    <row r="635" ht="15.75" customHeight="1">
      <c r="A635" s="14"/>
      <c r="B635" s="14"/>
    </row>
    <row r="636" ht="15.75" customHeight="1">
      <c r="A636" s="14"/>
      <c r="B636" s="14"/>
    </row>
    <row r="637" ht="15.75" customHeight="1">
      <c r="A637" s="14"/>
      <c r="B637" s="14"/>
    </row>
    <row r="638" ht="15.75" customHeight="1">
      <c r="A638" s="14"/>
      <c r="B638" s="14"/>
    </row>
    <row r="639" ht="15.75" customHeight="1">
      <c r="A639" s="14"/>
      <c r="B639" s="14"/>
    </row>
    <row r="640" ht="15.75" customHeight="1">
      <c r="A640" s="14"/>
      <c r="B640" s="14"/>
    </row>
    <row r="641" ht="15.75" customHeight="1">
      <c r="A641" s="14"/>
      <c r="B641" s="14"/>
    </row>
    <row r="642" ht="15.75" customHeight="1">
      <c r="A642" s="14"/>
      <c r="B642" s="14"/>
    </row>
    <row r="643" ht="15.75" customHeight="1">
      <c r="A643" s="14"/>
      <c r="B643" s="14"/>
    </row>
    <row r="644" ht="15.75" customHeight="1">
      <c r="A644" s="14"/>
      <c r="B644" s="14"/>
    </row>
    <row r="645" ht="15.75" customHeight="1">
      <c r="A645" s="14"/>
      <c r="B645" s="14"/>
    </row>
    <row r="646" ht="15.75" customHeight="1">
      <c r="A646" s="14"/>
      <c r="B646" s="14"/>
    </row>
    <row r="647" ht="15.75" customHeight="1">
      <c r="A647" s="14"/>
      <c r="B647" s="14"/>
    </row>
    <row r="648" ht="15.75" customHeight="1">
      <c r="A648" s="14"/>
      <c r="B648" s="14"/>
    </row>
    <row r="649" ht="15.75" customHeight="1">
      <c r="A649" s="14"/>
      <c r="B649" s="14"/>
    </row>
    <row r="650" ht="15.75" customHeight="1">
      <c r="A650" s="14"/>
      <c r="B650" s="14"/>
    </row>
    <row r="651" ht="15.75" customHeight="1">
      <c r="A651" s="14"/>
      <c r="B651" s="14"/>
    </row>
    <row r="652" ht="15.75" customHeight="1">
      <c r="A652" s="14"/>
      <c r="B652" s="14"/>
    </row>
    <row r="653" ht="15.75" customHeight="1">
      <c r="A653" s="14"/>
      <c r="B653" s="14"/>
    </row>
    <row r="654" ht="15.75" customHeight="1">
      <c r="A654" s="14"/>
      <c r="B654" s="14"/>
    </row>
    <row r="655" ht="15.75" customHeight="1">
      <c r="A655" s="14"/>
      <c r="B655" s="14"/>
    </row>
    <row r="656" ht="15.75" customHeight="1">
      <c r="A656" s="14"/>
      <c r="B656" s="14"/>
    </row>
    <row r="657" ht="15.75" customHeight="1">
      <c r="A657" s="14"/>
      <c r="B657" s="14"/>
    </row>
    <row r="658" ht="15.75" customHeight="1">
      <c r="A658" s="14"/>
      <c r="B658" s="14"/>
    </row>
    <row r="659" ht="15.75" customHeight="1">
      <c r="A659" s="14"/>
      <c r="B659" s="14"/>
    </row>
    <row r="660" ht="15.75" customHeight="1">
      <c r="A660" s="14"/>
      <c r="B660" s="14"/>
    </row>
    <row r="661" ht="15.75" customHeight="1">
      <c r="A661" s="14"/>
      <c r="B661" s="14"/>
    </row>
    <row r="662" ht="15.75" customHeight="1">
      <c r="A662" s="14"/>
      <c r="B662" s="14"/>
    </row>
    <row r="663" ht="15.75" customHeight="1">
      <c r="A663" s="14"/>
      <c r="B663" s="14"/>
    </row>
    <row r="664" ht="15.75" customHeight="1">
      <c r="A664" s="14"/>
      <c r="B664" s="14"/>
    </row>
    <row r="665" ht="15.75" customHeight="1">
      <c r="A665" s="14"/>
      <c r="B665" s="14"/>
    </row>
    <row r="666" ht="15.75" customHeight="1">
      <c r="A666" s="14"/>
      <c r="B666" s="14"/>
    </row>
    <row r="667" ht="15.75" customHeight="1">
      <c r="A667" s="14"/>
      <c r="B667" s="14"/>
    </row>
    <row r="668" ht="15.75" customHeight="1">
      <c r="A668" s="14"/>
      <c r="B668" s="14"/>
    </row>
    <row r="669" ht="15.75" customHeight="1">
      <c r="A669" s="14"/>
      <c r="B669" s="14"/>
    </row>
    <row r="670" ht="15.75" customHeight="1">
      <c r="A670" s="14"/>
      <c r="B670" s="14"/>
    </row>
    <row r="671" ht="15.75" customHeight="1">
      <c r="A671" s="14"/>
      <c r="B671" s="14"/>
    </row>
    <row r="672" ht="15.75" customHeight="1">
      <c r="A672" s="14"/>
      <c r="B672" s="14"/>
    </row>
    <row r="673" ht="15.75" customHeight="1">
      <c r="A673" s="14"/>
      <c r="B673" s="14"/>
    </row>
    <row r="674" ht="15.75" customHeight="1">
      <c r="A674" s="14"/>
      <c r="B674" s="14"/>
    </row>
    <row r="675" ht="15.75" customHeight="1">
      <c r="A675" s="14"/>
      <c r="B675" s="14"/>
    </row>
    <row r="676" ht="15.75" customHeight="1">
      <c r="A676" s="14"/>
      <c r="B676" s="14"/>
    </row>
    <row r="677" ht="15.75" customHeight="1">
      <c r="A677" s="14"/>
      <c r="B677" s="14"/>
    </row>
    <row r="678" ht="15.75" customHeight="1">
      <c r="A678" s="14"/>
      <c r="B678" s="14"/>
    </row>
    <row r="679" ht="15.75" customHeight="1">
      <c r="A679" s="14"/>
      <c r="B679" s="14"/>
    </row>
    <row r="680" ht="15.75" customHeight="1">
      <c r="A680" s="14"/>
      <c r="B680" s="14"/>
    </row>
    <row r="681" ht="15.75" customHeight="1">
      <c r="A681" s="14"/>
      <c r="B681" s="14"/>
    </row>
    <row r="682" ht="15.75" customHeight="1">
      <c r="A682" s="14"/>
      <c r="B682" s="14"/>
    </row>
    <row r="683" ht="15.75" customHeight="1">
      <c r="A683" s="14"/>
      <c r="B683" s="14"/>
    </row>
    <row r="684" ht="15.75" customHeight="1">
      <c r="A684" s="14"/>
      <c r="B684" s="14"/>
    </row>
    <row r="685" ht="15.75" customHeight="1">
      <c r="A685" s="14"/>
      <c r="B685" s="14"/>
    </row>
    <row r="686" ht="15.75" customHeight="1">
      <c r="A686" s="14"/>
      <c r="B686" s="14"/>
    </row>
    <row r="687" ht="15.75" customHeight="1">
      <c r="A687" s="14"/>
      <c r="B687" s="14"/>
    </row>
    <row r="688" ht="15.75" customHeight="1">
      <c r="A688" s="14"/>
      <c r="B688" s="14"/>
    </row>
    <row r="689" ht="15.75" customHeight="1">
      <c r="A689" s="14"/>
      <c r="B689" s="14"/>
    </row>
    <row r="690" ht="15.75" customHeight="1">
      <c r="A690" s="14"/>
      <c r="B690" s="14"/>
    </row>
    <row r="691" ht="15.75" customHeight="1">
      <c r="A691" s="14"/>
      <c r="B691" s="14"/>
    </row>
    <row r="692" ht="15.75" customHeight="1">
      <c r="A692" s="14"/>
      <c r="B692" s="14"/>
    </row>
    <row r="693" ht="15.75" customHeight="1">
      <c r="A693" s="14"/>
      <c r="B693" s="14"/>
    </row>
    <row r="694" ht="15.75" customHeight="1">
      <c r="A694" s="14"/>
      <c r="B694" s="14"/>
    </row>
    <row r="695" ht="15.75" customHeight="1">
      <c r="A695" s="14"/>
      <c r="B695" s="14"/>
    </row>
    <row r="696" ht="15.75" customHeight="1">
      <c r="A696" s="14"/>
      <c r="B696" s="14"/>
    </row>
    <row r="697" ht="15.75" customHeight="1">
      <c r="A697" s="14"/>
      <c r="B697" s="14"/>
    </row>
    <row r="698" ht="15.75" customHeight="1">
      <c r="A698" s="14"/>
      <c r="B698" s="14"/>
    </row>
    <row r="699" ht="15.75" customHeight="1">
      <c r="A699" s="14"/>
      <c r="B699" s="14"/>
    </row>
    <row r="700" ht="15.75" customHeight="1">
      <c r="A700" s="14"/>
      <c r="B700" s="14"/>
    </row>
    <row r="701" ht="15.75" customHeight="1">
      <c r="A701" s="14"/>
      <c r="B701" s="14"/>
    </row>
    <row r="702" ht="15.75" customHeight="1">
      <c r="A702" s="14"/>
      <c r="B702" s="14"/>
    </row>
    <row r="703" ht="15.75" customHeight="1">
      <c r="A703" s="14"/>
      <c r="B703" s="14"/>
    </row>
    <row r="704" ht="15.75" customHeight="1">
      <c r="A704" s="14"/>
      <c r="B704" s="14"/>
    </row>
    <row r="705" ht="15.75" customHeight="1">
      <c r="A705" s="14"/>
      <c r="B705" s="14"/>
    </row>
    <row r="706" ht="15.75" customHeight="1">
      <c r="A706" s="14"/>
      <c r="B706" s="14"/>
    </row>
    <row r="707" ht="15.75" customHeight="1">
      <c r="A707" s="14"/>
      <c r="B707" s="14"/>
    </row>
    <row r="708" ht="15.75" customHeight="1">
      <c r="A708" s="14"/>
      <c r="B708" s="14"/>
    </row>
    <row r="709" ht="15.75" customHeight="1">
      <c r="A709" s="14"/>
      <c r="B709" s="14"/>
    </row>
    <row r="710" ht="15.75" customHeight="1">
      <c r="A710" s="14"/>
      <c r="B710" s="14"/>
    </row>
    <row r="711" ht="15.75" customHeight="1">
      <c r="A711" s="14"/>
      <c r="B711" s="14"/>
    </row>
    <row r="712" ht="15.75" customHeight="1">
      <c r="A712" s="14"/>
      <c r="B712" s="14"/>
    </row>
    <row r="713" ht="15.75" customHeight="1">
      <c r="A713" s="14"/>
      <c r="B713" s="14"/>
    </row>
    <row r="714" ht="15.75" customHeight="1">
      <c r="A714" s="14"/>
      <c r="B714" s="14"/>
    </row>
    <row r="715" ht="15.75" customHeight="1">
      <c r="A715" s="14"/>
      <c r="B715" s="14"/>
    </row>
    <row r="716" ht="15.75" customHeight="1">
      <c r="A716" s="14"/>
      <c r="B716" s="14"/>
    </row>
    <row r="717" ht="15.75" customHeight="1">
      <c r="A717" s="14"/>
      <c r="B717" s="14"/>
    </row>
    <row r="718" ht="15.75" customHeight="1">
      <c r="A718" s="14"/>
      <c r="B718" s="14"/>
    </row>
    <row r="719" ht="15.75" customHeight="1">
      <c r="A719" s="14"/>
      <c r="B719" s="14"/>
    </row>
    <row r="720" ht="15.75" customHeight="1">
      <c r="A720" s="14"/>
      <c r="B720" s="14"/>
    </row>
    <row r="721" ht="15.75" customHeight="1">
      <c r="A721" s="14"/>
      <c r="B721" s="14"/>
    </row>
    <row r="722" ht="15.75" customHeight="1">
      <c r="A722" s="14"/>
      <c r="B722" s="14"/>
    </row>
    <row r="723" ht="15.75" customHeight="1">
      <c r="A723" s="14"/>
      <c r="B723" s="14"/>
    </row>
    <row r="724" ht="15.75" customHeight="1">
      <c r="A724" s="14"/>
      <c r="B724" s="14"/>
    </row>
    <row r="725" ht="15.75" customHeight="1">
      <c r="A725" s="14"/>
      <c r="B725" s="14"/>
    </row>
    <row r="726" ht="15.75" customHeight="1">
      <c r="A726" s="14"/>
      <c r="B726" s="14"/>
    </row>
    <row r="727" ht="15.75" customHeight="1">
      <c r="A727" s="14"/>
      <c r="B727" s="14"/>
    </row>
    <row r="728" ht="15.75" customHeight="1">
      <c r="A728" s="14"/>
      <c r="B728" s="14"/>
    </row>
    <row r="729" ht="15.75" customHeight="1">
      <c r="A729" s="14"/>
      <c r="B729" s="14"/>
    </row>
    <row r="730" ht="15.75" customHeight="1">
      <c r="A730" s="14"/>
      <c r="B730" s="14"/>
    </row>
    <row r="731" ht="15.75" customHeight="1">
      <c r="A731" s="14"/>
      <c r="B731" s="14"/>
    </row>
    <row r="732" ht="15.75" customHeight="1">
      <c r="A732" s="14"/>
      <c r="B732" s="14"/>
    </row>
    <row r="733" ht="15.75" customHeight="1">
      <c r="A733" s="14"/>
      <c r="B733" s="14"/>
    </row>
    <row r="734" ht="15.75" customHeight="1">
      <c r="A734" s="14"/>
      <c r="B734" s="14"/>
    </row>
    <row r="735" ht="15.75" customHeight="1">
      <c r="A735" s="14"/>
      <c r="B735" s="14"/>
    </row>
    <row r="736" ht="15.75" customHeight="1">
      <c r="A736" s="14"/>
      <c r="B736" s="14"/>
    </row>
    <row r="737" ht="15.75" customHeight="1">
      <c r="A737" s="14"/>
      <c r="B737" s="14"/>
    </row>
    <row r="738" ht="15.75" customHeight="1">
      <c r="A738" s="14"/>
      <c r="B738" s="14"/>
    </row>
    <row r="739" ht="15.75" customHeight="1">
      <c r="A739" s="14"/>
      <c r="B739" s="14"/>
    </row>
    <row r="740" ht="15.75" customHeight="1">
      <c r="A740" s="14"/>
      <c r="B740" s="14"/>
    </row>
    <row r="741" ht="15.75" customHeight="1">
      <c r="A741" s="14"/>
      <c r="B741" s="14"/>
    </row>
    <row r="742" ht="15.75" customHeight="1">
      <c r="A742" s="14"/>
      <c r="B742" s="14"/>
    </row>
    <row r="743" ht="15.75" customHeight="1">
      <c r="A743" s="14"/>
      <c r="B743" s="14"/>
    </row>
    <row r="744" ht="15.75" customHeight="1">
      <c r="A744" s="14"/>
      <c r="B744" s="14"/>
    </row>
    <row r="745" ht="15.75" customHeight="1">
      <c r="A745" s="14"/>
      <c r="B745" s="14"/>
    </row>
    <row r="746" ht="15.75" customHeight="1">
      <c r="A746" s="14"/>
      <c r="B746" s="14"/>
    </row>
    <row r="747" ht="15.75" customHeight="1">
      <c r="A747" s="14"/>
      <c r="B747" s="14"/>
    </row>
    <row r="748" ht="15.75" customHeight="1">
      <c r="A748" s="14"/>
      <c r="B748" s="14"/>
    </row>
    <row r="749" ht="15.75" customHeight="1">
      <c r="A749" s="14"/>
      <c r="B749" s="14"/>
    </row>
    <row r="750" ht="15.75" customHeight="1">
      <c r="A750" s="14"/>
      <c r="B750" s="14"/>
    </row>
    <row r="751" ht="15.75" customHeight="1">
      <c r="A751" s="14"/>
      <c r="B751" s="14"/>
    </row>
    <row r="752" ht="15.75" customHeight="1">
      <c r="A752" s="14"/>
      <c r="B752" s="14"/>
    </row>
    <row r="753" ht="15.75" customHeight="1">
      <c r="A753" s="14"/>
      <c r="B753" s="14"/>
    </row>
    <row r="754" ht="15.75" customHeight="1">
      <c r="A754" s="14"/>
      <c r="B754" s="14"/>
    </row>
    <row r="755" ht="15.75" customHeight="1">
      <c r="A755" s="14"/>
      <c r="B755" s="14"/>
    </row>
    <row r="756" ht="15.75" customHeight="1">
      <c r="A756" s="14"/>
      <c r="B756" s="14"/>
    </row>
    <row r="757" ht="15.75" customHeight="1">
      <c r="A757" s="14"/>
      <c r="B757" s="14"/>
    </row>
    <row r="758" ht="15.75" customHeight="1">
      <c r="A758" s="14"/>
      <c r="B758" s="14"/>
    </row>
    <row r="759" ht="15.75" customHeight="1">
      <c r="A759" s="14"/>
      <c r="B759" s="14"/>
    </row>
    <row r="760" ht="15.75" customHeight="1">
      <c r="A760" s="14"/>
      <c r="B760" s="14"/>
    </row>
    <row r="761" ht="15.75" customHeight="1">
      <c r="A761" s="14"/>
      <c r="B761" s="14"/>
    </row>
    <row r="762" ht="15.75" customHeight="1">
      <c r="A762" s="14"/>
      <c r="B762" s="14"/>
    </row>
    <row r="763" ht="15.75" customHeight="1">
      <c r="A763" s="14"/>
      <c r="B763" s="14"/>
    </row>
    <row r="764" ht="15.75" customHeight="1">
      <c r="A764" s="14"/>
      <c r="B764" s="14"/>
    </row>
    <row r="765" ht="15.75" customHeight="1">
      <c r="A765" s="14"/>
      <c r="B765" s="14"/>
    </row>
    <row r="766" ht="15.75" customHeight="1">
      <c r="A766" s="14"/>
      <c r="B766" s="14"/>
    </row>
    <row r="767" ht="15.75" customHeight="1">
      <c r="A767" s="14"/>
      <c r="B767" s="14"/>
    </row>
    <row r="768" ht="15.75" customHeight="1">
      <c r="A768" s="14"/>
      <c r="B768" s="14"/>
    </row>
    <row r="769" ht="15.75" customHeight="1">
      <c r="A769" s="14"/>
      <c r="B769" s="14"/>
    </row>
    <row r="770" ht="15.75" customHeight="1">
      <c r="A770" s="14"/>
      <c r="B770" s="14"/>
    </row>
    <row r="771" ht="15.75" customHeight="1">
      <c r="A771" s="14"/>
      <c r="B771" s="14"/>
    </row>
    <row r="772" ht="15.75" customHeight="1">
      <c r="A772" s="14"/>
      <c r="B772" s="14"/>
    </row>
    <row r="773" ht="15.75" customHeight="1">
      <c r="A773" s="14"/>
      <c r="B773" s="14"/>
    </row>
    <row r="774" ht="15.75" customHeight="1">
      <c r="A774" s="14"/>
      <c r="B774" s="14"/>
    </row>
    <row r="775" ht="15.75" customHeight="1">
      <c r="A775" s="14"/>
      <c r="B775" s="14"/>
    </row>
    <row r="776" ht="15.75" customHeight="1">
      <c r="A776" s="14"/>
      <c r="B776" s="14"/>
    </row>
    <row r="777" ht="15.75" customHeight="1">
      <c r="A777" s="14"/>
      <c r="B777" s="14"/>
    </row>
    <row r="778" ht="15.75" customHeight="1">
      <c r="A778" s="14"/>
      <c r="B778" s="14"/>
    </row>
    <row r="779" ht="15.75" customHeight="1">
      <c r="A779" s="14"/>
      <c r="B779" s="14"/>
    </row>
    <row r="780" ht="15.75" customHeight="1">
      <c r="A780" s="14"/>
      <c r="B780" s="14"/>
    </row>
    <row r="781" ht="15.75" customHeight="1">
      <c r="A781" s="14"/>
      <c r="B781" s="14"/>
    </row>
    <row r="782" ht="15.75" customHeight="1">
      <c r="A782" s="14"/>
      <c r="B782" s="14"/>
    </row>
    <row r="783" ht="15.75" customHeight="1">
      <c r="A783" s="14"/>
      <c r="B783" s="14"/>
    </row>
    <row r="784" ht="15.75" customHeight="1">
      <c r="A784" s="14"/>
      <c r="B784" s="14"/>
    </row>
    <row r="785" ht="15.75" customHeight="1">
      <c r="A785" s="14"/>
      <c r="B785" s="14"/>
    </row>
    <row r="786" ht="15.75" customHeight="1">
      <c r="A786" s="14"/>
      <c r="B786" s="14"/>
    </row>
    <row r="787" ht="15.75" customHeight="1">
      <c r="A787" s="14"/>
      <c r="B787" s="14"/>
    </row>
    <row r="788" ht="15.75" customHeight="1">
      <c r="A788" s="14"/>
      <c r="B788" s="14"/>
    </row>
    <row r="789" ht="15.75" customHeight="1">
      <c r="A789" s="14"/>
      <c r="B789" s="14"/>
    </row>
    <row r="790" ht="15.75" customHeight="1">
      <c r="A790" s="14"/>
      <c r="B790" s="14"/>
    </row>
    <row r="791" ht="15.75" customHeight="1">
      <c r="A791" s="14"/>
      <c r="B791" s="14"/>
    </row>
    <row r="792" ht="15.75" customHeight="1">
      <c r="A792" s="14"/>
      <c r="B792" s="14"/>
    </row>
    <row r="793" ht="15.75" customHeight="1">
      <c r="A793" s="14"/>
      <c r="B793" s="14"/>
    </row>
    <row r="794" ht="15.75" customHeight="1">
      <c r="A794" s="14"/>
      <c r="B794" s="14"/>
    </row>
    <row r="795" ht="15.75" customHeight="1">
      <c r="A795" s="14"/>
      <c r="B795" s="14"/>
    </row>
    <row r="796" ht="15.75" customHeight="1">
      <c r="A796" s="14"/>
      <c r="B796" s="14"/>
    </row>
    <row r="797" ht="15.75" customHeight="1">
      <c r="A797" s="14"/>
      <c r="B797" s="14"/>
    </row>
    <row r="798" ht="15.75" customHeight="1">
      <c r="A798" s="14"/>
      <c r="B798" s="14"/>
    </row>
    <row r="799" ht="15.75" customHeight="1">
      <c r="A799" s="14"/>
      <c r="B799" s="14"/>
    </row>
    <row r="800" ht="15.75" customHeight="1">
      <c r="A800" s="14"/>
      <c r="B800" s="14"/>
    </row>
    <row r="801" ht="15.75" customHeight="1">
      <c r="A801" s="14"/>
      <c r="B801" s="14"/>
    </row>
    <row r="802" ht="15.75" customHeight="1">
      <c r="A802" s="14"/>
      <c r="B802" s="14"/>
    </row>
    <row r="803" ht="15.75" customHeight="1">
      <c r="A803" s="14"/>
      <c r="B803" s="14"/>
    </row>
    <row r="804" ht="15.75" customHeight="1">
      <c r="A804" s="14"/>
      <c r="B804" s="14"/>
    </row>
    <row r="805" ht="15.75" customHeight="1">
      <c r="A805" s="14"/>
      <c r="B805" s="14"/>
    </row>
    <row r="806" ht="15.75" customHeight="1">
      <c r="A806" s="14"/>
      <c r="B806" s="14"/>
    </row>
    <row r="807" ht="15.75" customHeight="1">
      <c r="A807" s="14"/>
      <c r="B807" s="14"/>
    </row>
    <row r="808" ht="15.75" customHeight="1">
      <c r="A808" s="14"/>
      <c r="B808" s="14"/>
    </row>
    <row r="809" ht="15.75" customHeight="1">
      <c r="A809" s="14"/>
      <c r="B809" s="14"/>
    </row>
    <row r="810" ht="15.75" customHeight="1">
      <c r="A810" s="14"/>
      <c r="B810" s="14"/>
    </row>
    <row r="811" ht="15.75" customHeight="1">
      <c r="A811" s="14"/>
      <c r="B811" s="14"/>
    </row>
    <row r="812" ht="15.75" customHeight="1">
      <c r="A812" s="14"/>
      <c r="B812" s="14"/>
    </row>
    <row r="813" ht="15.75" customHeight="1">
      <c r="A813" s="14"/>
      <c r="B813" s="14"/>
    </row>
    <row r="814" ht="15.75" customHeight="1">
      <c r="A814" s="14"/>
      <c r="B814" s="14"/>
    </row>
    <row r="815" ht="15.75" customHeight="1">
      <c r="A815" s="14"/>
      <c r="B815" s="14"/>
    </row>
    <row r="816" ht="15.75" customHeight="1">
      <c r="A816" s="14"/>
      <c r="B816" s="14"/>
    </row>
    <row r="817" ht="15.75" customHeight="1">
      <c r="A817" s="14"/>
      <c r="B817" s="14"/>
    </row>
    <row r="818" ht="15.75" customHeight="1">
      <c r="A818" s="14"/>
      <c r="B818" s="14"/>
    </row>
    <row r="819" ht="15.75" customHeight="1">
      <c r="A819" s="14"/>
      <c r="B819" s="14"/>
    </row>
    <row r="820" ht="15.75" customHeight="1">
      <c r="A820" s="14"/>
      <c r="B820" s="14"/>
    </row>
    <row r="821" ht="15.75" customHeight="1">
      <c r="A821" s="14"/>
      <c r="B821" s="14"/>
    </row>
    <row r="822" ht="15.75" customHeight="1">
      <c r="A822" s="14"/>
      <c r="B822" s="14"/>
    </row>
    <row r="823" ht="15.75" customHeight="1">
      <c r="A823" s="14"/>
      <c r="B823" s="14"/>
    </row>
    <row r="824" ht="15.75" customHeight="1">
      <c r="A824" s="14"/>
      <c r="B824" s="14"/>
    </row>
    <row r="825" ht="15.75" customHeight="1">
      <c r="A825" s="14"/>
      <c r="B825" s="14"/>
    </row>
    <row r="826" ht="15.75" customHeight="1">
      <c r="A826" s="14"/>
      <c r="B826" s="14"/>
    </row>
    <row r="827" ht="15.75" customHeight="1">
      <c r="A827" s="14"/>
      <c r="B827" s="14"/>
    </row>
    <row r="828" ht="15.75" customHeight="1">
      <c r="A828" s="14"/>
      <c r="B828" s="14"/>
    </row>
    <row r="829" ht="15.75" customHeight="1">
      <c r="A829" s="14"/>
      <c r="B829" s="14"/>
    </row>
    <row r="830" ht="15.75" customHeight="1">
      <c r="A830" s="14"/>
      <c r="B830" s="14"/>
    </row>
    <row r="831" ht="15.75" customHeight="1">
      <c r="A831" s="14"/>
      <c r="B831" s="14"/>
    </row>
    <row r="832" ht="15.75" customHeight="1">
      <c r="A832" s="14"/>
      <c r="B832" s="14"/>
    </row>
    <row r="833" ht="15.75" customHeight="1">
      <c r="A833" s="14"/>
      <c r="B833" s="14"/>
    </row>
    <row r="834" ht="15.75" customHeight="1">
      <c r="A834" s="14"/>
      <c r="B834" s="14"/>
    </row>
    <row r="835" ht="15.75" customHeight="1">
      <c r="A835" s="14"/>
      <c r="B835" s="14"/>
    </row>
    <row r="836" ht="15.75" customHeight="1">
      <c r="A836" s="14"/>
      <c r="B836" s="14"/>
    </row>
    <row r="837" ht="15.75" customHeight="1">
      <c r="A837" s="14"/>
      <c r="B837" s="14"/>
    </row>
    <row r="838" ht="15.75" customHeight="1">
      <c r="A838" s="14"/>
      <c r="B838" s="14"/>
    </row>
    <row r="839" ht="15.75" customHeight="1">
      <c r="A839" s="14"/>
      <c r="B839" s="14"/>
    </row>
    <row r="840" ht="15.75" customHeight="1">
      <c r="A840" s="14"/>
      <c r="B840" s="14"/>
    </row>
    <row r="841" ht="15.75" customHeight="1">
      <c r="A841" s="14"/>
      <c r="B841" s="14"/>
    </row>
    <row r="842" ht="15.75" customHeight="1">
      <c r="A842" s="14"/>
      <c r="B842" s="14"/>
    </row>
    <row r="843" ht="15.75" customHeight="1">
      <c r="A843" s="14"/>
      <c r="B843" s="14"/>
    </row>
    <row r="844" ht="15.75" customHeight="1">
      <c r="A844" s="14"/>
      <c r="B844" s="14"/>
    </row>
    <row r="845" ht="15.75" customHeight="1">
      <c r="A845" s="14"/>
      <c r="B845" s="14"/>
    </row>
    <row r="846" ht="15.75" customHeight="1">
      <c r="A846" s="14"/>
      <c r="B846" s="14"/>
    </row>
    <row r="847" ht="15.75" customHeight="1">
      <c r="A847" s="14"/>
      <c r="B847" s="14"/>
    </row>
    <row r="848" ht="15.75" customHeight="1">
      <c r="A848" s="14"/>
      <c r="B848" s="14"/>
    </row>
    <row r="849" ht="15.75" customHeight="1">
      <c r="A849" s="14"/>
      <c r="B849" s="14"/>
    </row>
    <row r="850" ht="15.75" customHeight="1">
      <c r="A850" s="14"/>
      <c r="B850" s="14"/>
    </row>
    <row r="851" ht="15.75" customHeight="1">
      <c r="A851" s="14"/>
      <c r="B851" s="14"/>
    </row>
    <row r="852" ht="15.75" customHeight="1">
      <c r="A852" s="14"/>
      <c r="B852" s="14"/>
    </row>
    <row r="853" ht="15.75" customHeight="1">
      <c r="A853" s="14"/>
      <c r="B853" s="14"/>
    </row>
    <row r="854" ht="15.75" customHeight="1">
      <c r="A854" s="14"/>
      <c r="B854" s="14"/>
    </row>
    <row r="855" ht="15.75" customHeight="1">
      <c r="A855" s="14"/>
      <c r="B855" s="14"/>
    </row>
    <row r="856" ht="15.75" customHeight="1">
      <c r="A856" s="14"/>
      <c r="B856" s="14"/>
    </row>
    <row r="857" ht="15.75" customHeight="1">
      <c r="A857" s="14"/>
      <c r="B857" s="14"/>
    </row>
    <row r="858" ht="15.75" customHeight="1">
      <c r="A858" s="14"/>
      <c r="B858" s="14"/>
    </row>
    <row r="859" ht="15.75" customHeight="1">
      <c r="A859" s="14"/>
      <c r="B859" s="14"/>
    </row>
    <row r="860" ht="15.75" customHeight="1">
      <c r="A860" s="14"/>
      <c r="B860" s="14"/>
    </row>
    <row r="861" ht="15.75" customHeight="1">
      <c r="A861" s="14"/>
      <c r="B861" s="14"/>
    </row>
    <row r="862" ht="15.75" customHeight="1">
      <c r="A862" s="14"/>
      <c r="B862" s="14"/>
    </row>
    <row r="863" ht="15.75" customHeight="1">
      <c r="A863" s="14"/>
      <c r="B863" s="14"/>
    </row>
    <row r="864" ht="15.75" customHeight="1">
      <c r="A864" s="14"/>
      <c r="B864" s="14"/>
    </row>
    <row r="865" ht="15.75" customHeight="1">
      <c r="A865" s="14"/>
      <c r="B865" s="14"/>
    </row>
    <row r="866" ht="15.75" customHeight="1">
      <c r="A866" s="14"/>
      <c r="B866" s="14"/>
    </row>
    <row r="867" ht="15.75" customHeight="1">
      <c r="A867" s="14"/>
      <c r="B867" s="14"/>
    </row>
    <row r="868" ht="15.75" customHeight="1">
      <c r="A868" s="14"/>
      <c r="B868" s="14"/>
    </row>
    <row r="869" ht="15.75" customHeight="1">
      <c r="A869" s="14"/>
      <c r="B869" s="14"/>
    </row>
    <row r="870" ht="15.75" customHeight="1">
      <c r="A870" s="14"/>
      <c r="B870" s="14"/>
    </row>
    <row r="871" ht="15.75" customHeight="1">
      <c r="A871" s="14"/>
      <c r="B871" s="14"/>
    </row>
    <row r="872" ht="15.75" customHeight="1">
      <c r="A872" s="14"/>
      <c r="B872" s="14"/>
    </row>
    <row r="873" ht="15.75" customHeight="1">
      <c r="A873" s="14"/>
      <c r="B873" s="14"/>
    </row>
    <row r="874" ht="15.75" customHeight="1">
      <c r="A874" s="14"/>
      <c r="B874" s="14"/>
    </row>
    <row r="875" ht="15.75" customHeight="1">
      <c r="A875" s="14"/>
      <c r="B875" s="14"/>
    </row>
    <row r="876" ht="15.75" customHeight="1">
      <c r="A876" s="14"/>
      <c r="B876" s="14"/>
    </row>
    <row r="877" ht="15.75" customHeight="1">
      <c r="A877" s="14"/>
      <c r="B877" s="14"/>
    </row>
    <row r="878" ht="15.75" customHeight="1">
      <c r="A878" s="14"/>
      <c r="B878" s="14"/>
    </row>
    <row r="879" ht="15.75" customHeight="1">
      <c r="A879" s="14"/>
      <c r="B879" s="14"/>
    </row>
    <row r="880" ht="15.75" customHeight="1">
      <c r="A880" s="14"/>
      <c r="B880" s="14"/>
    </row>
    <row r="881" ht="15.75" customHeight="1">
      <c r="A881" s="14"/>
      <c r="B881" s="14"/>
    </row>
    <row r="882" ht="15.75" customHeight="1">
      <c r="A882" s="14"/>
      <c r="B882" s="14"/>
    </row>
    <row r="883" ht="15.75" customHeight="1">
      <c r="A883" s="14"/>
      <c r="B883" s="14"/>
    </row>
    <row r="884" ht="15.75" customHeight="1">
      <c r="A884" s="14"/>
      <c r="B884" s="14"/>
    </row>
    <row r="885" ht="15.75" customHeight="1">
      <c r="A885" s="14"/>
      <c r="B885" s="14"/>
    </row>
    <row r="886" ht="15.75" customHeight="1">
      <c r="A886" s="14"/>
      <c r="B886" s="14"/>
    </row>
    <row r="887" ht="15.75" customHeight="1">
      <c r="A887" s="14"/>
      <c r="B887" s="14"/>
    </row>
    <row r="888" ht="15.75" customHeight="1">
      <c r="A888" s="14"/>
      <c r="B888" s="14"/>
    </row>
    <row r="889" ht="15.75" customHeight="1">
      <c r="A889" s="14"/>
      <c r="B889" s="14"/>
    </row>
    <row r="890" ht="15.75" customHeight="1">
      <c r="A890" s="14"/>
      <c r="B890" s="14"/>
    </row>
    <row r="891" ht="15.75" customHeight="1">
      <c r="A891" s="14"/>
      <c r="B891" s="14"/>
    </row>
    <row r="892" ht="15.75" customHeight="1">
      <c r="A892" s="14"/>
      <c r="B892" s="14"/>
    </row>
    <row r="893" ht="15.75" customHeight="1">
      <c r="A893" s="14"/>
      <c r="B893" s="14"/>
    </row>
    <row r="894" ht="15.75" customHeight="1">
      <c r="A894" s="14"/>
      <c r="B894" s="14"/>
    </row>
    <row r="895" ht="15.75" customHeight="1">
      <c r="A895" s="14"/>
      <c r="B895" s="14"/>
    </row>
    <row r="896" ht="15.75" customHeight="1">
      <c r="A896" s="14"/>
      <c r="B896" s="14"/>
    </row>
    <row r="897" ht="15.75" customHeight="1">
      <c r="A897" s="14"/>
      <c r="B897" s="14"/>
    </row>
    <row r="898" ht="15.75" customHeight="1">
      <c r="A898" s="14"/>
      <c r="B898" s="14"/>
    </row>
    <row r="899" ht="15.75" customHeight="1">
      <c r="A899" s="14"/>
      <c r="B899" s="14"/>
    </row>
    <row r="900" ht="15.75" customHeight="1">
      <c r="A900" s="14"/>
      <c r="B900" s="14"/>
    </row>
    <row r="901" ht="15.75" customHeight="1">
      <c r="A901" s="14"/>
      <c r="B901" s="14"/>
    </row>
    <row r="902" ht="15.75" customHeight="1">
      <c r="A902" s="14"/>
      <c r="B902" s="14"/>
    </row>
    <row r="903" ht="15.75" customHeight="1">
      <c r="A903" s="14"/>
      <c r="B903" s="14"/>
    </row>
    <row r="904" ht="15.75" customHeight="1">
      <c r="A904" s="14"/>
      <c r="B904" s="14"/>
    </row>
    <row r="905" ht="15.75" customHeight="1">
      <c r="A905" s="14"/>
      <c r="B905" s="14"/>
    </row>
    <row r="906" ht="15.75" customHeight="1">
      <c r="A906" s="14"/>
      <c r="B906" s="14"/>
    </row>
    <row r="907" ht="15.75" customHeight="1">
      <c r="A907" s="14"/>
      <c r="B907" s="14"/>
    </row>
    <row r="908" ht="15.75" customHeight="1">
      <c r="A908" s="14"/>
      <c r="B908" s="14"/>
    </row>
    <row r="909" ht="15.75" customHeight="1">
      <c r="A909" s="14"/>
      <c r="B909" s="14"/>
    </row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0"/>
  <cols>
    <col customWidth="1" min="1" max="1" width="41.88"/>
    <col customWidth="1" min="2" max="2" width="17.5"/>
    <col customWidth="1" min="3" max="3" width="19.25"/>
    <col customWidth="1" min="4" max="4" width="18.5"/>
    <col customWidth="1" min="5" max="5" width="17.63"/>
    <col customWidth="1" min="6" max="6" width="18.13"/>
    <col customWidth="1" min="11" max="11" width="16.88"/>
    <col customWidth="1" min="12" max="12" width="20.0"/>
  </cols>
  <sheetData>
    <row r="1" ht="15.75" customHeight="1">
      <c r="B1" s="3" t="s">
        <v>0</v>
      </c>
      <c r="C1" s="3" t="str">
        <f>TEXT(C3,"MMMM-YYY")</f>
        <v>October-2025</v>
      </c>
    </row>
    <row r="2" ht="15.75" customHeight="1">
      <c r="A2" s="7"/>
      <c r="B2" s="3" t="s">
        <v>1</v>
      </c>
      <c r="C2" s="8">
        <v>45931.0</v>
      </c>
      <c r="E2" s="9" t="s">
        <v>2</v>
      </c>
      <c r="F2" s="10" t="str">
        <f>IF(SUM(D:D) = SUM(E:E), "✅ Balanced", "⚠️ Unbalanced")</f>
        <v>#REF!</v>
      </c>
    </row>
    <row r="3" ht="15.75" customHeight="1">
      <c r="B3" s="3" t="s">
        <v>3</v>
      </c>
      <c r="C3" s="8">
        <f>EOMONTH(C2,0)</f>
        <v>45961</v>
      </c>
      <c r="E3" s="11"/>
    </row>
    <row r="4" ht="15.75" customHeight="1"/>
    <row r="5" ht="15.75" customHeight="1">
      <c r="D5" s="12" t="str">
        <f t="shared" ref="D5:E5" si="1">SUM(D8:D1000)</f>
        <v>#REF!</v>
      </c>
      <c r="E5" s="12" t="str">
        <f t="shared" si="1"/>
        <v>#REF!</v>
      </c>
      <c r="F5" s="12" t="str">
        <f>D5-E5</f>
        <v>#REF!</v>
      </c>
    </row>
    <row r="6" ht="15.75" customHeight="1"/>
    <row r="7" ht="15.75" customHeight="1">
      <c r="A7" s="1" t="s">
        <v>4</v>
      </c>
      <c r="B7" s="1" t="s">
        <v>5</v>
      </c>
      <c r="C7" s="1" t="s">
        <v>6</v>
      </c>
      <c r="D7" s="1" t="s">
        <v>7</v>
      </c>
      <c r="E7" s="1" t="s">
        <v>8</v>
      </c>
      <c r="F7" s="1" t="s">
        <v>9</v>
      </c>
    </row>
    <row r="8" ht="15.75" customHeight="1">
      <c r="A8" s="1" t="str">
        <f t="array" ref="A8:A909">Helper!E99:E1000</f>
        <v/>
      </c>
      <c r="B8" s="1" t="str">
        <f t="array" ref="B8:B909">Helper!D99:D1000</f>
        <v/>
      </c>
      <c r="C8" s="13" t="str">
        <f>Sep_2025!F8</f>
        <v>#N/A</v>
      </c>
      <c r="D8" s="13" t="str">
        <f>IFERROR(__xludf.DUMMYFUNCTION("IFNA(QUERY(IMPORTRANGE(""https://docs.google.com/spreadsheets/d/1EHL-jm_NiShR1a2JqKbpaJGazYH90DJO150spY6io4k/edit?gid=0#gid=0"", 
""Gen_Ledger!A:N""), 
""SELECT SUM(Col10) WHERE Col7 = ""&amp;B8&amp;"" AND Col1 &gt;= DATE '"" &amp; TEXT($C$2, ""YYYY-MM-DD"") &amp; ""' AND C"&amp;"ol1 &lt;= DATE '"" &amp; TEXT($C$3, ""YYYY-MM-DD"") &amp; ""' LABEL SUM(Col10) ''"", 0), """")"),"#REF!")</f>
        <v>#REF!</v>
      </c>
      <c r="E8" s="13" t="str">
        <f>IFERROR(__xludf.DUMMYFUNCTION("IFNA(QUERY(IMPORTRANGE(""https://docs.google.com/spreadsheets/d/1EHL-jm_NiShR1a2JqKbpaJGazYH90DJO150spY6io4k/edit?gid=0#gid=0"", 
""Gen_Ledger!A:N""), 
""SELECT SUM(Col11) WHERE Col7 = ""&amp;B8&amp;"" AND Col1 &gt;= DATE '"" &amp; TEXT($C$2, ""YYYY-MM-DD"") &amp; ""' AND C"&amp;"ol1 &lt;= DATE '"" &amp; TEXT($C$3, ""YYYY-MM-DD"") &amp; ""' LABEL SUM(Col11) ''"", 0), """")"),"#REF!")</f>
        <v>#REF!</v>
      </c>
      <c r="F8" s="13" t="str">
        <f t="shared" ref="F8:F21" si="2">C8+D8-E8</f>
        <v>#N/A</v>
      </c>
    </row>
    <row r="9" ht="15.75" customHeight="1">
      <c r="A9" s="1"/>
      <c r="B9" s="1"/>
      <c r="C9" s="13" t="str">
        <f>Sep_2025!F9</f>
        <v>#N/A</v>
      </c>
      <c r="D9" s="13" t="str">
        <f>IFERROR(__xludf.DUMMYFUNCTION("IFNA(QUERY(IMPORTRANGE(""https://docs.google.com/spreadsheets/d/1EHL-jm_NiShR1a2JqKbpaJGazYH90DJO150spY6io4k/edit?gid=0#gid=0"", 
""Gen_Ledger!A:N""), 
""SELECT SUM(Col10) WHERE Col7 = ""&amp;B9&amp;"" AND Col1 &gt;= DATE '"" &amp; TEXT($C$2, ""YYYY-MM-DD"") &amp; ""' AND C"&amp;"ol1 &lt;= DATE '"" &amp; TEXT($C$3, ""YYYY-MM-DD"") &amp; ""' LABEL SUM(Col10) ''"", 0), """")"),"#REF!")</f>
        <v>#REF!</v>
      </c>
      <c r="E9" s="13" t="str">
        <f>IFERROR(__xludf.DUMMYFUNCTION("IFNA(QUERY(IMPORTRANGE(""https://docs.google.com/spreadsheets/d/1EHL-jm_NiShR1a2JqKbpaJGazYH90DJO150spY6io4k/edit?gid=0#gid=0"", 
""Gen_Ledger!A:N""), 
""SELECT SUM(Col11) WHERE Col7 = ""&amp;B9&amp;"" AND Col1 &gt;= DATE '"" &amp; TEXT($C$2, ""YYYY-MM-DD"") &amp; ""' AND C"&amp;"ol1 &lt;= DATE '"" &amp; TEXT($C$3, ""YYYY-MM-DD"") &amp; ""' LABEL SUM(Col11) ''"", 0), """")"),"#REF!")</f>
        <v>#REF!</v>
      </c>
      <c r="F9" s="13" t="str">
        <f t="shared" si="2"/>
        <v>#N/A</v>
      </c>
    </row>
    <row r="10" ht="15.75" customHeight="1">
      <c r="A10" s="1"/>
      <c r="B10" s="1"/>
      <c r="C10" s="13" t="str">
        <f>Sep_2025!F10</f>
        <v>#N/A</v>
      </c>
      <c r="D10" s="13" t="str">
        <f>IFERROR(__xludf.DUMMYFUNCTION("IFNA(QUERY(IMPORTRANGE(""https://docs.google.com/spreadsheets/d/1EHL-jm_NiShR1a2JqKbpaJGazYH90DJO150spY6io4k/edit?gid=0#gid=0"", 
""Gen_Ledger!A:N""), 
""SELECT SUM(Col10) WHERE Col7 = ""&amp;B10&amp;"" AND Col1 &gt;= DATE '"" &amp; TEXT($C$2, ""YYYY-MM-DD"") &amp; ""' AND "&amp;"Col1 &lt;= DATE '"" &amp; TEXT($C$3, ""YYYY-MM-DD"") &amp; ""' LABEL SUM(Col10) ''"", 0), """")"),"#REF!")</f>
        <v>#REF!</v>
      </c>
      <c r="E10" s="13" t="str">
        <f>IFERROR(__xludf.DUMMYFUNCTION("IFNA(QUERY(IMPORTRANGE(""https://docs.google.com/spreadsheets/d/1EHL-jm_NiShR1a2JqKbpaJGazYH90DJO150spY6io4k/edit?gid=0#gid=0"", 
""Gen_Ledger!A:N""), 
""SELECT SUM(Col11) WHERE Col7 = ""&amp;B10&amp;"" AND Col1 &gt;= DATE '"" &amp; TEXT($C$2, ""YYYY-MM-DD"") &amp; ""' AND "&amp;"Col1 &lt;= DATE '"" &amp; TEXT($C$3, ""YYYY-MM-DD"") &amp; ""' LABEL SUM(Col11) ''"", 0), """")"),"#REF!")</f>
        <v>#REF!</v>
      </c>
      <c r="F10" s="13" t="str">
        <f t="shared" si="2"/>
        <v>#N/A</v>
      </c>
    </row>
    <row r="11" ht="15.75" customHeight="1">
      <c r="A11" s="1"/>
      <c r="B11" s="1"/>
      <c r="C11" s="13" t="str">
        <f>Sep_2025!F11</f>
        <v>#N/A</v>
      </c>
      <c r="D11" s="13" t="str">
        <f>IFERROR(__xludf.DUMMYFUNCTION("IFNA(QUERY(IMPORTRANGE(""https://docs.google.com/spreadsheets/d/1EHL-jm_NiShR1a2JqKbpaJGazYH90DJO150spY6io4k/edit?gid=0#gid=0"", 
""Gen_Ledger!A:N""), 
""SELECT SUM(Col10) WHERE Col7 = ""&amp;B11&amp;"" AND Col1 &gt;= DATE '"" &amp; TEXT($C$2, ""YYYY-MM-DD"") &amp; ""' AND "&amp;"Col1 &lt;= DATE '"" &amp; TEXT($C$3, ""YYYY-MM-DD"") &amp; ""' LABEL SUM(Col10) ''"", 0), """")"),"#REF!")</f>
        <v>#REF!</v>
      </c>
      <c r="E11" s="13" t="str">
        <f>IFERROR(__xludf.DUMMYFUNCTION("IFNA(QUERY(IMPORTRANGE(""https://docs.google.com/spreadsheets/d/1EHL-jm_NiShR1a2JqKbpaJGazYH90DJO150spY6io4k/edit?gid=0#gid=0"", 
""Gen_Ledger!A:N""), 
""SELECT SUM(Col11) WHERE Col7 = ""&amp;B11&amp;"" AND Col1 &gt;= DATE '"" &amp; TEXT($C$2, ""YYYY-MM-DD"") &amp; ""' AND "&amp;"Col1 &lt;= DATE '"" &amp; TEXT($C$3, ""YYYY-MM-DD"") &amp; ""' LABEL SUM(Col11) ''"", 0), """")"),"#REF!")</f>
        <v>#REF!</v>
      </c>
      <c r="F11" s="13" t="str">
        <f t="shared" si="2"/>
        <v>#N/A</v>
      </c>
    </row>
    <row r="12" ht="15.75" customHeight="1">
      <c r="A12" s="1"/>
      <c r="B12" s="1"/>
      <c r="C12" s="13" t="str">
        <f>Sep_2025!F12</f>
        <v>#N/A</v>
      </c>
      <c r="D12" s="13" t="str">
        <f>IFERROR(__xludf.DUMMYFUNCTION("IFNA(QUERY(IMPORTRANGE(""https://docs.google.com/spreadsheets/d/1EHL-jm_NiShR1a2JqKbpaJGazYH90DJO150spY6io4k/edit?gid=0#gid=0"", 
""Gen_Ledger!A:N""), 
""SELECT SUM(Col10) WHERE Col7 = ""&amp;B12&amp;"" AND Col1 &gt;= DATE '"" &amp; TEXT($C$2, ""YYYY-MM-DD"") &amp; ""' AND "&amp;"Col1 &lt;= DATE '"" &amp; TEXT($C$3, ""YYYY-MM-DD"") &amp; ""' LABEL SUM(Col10) ''"", 0), """")"),"#REF!")</f>
        <v>#REF!</v>
      </c>
      <c r="E12" s="13" t="str">
        <f>IFERROR(__xludf.DUMMYFUNCTION("IFNA(QUERY(IMPORTRANGE(""https://docs.google.com/spreadsheets/d/1EHL-jm_NiShR1a2JqKbpaJGazYH90DJO150spY6io4k/edit?gid=0#gid=0"", 
""Gen_Ledger!A:N""), 
""SELECT SUM(Col11) WHERE Col7 = ""&amp;B12&amp;"" AND Col1 &gt;= DATE '"" &amp; TEXT($C$2, ""YYYY-MM-DD"") &amp; ""' AND "&amp;"Col1 &lt;= DATE '"" &amp; TEXT($C$3, ""YYYY-MM-DD"") &amp; ""' LABEL SUM(Col11) ''"", 0), """")"),"#REF!")</f>
        <v>#REF!</v>
      </c>
      <c r="F12" s="13" t="str">
        <f t="shared" si="2"/>
        <v>#N/A</v>
      </c>
    </row>
    <row r="13" ht="15.75" customHeight="1">
      <c r="A13" s="1"/>
      <c r="B13" s="1"/>
      <c r="C13" s="13" t="str">
        <f>Sep_2025!F13</f>
        <v>#N/A</v>
      </c>
      <c r="D13" s="13" t="str">
        <f>IFERROR(__xludf.DUMMYFUNCTION("IFNA(QUERY(IMPORTRANGE(""https://docs.google.com/spreadsheets/d/1EHL-jm_NiShR1a2JqKbpaJGazYH90DJO150spY6io4k/edit?gid=0#gid=0"", 
""Gen_Ledger!A:N""), 
""SELECT SUM(Col10) WHERE Col7 = ""&amp;B13&amp;"" AND Col1 &gt;= DATE '"" &amp; TEXT($C$2, ""YYYY-MM-DD"") &amp; ""' AND "&amp;"Col1 &lt;= DATE '"" &amp; TEXT($C$3, ""YYYY-MM-DD"") &amp; ""' LABEL SUM(Col10) ''"", 0), """")"),"#REF!")</f>
        <v>#REF!</v>
      </c>
      <c r="E13" s="13" t="str">
        <f>IFERROR(__xludf.DUMMYFUNCTION("IFNA(QUERY(IMPORTRANGE(""https://docs.google.com/spreadsheets/d/1EHL-jm_NiShR1a2JqKbpaJGazYH90DJO150spY6io4k/edit?gid=0#gid=0"", 
""Gen_Ledger!A:N""), 
""SELECT SUM(Col11) WHERE Col7 = ""&amp;B13&amp;"" AND Col1 &gt;= DATE '"" &amp; TEXT($C$2, ""YYYY-MM-DD"") &amp; ""' AND "&amp;"Col1 &lt;= DATE '"" &amp; TEXT($C$3, ""YYYY-MM-DD"") &amp; ""' LABEL SUM(Col11) ''"", 0), """")"),"#REF!")</f>
        <v>#REF!</v>
      </c>
      <c r="F13" s="13" t="str">
        <f t="shared" si="2"/>
        <v>#N/A</v>
      </c>
      <c r="I13" s="4"/>
    </row>
    <row r="14" ht="15.75" customHeight="1">
      <c r="A14" s="1"/>
      <c r="B14" s="1"/>
      <c r="C14" s="13" t="str">
        <f>Sep_2025!F14</f>
        <v>#N/A</v>
      </c>
      <c r="D14" s="13" t="str">
        <f>IFERROR(__xludf.DUMMYFUNCTION("IFNA(QUERY(IMPORTRANGE(""https://docs.google.com/spreadsheets/d/1EHL-jm_NiShR1a2JqKbpaJGazYH90DJO150spY6io4k/edit?gid=0#gid=0"", 
""Gen_Ledger!A:N""), 
""SELECT SUM(Col10) WHERE Col7 = ""&amp;B14&amp;"" AND Col1 &gt;= DATE '"" &amp; TEXT($C$2, ""YYYY-MM-DD"") &amp; ""' AND "&amp;"Col1 &lt;= DATE '"" &amp; TEXT($C$3, ""YYYY-MM-DD"") &amp; ""' LABEL SUM(Col10) ''"", 0), """")"),"#REF!")</f>
        <v>#REF!</v>
      </c>
      <c r="E14" s="13" t="str">
        <f>IFERROR(__xludf.DUMMYFUNCTION("IFNA(QUERY(IMPORTRANGE(""https://docs.google.com/spreadsheets/d/1EHL-jm_NiShR1a2JqKbpaJGazYH90DJO150spY6io4k/edit?gid=0#gid=0"", 
""Gen_Ledger!A:N""), 
""SELECT SUM(Col11) WHERE Col7 = ""&amp;B14&amp;"" AND Col1 &gt;= DATE '"" &amp; TEXT($C$2, ""YYYY-MM-DD"") &amp; ""' AND "&amp;"Col1 &lt;= DATE '"" &amp; TEXT($C$3, ""YYYY-MM-DD"") &amp; ""' LABEL SUM(Col11) ''"", 0), """")"),"#REF!")</f>
        <v>#REF!</v>
      </c>
      <c r="F14" s="13" t="str">
        <f t="shared" si="2"/>
        <v>#N/A</v>
      </c>
    </row>
    <row r="15" ht="15.75" customHeight="1">
      <c r="A15" s="1"/>
      <c r="B15" s="1"/>
      <c r="C15" s="13" t="str">
        <f>Sep_2025!F15</f>
        <v>#N/A</v>
      </c>
      <c r="D15" s="13" t="str">
        <f>IFERROR(__xludf.DUMMYFUNCTION("IFNA(QUERY(IMPORTRANGE(""https://docs.google.com/spreadsheets/d/1EHL-jm_NiShR1a2JqKbpaJGazYH90DJO150spY6io4k/edit?gid=0#gid=0"", 
""Gen_Ledger!A:N""), 
""SELECT SUM(Col10) WHERE Col7 = ""&amp;B15&amp;"" AND Col1 &gt;= DATE '"" &amp; TEXT($C$2, ""YYYY-MM-DD"") &amp; ""' AND "&amp;"Col1 &lt;= DATE '"" &amp; TEXT($C$3, ""YYYY-MM-DD"") &amp; ""' LABEL SUM(Col10) ''"", 0), """")"),"#REF!")</f>
        <v>#REF!</v>
      </c>
      <c r="E15" s="13" t="str">
        <f>IFERROR(__xludf.DUMMYFUNCTION("IFNA(QUERY(IMPORTRANGE(""https://docs.google.com/spreadsheets/d/1EHL-jm_NiShR1a2JqKbpaJGazYH90DJO150spY6io4k/edit?gid=0#gid=0"", 
""Gen_Ledger!A:N""), 
""SELECT SUM(Col11) WHERE Col7 = ""&amp;B15&amp;"" AND Col1 &gt;= DATE '"" &amp; TEXT($C$2, ""YYYY-MM-DD"") &amp; ""' AND "&amp;"Col1 &lt;= DATE '"" &amp; TEXT($C$3, ""YYYY-MM-DD"") &amp; ""' LABEL SUM(Col11) ''"", 0), """")"),"#REF!")</f>
        <v>#REF!</v>
      </c>
      <c r="F15" s="13" t="str">
        <f t="shared" si="2"/>
        <v>#N/A</v>
      </c>
    </row>
    <row r="16" ht="15.75" customHeight="1">
      <c r="A16" s="1"/>
      <c r="B16" s="1"/>
      <c r="C16" s="13" t="str">
        <f>Sep_2025!F16</f>
        <v>#N/A</v>
      </c>
      <c r="D16" s="13" t="str">
        <f>IFERROR(__xludf.DUMMYFUNCTION("IFNA(QUERY(IMPORTRANGE(""https://docs.google.com/spreadsheets/d/1EHL-jm_NiShR1a2JqKbpaJGazYH90DJO150spY6io4k/edit?gid=0#gid=0"", 
""Gen_Ledger!A:N""), 
""SELECT SUM(Col10) WHERE Col7 = ""&amp;B16&amp;"" AND Col1 &gt;= DATE '"" &amp; TEXT($C$2, ""YYYY-MM-DD"") &amp; ""' AND "&amp;"Col1 &lt;= DATE '"" &amp; TEXT($C$3, ""YYYY-MM-DD"") &amp; ""' LABEL SUM(Col10) ''"", 0), """")"),"#REF!")</f>
        <v>#REF!</v>
      </c>
      <c r="E16" s="13" t="str">
        <f>IFERROR(__xludf.DUMMYFUNCTION("IFNA(QUERY(IMPORTRANGE(""https://docs.google.com/spreadsheets/d/1EHL-jm_NiShR1a2JqKbpaJGazYH90DJO150spY6io4k/edit?gid=0#gid=0"", 
""Gen_Ledger!A:N""), 
""SELECT SUM(Col11) WHERE Col7 = ""&amp;B16&amp;"" AND Col1 &gt;= DATE '"" &amp; TEXT($C$2, ""YYYY-MM-DD"") &amp; ""' AND "&amp;"Col1 &lt;= DATE '"" &amp; TEXT($C$3, ""YYYY-MM-DD"") &amp; ""' LABEL SUM(Col11) ''"", 0), """")"),"#REF!")</f>
        <v>#REF!</v>
      </c>
      <c r="F16" s="13" t="str">
        <f t="shared" si="2"/>
        <v>#N/A</v>
      </c>
    </row>
    <row r="17" ht="15.75" customHeight="1">
      <c r="A17" s="1"/>
      <c r="B17" s="1"/>
      <c r="C17" s="13" t="str">
        <f>Sep_2025!F17</f>
        <v>#N/A</v>
      </c>
      <c r="D17" s="13" t="str">
        <f>IFERROR(__xludf.DUMMYFUNCTION("IFNA(QUERY(IMPORTRANGE(""https://docs.google.com/spreadsheets/d/1EHL-jm_NiShR1a2JqKbpaJGazYH90DJO150spY6io4k/edit?gid=0#gid=0"", 
""Gen_Ledger!A:N""), 
""SELECT SUM(Col10) WHERE Col7 = ""&amp;B17&amp;"" AND Col1 &gt;= DATE '"" &amp; TEXT($C$2, ""YYYY-MM-DD"") &amp; ""' AND "&amp;"Col1 &lt;= DATE '"" &amp; TEXT($C$3, ""YYYY-MM-DD"") &amp; ""' LABEL SUM(Col10) ''"", 0), """")"),"#REF!")</f>
        <v>#REF!</v>
      </c>
      <c r="E17" s="13" t="str">
        <f>IFERROR(__xludf.DUMMYFUNCTION("IFNA(QUERY(IMPORTRANGE(""https://docs.google.com/spreadsheets/d/1EHL-jm_NiShR1a2JqKbpaJGazYH90DJO150spY6io4k/edit?gid=0#gid=0"", 
""Gen_Ledger!A:N""), 
""SELECT SUM(Col11) WHERE Col7 = ""&amp;B17&amp;"" AND Col1 &gt;= DATE '"" &amp; TEXT($C$2, ""YYYY-MM-DD"") &amp; ""' AND "&amp;"Col1 &lt;= DATE '"" &amp; TEXT($C$3, ""YYYY-MM-DD"") &amp; ""' LABEL SUM(Col11) ''"", 0), """")"),"#REF!")</f>
        <v>#REF!</v>
      </c>
      <c r="F17" s="13" t="str">
        <f t="shared" si="2"/>
        <v>#N/A</v>
      </c>
    </row>
    <row r="18" ht="15.75" customHeight="1">
      <c r="A18" s="1"/>
      <c r="B18" s="1"/>
      <c r="C18" s="13" t="str">
        <f>Sep_2025!F18</f>
        <v>#N/A</v>
      </c>
      <c r="D18" s="13" t="str">
        <f>IFERROR(__xludf.DUMMYFUNCTION("IFNA(QUERY(IMPORTRANGE(""https://docs.google.com/spreadsheets/d/1EHL-jm_NiShR1a2JqKbpaJGazYH90DJO150spY6io4k/edit?gid=0#gid=0"", 
""Gen_Ledger!A:N""), 
""SELECT SUM(Col10) WHERE Col7 = ""&amp;B18&amp;"" AND Col1 &gt;= DATE '"" &amp; TEXT($C$2, ""YYYY-MM-DD"") &amp; ""' AND "&amp;"Col1 &lt;= DATE '"" &amp; TEXT($C$3, ""YYYY-MM-DD"") &amp; ""' LABEL SUM(Col10) ''"", 0), """")"),"#REF!")</f>
        <v>#REF!</v>
      </c>
      <c r="E18" s="13" t="str">
        <f>IFERROR(__xludf.DUMMYFUNCTION("IFNA(QUERY(IMPORTRANGE(""https://docs.google.com/spreadsheets/d/1EHL-jm_NiShR1a2JqKbpaJGazYH90DJO150spY6io4k/edit?gid=0#gid=0"", 
""Gen_Ledger!A:N""), 
""SELECT SUM(Col11) WHERE Col7 = ""&amp;B18&amp;"" AND Col1 &gt;= DATE '"" &amp; TEXT($C$2, ""YYYY-MM-DD"") &amp; ""' AND "&amp;"Col1 &lt;= DATE '"" &amp; TEXT($C$3, ""YYYY-MM-DD"") &amp; ""' LABEL SUM(Col11) ''"", 0), """")"),"#REF!")</f>
        <v>#REF!</v>
      </c>
      <c r="F18" s="13" t="str">
        <f t="shared" si="2"/>
        <v>#N/A</v>
      </c>
    </row>
    <row r="19" ht="15.75" customHeight="1">
      <c r="A19" s="1"/>
      <c r="B19" s="1"/>
      <c r="C19" s="13" t="str">
        <f>Sep_2025!F19</f>
        <v>#N/A</v>
      </c>
      <c r="D19" s="13" t="str">
        <f>IFERROR(__xludf.DUMMYFUNCTION("IFNA(QUERY(IMPORTRANGE(""https://docs.google.com/spreadsheets/d/1EHL-jm_NiShR1a2JqKbpaJGazYH90DJO150spY6io4k/edit?gid=0#gid=0"", 
""Gen_Ledger!A:N""), 
""SELECT SUM(Col10) WHERE Col7 = ""&amp;B19&amp;"" AND Col1 &gt;= DATE '"" &amp; TEXT($C$2, ""YYYY-MM-DD"") &amp; ""' AND "&amp;"Col1 &lt;= DATE '"" &amp; TEXT($C$3, ""YYYY-MM-DD"") &amp; ""' LABEL SUM(Col10) ''"", 0), """")"),"#REF!")</f>
        <v>#REF!</v>
      </c>
      <c r="E19" s="13" t="str">
        <f>IFERROR(__xludf.DUMMYFUNCTION("IFNA(QUERY(IMPORTRANGE(""https://docs.google.com/spreadsheets/d/1EHL-jm_NiShR1a2JqKbpaJGazYH90DJO150spY6io4k/edit?gid=0#gid=0"", 
""Gen_Ledger!A:N""), 
""SELECT SUM(Col11) WHERE Col7 = ""&amp;B19&amp;"" AND Col1 &gt;= DATE '"" &amp; TEXT($C$2, ""YYYY-MM-DD"") &amp; ""' AND "&amp;"Col1 &lt;= DATE '"" &amp; TEXT($C$3, ""YYYY-MM-DD"") &amp; ""' LABEL SUM(Col11) ''"", 0), """")"),"#REF!")</f>
        <v>#REF!</v>
      </c>
      <c r="F19" s="13" t="str">
        <f t="shared" si="2"/>
        <v>#N/A</v>
      </c>
    </row>
    <row r="20" ht="15.75" customHeight="1">
      <c r="A20" s="1"/>
      <c r="B20" s="1"/>
      <c r="C20" s="13" t="str">
        <f>Sep_2025!F20</f>
        <v>#N/A</v>
      </c>
      <c r="D20" s="13" t="str">
        <f>IFERROR(__xludf.DUMMYFUNCTION("IFNA(QUERY(IMPORTRANGE(""https://docs.google.com/spreadsheets/d/1EHL-jm_NiShR1a2JqKbpaJGazYH90DJO150spY6io4k/edit?gid=0#gid=0"", 
""Gen_Ledger!A:N""), 
""SELECT SUM(Col10) WHERE Col7 = ""&amp;B20&amp;"" AND Col1 &gt;= DATE '"" &amp; TEXT($C$2, ""YYYY-MM-DD"") &amp; ""' AND "&amp;"Col1 &lt;= DATE '"" &amp; TEXT($C$3, ""YYYY-MM-DD"") &amp; ""' LABEL SUM(Col10) ''"", 0), """")"),"#REF!")</f>
        <v>#REF!</v>
      </c>
      <c r="E20" s="13" t="str">
        <f>IFERROR(__xludf.DUMMYFUNCTION("IFNA(QUERY(IMPORTRANGE(""https://docs.google.com/spreadsheets/d/1EHL-jm_NiShR1a2JqKbpaJGazYH90DJO150spY6io4k/edit?gid=0#gid=0"", 
""Gen_Ledger!A:N""), 
""SELECT SUM(Col11) WHERE Col7 = ""&amp;B20&amp;"" AND Col1 &gt;= DATE '"" &amp; TEXT($C$2, ""YYYY-MM-DD"") &amp; ""' AND "&amp;"Col1 &lt;= DATE '"" &amp; TEXT($C$3, ""YYYY-MM-DD"") &amp; ""' LABEL SUM(Col11) ''"", 0), """")"),"#REF!")</f>
        <v>#REF!</v>
      </c>
      <c r="F20" s="13" t="str">
        <f t="shared" si="2"/>
        <v>#N/A</v>
      </c>
    </row>
    <row r="21" ht="15.75" customHeight="1">
      <c r="A21" s="1"/>
      <c r="B21" s="1"/>
      <c r="C21" s="13" t="str">
        <f>Sep_2025!F21</f>
        <v>#N/A</v>
      </c>
      <c r="D21" s="13" t="str">
        <f>IFERROR(__xludf.DUMMYFUNCTION("IFNA(QUERY(IMPORTRANGE(""https://docs.google.com/spreadsheets/d/1EHL-jm_NiShR1a2JqKbpaJGazYH90DJO150spY6io4k/edit?gid=0#gid=0"", 
""Gen_Ledger!A:N""), 
""SELECT SUM(Col10) WHERE Col7 = ""&amp;B21&amp;"" AND Col1 &gt;= DATE '"" &amp; TEXT($C$2, ""YYYY-MM-DD"") &amp; ""' AND "&amp;"Col1 &lt;= DATE '"" &amp; TEXT($C$3, ""YYYY-MM-DD"") &amp; ""' LABEL SUM(Col10) ''"", 0), """")"),"#REF!")</f>
        <v>#REF!</v>
      </c>
      <c r="E21" s="13" t="str">
        <f>IFERROR(__xludf.DUMMYFUNCTION("IFNA(QUERY(IMPORTRANGE(""https://docs.google.com/spreadsheets/d/1EHL-jm_NiShR1a2JqKbpaJGazYH90DJO150spY6io4k/edit?gid=0#gid=0"", 
""Gen_Ledger!A:N""), 
""SELECT SUM(Col11) WHERE Col7 = ""&amp;B21&amp;"" AND Col1 &gt;= DATE '"" &amp; TEXT($C$2, ""YYYY-MM-DD"") &amp; ""' AND "&amp;"Col1 &lt;= DATE '"" &amp; TEXT($C$3, ""YYYY-MM-DD"") &amp; ""' LABEL SUM(Col11) ''"", 0), """")"),"#REF!")</f>
        <v>#REF!</v>
      </c>
      <c r="F21" s="13" t="str">
        <f t="shared" si="2"/>
        <v>#N/A</v>
      </c>
      <c r="M21" s="12"/>
    </row>
    <row r="22" ht="15.75" customHeight="1">
      <c r="A22" s="1"/>
      <c r="B22" s="1"/>
      <c r="C22" s="13" t="str">
        <f>Sep_2025!F22</f>
        <v>#N/A</v>
      </c>
      <c r="D22" s="13" t="str">
        <f>IFERROR(__xludf.DUMMYFUNCTION("IFNA(QUERY(IMPORTRANGE(""https://docs.google.com/spreadsheets/d/1EHL-jm_NiShR1a2JqKbpaJGazYH90DJO150spY6io4k/edit?gid=0#gid=0"", 
""Gen_Ledger!A:N""), 
""SELECT SUM(Col10) WHERE Col7 = ""&amp;B22&amp;"" AND Col1 &gt;= DATE '"" &amp; TEXT($C$2, ""YYYY-MM-DD"") &amp; ""' AND "&amp;"Col1 &lt;= DATE '"" &amp; TEXT($C$3, ""YYYY-MM-DD"") &amp; ""' LABEL SUM(Col10) ''"", 0), """")"),"#REF!")</f>
        <v>#REF!</v>
      </c>
      <c r="E22" s="13" t="str">
        <f>IFERROR(__xludf.DUMMYFUNCTION("IFNA(QUERY(IMPORTRANGE(""https://docs.google.com/spreadsheets/d/1EHL-jm_NiShR1a2JqKbpaJGazYH90DJO150spY6io4k/edit?gid=0#gid=0"", 
""Gen_Ledger!A:N""), 
""SELECT SUM(Col11) WHERE Col7 = ""&amp;B22&amp;"" AND Col1 &gt;= DATE '"" &amp; TEXT($C$2, ""YYYY-MM-DD"") &amp; ""' AND "&amp;"Col1 &lt;= DATE '"" &amp; TEXT($C$3, ""YYYY-MM-DD"") &amp; ""' LABEL SUM(Col11) ''"", 0), """")"),"#REF!")</f>
        <v>#REF!</v>
      </c>
      <c r="F22" s="13" t="str">
        <f t="shared" ref="F22:F26" si="3">C22+E22</f>
        <v>#N/A</v>
      </c>
      <c r="M22" s="12"/>
    </row>
    <row r="23" ht="15.75" customHeight="1">
      <c r="A23" s="1"/>
      <c r="B23" s="1"/>
      <c r="C23" s="13" t="str">
        <f>Sep_2025!F23</f>
        <v>#N/A</v>
      </c>
      <c r="D23" s="13" t="str">
        <f>IFERROR(__xludf.DUMMYFUNCTION("IFNA(QUERY(IMPORTRANGE(""https://docs.google.com/spreadsheets/d/1EHL-jm_NiShR1a2JqKbpaJGazYH90DJO150spY6io4k/edit?gid=0#gid=0"", 
""Gen_Ledger!A:N""), 
""SELECT SUM(Col10) WHERE Col7 = ""&amp;B23&amp;"" AND Col1 &gt;= DATE '"" &amp; TEXT($C$2, ""YYYY-MM-DD"") &amp; ""' AND "&amp;"Col1 &lt;= DATE '"" &amp; TEXT($C$3, ""YYYY-MM-DD"") &amp; ""' LABEL SUM(Col10) ''"", 0), """")"),"#REF!")</f>
        <v>#REF!</v>
      </c>
      <c r="E23" s="13" t="str">
        <f>IFERROR(__xludf.DUMMYFUNCTION("IFNA(QUERY(IMPORTRANGE(""https://docs.google.com/spreadsheets/d/1EHL-jm_NiShR1a2JqKbpaJGazYH90DJO150spY6io4k/edit?gid=0#gid=0"", 
""Gen_Ledger!A:N""), 
""SELECT SUM(Col11) WHERE Col7 = ""&amp;B23&amp;"" AND Col1 &gt;= DATE '"" &amp; TEXT($C$2, ""YYYY-MM-DD"") &amp; ""' AND "&amp;"Col1 &lt;= DATE '"" &amp; TEXT($C$3, ""YYYY-MM-DD"") &amp; ""' LABEL SUM(Col11) ''"", 0), """")"),"#REF!")</f>
        <v>#REF!</v>
      </c>
      <c r="F23" s="13" t="str">
        <f t="shared" si="3"/>
        <v>#N/A</v>
      </c>
      <c r="M23" s="12"/>
    </row>
    <row r="24" ht="15.75" customHeight="1">
      <c r="A24" s="1"/>
      <c r="B24" s="1"/>
      <c r="C24" s="13" t="str">
        <f>Sep_2025!F24</f>
        <v>#N/A</v>
      </c>
      <c r="D24" s="13" t="str">
        <f>IFERROR(__xludf.DUMMYFUNCTION("IFNA(QUERY(IMPORTRANGE(""https://docs.google.com/spreadsheets/d/1EHL-jm_NiShR1a2JqKbpaJGazYH90DJO150spY6io4k/edit?gid=0#gid=0"", 
""Gen_Ledger!A:N""), 
""SELECT SUM(Col10) WHERE Col7 = ""&amp;B24&amp;"" AND Col1 &gt;= DATE '"" &amp; TEXT($C$2, ""YYYY-MM-DD"") &amp; ""' AND "&amp;"Col1 &lt;= DATE '"" &amp; TEXT($C$3, ""YYYY-MM-DD"") &amp; ""' LABEL SUM(Col10) ''"", 0), """")"),"#REF!")</f>
        <v>#REF!</v>
      </c>
      <c r="E24" s="13" t="str">
        <f>IFERROR(__xludf.DUMMYFUNCTION("IFNA(QUERY(IMPORTRANGE(""https://docs.google.com/spreadsheets/d/1EHL-jm_NiShR1a2JqKbpaJGazYH90DJO150spY6io4k/edit?gid=0#gid=0"", 
""Gen_Ledger!A:N""), 
""SELECT SUM(Col11) WHERE Col7 = ""&amp;B24&amp;"" AND Col1 &gt;= DATE '"" &amp; TEXT($C$2, ""YYYY-MM-DD"") &amp; ""' AND "&amp;"Col1 &lt;= DATE '"" &amp; TEXT($C$3, ""YYYY-MM-DD"") &amp; ""' LABEL SUM(Col11) ''"", 0), """")"),"#REF!")</f>
        <v>#REF!</v>
      </c>
      <c r="F24" s="13" t="str">
        <f t="shared" si="3"/>
        <v>#N/A</v>
      </c>
      <c r="M24" s="12"/>
    </row>
    <row r="25" ht="15.75" customHeight="1">
      <c r="A25" s="1"/>
      <c r="B25" s="1"/>
      <c r="C25" s="13" t="str">
        <f>Sep_2025!F25</f>
        <v>#N/A</v>
      </c>
      <c r="D25" s="13" t="str">
        <f>IFERROR(__xludf.DUMMYFUNCTION("IFNA(QUERY(IMPORTRANGE(""https://docs.google.com/spreadsheets/d/1EHL-jm_NiShR1a2JqKbpaJGazYH90DJO150spY6io4k/edit?gid=0#gid=0"", 
""Gen_Ledger!A:N""), 
""SELECT SUM(Col10) WHERE Col7 = ""&amp;B25&amp;"" AND Col1 &gt;= DATE '"" &amp; TEXT($C$2, ""YYYY-MM-DD"") &amp; ""' AND "&amp;"Col1 &lt;= DATE '"" &amp; TEXT($C$3, ""YYYY-MM-DD"") &amp; ""' LABEL SUM(Col10) ''"", 0), """")"),"#REF!")</f>
        <v>#REF!</v>
      </c>
      <c r="E25" s="13" t="str">
        <f>IFERROR(__xludf.DUMMYFUNCTION("IFNA(QUERY(IMPORTRANGE(""https://docs.google.com/spreadsheets/d/1EHL-jm_NiShR1a2JqKbpaJGazYH90DJO150spY6io4k/edit?gid=0#gid=0"", 
""Gen_Ledger!A:N""), 
""SELECT SUM(Col11) WHERE Col7 = ""&amp;B25&amp;"" AND Col1 &gt;= DATE '"" &amp; TEXT($C$2, ""YYYY-MM-DD"") &amp; ""' AND "&amp;"Col1 &lt;= DATE '"" &amp; TEXT($C$3, ""YYYY-MM-DD"") &amp; ""' LABEL SUM(Col11) ''"", 0), """")"),"#REF!")</f>
        <v>#REF!</v>
      </c>
      <c r="F25" s="13" t="str">
        <f t="shared" si="3"/>
        <v>#N/A</v>
      </c>
    </row>
    <row r="26" ht="15.75" customHeight="1">
      <c r="A26" s="1"/>
      <c r="B26" s="1"/>
      <c r="C26" s="13" t="str">
        <f>Sep_2025!F26</f>
        <v>#N/A</v>
      </c>
      <c r="D26" s="13" t="str">
        <f>IFERROR(__xludf.DUMMYFUNCTION("IFNA(QUERY(IMPORTRANGE(""https://docs.google.com/spreadsheets/d/1EHL-jm_NiShR1a2JqKbpaJGazYH90DJO150spY6io4k/edit?gid=0#gid=0"", 
""Gen_Ledger!A:N""), 
""SELECT SUM(Col10) WHERE Col7 = ""&amp;B26&amp;"" AND Col1 &gt;= DATE '"" &amp; TEXT($C$2, ""YYYY-MM-DD"") &amp; ""' AND "&amp;"Col1 &lt;= DATE '"" &amp; TEXT($C$3, ""YYYY-MM-DD"") &amp; ""' LABEL SUM(Col10) ''"", 0), """")"),"#REF!")</f>
        <v>#REF!</v>
      </c>
      <c r="E26" s="13" t="str">
        <f>IFERROR(__xludf.DUMMYFUNCTION("IFNA(QUERY(IMPORTRANGE(""https://docs.google.com/spreadsheets/d/1EHL-jm_NiShR1a2JqKbpaJGazYH90DJO150spY6io4k/edit?gid=0#gid=0"", 
""Gen_Ledger!A:N""), 
""SELECT SUM(Col11) WHERE Col7 = ""&amp;B26&amp;"" AND Col1 &gt;= DATE '"" &amp; TEXT($C$2, ""YYYY-MM-DD"") &amp; ""' AND "&amp;"Col1 &lt;= DATE '"" &amp; TEXT($C$3, ""YYYY-MM-DD"") &amp; ""' LABEL SUM(Col11) ''"", 0), """")"),"#REF!")</f>
        <v>#REF!</v>
      </c>
      <c r="F26" s="13" t="str">
        <f t="shared" si="3"/>
        <v>#N/A</v>
      </c>
    </row>
    <row r="27" ht="15.75" customHeight="1">
      <c r="A27" s="1"/>
      <c r="B27" s="1"/>
      <c r="C27" s="13" t="str">
        <f>Sep_2025!F27</f>
        <v>#N/A</v>
      </c>
      <c r="D27" s="13" t="str">
        <f>IFERROR(__xludf.DUMMYFUNCTION("IFNA(QUERY(IMPORTRANGE(""https://docs.google.com/spreadsheets/d/1EHL-jm_NiShR1a2JqKbpaJGazYH90DJO150spY6io4k/edit?gid=0#gid=0"", 
""Gen_Ledger!A:N""), 
""SELECT SUM(Col10) WHERE Col7 = ""&amp;B27&amp;"" AND Col1 &gt;= DATE '"" &amp; TEXT($C$2, ""YYYY-MM-DD"") &amp; ""' AND "&amp;"Col1 &lt;= DATE '"" &amp; TEXT($C$3, ""YYYY-MM-DD"") &amp; ""' LABEL SUM(Col10) ''"", 0), """")"),"#REF!")</f>
        <v>#REF!</v>
      </c>
      <c r="E27" s="13" t="str">
        <f>IFERROR(__xludf.DUMMYFUNCTION("IFNA(QUERY(IMPORTRANGE(""https://docs.google.com/spreadsheets/d/1EHL-jm_NiShR1a2JqKbpaJGazYH90DJO150spY6io4k/edit?gid=0#gid=0"", 
""Gen_Ledger!A:N""), 
""SELECT SUM(Col11) WHERE Col7 = ""&amp;B27&amp;"" AND Col1 &gt;= DATE '"" &amp; TEXT($C$2, ""YYYY-MM-DD"") &amp; ""' AND "&amp;"Col1 &lt;= DATE '"" &amp; TEXT($C$3, ""YYYY-MM-DD"") &amp; ""' LABEL SUM(Col11) ''"", 0), """")"),"#REF!")</f>
        <v>#REF!</v>
      </c>
      <c r="F27" s="13" t="str">
        <f>C27+E27-D27</f>
        <v>#N/A</v>
      </c>
    </row>
    <row r="28" ht="15.75" customHeight="1">
      <c r="A28" s="1"/>
      <c r="B28" s="1"/>
      <c r="C28" s="13" t="str">
        <f>Sep_2025!F28</f>
        <v>#N/A</v>
      </c>
      <c r="D28" s="13" t="str">
        <f>IFERROR(__xludf.DUMMYFUNCTION("IFNA(QUERY(IMPORTRANGE(""https://docs.google.com/spreadsheets/d/1EHL-jm_NiShR1a2JqKbpaJGazYH90DJO150spY6io4k/edit?gid=0#gid=0"", 
""Gen_Ledger!A:N""), 
""SELECT SUM(Col10) WHERE Col7 = ""&amp;B28&amp;"" AND Col1 &gt;= DATE '"" &amp; TEXT($C$2, ""YYYY-MM-DD"") &amp; ""' AND "&amp;"Col1 &lt;= DATE '"" &amp; TEXT($C$3, ""YYYY-MM-DD"") &amp; ""' LABEL SUM(Col10) ''"", 0), """")"),"#REF!")</f>
        <v>#REF!</v>
      </c>
      <c r="E28" s="13" t="str">
        <f>IFERROR(__xludf.DUMMYFUNCTION("IFNA(QUERY(IMPORTRANGE(""https://docs.google.com/spreadsheets/d/1EHL-jm_NiShR1a2JqKbpaJGazYH90DJO150spY6io4k/edit?gid=0#gid=0"", 
""Gen_Ledger!A:N""), 
""SELECT SUM(Col11) WHERE Col7 = ""&amp;B28&amp;"" AND Col1 &gt;= DATE '"" &amp; TEXT($C$2, ""YYYY-MM-DD"") &amp; ""' AND "&amp;"Col1 &lt;= DATE '"" &amp; TEXT($C$3, ""YYYY-MM-DD"") &amp; ""' LABEL SUM(Col11) ''"", 0), """")"),"#REF!")</f>
        <v>#REF!</v>
      </c>
      <c r="F28" s="13" t="str">
        <f>C28+D28-E28</f>
        <v>#N/A</v>
      </c>
    </row>
    <row r="29" ht="15.75" customHeight="1">
      <c r="A29" s="1"/>
      <c r="B29" s="1"/>
      <c r="C29" s="13" t="str">
        <f>Sep_2025!F29</f>
        <v>#N/A</v>
      </c>
      <c r="D29" s="13" t="str">
        <f>IFERROR(__xludf.DUMMYFUNCTION("IFNA(QUERY(IMPORTRANGE(""https://docs.google.com/spreadsheets/d/1EHL-jm_NiShR1a2JqKbpaJGazYH90DJO150spY6io4k/edit?gid=0#gid=0"", 
""Gen_Ledger!A:N""), 
""SELECT SUM(Col10) WHERE Col7 = ""&amp;B29&amp;"" AND Col1 &gt;= DATE '"" &amp; TEXT($C$2, ""YYYY-MM-DD"") &amp; ""' AND "&amp;"Col1 &lt;= DATE '"" &amp; TEXT($C$3, ""YYYY-MM-DD"") &amp; ""' LABEL SUM(Col10) ''"", 0), """")"),"#REF!")</f>
        <v>#REF!</v>
      </c>
      <c r="E29" s="13" t="str">
        <f>IFERROR(__xludf.DUMMYFUNCTION("IFNA(QUERY(IMPORTRANGE(""https://docs.google.com/spreadsheets/d/1EHL-jm_NiShR1a2JqKbpaJGazYH90DJO150spY6io4k/edit?gid=0#gid=0"", 
""Gen_Ledger!A:N""), 
""SELECT SUM(Col11) WHERE Col7 = ""&amp;B29&amp;"" AND Col1 &gt;= DATE '"" &amp; TEXT($C$2, ""YYYY-MM-DD"") &amp; ""' AND "&amp;"Col1 &lt;= DATE '"" &amp; TEXT($C$3, ""YYYY-MM-DD"") &amp; ""' LABEL SUM(Col11) ''"", 0), """")"),"#REF!")</f>
        <v>#REF!</v>
      </c>
      <c r="F29" s="13" t="str">
        <f t="shared" ref="F29:F36" si="4">C29+E29-D29</f>
        <v>#N/A</v>
      </c>
    </row>
    <row r="30" ht="15.75" customHeight="1">
      <c r="A30" s="1"/>
      <c r="B30" s="1"/>
      <c r="C30" s="13" t="str">
        <f>Sep_2025!F30</f>
        <v>#N/A</v>
      </c>
      <c r="D30" s="13" t="str">
        <f>IFERROR(__xludf.DUMMYFUNCTION("IFNA(QUERY(IMPORTRANGE(""https://docs.google.com/spreadsheets/d/1EHL-jm_NiShR1a2JqKbpaJGazYH90DJO150spY6io4k/edit?gid=0#gid=0"", 
""Gen_Ledger!A:N""), 
""SELECT SUM(Col10) WHERE Col7 = ""&amp;B30&amp;"" AND Col1 &gt;= DATE '"" &amp; TEXT($C$2, ""YYYY-MM-DD"") &amp; ""' AND "&amp;"Col1 &lt;= DATE '"" &amp; TEXT($C$3, ""YYYY-MM-DD"") &amp; ""' LABEL SUM(Col10) ''"", 0), """")"),"#REF!")</f>
        <v>#REF!</v>
      </c>
      <c r="E30" s="13" t="str">
        <f>IFERROR(__xludf.DUMMYFUNCTION("IFNA(QUERY(IMPORTRANGE(""https://docs.google.com/spreadsheets/d/1EHL-jm_NiShR1a2JqKbpaJGazYH90DJO150spY6io4k/edit?gid=0#gid=0"", 
""Gen_Ledger!A:N""), 
""SELECT SUM(Col11) WHERE Col7 = ""&amp;B30&amp;"" AND Col1 &gt;= DATE '"" &amp; TEXT($C$2, ""YYYY-MM-DD"") &amp; ""' AND "&amp;"Col1 &lt;= DATE '"" &amp; TEXT($C$3, ""YYYY-MM-DD"") &amp; ""' LABEL SUM(Col11) ''"", 0), """")"),"#REF!")</f>
        <v>#REF!</v>
      </c>
      <c r="F30" s="13" t="str">
        <f t="shared" si="4"/>
        <v>#N/A</v>
      </c>
    </row>
    <row r="31" ht="15.75" customHeight="1">
      <c r="A31" s="1"/>
      <c r="B31" s="1"/>
      <c r="C31" s="13" t="str">
        <f>Sep_2025!F31</f>
        <v>#N/A</v>
      </c>
      <c r="D31" s="13" t="str">
        <f>IFERROR(__xludf.DUMMYFUNCTION("IFNA(QUERY(IMPORTRANGE(""https://docs.google.com/spreadsheets/d/1EHL-jm_NiShR1a2JqKbpaJGazYH90DJO150spY6io4k/edit?gid=0#gid=0"", 
""Gen_Ledger!A:N""), 
""SELECT SUM(Col10) WHERE Col7 = ""&amp;B31&amp;"" AND Col1 &gt;= DATE '"" &amp; TEXT($C$2, ""YYYY-MM-DD"") &amp; ""' AND "&amp;"Col1 &lt;= DATE '"" &amp; TEXT($C$3, ""YYYY-MM-DD"") &amp; ""' LABEL SUM(Col10) ''"", 0), """")"),"#REF!")</f>
        <v>#REF!</v>
      </c>
      <c r="E31" s="13" t="str">
        <f>IFERROR(__xludf.DUMMYFUNCTION("IFNA(QUERY(IMPORTRANGE(""https://docs.google.com/spreadsheets/d/1EHL-jm_NiShR1a2JqKbpaJGazYH90DJO150spY6io4k/edit?gid=0#gid=0"", 
""Gen_Ledger!A:N""), 
""SELECT SUM(Col11) WHERE Col7 = ""&amp;B31&amp;"" AND Col1 &gt;= DATE '"" &amp; TEXT($C$2, ""YYYY-MM-DD"") &amp; ""' AND "&amp;"Col1 &lt;= DATE '"" &amp; TEXT($C$3, ""YYYY-MM-DD"") &amp; ""' LABEL SUM(Col11) ''"", 0), """")"),"#REF!")</f>
        <v>#REF!</v>
      </c>
      <c r="F31" s="13" t="str">
        <f t="shared" si="4"/>
        <v>#N/A</v>
      </c>
    </row>
    <row r="32" ht="15.75" customHeight="1">
      <c r="A32" s="1"/>
      <c r="B32" s="1"/>
      <c r="C32" s="13" t="str">
        <f>Sep_2025!F32</f>
        <v>#N/A</v>
      </c>
      <c r="D32" s="13" t="str">
        <f>IFERROR(__xludf.DUMMYFUNCTION("IFNA(QUERY(IMPORTRANGE(""https://docs.google.com/spreadsheets/d/1EHL-jm_NiShR1a2JqKbpaJGazYH90DJO150spY6io4k/edit?gid=0#gid=0"", 
""Gen_Ledger!A:N""), 
""SELECT SUM(Col10) WHERE Col7 = ""&amp;B32&amp;"" AND Col1 &gt;= DATE '"" &amp; TEXT($C$2, ""YYYY-MM-DD"") &amp; ""' AND "&amp;"Col1 &lt;= DATE '"" &amp; TEXT($C$3, ""YYYY-MM-DD"") &amp; ""' LABEL SUM(Col10) ''"", 0), """")"),"#REF!")</f>
        <v>#REF!</v>
      </c>
      <c r="E32" s="13" t="str">
        <f>IFERROR(__xludf.DUMMYFUNCTION("IFNA(QUERY(IMPORTRANGE(""https://docs.google.com/spreadsheets/d/1EHL-jm_NiShR1a2JqKbpaJGazYH90DJO150spY6io4k/edit?gid=0#gid=0"", 
""Gen_Ledger!A:N""), 
""SELECT SUM(Col11) WHERE Col7 = ""&amp;B32&amp;"" AND Col1 &gt;= DATE '"" &amp; TEXT($C$2, ""YYYY-MM-DD"") &amp; ""' AND "&amp;"Col1 &lt;= DATE '"" &amp; TEXT($C$3, ""YYYY-MM-DD"") &amp; ""' LABEL SUM(Col11) ''"", 0), """")"),"#REF!")</f>
        <v>#REF!</v>
      </c>
      <c r="F32" s="13" t="str">
        <f t="shared" si="4"/>
        <v>#N/A</v>
      </c>
    </row>
    <row r="33" ht="15.75" customHeight="1">
      <c r="A33" s="1"/>
      <c r="B33" s="1"/>
      <c r="C33" s="13" t="str">
        <f>Sep_2025!F33</f>
        <v>#N/A</v>
      </c>
      <c r="D33" s="13" t="str">
        <f>IFERROR(__xludf.DUMMYFUNCTION("IFNA(QUERY(IMPORTRANGE(""https://docs.google.com/spreadsheets/d/1EHL-jm_NiShR1a2JqKbpaJGazYH90DJO150spY6io4k/edit?gid=0#gid=0"", 
""Gen_Ledger!A:N""), 
""SELECT SUM(Col10) WHERE Col7 = ""&amp;B33&amp;"" AND Col1 &gt;= DATE '"" &amp; TEXT($C$2, ""YYYY-MM-DD"") &amp; ""' AND "&amp;"Col1 &lt;= DATE '"" &amp; TEXT($C$3, ""YYYY-MM-DD"") &amp; ""' LABEL SUM(Col10) ''"", 0), """")"),"#REF!")</f>
        <v>#REF!</v>
      </c>
      <c r="E33" s="13" t="str">
        <f>IFERROR(__xludf.DUMMYFUNCTION("IFNA(QUERY(IMPORTRANGE(""https://docs.google.com/spreadsheets/d/1EHL-jm_NiShR1a2JqKbpaJGazYH90DJO150spY6io4k/edit?gid=0#gid=0"", 
""Gen_Ledger!A:N""), 
""SELECT SUM(Col11) WHERE Col7 = ""&amp;B33&amp;"" AND Col1 &gt;= DATE '"" &amp; TEXT($C$2, ""YYYY-MM-DD"") &amp; ""' AND "&amp;"Col1 &lt;= DATE '"" &amp; TEXT($C$3, ""YYYY-MM-DD"") &amp; ""' LABEL SUM(Col11) ''"", 0), """")"),"#REF!")</f>
        <v>#REF!</v>
      </c>
      <c r="F33" s="13" t="str">
        <f t="shared" si="4"/>
        <v>#N/A</v>
      </c>
    </row>
    <row r="34" ht="15.75" customHeight="1">
      <c r="A34" s="1"/>
      <c r="B34" s="1"/>
      <c r="C34" s="13" t="str">
        <f>Sep_2025!F34</f>
        <v>#N/A</v>
      </c>
      <c r="D34" s="13" t="str">
        <f>IFERROR(__xludf.DUMMYFUNCTION("IFNA(QUERY(IMPORTRANGE(""https://docs.google.com/spreadsheets/d/1EHL-jm_NiShR1a2JqKbpaJGazYH90DJO150spY6io4k/edit?gid=0#gid=0"", 
""Gen_Ledger!A:N""), 
""SELECT SUM(Col10) WHERE Col7 = ""&amp;B34&amp;"" AND Col1 &gt;= DATE '"" &amp; TEXT($C$2, ""YYYY-MM-DD"") &amp; ""' AND "&amp;"Col1 &lt;= DATE '"" &amp; TEXT($C$3, ""YYYY-MM-DD"") &amp; ""' LABEL SUM(Col10) ''"", 0), """")"),"#REF!")</f>
        <v>#REF!</v>
      </c>
      <c r="E34" s="13" t="str">
        <f>IFERROR(__xludf.DUMMYFUNCTION("IFNA(QUERY(IMPORTRANGE(""https://docs.google.com/spreadsheets/d/1EHL-jm_NiShR1a2JqKbpaJGazYH90DJO150spY6io4k/edit?gid=0#gid=0"", 
""Gen_Ledger!A:N""), 
""SELECT SUM(Col11) WHERE Col7 = ""&amp;B34&amp;"" AND Col1 &gt;= DATE '"" &amp; TEXT($C$2, ""YYYY-MM-DD"") &amp; ""' AND "&amp;"Col1 &lt;= DATE '"" &amp; TEXT($C$3, ""YYYY-MM-DD"") &amp; ""' LABEL SUM(Col11) ''"", 0), """")"),"#REF!")</f>
        <v>#REF!</v>
      </c>
      <c r="F34" s="13" t="str">
        <f t="shared" si="4"/>
        <v>#N/A</v>
      </c>
    </row>
    <row r="35" ht="15.75" customHeight="1">
      <c r="A35" s="1"/>
      <c r="B35" s="1"/>
      <c r="C35" s="13" t="str">
        <f>Sep_2025!F35</f>
        <v>#N/A</v>
      </c>
      <c r="D35" s="13" t="str">
        <f>IFERROR(__xludf.DUMMYFUNCTION("IFNA(QUERY(IMPORTRANGE(""https://docs.google.com/spreadsheets/d/1EHL-jm_NiShR1a2JqKbpaJGazYH90DJO150spY6io4k/edit?gid=0#gid=0"", 
""Gen_Ledger!A:N""), 
""SELECT SUM(Col10) WHERE Col7 = ""&amp;B35&amp;"" AND Col1 &gt;= DATE '"" &amp; TEXT($C$2, ""YYYY-MM-DD"") &amp; ""' AND "&amp;"Col1 &lt;= DATE '"" &amp; TEXT($C$3, ""YYYY-MM-DD"") &amp; ""' LABEL SUM(Col10) ''"", 0), """")"),"#REF!")</f>
        <v>#REF!</v>
      </c>
      <c r="E35" s="13" t="str">
        <f>IFERROR(__xludf.DUMMYFUNCTION("IFNA(QUERY(IMPORTRANGE(""https://docs.google.com/spreadsheets/d/1EHL-jm_NiShR1a2JqKbpaJGazYH90DJO150spY6io4k/edit?gid=0#gid=0"", 
""Gen_Ledger!A:N""), 
""SELECT SUM(Col11) WHERE Col7 = ""&amp;B35&amp;"" AND Col1 &gt;= DATE '"" &amp; TEXT($C$2, ""YYYY-MM-DD"") &amp; ""' AND "&amp;"Col1 &lt;= DATE '"" &amp; TEXT($C$3, ""YYYY-MM-DD"") &amp; ""' LABEL SUM(Col11) ''"", 0), """")"),"#REF!")</f>
        <v>#REF!</v>
      </c>
      <c r="F35" s="13" t="str">
        <f t="shared" si="4"/>
        <v>#N/A</v>
      </c>
    </row>
    <row r="36" ht="15.75" customHeight="1">
      <c r="A36" s="1"/>
      <c r="B36" s="1"/>
      <c r="C36" s="2" t="str">
        <f>VLOOKUP(B36,Helper!$D$99:$F1000,3,FALSE)</f>
        <v>#N/A</v>
      </c>
      <c r="D36" s="13" t="str">
        <f>IFERROR(__xludf.DUMMYFUNCTION("IFNA(QUERY(IMPORTRANGE(""https://docs.google.com/spreadsheets/d/1EHL-jm_NiShR1a2JqKbpaJGazYH90DJO150spY6io4k/edit?gid=0#gid=0"", 
""Gen_Ledger!A:N""), 
""SELECT SUM(Col10) WHERE Col7 = ""&amp;B36&amp;"" AND Col1 &gt;= DATE '"" &amp; TEXT($C$2, ""YYYY-MM-DD"") &amp; ""' AND "&amp;"Col1 &lt;= DATE '"" &amp; TEXT($C$3, ""YYYY-MM-DD"") &amp; ""' LABEL SUM(Col10) ''"", 0), """")"),"#REF!")</f>
        <v>#REF!</v>
      </c>
      <c r="E36" s="13" t="str">
        <f>IFERROR(__xludf.DUMMYFUNCTION("IFNA(QUERY(IMPORTRANGE(""https://docs.google.com/spreadsheets/d/1EHL-jm_NiShR1a2JqKbpaJGazYH90DJO150spY6io4k/edit?gid=0#gid=0"", 
""Gen_Ledger!A:N""), 
""SELECT SUM(Col11) WHERE Col7 = ""&amp;B36&amp;"" AND Col1 &gt;= DATE '"" &amp; TEXT($C$2, ""YYYY-MM-DD"") &amp; ""' AND "&amp;"Col1 &lt;= DATE '"" &amp; TEXT($C$3, ""YYYY-MM-DD"") &amp; ""' LABEL SUM(Col11) ''"", 0), """")"),"#REF!")</f>
        <v>#REF!</v>
      </c>
      <c r="F36" s="13" t="str">
        <f t="shared" si="4"/>
        <v>#N/A</v>
      </c>
    </row>
    <row r="37" ht="15.75" customHeight="1">
      <c r="A37" s="1"/>
      <c r="B37" s="1"/>
      <c r="C37" s="2" t="str">
        <f>VLOOKUP(B37,Helper!$D$99:$F1000,3,FALSE)</f>
        <v>#N/A</v>
      </c>
      <c r="D37" s="13" t="str">
        <f>IFERROR(__xludf.DUMMYFUNCTION("IFNA(QUERY(IMPORTRANGE(""https://docs.google.com/spreadsheets/d/1EHL-jm_NiShR1a2JqKbpaJGazYH90DJO150spY6io4k/edit?gid=0#gid=0"", 
""Gen_Ledger!A:N""), 
""SELECT SUM(Col10) WHERE Col7 = ""&amp;B37&amp;"" AND Col1 &gt;= DATE '"" &amp; TEXT($C$2, ""YYYY-MM-DD"") &amp; ""' AND "&amp;"Col1 &lt;= DATE '"" &amp; TEXT($C$3, ""YYYY-MM-DD"") &amp; ""' LABEL SUM(Col10) ''"", 0), """")"),"#REF!")</f>
        <v>#REF!</v>
      </c>
      <c r="E37" s="13" t="str">
        <f>IFERROR(__xludf.DUMMYFUNCTION("IFNA(QUERY(IMPORTRANGE(""https://docs.google.com/spreadsheets/d/1EHL-jm_NiShR1a2JqKbpaJGazYH90DJO150spY6io4k/edit?gid=0#gid=0"", 
""Gen_Ledger!A:N""), 
""SELECT SUM(Col11) WHERE Col7 = ""&amp;B37&amp;"" AND Col1 &gt;= DATE '"" &amp; TEXT($C$2, ""YYYY-MM-DD"") &amp; ""' AND "&amp;"Col1 &lt;= DATE '"" &amp; TEXT($C$3, ""YYYY-MM-DD"") &amp; ""' LABEL SUM(Col11) ''"", 0), """")"),"#REF!")</f>
        <v>#REF!</v>
      </c>
      <c r="F37" s="13" t="str">
        <f t="shared" ref="F37:F38" si="5">E37</f>
        <v>#REF!</v>
      </c>
    </row>
    <row r="38" ht="15.75" customHeight="1">
      <c r="A38" s="1"/>
      <c r="B38" s="1"/>
      <c r="C38" s="2" t="str">
        <f>VLOOKUP(B38,Helper!$D$99:$F1000,3,FALSE)</f>
        <v>#N/A</v>
      </c>
      <c r="D38" s="13" t="str">
        <f>IFERROR(__xludf.DUMMYFUNCTION("IFNA(QUERY(IMPORTRANGE(""https://docs.google.com/spreadsheets/d/1EHL-jm_NiShR1a2JqKbpaJGazYH90DJO150spY6io4k/edit?gid=0#gid=0"", 
""Gen_Ledger!A:N""), 
""SELECT SUM(Col10) WHERE Col7 = ""&amp;B38&amp;"" AND Col1 &gt;= DATE '"" &amp; TEXT($C$2, ""YYYY-MM-DD"") &amp; ""' AND "&amp;"Col1 &lt;= DATE '"" &amp; TEXT($C$3, ""YYYY-MM-DD"") &amp; ""' LABEL SUM(Col10) ''"", 0), """")"),"#REF!")</f>
        <v>#REF!</v>
      </c>
      <c r="E38" s="13" t="str">
        <f>IFERROR(__xludf.DUMMYFUNCTION("IFNA(QUERY(IMPORTRANGE(""https://docs.google.com/spreadsheets/d/1EHL-jm_NiShR1a2JqKbpaJGazYH90DJO150spY6io4k/edit?gid=0#gid=0"", 
""Gen_Ledger!A:N""), 
""SELECT SUM(Col11) WHERE Col7 = ""&amp;B38&amp;"" AND Col1 &gt;= DATE '"" &amp; TEXT($C$2, ""YYYY-MM-DD"") &amp; ""' AND "&amp;"Col1 &lt;= DATE '"" &amp; TEXT($C$3, ""YYYY-MM-DD"") &amp; ""' LABEL SUM(Col11) ''"", 0), """")"),"#REF!")</f>
        <v>#REF!</v>
      </c>
      <c r="F38" s="13" t="str">
        <f t="shared" si="5"/>
        <v>#REF!</v>
      </c>
    </row>
    <row r="39" ht="15.75" customHeight="1">
      <c r="A39" s="1"/>
      <c r="B39" s="1"/>
      <c r="C39" s="2" t="str">
        <f>VLOOKUP(B39,Helper!$D$99:$F1000,3,FALSE)</f>
        <v>#N/A</v>
      </c>
      <c r="D39" s="13" t="str">
        <f>IFERROR(__xludf.DUMMYFUNCTION("IFNA(QUERY(IMPORTRANGE(""https://docs.google.com/spreadsheets/d/1EHL-jm_NiShR1a2JqKbpaJGazYH90DJO150spY6io4k/edit?gid=0#gid=0"", 
""Gen_Ledger!A:N""), 
""SELECT SUM(Col10) WHERE Col7 = ""&amp;B39&amp;"" AND Col1 &gt;= DATE '"" &amp; TEXT($C$2, ""YYYY-MM-DD"") &amp; ""' AND "&amp;"Col1 &lt;= DATE '"" &amp; TEXT($C$3, ""YYYY-MM-DD"") &amp; ""' LABEL SUM(Col10) ''"", 0), """")"),"#REF!")</f>
        <v>#REF!</v>
      </c>
      <c r="E39" s="13" t="str">
        <f>IFERROR(__xludf.DUMMYFUNCTION("IFNA(QUERY(IMPORTRANGE(""https://docs.google.com/spreadsheets/d/1EHL-jm_NiShR1a2JqKbpaJGazYH90DJO150spY6io4k/edit?gid=0#gid=0"", 
""Gen_Ledger!A:N""), 
""SELECT SUM(Col11) WHERE Col7 = ""&amp;B39&amp;"" AND Col1 &gt;= DATE '"" &amp; TEXT($C$2, ""YYYY-MM-DD"") &amp; ""' AND "&amp;"Col1 &lt;= DATE '"" &amp; TEXT($C$3, ""YYYY-MM-DD"") &amp; ""' LABEL SUM(Col11) ''"", 0), """")"),"#REF!")</f>
        <v>#REF!</v>
      </c>
      <c r="F39" s="13" t="str">
        <f t="shared" ref="F39:F58" si="6">C39-E39+D39</f>
        <v>#N/A</v>
      </c>
    </row>
    <row r="40" ht="15.75" customHeight="1">
      <c r="A40" s="1"/>
      <c r="B40" s="1"/>
      <c r="C40" s="2" t="str">
        <f>VLOOKUP(B40,Helper!$D$99:$F1000,3,FALSE)</f>
        <v>#N/A</v>
      </c>
      <c r="D40" s="13" t="str">
        <f>IFERROR(__xludf.DUMMYFUNCTION("IFNA(QUERY(IMPORTRANGE(""https://docs.google.com/spreadsheets/d/1EHL-jm_NiShR1a2JqKbpaJGazYH90DJO150spY6io4k/edit?gid=0#gid=0"", 
""Gen_Ledger!A:N""), 
""SELECT SUM(Col10) WHERE Col7 = ""&amp;B40&amp;"" AND Col1 &gt;= DATE '"" &amp; TEXT($C$2, ""YYYY-MM-DD"") &amp; ""' AND "&amp;"Col1 &lt;= DATE '"" &amp; TEXT($C$3, ""YYYY-MM-DD"") &amp; ""' LABEL SUM(Col10) ''"", 0), """")"),"#REF!")</f>
        <v>#REF!</v>
      </c>
      <c r="E40" s="13" t="str">
        <f>IFERROR(__xludf.DUMMYFUNCTION("IFNA(QUERY(IMPORTRANGE(""https://docs.google.com/spreadsheets/d/1EHL-jm_NiShR1a2JqKbpaJGazYH90DJO150spY6io4k/edit?gid=0#gid=0"", 
""Gen_Ledger!A:N""), 
""SELECT SUM(Col11) WHERE Col7 = ""&amp;B40&amp;"" AND Col1 &gt;= DATE '"" &amp; TEXT($C$2, ""YYYY-MM-DD"") &amp; ""' AND "&amp;"Col1 &lt;= DATE '"" &amp; TEXT($C$3, ""YYYY-MM-DD"") &amp; ""' LABEL SUM(Col11) ''"", 0), """")"),"#REF!")</f>
        <v>#REF!</v>
      </c>
      <c r="F40" s="13" t="str">
        <f t="shared" si="6"/>
        <v>#N/A</v>
      </c>
    </row>
    <row r="41" ht="15.75" customHeight="1">
      <c r="A41" s="1"/>
      <c r="B41" s="1"/>
      <c r="C41" s="2" t="str">
        <f>VLOOKUP(B41,Helper!$D$99:$F1000,3,FALSE)</f>
        <v>#N/A</v>
      </c>
      <c r="D41" s="13" t="str">
        <f>IFERROR(__xludf.DUMMYFUNCTION("IFNA(QUERY(IMPORTRANGE(""https://docs.google.com/spreadsheets/d/1EHL-jm_NiShR1a2JqKbpaJGazYH90DJO150spY6io4k/edit?gid=0#gid=0"", 
""Gen_Ledger!A:N""), 
""SELECT SUM(Col10) WHERE Col7 = ""&amp;B41&amp;"" AND Col1 &gt;= DATE '"" &amp; TEXT($C$2, ""YYYY-MM-DD"") &amp; ""' AND "&amp;"Col1 &lt;= DATE '"" &amp; TEXT($C$3, ""YYYY-MM-DD"") &amp; ""' LABEL SUM(Col10) ''"", 0), """")"),"#REF!")</f>
        <v>#REF!</v>
      </c>
      <c r="E41" s="13" t="str">
        <f>IFERROR(__xludf.DUMMYFUNCTION("IFNA(QUERY(IMPORTRANGE(""https://docs.google.com/spreadsheets/d/1EHL-jm_NiShR1a2JqKbpaJGazYH90DJO150spY6io4k/edit?gid=0#gid=0"", 
""Gen_Ledger!A:N""), 
""SELECT SUM(Col11) WHERE Col7 = ""&amp;B41&amp;"" AND Col1 &gt;= DATE '"" &amp; TEXT($C$2, ""YYYY-MM-DD"") &amp; ""' AND "&amp;"Col1 &lt;= DATE '"" &amp; TEXT($C$3, ""YYYY-MM-DD"") &amp; ""' LABEL SUM(Col11) ''"", 0), """")"),"#REF!")</f>
        <v>#REF!</v>
      </c>
      <c r="F41" s="13" t="str">
        <f t="shared" si="6"/>
        <v>#N/A</v>
      </c>
    </row>
    <row r="42" ht="15.75" customHeight="1">
      <c r="A42" s="1"/>
      <c r="B42" s="1"/>
      <c r="C42" s="2" t="str">
        <f>VLOOKUP(B42,Helper!$D$99:$F1000,3,FALSE)</f>
        <v>#N/A</v>
      </c>
      <c r="D42" s="13" t="str">
        <f>IFERROR(__xludf.DUMMYFUNCTION("IFNA(QUERY(IMPORTRANGE(""https://docs.google.com/spreadsheets/d/1EHL-jm_NiShR1a2JqKbpaJGazYH90DJO150spY6io4k/edit?gid=0#gid=0"", 
""Gen_Ledger!A:N""), 
""SELECT SUM(Col10) WHERE Col7 = ""&amp;B42&amp;"" AND Col1 &gt;= DATE '"" &amp; TEXT($C$2, ""YYYY-MM-DD"") &amp; ""' AND "&amp;"Col1 &lt;= DATE '"" &amp; TEXT($C$3, ""YYYY-MM-DD"") &amp; ""' LABEL SUM(Col10) ''"", 0), """")"),"#REF!")</f>
        <v>#REF!</v>
      </c>
      <c r="E42" s="13" t="str">
        <f>IFERROR(__xludf.DUMMYFUNCTION("IFNA(QUERY(IMPORTRANGE(""https://docs.google.com/spreadsheets/d/1EHL-jm_NiShR1a2JqKbpaJGazYH90DJO150spY6io4k/edit?gid=0#gid=0"", 
""Gen_Ledger!A:N""), 
""SELECT SUM(Col11) WHERE Col7 = ""&amp;B42&amp;"" AND Col1 &gt;= DATE '"" &amp; TEXT($C$2, ""YYYY-MM-DD"") &amp; ""' AND "&amp;"Col1 &lt;= DATE '"" &amp; TEXT($C$3, ""YYYY-MM-DD"") &amp; ""' LABEL SUM(Col11) ''"", 0), """")"),"#REF!")</f>
        <v>#REF!</v>
      </c>
      <c r="F42" s="13" t="str">
        <f t="shared" si="6"/>
        <v>#N/A</v>
      </c>
    </row>
    <row r="43" ht="15.75" customHeight="1">
      <c r="A43" s="1"/>
      <c r="B43" s="1"/>
      <c r="C43" s="2" t="str">
        <f>VLOOKUP(B43,Helper!$D$99:$F1000,3,FALSE)</f>
        <v>#N/A</v>
      </c>
      <c r="D43" s="13" t="str">
        <f>IFERROR(__xludf.DUMMYFUNCTION("IFNA(QUERY(IMPORTRANGE(""https://docs.google.com/spreadsheets/d/1EHL-jm_NiShR1a2JqKbpaJGazYH90DJO150spY6io4k/edit?gid=0#gid=0"", 
""Gen_Ledger!A:N""), 
""SELECT SUM(Col10) WHERE Col7 = ""&amp;B43&amp;"" AND Col1 &gt;= DATE '"" &amp; TEXT($C$2, ""YYYY-MM-DD"") &amp; ""' AND "&amp;"Col1 &lt;= DATE '"" &amp; TEXT($C$3, ""YYYY-MM-DD"") &amp; ""' LABEL SUM(Col10) ''"", 0), """")"),"#REF!")</f>
        <v>#REF!</v>
      </c>
      <c r="E43" s="13" t="str">
        <f>IFERROR(__xludf.DUMMYFUNCTION("IFNA(QUERY(IMPORTRANGE(""https://docs.google.com/spreadsheets/d/1EHL-jm_NiShR1a2JqKbpaJGazYH90DJO150spY6io4k/edit?gid=0#gid=0"", 
""Gen_Ledger!A:N""), 
""SELECT SUM(Col11) WHERE Col7 = ""&amp;B43&amp;"" AND Col1 &gt;= DATE '"" &amp; TEXT($C$2, ""YYYY-MM-DD"") &amp; ""' AND "&amp;"Col1 &lt;= DATE '"" &amp; TEXT($C$3, ""YYYY-MM-DD"") &amp; ""' LABEL SUM(Col11) ''"", 0), """")"),"#REF!")</f>
        <v>#REF!</v>
      </c>
      <c r="F43" s="13" t="str">
        <f t="shared" si="6"/>
        <v>#N/A</v>
      </c>
    </row>
    <row r="44" ht="15.75" customHeight="1">
      <c r="A44" s="1"/>
      <c r="B44" s="1"/>
      <c r="C44" s="2" t="str">
        <f>VLOOKUP(B44,Helper!$D$99:$F1000,3,FALSE)</f>
        <v>#N/A</v>
      </c>
      <c r="D44" s="13" t="str">
        <f>IFERROR(__xludf.DUMMYFUNCTION("IFNA(QUERY(IMPORTRANGE(""https://docs.google.com/spreadsheets/d/1EHL-jm_NiShR1a2JqKbpaJGazYH90DJO150spY6io4k/edit?gid=0#gid=0"", 
""Gen_Ledger!A:N""), 
""SELECT SUM(Col10) WHERE Col7 = ""&amp;B44&amp;"" AND Col1 &gt;= DATE '"" &amp; TEXT($C$2, ""YYYY-MM-DD"") &amp; ""' AND "&amp;"Col1 &lt;= DATE '"" &amp; TEXT($C$3, ""YYYY-MM-DD"") &amp; ""' LABEL SUM(Col10) ''"", 0), """")"),"#REF!")</f>
        <v>#REF!</v>
      </c>
      <c r="E44" s="13" t="str">
        <f>IFERROR(__xludf.DUMMYFUNCTION("IFNA(QUERY(IMPORTRANGE(""https://docs.google.com/spreadsheets/d/1EHL-jm_NiShR1a2JqKbpaJGazYH90DJO150spY6io4k/edit?gid=0#gid=0"", 
""Gen_Ledger!A:N""), 
""SELECT SUM(Col11) WHERE Col7 = ""&amp;B44&amp;"" AND Col1 &gt;= DATE '"" &amp; TEXT($C$2, ""YYYY-MM-DD"") &amp; ""' AND "&amp;"Col1 &lt;= DATE '"" &amp; TEXT($C$3, ""YYYY-MM-DD"") &amp; ""' LABEL SUM(Col11) ''"", 0), """")"),"#REF!")</f>
        <v>#REF!</v>
      </c>
      <c r="F44" s="13" t="str">
        <f t="shared" si="6"/>
        <v>#N/A</v>
      </c>
    </row>
    <row r="45" ht="15.75" customHeight="1">
      <c r="A45" s="1"/>
      <c r="B45" s="1"/>
      <c r="C45" s="2" t="str">
        <f>VLOOKUP(B45,Helper!$D$99:$F1000,3,FALSE)</f>
        <v>#N/A</v>
      </c>
      <c r="D45" s="13" t="str">
        <f>IFERROR(__xludf.DUMMYFUNCTION("IFNA(QUERY(IMPORTRANGE(""https://docs.google.com/spreadsheets/d/1EHL-jm_NiShR1a2JqKbpaJGazYH90DJO150spY6io4k/edit?gid=0#gid=0"", 
""Gen_Ledger!A:N""), 
""SELECT SUM(Col10) WHERE Col7 = ""&amp;B45&amp;"" AND Col1 &gt;= DATE '"" &amp; TEXT($C$2, ""YYYY-MM-DD"") &amp; ""' AND "&amp;"Col1 &lt;= DATE '"" &amp; TEXT($C$3, ""YYYY-MM-DD"") &amp; ""' LABEL SUM(Col10) ''"", 0), """")"),"#REF!")</f>
        <v>#REF!</v>
      </c>
      <c r="E45" s="13" t="str">
        <f>IFERROR(__xludf.DUMMYFUNCTION("IFNA(QUERY(IMPORTRANGE(""https://docs.google.com/spreadsheets/d/1EHL-jm_NiShR1a2JqKbpaJGazYH90DJO150spY6io4k/edit?gid=0#gid=0"", 
""Gen_Ledger!A:N""), 
""SELECT SUM(Col11) WHERE Col7 = ""&amp;B45&amp;"" AND Col1 &gt;= DATE '"" &amp; TEXT($C$2, ""YYYY-MM-DD"") &amp; ""' AND "&amp;"Col1 &lt;= DATE '"" &amp; TEXT($C$3, ""YYYY-MM-DD"") &amp; ""' LABEL SUM(Col11) ''"", 0), """")"),"#REF!")</f>
        <v>#REF!</v>
      </c>
      <c r="F45" s="13" t="str">
        <f t="shared" si="6"/>
        <v>#N/A</v>
      </c>
    </row>
    <row r="46" ht="15.75" customHeight="1">
      <c r="A46" s="1"/>
      <c r="B46" s="1"/>
      <c r="C46" s="2" t="str">
        <f>VLOOKUP(B46,Helper!$D$99:$F1000,3,FALSE)</f>
        <v>#N/A</v>
      </c>
      <c r="D46" s="13" t="str">
        <f>IFERROR(__xludf.DUMMYFUNCTION("IFNA(QUERY(IMPORTRANGE(""https://docs.google.com/spreadsheets/d/1EHL-jm_NiShR1a2JqKbpaJGazYH90DJO150spY6io4k/edit?gid=0#gid=0"", 
""Gen_Ledger!A:N""), 
""SELECT SUM(Col10) WHERE Col7 = ""&amp;B46&amp;"" AND Col1 &gt;= DATE '"" &amp; TEXT($C$2, ""YYYY-MM-DD"") &amp; ""' AND "&amp;"Col1 &lt;= DATE '"" &amp; TEXT($C$3, ""YYYY-MM-DD"") &amp; ""' LABEL SUM(Col10) ''"", 0), """")"),"#REF!")</f>
        <v>#REF!</v>
      </c>
      <c r="E46" s="13" t="str">
        <f>IFERROR(__xludf.DUMMYFUNCTION("IFNA(QUERY(IMPORTRANGE(""https://docs.google.com/spreadsheets/d/1EHL-jm_NiShR1a2JqKbpaJGazYH90DJO150spY6io4k/edit?gid=0#gid=0"", 
""Gen_Ledger!A:N""), 
""SELECT SUM(Col11) WHERE Col7 = ""&amp;B46&amp;"" AND Col1 &gt;= DATE '"" &amp; TEXT($C$2, ""YYYY-MM-DD"") &amp; ""' AND "&amp;"Col1 &lt;= DATE '"" &amp; TEXT($C$3, ""YYYY-MM-DD"") &amp; ""' LABEL SUM(Col11) ''"", 0), """")"),"#REF!")</f>
        <v>#REF!</v>
      </c>
      <c r="F46" s="13" t="str">
        <f t="shared" si="6"/>
        <v>#N/A</v>
      </c>
    </row>
    <row r="47" ht="15.75" customHeight="1">
      <c r="A47" s="1"/>
      <c r="B47" s="1"/>
      <c r="C47" s="2" t="str">
        <f>VLOOKUP(B47,Helper!$D$99:$F1000,3,FALSE)</f>
        <v>#N/A</v>
      </c>
      <c r="D47" s="13" t="str">
        <f>IFERROR(__xludf.DUMMYFUNCTION("IFNA(QUERY(IMPORTRANGE(""https://docs.google.com/spreadsheets/d/1EHL-jm_NiShR1a2JqKbpaJGazYH90DJO150spY6io4k/edit?gid=0#gid=0"", 
""Gen_Ledger!A:N""), 
""SELECT SUM(Col10) WHERE Col7 = ""&amp;B47&amp;"" AND Col1 &gt;= DATE '"" &amp; TEXT($C$2, ""YYYY-MM-DD"") &amp; ""' AND "&amp;"Col1 &lt;= DATE '"" &amp; TEXT($C$3, ""YYYY-MM-DD"") &amp; ""' LABEL SUM(Col10) ''"", 0), """")"),"#REF!")</f>
        <v>#REF!</v>
      </c>
      <c r="E47" s="13" t="str">
        <f>IFERROR(__xludf.DUMMYFUNCTION("IFNA(QUERY(IMPORTRANGE(""https://docs.google.com/spreadsheets/d/1EHL-jm_NiShR1a2JqKbpaJGazYH90DJO150spY6io4k/edit?gid=0#gid=0"", 
""Gen_Ledger!A:N""), 
""SELECT SUM(Col11) WHERE Col7 = ""&amp;B47&amp;"" AND Col1 &gt;= DATE '"" &amp; TEXT($C$2, ""YYYY-MM-DD"") &amp; ""' AND "&amp;"Col1 &lt;= DATE '"" &amp; TEXT($C$3, ""YYYY-MM-DD"") &amp; ""' LABEL SUM(Col11) ''"", 0), """")"),"#REF!")</f>
        <v>#REF!</v>
      </c>
      <c r="F47" s="13" t="str">
        <f t="shared" si="6"/>
        <v>#N/A</v>
      </c>
      <c r="I47" s="12" t="str">
        <f>SUM(D45:D48)</f>
        <v>#REF!</v>
      </c>
    </row>
    <row r="48" ht="15.75" customHeight="1">
      <c r="A48" s="1"/>
      <c r="B48" s="1"/>
      <c r="C48" s="2" t="str">
        <f>VLOOKUP(B48,Helper!$D$99:$F1000,3,FALSE)</f>
        <v>#N/A</v>
      </c>
      <c r="D48" s="13" t="str">
        <f>IFERROR(__xludf.DUMMYFUNCTION("IFNA(QUERY(IMPORTRANGE(""https://docs.google.com/spreadsheets/d/1EHL-jm_NiShR1a2JqKbpaJGazYH90DJO150spY6io4k/edit?gid=0#gid=0"", 
""Gen_Ledger!A:N""), 
""SELECT SUM(Col10) WHERE Col7 = ""&amp;B48&amp;"" AND Col1 &gt;= DATE '"" &amp; TEXT($C$2, ""YYYY-MM-DD"") &amp; ""' AND "&amp;"Col1 &lt;= DATE '"" &amp; TEXT($C$3, ""YYYY-MM-DD"") &amp; ""' LABEL SUM(Col10) ''"", 0), """")"),"#REF!")</f>
        <v>#REF!</v>
      </c>
      <c r="E48" s="13" t="str">
        <f>IFERROR(__xludf.DUMMYFUNCTION("IFNA(QUERY(IMPORTRANGE(""https://docs.google.com/spreadsheets/d/1EHL-jm_NiShR1a2JqKbpaJGazYH90DJO150spY6io4k/edit?gid=0#gid=0"", 
""Gen_Ledger!A:N""), 
""SELECT SUM(Col11) WHERE Col7 = ""&amp;B48&amp;"" AND Col1 &gt;= DATE '"" &amp; TEXT($C$2, ""YYYY-MM-DD"") &amp; ""' AND "&amp;"Col1 &lt;= DATE '"" &amp; TEXT($C$3, ""YYYY-MM-DD"") &amp; ""' LABEL SUM(Col11) ''"", 0), """")"),"#REF!")</f>
        <v>#REF!</v>
      </c>
      <c r="F48" s="13" t="str">
        <f t="shared" si="6"/>
        <v>#N/A</v>
      </c>
    </row>
    <row r="49" ht="15.75" customHeight="1">
      <c r="A49" s="1"/>
      <c r="B49" s="1"/>
      <c r="C49" s="2" t="str">
        <f>VLOOKUP(B49,Helper!$D$99:$F1000,3,FALSE)</f>
        <v>#N/A</v>
      </c>
      <c r="D49" s="13" t="str">
        <f>IFERROR(__xludf.DUMMYFUNCTION("IFNA(QUERY(IMPORTRANGE(""https://docs.google.com/spreadsheets/d/1EHL-jm_NiShR1a2JqKbpaJGazYH90DJO150spY6io4k/edit?gid=0#gid=0"", 
""Gen_Ledger!A:N""), 
""SELECT SUM(Col10) WHERE Col7 = ""&amp;B49&amp;"" AND Col1 &gt;= DATE '"" &amp; TEXT($C$2, ""YYYY-MM-DD"") &amp; ""' AND "&amp;"Col1 &lt;= DATE '"" &amp; TEXT($C$3, ""YYYY-MM-DD"") &amp; ""' LABEL SUM(Col10) ''"", 0), """")"),"#REF!")</f>
        <v>#REF!</v>
      </c>
      <c r="E49" s="13" t="str">
        <f>IFERROR(__xludf.DUMMYFUNCTION("IFNA(QUERY(IMPORTRANGE(""https://docs.google.com/spreadsheets/d/1EHL-jm_NiShR1a2JqKbpaJGazYH90DJO150spY6io4k/edit?gid=0#gid=0"", 
""Gen_Ledger!A:N""), 
""SELECT SUM(Col11) WHERE Col7 = ""&amp;B49&amp;"" AND Col1 &gt;= DATE '"" &amp; TEXT($C$2, ""YYYY-MM-DD"") &amp; ""' AND "&amp;"Col1 &lt;= DATE '"" &amp; TEXT($C$3, ""YYYY-MM-DD"") &amp; ""' LABEL SUM(Col11) ''"", 0), """")"),"#REF!")</f>
        <v>#REF!</v>
      </c>
      <c r="F49" s="13" t="str">
        <f t="shared" si="6"/>
        <v>#N/A</v>
      </c>
    </row>
    <row r="50" ht="15.75" customHeight="1">
      <c r="A50" s="1"/>
      <c r="B50" s="1"/>
      <c r="C50" s="2" t="str">
        <f>VLOOKUP(B50,Helper!$D$99:$F1000,3,FALSE)</f>
        <v>#N/A</v>
      </c>
      <c r="D50" s="13" t="str">
        <f>IFERROR(__xludf.DUMMYFUNCTION("IFNA(QUERY(IMPORTRANGE(""https://docs.google.com/spreadsheets/d/1EHL-jm_NiShR1a2JqKbpaJGazYH90DJO150spY6io4k/edit?gid=0#gid=0"", 
""Gen_Ledger!A:N""), 
""SELECT SUM(Col10) WHERE Col7 = ""&amp;B50&amp;"" AND Col1 &gt;= DATE '"" &amp; TEXT($C$2, ""YYYY-MM-DD"") &amp; ""' AND "&amp;"Col1 &lt;= DATE '"" &amp; TEXT($C$3, ""YYYY-MM-DD"") &amp; ""' LABEL SUM(Col10) ''"", 0), """")"),"#REF!")</f>
        <v>#REF!</v>
      </c>
      <c r="E50" s="13" t="str">
        <f>IFERROR(__xludf.DUMMYFUNCTION("IFNA(QUERY(IMPORTRANGE(""https://docs.google.com/spreadsheets/d/1EHL-jm_NiShR1a2JqKbpaJGazYH90DJO150spY6io4k/edit?gid=0#gid=0"", 
""Gen_Ledger!A:N""), 
""SELECT SUM(Col11) WHERE Col7 = ""&amp;B50&amp;"" AND Col1 &gt;= DATE '"" &amp; TEXT($C$2, ""YYYY-MM-DD"") &amp; ""' AND "&amp;"Col1 &lt;= DATE '"" &amp; TEXT($C$3, ""YYYY-MM-DD"") &amp; ""' LABEL SUM(Col11) ''"", 0), """")"),"#REF!")</f>
        <v>#REF!</v>
      </c>
      <c r="F50" s="13" t="str">
        <f t="shared" si="6"/>
        <v>#N/A</v>
      </c>
    </row>
    <row r="51" ht="15.75" customHeight="1">
      <c r="A51" s="1"/>
      <c r="B51" s="1"/>
      <c r="C51" s="2" t="str">
        <f>VLOOKUP(B51,Helper!$D$99:$F1000,3,FALSE)</f>
        <v>#N/A</v>
      </c>
      <c r="D51" s="13" t="str">
        <f>IFERROR(__xludf.DUMMYFUNCTION("IFNA(QUERY(IMPORTRANGE(""https://docs.google.com/spreadsheets/d/1EHL-jm_NiShR1a2JqKbpaJGazYH90DJO150spY6io4k/edit?gid=0#gid=0"", 
""Gen_Ledger!A:N""), 
""SELECT SUM(Col10) WHERE Col7 = ""&amp;B51&amp;"" AND Col1 &gt;= DATE '"" &amp; TEXT($C$2, ""YYYY-MM-DD"") &amp; ""' AND "&amp;"Col1 &lt;= DATE '"" &amp; TEXT($C$3, ""YYYY-MM-DD"") &amp; ""' LABEL SUM(Col10) ''"", 0), """")"),"#REF!")</f>
        <v>#REF!</v>
      </c>
      <c r="E51" s="13" t="str">
        <f>IFERROR(__xludf.DUMMYFUNCTION("IFNA(QUERY(IMPORTRANGE(""https://docs.google.com/spreadsheets/d/1EHL-jm_NiShR1a2JqKbpaJGazYH90DJO150spY6io4k/edit?gid=0#gid=0"", 
""Gen_Ledger!A:N""), 
""SELECT SUM(Col11) WHERE Col7 = ""&amp;B51&amp;"" AND Col1 &gt;= DATE '"" &amp; TEXT($C$2, ""YYYY-MM-DD"") &amp; ""' AND "&amp;"Col1 &lt;= DATE '"" &amp; TEXT($C$3, ""YYYY-MM-DD"") &amp; ""' LABEL SUM(Col11) ''"", 0), """")"),"#REF!")</f>
        <v>#REF!</v>
      </c>
      <c r="F51" s="13" t="str">
        <f t="shared" si="6"/>
        <v>#N/A</v>
      </c>
    </row>
    <row r="52" ht="15.75" customHeight="1">
      <c r="A52" s="1"/>
      <c r="B52" s="1"/>
      <c r="C52" s="2" t="str">
        <f>VLOOKUP(B52,Helper!$D$99:$F1000,3,FALSE)</f>
        <v>#N/A</v>
      </c>
      <c r="D52" s="13" t="str">
        <f>IFERROR(__xludf.DUMMYFUNCTION("IFNA(QUERY(IMPORTRANGE(""https://docs.google.com/spreadsheets/d/1EHL-jm_NiShR1a2JqKbpaJGazYH90DJO150spY6io4k/edit?gid=0#gid=0"", 
""Gen_Ledger!A:N""), 
""SELECT SUM(Col10) WHERE Col7 = ""&amp;B52&amp;"" AND Col1 &gt;= DATE '"" &amp; TEXT($C$2, ""YYYY-MM-DD"") &amp; ""' AND "&amp;"Col1 &lt;= DATE '"" &amp; TEXT($C$3, ""YYYY-MM-DD"") &amp; ""' LABEL SUM(Col10) ''"", 0), """")"),"#REF!")</f>
        <v>#REF!</v>
      </c>
      <c r="E52" s="13" t="str">
        <f>IFERROR(__xludf.DUMMYFUNCTION("IFNA(QUERY(IMPORTRANGE(""https://docs.google.com/spreadsheets/d/1EHL-jm_NiShR1a2JqKbpaJGazYH90DJO150spY6io4k/edit?gid=0#gid=0"", 
""Gen_Ledger!A:N""), 
""SELECT SUM(Col11) WHERE Col7 = ""&amp;B52&amp;"" AND Col1 &gt;= DATE '"" &amp; TEXT($C$2, ""YYYY-MM-DD"") &amp; ""' AND "&amp;"Col1 &lt;= DATE '"" &amp; TEXT($C$3, ""YYYY-MM-DD"") &amp; ""' LABEL SUM(Col11) ''"", 0), """")"),"#REF!")</f>
        <v>#REF!</v>
      </c>
      <c r="F52" s="13" t="str">
        <f t="shared" si="6"/>
        <v>#N/A</v>
      </c>
    </row>
    <row r="53" ht="15.75" customHeight="1">
      <c r="A53" s="1"/>
      <c r="B53" s="1"/>
      <c r="C53" s="2" t="str">
        <f>VLOOKUP(B53,Helper!$D$99:$F1000,3,FALSE)</f>
        <v>#N/A</v>
      </c>
      <c r="D53" s="13" t="str">
        <f>IFERROR(__xludf.DUMMYFUNCTION("IFNA(QUERY(IMPORTRANGE(""https://docs.google.com/spreadsheets/d/1EHL-jm_NiShR1a2JqKbpaJGazYH90DJO150spY6io4k/edit?gid=0#gid=0"", 
""Gen_Ledger!A:N""), 
""SELECT SUM(Col10) WHERE Col7 = ""&amp;B53&amp;"" AND Col1 &gt;= DATE '"" &amp; TEXT($C$2, ""YYYY-MM-DD"") &amp; ""' AND "&amp;"Col1 &lt;= DATE '"" &amp; TEXT($C$3, ""YYYY-MM-DD"") &amp; ""' LABEL SUM(Col10) ''"", 0), """")"),"#REF!")</f>
        <v>#REF!</v>
      </c>
      <c r="E53" s="13" t="str">
        <f>IFERROR(__xludf.DUMMYFUNCTION("IFNA(QUERY(IMPORTRANGE(""https://docs.google.com/spreadsheets/d/1EHL-jm_NiShR1a2JqKbpaJGazYH90DJO150spY6io4k/edit?gid=0#gid=0"", 
""Gen_Ledger!A:N""), 
""SELECT SUM(Col11) WHERE Col7 = ""&amp;B53&amp;"" AND Col1 &gt;= DATE '"" &amp; TEXT($C$2, ""YYYY-MM-DD"") &amp; ""' AND "&amp;"Col1 &lt;= DATE '"" &amp; TEXT($C$3, ""YYYY-MM-DD"") &amp; ""' LABEL SUM(Col11) ''"", 0), """")"),"#REF!")</f>
        <v>#REF!</v>
      </c>
      <c r="F53" s="13" t="str">
        <f t="shared" si="6"/>
        <v>#N/A</v>
      </c>
    </row>
    <row r="54" ht="15.75" customHeight="1">
      <c r="A54" s="1"/>
      <c r="B54" s="1"/>
      <c r="C54" s="2" t="str">
        <f>VLOOKUP(B54,Helper!$D$99:$F1000,3,FALSE)</f>
        <v>#N/A</v>
      </c>
      <c r="D54" s="13" t="str">
        <f>IFERROR(__xludf.DUMMYFUNCTION("IFNA(QUERY(IMPORTRANGE(""https://docs.google.com/spreadsheets/d/1EHL-jm_NiShR1a2JqKbpaJGazYH90DJO150spY6io4k/edit?gid=0#gid=0"", 
""Gen_Ledger!A:N""), 
""SELECT SUM(Col10) WHERE Col7 = ""&amp;B54&amp;"" AND Col1 &gt;= DATE '"" &amp; TEXT($C$2, ""YYYY-MM-DD"") &amp; ""' AND "&amp;"Col1 &lt;= DATE '"" &amp; TEXT($C$3, ""YYYY-MM-DD"") &amp; ""' LABEL SUM(Col10) ''"", 0), """")"),"#REF!")</f>
        <v>#REF!</v>
      </c>
      <c r="E54" s="13" t="str">
        <f>IFERROR(__xludf.DUMMYFUNCTION("IFNA(QUERY(IMPORTRANGE(""https://docs.google.com/spreadsheets/d/1EHL-jm_NiShR1a2JqKbpaJGazYH90DJO150spY6io4k/edit?gid=0#gid=0"", 
""Gen_Ledger!A:N""), 
""SELECT SUM(Col11) WHERE Col7 = ""&amp;B54&amp;"" AND Col1 &gt;= DATE '"" &amp; TEXT($C$2, ""YYYY-MM-DD"") &amp; ""' AND "&amp;"Col1 &lt;= DATE '"" &amp; TEXT($C$3, ""YYYY-MM-DD"") &amp; ""' LABEL SUM(Col11) ''"", 0), """")"),"#REF!")</f>
        <v>#REF!</v>
      </c>
      <c r="F54" s="13" t="str">
        <f t="shared" si="6"/>
        <v>#N/A</v>
      </c>
    </row>
    <row r="55" ht="15.75" customHeight="1">
      <c r="A55" s="1"/>
      <c r="B55" s="1"/>
      <c r="C55" s="2" t="str">
        <f>VLOOKUP(B55,Helper!$D$99:$F1000,3,FALSE)</f>
        <v>#N/A</v>
      </c>
      <c r="D55" s="13" t="str">
        <f>IFERROR(__xludf.DUMMYFUNCTION("IFNA(QUERY(IMPORTRANGE(""https://docs.google.com/spreadsheets/d/1EHL-jm_NiShR1a2JqKbpaJGazYH90DJO150spY6io4k/edit?gid=0#gid=0"", 
""Gen_Ledger!A:N""), 
""SELECT SUM(Col10) WHERE Col7 = ""&amp;B55&amp;"" AND Col1 &gt;= DATE '"" &amp; TEXT($C$2, ""YYYY-MM-DD"") &amp; ""' AND "&amp;"Col1 &lt;= DATE '"" &amp; TEXT($C$3, ""YYYY-MM-DD"") &amp; ""' LABEL SUM(Col10) ''"", 0), """")"),"#REF!")</f>
        <v>#REF!</v>
      </c>
      <c r="E55" s="13" t="str">
        <f>IFERROR(__xludf.DUMMYFUNCTION("IFNA(QUERY(IMPORTRANGE(""https://docs.google.com/spreadsheets/d/1EHL-jm_NiShR1a2JqKbpaJGazYH90DJO150spY6io4k/edit?gid=0#gid=0"", 
""Gen_Ledger!A:N""), 
""SELECT SUM(Col11) WHERE Col7 = ""&amp;B55&amp;"" AND Col1 &gt;= DATE '"" &amp; TEXT($C$2, ""YYYY-MM-DD"") &amp; ""' AND "&amp;"Col1 &lt;= DATE '"" &amp; TEXT($C$3, ""YYYY-MM-DD"") &amp; ""' LABEL SUM(Col11) ''"", 0), """")"),"#REF!")</f>
        <v>#REF!</v>
      </c>
      <c r="F55" s="13" t="str">
        <f t="shared" si="6"/>
        <v>#N/A</v>
      </c>
    </row>
    <row r="56" ht="15.75" customHeight="1">
      <c r="A56" s="1"/>
      <c r="B56" s="1"/>
      <c r="C56" s="2" t="str">
        <f>VLOOKUP(B56,Helper!$D$99:$F1000,3,FALSE)</f>
        <v>#N/A</v>
      </c>
      <c r="D56" s="13" t="str">
        <f>IFERROR(__xludf.DUMMYFUNCTION("IFNA(QUERY(IMPORTRANGE(""https://docs.google.com/spreadsheets/d/1EHL-jm_NiShR1a2JqKbpaJGazYH90DJO150spY6io4k/edit?gid=0#gid=0"", 
""Gen_Ledger!A:N""), 
""SELECT SUM(Col10) WHERE Col7 = ""&amp;B56&amp;"" AND Col1 &gt;= DATE '"" &amp; TEXT($C$2, ""YYYY-MM-DD"") &amp; ""' AND "&amp;"Col1 &lt;= DATE '"" &amp; TEXT($C$3, ""YYYY-MM-DD"") &amp; ""' LABEL SUM(Col10) ''"", 0), """")"),"#REF!")</f>
        <v>#REF!</v>
      </c>
      <c r="E56" s="13" t="str">
        <f>IFERROR(__xludf.DUMMYFUNCTION("IFNA(QUERY(IMPORTRANGE(""https://docs.google.com/spreadsheets/d/1EHL-jm_NiShR1a2JqKbpaJGazYH90DJO150spY6io4k/edit?gid=0#gid=0"", 
""Gen_Ledger!A:N""), 
""SELECT SUM(Col11) WHERE Col7 = ""&amp;B56&amp;"" AND Col1 &gt;= DATE '"" &amp; TEXT($C$2, ""YYYY-MM-DD"") &amp; ""' AND "&amp;"Col1 &lt;= DATE '"" &amp; TEXT($C$3, ""YYYY-MM-DD"") &amp; ""' LABEL SUM(Col11) ''"", 0), """")"),"#REF!")</f>
        <v>#REF!</v>
      </c>
      <c r="F56" s="13" t="str">
        <f t="shared" si="6"/>
        <v>#N/A</v>
      </c>
    </row>
    <row r="57" ht="15.75" customHeight="1">
      <c r="A57" s="1"/>
      <c r="B57" s="1"/>
      <c r="C57" s="2" t="str">
        <f>VLOOKUP(B57,Helper!$D$99:$F1000,3,FALSE)</f>
        <v>#N/A</v>
      </c>
      <c r="D57" s="13" t="str">
        <f>IFERROR(__xludf.DUMMYFUNCTION("IFNA(QUERY(IMPORTRANGE(""https://docs.google.com/spreadsheets/d/1EHL-jm_NiShR1a2JqKbpaJGazYH90DJO150spY6io4k/edit?gid=0#gid=0"", 
""Gen_Ledger!A:N""), 
""SELECT SUM(Col10) WHERE Col7 = ""&amp;B57&amp;"" AND Col1 &gt;= DATE '"" &amp; TEXT($C$2, ""YYYY-MM-DD"") &amp; ""' AND "&amp;"Col1 &lt;= DATE '"" &amp; TEXT($C$3, ""YYYY-MM-DD"") &amp; ""' LABEL SUM(Col10) ''"", 0), """")"),"#REF!")</f>
        <v>#REF!</v>
      </c>
      <c r="E57" s="13" t="str">
        <f>IFERROR(__xludf.DUMMYFUNCTION("IFNA(QUERY(IMPORTRANGE(""https://docs.google.com/spreadsheets/d/1EHL-jm_NiShR1a2JqKbpaJGazYH90DJO150spY6io4k/edit?gid=0#gid=0"", 
""Gen_Ledger!A:N""), 
""SELECT SUM(Col11) WHERE Col7 = ""&amp;B57&amp;"" AND Col1 &gt;= DATE '"" &amp; TEXT($C$2, ""YYYY-MM-DD"") &amp; ""' AND "&amp;"Col1 &lt;= DATE '"" &amp; TEXT($C$3, ""YYYY-MM-DD"") &amp; ""' LABEL SUM(Col11) ''"", 0), """")"),"#REF!")</f>
        <v>#REF!</v>
      </c>
      <c r="F57" s="13" t="str">
        <f t="shared" si="6"/>
        <v>#N/A</v>
      </c>
    </row>
    <row r="58" ht="15.75" customHeight="1">
      <c r="A58" s="1"/>
      <c r="B58" s="1"/>
      <c r="C58" s="2" t="str">
        <f>VLOOKUP(B58,Helper!$D$99:$F1000,3,FALSE)</f>
        <v>#N/A</v>
      </c>
      <c r="D58" s="13" t="str">
        <f>IFERROR(__xludf.DUMMYFUNCTION("IFNA(QUERY(IMPORTRANGE(""https://docs.google.com/spreadsheets/d/1EHL-jm_NiShR1a2JqKbpaJGazYH90DJO150spY6io4k/edit?gid=0#gid=0"", 
""Gen_Ledger!A:N""), 
""SELECT SUM(Col10) WHERE Col7 = ""&amp;B58&amp;"" AND Col1 &gt;= DATE '"" &amp; TEXT($C$2, ""YYYY-MM-DD"") &amp; ""' AND "&amp;"Col1 &lt;= DATE '"" &amp; TEXT($C$3, ""YYYY-MM-DD"") &amp; ""' LABEL SUM(Col10) ''"", 0), """")"),"#REF!")</f>
        <v>#REF!</v>
      </c>
      <c r="E58" s="13" t="str">
        <f>IFERROR(__xludf.DUMMYFUNCTION("IFNA(QUERY(IMPORTRANGE(""https://docs.google.com/spreadsheets/d/1EHL-jm_NiShR1a2JqKbpaJGazYH90DJO150spY6io4k/edit?gid=0#gid=0"", 
""Gen_Ledger!A:N""), 
""SELECT SUM(Col11) WHERE Col7 = ""&amp;B58&amp;"" AND Col1 &gt;= DATE '"" &amp; TEXT($C$2, ""YYYY-MM-DD"") &amp; ""' AND "&amp;"Col1 &lt;= DATE '"" &amp; TEXT($C$3, ""YYYY-MM-DD"") &amp; ""' LABEL SUM(Col11) ''"", 0), """")"),"#REF!")</f>
        <v>#REF!</v>
      </c>
      <c r="F58" s="13" t="str">
        <f t="shared" si="6"/>
        <v>#N/A</v>
      </c>
    </row>
    <row r="59" ht="15.75" customHeight="1">
      <c r="A59" s="1"/>
      <c r="B59" s="1"/>
      <c r="C59" s="2" t="str">
        <f>VLOOKUP(B59,Helper!$D$99:$F1000,3,FALSE)</f>
        <v>#N/A</v>
      </c>
      <c r="D59" s="13" t="str">
        <f>IFERROR(__xludf.DUMMYFUNCTION("IFNA(QUERY(IMPORTRANGE(""https://docs.google.com/spreadsheets/d/1EHL-jm_NiShR1a2JqKbpaJGazYH90DJO150spY6io4k/edit?gid=0#gid=0"", 
""Gen_Ledger!A:N""), 
""SELECT SUM(Col10) WHERE Col7 = ""&amp;B59&amp;"" AND Col1 &gt;= DATE '"" &amp; TEXT($C$2, ""YYYY-MM-DD"") &amp; ""' AND "&amp;"Col1 &lt;= DATE '"" &amp; TEXT($C$3, ""YYYY-MM-DD"") &amp; ""' LABEL SUM(Col10) ''"", 0), """")"),"#REF!")</f>
        <v>#REF!</v>
      </c>
      <c r="E59" s="13" t="str">
        <f>IFERROR(__xludf.DUMMYFUNCTION("IFNA(QUERY(IMPORTRANGE(""https://docs.google.com/spreadsheets/d/1EHL-jm_NiShR1a2JqKbpaJGazYH90DJO150spY6io4k/edit?gid=0#gid=0"", 
""Gen_Ledger!A:N""), 
""SELECT SUM(Col11) WHERE Col7 = ""&amp;B59&amp;"" AND Col1 &gt;= DATE '"" &amp; TEXT($C$2, ""YYYY-MM-DD"") &amp; ""' AND "&amp;"Col1 &lt;= DATE '"" &amp; TEXT($C$3, ""YYYY-MM-DD"") &amp; ""' LABEL SUM(Col11) ''"", 0), """")"),"#REF!")</f>
        <v>#REF!</v>
      </c>
      <c r="F59" s="13" t="str">
        <f>C59+E59-D59</f>
        <v>#N/A</v>
      </c>
    </row>
    <row r="60" ht="15.75" customHeight="1">
      <c r="A60" s="1"/>
      <c r="B60" s="1"/>
      <c r="C60" s="2" t="str">
        <f>VLOOKUP(B60,Helper!$D$99:$F1000,3,FALSE)</f>
        <v>#N/A</v>
      </c>
      <c r="D60" s="13" t="str">
        <f>IFERROR(__xludf.DUMMYFUNCTION("IFNA(QUERY(IMPORTRANGE(""https://docs.google.com/spreadsheets/d/1EHL-jm_NiShR1a2JqKbpaJGazYH90DJO150spY6io4k/edit?gid=0#gid=0"", 
""Gen_Ledger!A:N""), 
""SELECT SUM(Col10) WHERE Col7 = ""&amp;B60&amp;"" AND Col1 &gt;= DATE '"" &amp; TEXT($C$2, ""YYYY-MM-DD"") &amp; ""' AND "&amp;"Col1 &lt;= DATE '"" &amp; TEXT($C$3, ""YYYY-MM-DD"") &amp; ""' LABEL SUM(Col10) ''"", 0), """")"),"#REF!")</f>
        <v>#REF!</v>
      </c>
      <c r="E60" s="13" t="str">
        <f>IFERROR(__xludf.DUMMYFUNCTION("IFNA(QUERY(IMPORTRANGE(""https://docs.google.com/spreadsheets/d/1EHL-jm_NiShR1a2JqKbpaJGazYH90DJO150spY6io4k/edit?gid=0#gid=0"", 
""Gen_Ledger!A:N""), 
""SELECT SUM(Col11) WHERE Col7 = ""&amp;B60&amp;"" AND Col1 &gt;= DATE '"" &amp; TEXT($C$2, ""YYYY-MM-DD"") &amp; ""' AND "&amp;"Col1 &lt;= DATE '"" &amp; TEXT($C$3, ""YYYY-MM-DD"") &amp; ""' LABEL SUM(Col11) ''"", 0), """")"),"#REF!")</f>
        <v>#REF!</v>
      </c>
      <c r="F60" s="13" t="str">
        <f>C60-E60+D60</f>
        <v>#N/A</v>
      </c>
    </row>
    <row r="61" ht="15.75" customHeight="1">
      <c r="A61" s="1"/>
      <c r="B61" s="1"/>
      <c r="C61" s="2" t="str">
        <f>VLOOKUP(B61,Helper!$D$99:$F1000,3,FALSE)</f>
        <v>#N/A</v>
      </c>
      <c r="D61" s="13" t="str">
        <f>IFERROR(__xludf.DUMMYFUNCTION("IFNA(QUERY(IMPORTRANGE(""https://docs.google.com/spreadsheets/d/1EHL-jm_NiShR1a2JqKbpaJGazYH90DJO150spY6io4k/edit?gid=0#gid=0"", 
""Gen_Ledger!A:N""), 
""SELECT SUM(Col10) WHERE Col7 = ""&amp;B61&amp;"" AND Col1 &gt;= DATE '"" &amp; TEXT($C$2, ""YYYY-MM-DD"") &amp; ""' AND "&amp;"Col1 &lt;= DATE '"" &amp; TEXT($C$3, ""YYYY-MM-DD"") &amp; ""' LABEL SUM(Col10) ''"", 0), """")"),"#REF!")</f>
        <v>#REF!</v>
      </c>
      <c r="E61" s="13" t="str">
        <f>IFERROR(__xludf.DUMMYFUNCTION("IFNA(QUERY(IMPORTRANGE(""https://docs.google.com/spreadsheets/d/1EHL-jm_NiShR1a2JqKbpaJGazYH90DJO150spY6io4k/edit?gid=0#gid=0"", 
""Gen_Ledger!A:N""), 
""SELECT SUM(Col11) WHERE Col7 = ""&amp;B61&amp;"" AND Col1 &gt;= DATE '"" &amp; TEXT($C$2, ""YYYY-MM-DD"") &amp; ""' AND "&amp;"Col1 &lt;= DATE '"" &amp; TEXT($C$3, ""YYYY-MM-DD"") &amp; ""' LABEL SUM(Col11) ''"", 0), """")"),"#REF!")</f>
        <v>#REF!</v>
      </c>
      <c r="F61" s="13" t="str">
        <f>E61</f>
        <v>#REF!</v>
      </c>
    </row>
    <row r="62" ht="15.75" customHeight="1">
      <c r="A62" s="1"/>
      <c r="B62" s="1"/>
      <c r="C62" s="2" t="str">
        <f>VLOOKUP(B62,Helper!$D$99:$F1000,3,FALSE)</f>
        <v>#N/A</v>
      </c>
      <c r="D62" s="13" t="str">
        <f>IFERROR(__xludf.DUMMYFUNCTION("IFNA(QUERY(IMPORTRANGE(""https://docs.google.com/spreadsheets/d/1EHL-jm_NiShR1a2JqKbpaJGazYH90DJO150spY6io4k/edit?gid=0#gid=0"", 
""Gen_Ledger!A:N""), 
""SELECT SUM(Col10) WHERE Col7 = ""&amp;B62&amp;"" AND Col1 &gt;= DATE '"" &amp; TEXT($C$2, ""YYYY-MM-DD"") &amp; ""' AND "&amp;"Col1 &lt;= DATE '"" &amp; TEXT($C$3, ""YYYY-MM-DD"") &amp; ""' LABEL SUM(Col10) ''"", 0), """")"),"#REF!")</f>
        <v>#REF!</v>
      </c>
      <c r="E62" s="13" t="str">
        <f>IFERROR(__xludf.DUMMYFUNCTION("IFNA(QUERY(IMPORTRANGE(""https://docs.google.com/spreadsheets/d/1EHL-jm_NiShR1a2JqKbpaJGazYH90DJO150spY6io4k/edit?gid=0#gid=0"", 
""Gen_Ledger!A:N""), 
""SELECT SUM(Col11) WHERE Col7 = ""&amp;B62&amp;"" AND Col1 &gt;= DATE '"" &amp; TEXT($C$2, ""YYYY-MM-DD"") &amp; ""' AND "&amp;"Col1 &lt;= DATE '"" &amp; TEXT($C$3, ""YYYY-MM-DD"") &amp; ""' LABEL SUM(Col11) ''"", 0), """")"),"#REF!")</f>
        <v>#REF!</v>
      </c>
      <c r="F62" s="13" t="str">
        <f t="shared" ref="F62:F63" si="7">C62-E62+D62</f>
        <v>#N/A</v>
      </c>
    </row>
    <row r="63" ht="15.75" customHeight="1">
      <c r="A63" s="1"/>
      <c r="B63" s="1"/>
      <c r="C63" s="2" t="str">
        <f>VLOOKUP(B63,Helper!$D$99:$F1000,3,FALSE)</f>
        <v>#N/A</v>
      </c>
      <c r="D63" s="13" t="str">
        <f>IFERROR(__xludf.DUMMYFUNCTION("IFNA(QUERY(IMPORTRANGE(""https://docs.google.com/spreadsheets/d/1EHL-jm_NiShR1a2JqKbpaJGazYH90DJO150spY6io4k/edit?gid=0#gid=0"", 
""Gen_Ledger!A:N""), 
""SELECT SUM(Col10) WHERE Col7 = ""&amp;B63&amp;"" AND Col1 &gt;= DATE '"" &amp; TEXT($C$2, ""YYYY-MM-DD"") &amp; ""' AND "&amp;"Col1 &lt;= DATE '"" &amp; TEXT($C$3, ""YYYY-MM-DD"") &amp; ""' LABEL SUM(Col10) ''"", 0), """")"),"#REF!")</f>
        <v>#REF!</v>
      </c>
      <c r="E63" s="13" t="str">
        <f>IFERROR(__xludf.DUMMYFUNCTION("IFNA(QUERY(IMPORTRANGE(""https://docs.google.com/spreadsheets/d/1EHL-jm_NiShR1a2JqKbpaJGazYH90DJO150spY6io4k/edit?gid=0#gid=0"", 
""Gen_Ledger!A:N""), 
""SELECT SUM(Col11) WHERE Col7 = ""&amp;B63&amp;"" AND Col1 &gt;= DATE '"" &amp; TEXT($C$2, ""YYYY-MM-DD"") &amp; ""' AND "&amp;"Col1 &lt;= DATE '"" &amp; TEXT($C$3, ""YYYY-MM-DD"") &amp; ""' LABEL SUM(Col11) ''"", 0), """")"),"#REF!")</f>
        <v>#REF!</v>
      </c>
      <c r="F63" s="13" t="str">
        <f t="shared" si="7"/>
        <v>#N/A</v>
      </c>
    </row>
    <row r="64" ht="15.75" customHeight="1">
      <c r="A64" s="3"/>
      <c r="B64" s="3"/>
    </row>
    <row r="65" ht="15.75" customHeight="1">
      <c r="A65" s="3"/>
      <c r="B65" s="3"/>
    </row>
    <row r="66" ht="15.75" customHeight="1">
      <c r="A66" s="3"/>
      <c r="B66" s="3"/>
    </row>
    <row r="67" ht="15.75" customHeight="1">
      <c r="A67" s="3"/>
      <c r="B67" s="3"/>
    </row>
    <row r="68" ht="15.75" customHeight="1">
      <c r="A68" s="3"/>
      <c r="B68" s="3"/>
    </row>
    <row r="69" ht="15.75" customHeight="1">
      <c r="A69" s="3"/>
      <c r="B69" s="3"/>
    </row>
    <row r="70" ht="15.75" customHeight="1">
      <c r="A70" s="3"/>
      <c r="B70" s="3"/>
    </row>
    <row r="71" ht="15.75" customHeight="1">
      <c r="A71" s="3"/>
      <c r="B71" s="3"/>
    </row>
    <row r="72" ht="15.75" customHeight="1">
      <c r="A72" s="3"/>
      <c r="B72" s="3"/>
    </row>
    <row r="73" ht="15.75" customHeight="1">
      <c r="A73" s="3"/>
      <c r="B73" s="3"/>
    </row>
    <row r="74" ht="15.75" customHeight="1">
      <c r="A74" s="3"/>
      <c r="B74" s="3"/>
    </row>
    <row r="75" ht="15.75" customHeight="1">
      <c r="A75" s="3"/>
      <c r="B75" s="3"/>
    </row>
    <row r="76" ht="15.75" customHeight="1">
      <c r="A76" s="3"/>
      <c r="B76" s="3"/>
    </row>
    <row r="77" ht="15.75" customHeight="1">
      <c r="A77" s="3"/>
      <c r="B77" s="3"/>
    </row>
    <row r="78" ht="15.75" customHeight="1">
      <c r="A78" s="3"/>
      <c r="B78" s="3"/>
    </row>
    <row r="79" ht="15.75" customHeight="1">
      <c r="A79" s="3"/>
      <c r="B79" s="3"/>
    </row>
    <row r="80" ht="15.75" customHeight="1">
      <c r="A80" s="3"/>
      <c r="B80" s="3"/>
    </row>
    <row r="81" ht="15.75" customHeight="1">
      <c r="A81" s="3"/>
      <c r="B81" s="3"/>
    </row>
    <row r="82" ht="15.75" customHeight="1">
      <c r="A82" s="3"/>
      <c r="B82" s="3"/>
    </row>
    <row r="83" ht="15.75" customHeight="1">
      <c r="A83" s="3"/>
      <c r="B83" s="3"/>
    </row>
    <row r="84" ht="15.75" customHeight="1">
      <c r="A84" s="3"/>
      <c r="B84" s="3"/>
    </row>
    <row r="85" ht="15.75" customHeight="1">
      <c r="A85" s="3"/>
      <c r="B85" s="3"/>
    </row>
    <row r="86" ht="15.75" customHeight="1">
      <c r="A86" s="3"/>
      <c r="B86" s="3"/>
    </row>
    <row r="87" ht="15.75" customHeight="1">
      <c r="A87" s="3"/>
      <c r="B87" s="3"/>
    </row>
    <row r="88" ht="15.75" customHeight="1">
      <c r="A88" s="3"/>
      <c r="B88" s="3"/>
    </row>
    <row r="89" ht="15.75" customHeight="1">
      <c r="A89" s="3"/>
      <c r="B89" s="3"/>
    </row>
    <row r="90" ht="15.75" customHeight="1">
      <c r="A90" s="3"/>
      <c r="B90" s="3"/>
    </row>
    <row r="91" ht="15.75" customHeight="1">
      <c r="A91" s="3"/>
      <c r="B91" s="3"/>
    </row>
    <row r="92" ht="15.75" customHeight="1">
      <c r="A92" s="3"/>
      <c r="B92" s="3"/>
    </row>
    <row r="93" ht="15.75" customHeight="1">
      <c r="A93" s="3"/>
      <c r="B93" s="3"/>
    </row>
    <row r="94" ht="15.75" customHeight="1">
      <c r="A94" s="3"/>
      <c r="B94" s="3"/>
    </row>
    <row r="95" ht="15.75" customHeight="1">
      <c r="A95" s="3"/>
      <c r="B95" s="3"/>
    </row>
    <row r="96" ht="15.75" customHeight="1">
      <c r="A96" s="3"/>
      <c r="B96" s="3"/>
    </row>
    <row r="97" ht="15.75" customHeight="1">
      <c r="A97" s="3"/>
      <c r="B97" s="3"/>
    </row>
    <row r="98" ht="15.75" customHeight="1">
      <c r="A98" s="3"/>
      <c r="B98" s="3"/>
    </row>
    <row r="99" ht="15.75" customHeight="1">
      <c r="A99" s="3"/>
      <c r="B99" s="3"/>
    </row>
    <row r="100" ht="15.75" customHeight="1">
      <c r="A100" s="3"/>
      <c r="B100" s="3"/>
    </row>
    <row r="101" ht="15.75" customHeight="1">
      <c r="A101" s="3"/>
      <c r="B101" s="3"/>
    </row>
    <row r="102" ht="15.75" customHeight="1">
      <c r="A102" s="3"/>
      <c r="B102" s="3"/>
    </row>
    <row r="103" ht="15.75" customHeight="1">
      <c r="A103" s="3"/>
      <c r="B103" s="3"/>
    </row>
    <row r="104" ht="15.75" customHeight="1">
      <c r="A104" s="3"/>
      <c r="B104" s="3"/>
    </row>
    <row r="105" ht="15.75" customHeight="1">
      <c r="A105" s="3"/>
      <c r="B105" s="3"/>
    </row>
    <row r="106" ht="15.75" customHeight="1">
      <c r="A106" s="3"/>
      <c r="B106" s="3"/>
    </row>
    <row r="107" ht="15.75" customHeight="1">
      <c r="A107" s="3"/>
      <c r="B107" s="3"/>
    </row>
    <row r="108" ht="15.75" customHeight="1">
      <c r="A108" s="3"/>
      <c r="B108" s="3"/>
    </row>
    <row r="109" ht="15.75" customHeight="1">
      <c r="A109" s="3"/>
      <c r="B109" s="3"/>
    </row>
    <row r="110" ht="15.75" customHeight="1">
      <c r="A110" s="3"/>
      <c r="B110" s="3"/>
    </row>
    <row r="111" ht="15.75" customHeight="1">
      <c r="A111" s="3"/>
      <c r="B111" s="3"/>
    </row>
    <row r="112" ht="15.75" customHeight="1">
      <c r="A112" s="3"/>
      <c r="B112" s="3"/>
    </row>
    <row r="113" ht="15.75" customHeight="1">
      <c r="A113" s="3"/>
      <c r="B113" s="3"/>
    </row>
    <row r="114" ht="15.75" customHeight="1">
      <c r="A114" s="3"/>
      <c r="B114" s="3"/>
    </row>
    <row r="115" ht="15.75" customHeight="1">
      <c r="A115" s="3"/>
      <c r="B115" s="3"/>
    </row>
    <row r="116" ht="15.75" customHeight="1">
      <c r="A116" s="3"/>
      <c r="B116" s="3"/>
    </row>
    <row r="117" ht="15.75" customHeight="1">
      <c r="A117" s="3"/>
      <c r="B117" s="3"/>
    </row>
    <row r="118" ht="15.75" customHeight="1">
      <c r="A118" s="3"/>
      <c r="B118" s="3"/>
    </row>
    <row r="119" ht="15.75" customHeight="1">
      <c r="A119" s="3"/>
      <c r="B119" s="3"/>
    </row>
    <row r="120" ht="15.75" customHeight="1">
      <c r="A120" s="3"/>
      <c r="B120" s="3"/>
    </row>
    <row r="121" ht="15.75" customHeight="1">
      <c r="A121" s="3"/>
      <c r="B121" s="3"/>
    </row>
    <row r="122" ht="15.75" customHeight="1">
      <c r="A122" s="3"/>
      <c r="B122" s="3"/>
    </row>
    <row r="123" ht="15.75" customHeight="1">
      <c r="A123" s="3"/>
      <c r="B123" s="3"/>
    </row>
    <row r="124" ht="15.75" customHeight="1">
      <c r="A124" s="3"/>
      <c r="B124" s="3"/>
    </row>
    <row r="125" ht="15.75" customHeight="1">
      <c r="A125" s="3"/>
      <c r="B125" s="3"/>
    </row>
    <row r="126" ht="15.75" customHeight="1">
      <c r="A126" s="3"/>
      <c r="B126" s="3"/>
    </row>
    <row r="127" ht="15.75" customHeight="1">
      <c r="A127" s="3"/>
      <c r="B127" s="3"/>
    </row>
    <row r="128" ht="15.75" customHeight="1">
      <c r="A128" s="3"/>
      <c r="B128" s="3"/>
    </row>
    <row r="129" ht="15.75" customHeight="1">
      <c r="A129" s="3"/>
      <c r="B129" s="3"/>
    </row>
    <row r="130" ht="15.75" customHeight="1">
      <c r="A130" s="3"/>
      <c r="B130" s="3"/>
    </row>
    <row r="131" ht="15.75" customHeight="1">
      <c r="A131" s="3"/>
      <c r="B131" s="3"/>
    </row>
    <row r="132" ht="15.75" customHeight="1">
      <c r="A132" s="3"/>
      <c r="B132" s="3"/>
    </row>
    <row r="133" ht="15.75" customHeight="1">
      <c r="A133" s="3"/>
      <c r="B133" s="3"/>
    </row>
    <row r="134" ht="15.75" customHeight="1">
      <c r="A134" s="3"/>
      <c r="B134" s="3"/>
    </row>
    <row r="135" ht="15.75" customHeight="1">
      <c r="A135" s="3"/>
      <c r="B135" s="3"/>
    </row>
    <row r="136" ht="15.75" customHeight="1">
      <c r="A136" s="3"/>
      <c r="B136" s="3"/>
    </row>
    <row r="137" ht="15.75" customHeight="1">
      <c r="A137" s="3"/>
      <c r="B137" s="3"/>
    </row>
    <row r="138" ht="15.75" customHeight="1">
      <c r="A138" s="3"/>
      <c r="B138" s="3"/>
    </row>
    <row r="139" ht="15.75" customHeight="1">
      <c r="A139" s="3"/>
      <c r="B139" s="3"/>
    </row>
    <row r="140" ht="15.75" customHeight="1">
      <c r="A140" s="3"/>
      <c r="B140" s="3"/>
    </row>
    <row r="141" ht="15.75" customHeight="1">
      <c r="A141" s="3"/>
      <c r="B141" s="3"/>
    </row>
    <row r="142" ht="15.75" customHeight="1">
      <c r="A142" s="3"/>
      <c r="B142" s="3"/>
    </row>
    <row r="143" ht="15.75" customHeight="1">
      <c r="A143" s="3"/>
      <c r="B143" s="3"/>
    </row>
    <row r="144" ht="15.75" customHeight="1">
      <c r="A144" s="3"/>
      <c r="B144" s="3"/>
    </row>
    <row r="145" ht="15.75" customHeight="1">
      <c r="A145" s="3"/>
      <c r="B145" s="3"/>
    </row>
    <row r="146" ht="15.75" customHeight="1">
      <c r="A146" s="3"/>
      <c r="B146" s="3"/>
    </row>
    <row r="147" ht="15.75" customHeight="1">
      <c r="A147" s="3"/>
      <c r="B147" s="3"/>
    </row>
    <row r="148" ht="15.75" customHeight="1">
      <c r="A148" s="3"/>
      <c r="B148" s="3"/>
    </row>
    <row r="149" ht="15.75" customHeight="1">
      <c r="A149" s="3"/>
      <c r="B149" s="3"/>
    </row>
    <row r="150" ht="15.75" customHeight="1">
      <c r="A150" s="3"/>
      <c r="B150" s="3"/>
    </row>
    <row r="151" ht="15.75" customHeight="1">
      <c r="A151" s="3"/>
      <c r="B151" s="3"/>
    </row>
    <row r="152" ht="15.75" customHeight="1">
      <c r="A152" s="3"/>
      <c r="B152" s="3"/>
    </row>
    <row r="153" ht="15.75" customHeight="1">
      <c r="A153" s="3"/>
      <c r="B153" s="3"/>
    </row>
    <row r="154" ht="15.75" customHeight="1">
      <c r="A154" s="3"/>
      <c r="B154" s="3"/>
    </row>
    <row r="155" ht="15.75" customHeight="1">
      <c r="A155" s="3"/>
      <c r="B155" s="3"/>
    </row>
    <row r="156" ht="15.75" customHeight="1">
      <c r="A156" s="3"/>
      <c r="B156" s="3"/>
    </row>
    <row r="157" ht="15.75" customHeight="1">
      <c r="A157" s="3"/>
      <c r="B157" s="3"/>
    </row>
    <row r="158" ht="15.75" customHeight="1">
      <c r="A158" s="3"/>
      <c r="B158" s="3"/>
    </row>
    <row r="159" ht="15.75" customHeight="1">
      <c r="A159" s="3"/>
      <c r="B159" s="3"/>
    </row>
    <row r="160" ht="15.75" customHeight="1">
      <c r="A160" s="3"/>
      <c r="B160" s="3"/>
    </row>
    <row r="161" ht="15.75" customHeight="1">
      <c r="A161" s="3"/>
      <c r="B161" s="3"/>
    </row>
    <row r="162" ht="15.75" customHeight="1">
      <c r="A162" s="3"/>
      <c r="B162" s="3"/>
    </row>
    <row r="163" ht="15.75" customHeight="1">
      <c r="A163" s="3"/>
      <c r="B163" s="3"/>
    </row>
    <row r="164" ht="15.75" customHeight="1">
      <c r="A164" s="3"/>
      <c r="B164" s="3"/>
    </row>
    <row r="165" ht="15.75" customHeight="1">
      <c r="A165" s="3"/>
      <c r="B165" s="3"/>
    </row>
    <row r="166" ht="15.75" customHeight="1">
      <c r="A166" s="3"/>
      <c r="B166" s="3"/>
    </row>
    <row r="167" ht="15.75" customHeight="1">
      <c r="A167" s="3"/>
      <c r="B167" s="3"/>
    </row>
    <row r="168" ht="15.75" customHeight="1">
      <c r="A168" s="3"/>
      <c r="B168" s="3"/>
    </row>
    <row r="169" ht="15.75" customHeight="1">
      <c r="A169" s="3"/>
      <c r="B169" s="3"/>
    </row>
    <row r="170" ht="15.75" customHeight="1">
      <c r="A170" s="3"/>
      <c r="B170" s="3"/>
    </row>
    <row r="171" ht="15.75" customHeight="1">
      <c r="A171" s="3"/>
      <c r="B171" s="3"/>
    </row>
    <row r="172" ht="15.75" customHeight="1">
      <c r="A172" s="3"/>
      <c r="B172" s="3"/>
    </row>
    <row r="173" ht="15.75" customHeight="1">
      <c r="A173" s="3"/>
      <c r="B173" s="3"/>
    </row>
    <row r="174" ht="15.75" customHeight="1">
      <c r="A174" s="3"/>
      <c r="B174" s="3"/>
    </row>
    <row r="175" ht="15.75" customHeight="1">
      <c r="A175" s="3"/>
      <c r="B175" s="3"/>
    </row>
    <row r="176" ht="15.75" customHeight="1">
      <c r="A176" s="3"/>
      <c r="B176" s="3"/>
    </row>
    <row r="177" ht="15.75" customHeight="1">
      <c r="A177" s="3"/>
      <c r="B177" s="3"/>
    </row>
    <row r="178" ht="15.75" customHeight="1">
      <c r="A178" s="3"/>
      <c r="B178" s="3"/>
    </row>
    <row r="179" ht="15.75" customHeight="1">
      <c r="A179" s="3"/>
      <c r="B179" s="3"/>
    </row>
    <row r="180" ht="15.75" customHeight="1">
      <c r="A180" s="3"/>
      <c r="B180" s="3"/>
    </row>
    <row r="181" ht="15.75" customHeight="1">
      <c r="A181" s="3"/>
      <c r="B181" s="3"/>
    </row>
    <row r="182" ht="15.75" customHeight="1">
      <c r="A182" s="3"/>
      <c r="B182" s="3"/>
    </row>
    <row r="183" ht="15.75" customHeight="1">
      <c r="A183" s="3"/>
      <c r="B183" s="3"/>
    </row>
    <row r="184" ht="15.75" customHeight="1">
      <c r="A184" s="3"/>
      <c r="B184" s="3"/>
    </row>
    <row r="185" ht="15.75" customHeight="1">
      <c r="A185" s="3"/>
      <c r="B185" s="3"/>
    </row>
    <row r="186" ht="15.75" customHeight="1">
      <c r="A186" s="3"/>
      <c r="B186" s="3"/>
    </row>
    <row r="187" ht="15.75" customHeight="1">
      <c r="A187" s="3"/>
      <c r="B187" s="3"/>
    </row>
    <row r="188" ht="15.75" customHeight="1">
      <c r="A188" s="3"/>
      <c r="B188" s="3"/>
    </row>
    <row r="189" ht="15.75" customHeight="1">
      <c r="A189" s="3"/>
      <c r="B189" s="3"/>
    </row>
    <row r="190" ht="15.75" customHeight="1">
      <c r="A190" s="3"/>
      <c r="B190" s="3"/>
    </row>
    <row r="191" ht="15.75" customHeight="1">
      <c r="A191" s="3"/>
      <c r="B191" s="3"/>
    </row>
    <row r="192" ht="15.75" customHeight="1">
      <c r="A192" s="3"/>
      <c r="B192" s="3"/>
    </row>
    <row r="193" ht="15.75" customHeight="1">
      <c r="A193" s="3"/>
      <c r="B193" s="3"/>
    </row>
    <row r="194" ht="15.75" customHeight="1">
      <c r="A194" s="3"/>
      <c r="B194" s="3"/>
    </row>
    <row r="195" ht="15.75" customHeight="1">
      <c r="A195" s="3"/>
      <c r="B195" s="3"/>
    </row>
    <row r="196" ht="15.75" customHeight="1">
      <c r="A196" s="3"/>
      <c r="B196" s="3"/>
    </row>
    <row r="197" ht="15.75" customHeight="1">
      <c r="A197" s="3"/>
      <c r="B197" s="3"/>
    </row>
    <row r="198" ht="15.75" customHeight="1">
      <c r="A198" s="3"/>
      <c r="B198" s="3"/>
    </row>
    <row r="199" ht="15.75" customHeight="1">
      <c r="A199" s="3"/>
      <c r="B199" s="3"/>
    </row>
    <row r="200" ht="15.75" customHeight="1">
      <c r="A200" s="3"/>
      <c r="B200" s="3"/>
    </row>
    <row r="201" ht="15.75" customHeight="1">
      <c r="A201" s="3"/>
      <c r="B201" s="3"/>
    </row>
    <row r="202" ht="15.75" customHeight="1">
      <c r="A202" s="3"/>
      <c r="B202" s="3"/>
    </row>
    <row r="203" ht="15.75" customHeight="1">
      <c r="A203" s="3"/>
      <c r="B203" s="3"/>
    </row>
    <row r="204" ht="15.75" customHeight="1">
      <c r="A204" s="3"/>
      <c r="B204" s="3"/>
    </row>
    <row r="205" ht="15.75" customHeight="1">
      <c r="A205" s="3"/>
      <c r="B205" s="3"/>
    </row>
    <row r="206" ht="15.75" customHeight="1">
      <c r="A206" s="3"/>
      <c r="B206" s="3"/>
    </row>
    <row r="207" ht="15.75" customHeight="1">
      <c r="A207" s="3"/>
      <c r="B207" s="3"/>
    </row>
    <row r="208" ht="15.75" customHeight="1">
      <c r="A208" s="3"/>
      <c r="B208" s="3"/>
    </row>
    <row r="209" ht="15.75" customHeight="1">
      <c r="A209" s="3"/>
      <c r="B209" s="3"/>
    </row>
    <row r="210" ht="15.75" customHeight="1">
      <c r="A210" s="3"/>
      <c r="B210" s="3"/>
    </row>
    <row r="211" ht="15.75" customHeight="1">
      <c r="A211" s="3"/>
      <c r="B211" s="3"/>
    </row>
    <row r="212" ht="15.75" customHeight="1">
      <c r="A212" s="3"/>
      <c r="B212" s="3"/>
    </row>
    <row r="213" ht="15.75" customHeight="1">
      <c r="A213" s="3"/>
      <c r="B213" s="3"/>
    </row>
    <row r="214" ht="15.75" customHeight="1">
      <c r="A214" s="3"/>
      <c r="B214" s="3"/>
    </row>
    <row r="215" ht="15.75" customHeight="1">
      <c r="A215" s="3"/>
      <c r="B215" s="3"/>
    </row>
    <row r="216" ht="15.75" customHeight="1">
      <c r="A216" s="3"/>
      <c r="B216" s="3"/>
    </row>
    <row r="217" ht="15.75" customHeight="1">
      <c r="A217" s="3"/>
      <c r="B217" s="3"/>
    </row>
    <row r="218" ht="15.75" customHeight="1">
      <c r="A218" s="3"/>
      <c r="B218" s="3"/>
    </row>
    <row r="219" ht="15.75" customHeight="1">
      <c r="A219" s="3"/>
      <c r="B219" s="3"/>
    </row>
    <row r="220" ht="15.75" customHeight="1">
      <c r="A220" s="3"/>
      <c r="B220" s="3"/>
    </row>
    <row r="221" ht="15.75" customHeight="1">
      <c r="A221" s="3"/>
      <c r="B221" s="3"/>
    </row>
    <row r="222" ht="15.75" customHeight="1">
      <c r="A222" s="3"/>
      <c r="B222" s="3"/>
    </row>
    <row r="223" ht="15.75" customHeight="1">
      <c r="A223" s="3"/>
      <c r="B223" s="3"/>
    </row>
    <row r="224" ht="15.75" customHeight="1">
      <c r="A224" s="3"/>
      <c r="B224" s="3"/>
    </row>
    <row r="225" ht="15.75" customHeight="1">
      <c r="A225" s="3"/>
      <c r="B225" s="3"/>
    </row>
    <row r="226" ht="15.75" customHeight="1">
      <c r="A226" s="3"/>
      <c r="B226" s="3"/>
    </row>
    <row r="227" ht="15.75" customHeight="1">
      <c r="A227" s="3"/>
      <c r="B227" s="3"/>
    </row>
    <row r="228" ht="15.75" customHeight="1">
      <c r="A228" s="3"/>
      <c r="B228" s="3"/>
    </row>
    <row r="229" ht="15.75" customHeight="1">
      <c r="A229" s="3"/>
      <c r="B229" s="3"/>
    </row>
    <row r="230" ht="15.75" customHeight="1">
      <c r="A230" s="3"/>
      <c r="B230" s="3"/>
    </row>
    <row r="231" ht="15.75" customHeight="1">
      <c r="A231" s="3"/>
      <c r="B231" s="3"/>
    </row>
    <row r="232" ht="15.75" customHeight="1">
      <c r="A232" s="3"/>
      <c r="B232" s="3"/>
    </row>
    <row r="233" ht="15.75" customHeight="1">
      <c r="A233" s="3"/>
      <c r="B233" s="3"/>
    </row>
    <row r="234" ht="15.75" customHeight="1">
      <c r="A234" s="3"/>
      <c r="B234" s="3"/>
    </row>
    <row r="235" ht="15.75" customHeight="1">
      <c r="A235" s="3"/>
      <c r="B235" s="3"/>
    </row>
    <row r="236" ht="15.75" customHeight="1">
      <c r="A236" s="3"/>
      <c r="B236" s="3"/>
    </row>
    <row r="237" ht="15.75" customHeight="1">
      <c r="A237" s="3"/>
      <c r="B237" s="3"/>
    </row>
    <row r="238" ht="15.75" customHeight="1">
      <c r="A238" s="3"/>
      <c r="B238" s="3"/>
    </row>
    <row r="239" ht="15.75" customHeight="1">
      <c r="A239" s="3"/>
      <c r="B239" s="3"/>
    </row>
    <row r="240" ht="15.75" customHeight="1">
      <c r="A240" s="3"/>
      <c r="B240" s="3"/>
    </row>
    <row r="241" ht="15.75" customHeight="1">
      <c r="A241" s="3"/>
      <c r="B241" s="3"/>
    </row>
    <row r="242" ht="15.75" customHeight="1">
      <c r="A242" s="3"/>
      <c r="B242" s="3"/>
    </row>
    <row r="243" ht="15.75" customHeight="1">
      <c r="A243" s="3"/>
      <c r="B243" s="3"/>
    </row>
    <row r="244" ht="15.75" customHeight="1">
      <c r="A244" s="3"/>
      <c r="B244" s="3"/>
    </row>
    <row r="245" ht="15.75" customHeight="1">
      <c r="A245" s="3"/>
      <c r="B245" s="3"/>
    </row>
    <row r="246" ht="15.75" customHeight="1">
      <c r="A246" s="3"/>
      <c r="B246" s="3"/>
    </row>
    <row r="247" ht="15.75" customHeight="1">
      <c r="A247" s="3"/>
      <c r="B247" s="3"/>
    </row>
    <row r="248" ht="15.75" customHeight="1">
      <c r="A248" s="3"/>
      <c r="B248" s="3"/>
    </row>
    <row r="249" ht="15.75" customHeight="1">
      <c r="A249" s="3"/>
      <c r="B249" s="3"/>
    </row>
    <row r="250" ht="15.75" customHeight="1">
      <c r="A250" s="3"/>
      <c r="B250" s="3"/>
    </row>
    <row r="251" ht="15.75" customHeight="1">
      <c r="A251" s="3"/>
      <c r="B251" s="3"/>
    </row>
    <row r="252" ht="15.75" customHeight="1">
      <c r="A252" s="3"/>
      <c r="B252" s="3"/>
    </row>
    <row r="253" ht="15.75" customHeight="1">
      <c r="A253" s="3"/>
      <c r="B253" s="3"/>
    </row>
    <row r="254" ht="15.75" customHeight="1">
      <c r="A254" s="3"/>
      <c r="B254" s="3"/>
    </row>
    <row r="255" ht="15.75" customHeight="1">
      <c r="A255" s="3"/>
      <c r="B255" s="3"/>
    </row>
    <row r="256" ht="15.75" customHeight="1">
      <c r="A256" s="3"/>
      <c r="B256" s="3"/>
    </row>
    <row r="257" ht="15.75" customHeight="1">
      <c r="A257" s="3"/>
      <c r="B257" s="3"/>
    </row>
    <row r="258" ht="15.75" customHeight="1">
      <c r="A258" s="3"/>
      <c r="B258" s="3"/>
    </row>
    <row r="259" ht="15.75" customHeight="1">
      <c r="A259" s="3"/>
      <c r="B259" s="3"/>
    </row>
    <row r="260" ht="15.75" customHeight="1">
      <c r="A260" s="3"/>
      <c r="B260" s="3"/>
    </row>
    <row r="261" ht="15.75" customHeight="1">
      <c r="A261" s="3"/>
      <c r="B261" s="3"/>
    </row>
    <row r="262" ht="15.75" customHeight="1">
      <c r="A262" s="3"/>
      <c r="B262" s="3"/>
    </row>
    <row r="263" ht="15.75" customHeight="1">
      <c r="A263" s="3"/>
      <c r="B263" s="3"/>
    </row>
    <row r="264" ht="15.75" customHeight="1">
      <c r="A264" s="14"/>
      <c r="B264" s="14"/>
    </row>
    <row r="265" ht="15.75" customHeight="1">
      <c r="A265" s="14"/>
      <c r="B265" s="14"/>
    </row>
    <row r="266" ht="15.75" customHeight="1">
      <c r="A266" s="14"/>
      <c r="B266" s="14"/>
    </row>
    <row r="267" ht="15.75" customHeight="1">
      <c r="A267" s="14"/>
      <c r="B267" s="14"/>
    </row>
    <row r="268" ht="15.75" customHeight="1">
      <c r="A268" s="14"/>
      <c r="B268" s="14"/>
    </row>
    <row r="269" ht="15.75" customHeight="1">
      <c r="A269" s="14"/>
      <c r="B269" s="14"/>
    </row>
    <row r="270" ht="15.75" customHeight="1">
      <c r="A270" s="14"/>
      <c r="B270" s="14"/>
    </row>
    <row r="271" ht="15.75" customHeight="1">
      <c r="A271" s="14"/>
      <c r="B271" s="14"/>
    </row>
    <row r="272" ht="15.75" customHeight="1">
      <c r="A272" s="14"/>
      <c r="B272" s="14"/>
    </row>
    <row r="273" ht="15.75" customHeight="1">
      <c r="A273" s="14"/>
      <c r="B273" s="14"/>
    </row>
    <row r="274" ht="15.75" customHeight="1">
      <c r="A274" s="14"/>
      <c r="B274" s="14"/>
    </row>
    <row r="275" ht="15.75" customHeight="1">
      <c r="A275" s="14"/>
      <c r="B275" s="14"/>
    </row>
    <row r="276" ht="15.75" customHeight="1">
      <c r="A276" s="14"/>
      <c r="B276" s="14"/>
    </row>
    <row r="277" ht="15.75" customHeight="1">
      <c r="A277" s="14"/>
      <c r="B277" s="14"/>
    </row>
    <row r="278" ht="15.75" customHeight="1">
      <c r="A278" s="14"/>
      <c r="B278" s="14"/>
    </row>
    <row r="279" ht="15.75" customHeight="1">
      <c r="A279" s="14"/>
      <c r="B279" s="14"/>
    </row>
    <row r="280" ht="15.75" customHeight="1">
      <c r="A280" s="14"/>
      <c r="B280" s="14"/>
    </row>
    <row r="281" ht="15.75" customHeight="1">
      <c r="A281" s="14"/>
      <c r="B281" s="14"/>
    </row>
    <row r="282" ht="15.75" customHeight="1">
      <c r="A282" s="14"/>
      <c r="B282" s="14"/>
    </row>
    <row r="283" ht="15.75" customHeight="1">
      <c r="A283" s="14"/>
      <c r="B283" s="14"/>
    </row>
    <row r="284" ht="15.75" customHeight="1">
      <c r="A284" s="14"/>
      <c r="B284" s="14"/>
    </row>
    <row r="285" ht="15.75" customHeight="1">
      <c r="A285" s="14"/>
      <c r="B285" s="14"/>
    </row>
    <row r="286" ht="15.75" customHeight="1">
      <c r="A286" s="14"/>
      <c r="B286" s="14"/>
    </row>
    <row r="287" ht="15.75" customHeight="1">
      <c r="A287" s="14"/>
      <c r="B287" s="14"/>
    </row>
    <row r="288" ht="15.75" customHeight="1">
      <c r="A288" s="14"/>
      <c r="B288" s="14"/>
    </row>
    <row r="289" ht="15.75" customHeight="1">
      <c r="A289" s="14"/>
      <c r="B289" s="14"/>
    </row>
    <row r="290" ht="15.75" customHeight="1">
      <c r="A290" s="14"/>
      <c r="B290" s="14"/>
    </row>
    <row r="291" ht="15.75" customHeight="1">
      <c r="A291" s="14"/>
      <c r="B291" s="14"/>
    </row>
    <row r="292" ht="15.75" customHeight="1">
      <c r="A292" s="14"/>
      <c r="B292" s="14"/>
    </row>
    <row r="293" ht="15.75" customHeight="1">
      <c r="A293" s="14"/>
      <c r="B293" s="14"/>
    </row>
    <row r="294" ht="15.75" customHeight="1">
      <c r="A294" s="14"/>
      <c r="B294" s="14"/>
    </row>
    <row r="295" ht="15.75" customHeight="1">
      <c r="A295" s="14"/>
      <c r="B295" s="14"/>
    </row>
    <row r="296" ht="15.75" customHeight="1">
      <c r="A296" s="14"/>
      <c r="B296" s="14"/>
    </row>
    <row r="297" ht="15.75" customHeight="1">
      <c r="A297" s="14"/>
      <c r="B297" s="14"/>
    </row>
    <row r="298" ht="15.75" customHeight="1">
      <c r="A298" s="14"/>
      <c r="B298" s="14"/>
    </row>
    <row r="299" ht="15.75" customHeight="1">
      <c r="A299" s="14"/>
      <c r="B299" s="14"/>
    </row>
    <row r="300" ht="15.75" customHeight="1">
      <c r="A300" s="14"/>
      <c r="B300" s="14"/>
    </row>
    <row r="301" ht="15.75" customHeight="1">
      <c r="A301" s="14"/>
      <c r="B301" s="14"/>
    </row>
    <row r="302" ht="15.75" customHeight="1">
      <c r="A302" s="14"/>
      <c r="B302" s="14"/>
    </row>
    <row r="303" ht="15.75" customHeight="1">
      <c r="A303" s="14"/>
      <c r="B303" s="14"/>
    </row>
    <row r="304" ht="15.75" customHeight="1">
      <c r="A304" s="14"/>
      <c r="B304" s="14"/>
    </row>
    <row r="305" ht="15.75" customHeight="1">
      <c r="A305" s="14"/>
      <c r="B305" s="14"/>
    </row>
    <row r="306" ht="15.75" customHeight="1">
      <c r="A306" s="14"/>
      <c r="B306" s="14"/>
    </row>
    <row r="307" ht="15.75" customHeight="1">
      <c r="A307" s="14"/>
      <c r="B307" s="14"/>
    </row>
    <row r="308" ht="15.75" customHeight="1">
      <c r="A308" s="14"/>
      <c r="B308" s="14"/>
    </row>
    <row r="309" ht="15.75" customHeight="1">
      <c r="A309" s="14"/>
      <c r="B309" s="14"/>
    </row>
    <row r="310" ht="15.75" customHeight="1">
      <c r="A310" s="14"/>
      <c r="B310" s="14"/>
    </row>
    <row r="311" ht="15.75" customHeight="1">
      <c r="A311" s="14"/>
      <c r="B311" s="14"/>
    </row>
    <row r="312" ht="15.75" customHeight="1">
      <c r="A312" s="14"/>
      <c r="B312" s="14"/>
    </row>
    <row r="313" ht="15.75" customHeight="1">
      <c r="A313" s="14"/>
      <c r="B313" s="14"/>
    </row>
    <row r="314" ht="15.75" customHeight="1">
      <c r="A314" s="14"/>
      <c r="B314" s="14"/>
    </row>
    <row r="315" ht="15.75" customHeight="1">
      <c r="A315" s="14"/>
      <c r="B315" s="14"/>
    </row>
    <row r="316" ht="15.75" customHeight="1">
      <c r="A316" s="14"/>
      <c r="B316" s="14"/>
    </row>
    <row r="317" ht="15.75" customHeight="1">
      <c r="A317" s="14"/>
      <c r="B317" s="14"/>
    </row>
    <row r="318" ht="15.75" customHeight="1">
      <c r="A318" s="14"/>
      <c r="B318" s="14"/>
    </row>
    <row r="319" ht="15.75" customHeight="1">
      <c r="A319" s="14"/>
      <c r="B319" s="14"/>
    </row>
    <row r="320" ht="15.75" customHeight="1">
      <c r="A320" s="14"/>
      <c r="B320" s="14"/>
    </row>
    <row r="321" ht="15.75" customHeight="1">
      <c r="A321" s="14"/>
      <c r="B321" s="14"/>
    </row>
    <row r="322" ht="15.75" customHeight="1">
      <c r="A322" s="14"/>
      <c r="B322" s="14"/>
    </row>
    <row r="323" ht="15.75" customHeight="1">
      <c r="A323" s="14"/>
      <c r="B323" s="14"/>
    </row>
    <row r="324" ht="15.75" customHeight="1">
      <c r="A324" s="14"/>
      <c r="B324" s="14"/>
    </row>
    <row r="325" ht="15.75" customHeight="1">
      <c r="A325" s="14"/>
      <c r="B325" s="14"/>
    </row>
    <row r="326" ht="15.75" customHeight="1">
      <c r="A326" s="14"/>
      <c r="B326" s="14"/>
    </row>
    <row r="327" ht="15.75" customHeight="1">
      <c r="A327" s="14"/>
      <c r="B327" s="14"/>
    </row>
    <row r="328" ht="15.75" customHeight="1">
      <c r="A328" s="14"/>
      <c r="B328" s="14"/>
    </row>
    <row r="329" ht="15.75" customHeight="1">
      <c r="A329" s="14"/>
      <c r="B329" s="14"/>
    </row>
    <row r="330" ht="15.75" customHeight="1">
      <c r="A330" s="14"/>
      <c r="B330" s="14"/>
    </row>
    <row r="331" ht="15.75" customHeight="1">
      <c r="A331" s="14"/>
      <c r="B331" s="14"/>
    </row>
    <row r="332" ht="15.75" customHeight="1">
      <c r="A332" s="14"/>
      <c r="B332" s="14"/>
    </row>
    <row r="333" ht="15.75" customHeight="1">
      <c r="A333" s="14"/>
      <c r="B333" s="14"/>
    </row>
    <row r="334" ht="15.75" customHeight="1">
      <c r="A334" s="14"/>
      <c r="B334" s="14"/>
    </row>
    <row r="335" ht="15.75" customHeight="1">
      <c r="A335" s="14"/>
      <c r="B335" s="14"/>
    </row>
    <row r="336" ht="15.75" customHeight="1">
      <c r="A336" s="14"/>
      <c r="B336" s="14"/>
    </row>
    <row r="337" ht="15.75" customHeight="1">
      <c r="A337" s="14"/>
      <c r="B337" s="14"/>
    </row>
    <row r="338" ht="15.75" customHeight="1">
      <c r="A338" s="14"/>
      <c r="B338" s="14"/>
    </row>
    <row r="339" ht="15.75" customHeight="1">
      <c r="A339" s="14"/>
      <c r="B339" s="14"/>
    </row>
    <row r="340" ht="15.75" customHeight="1">
      <c r="A340" s="14"/>
      <c r="B340" s="14"/>
    </row>
    <row r="341" ht="15.75" customHeight="1">
      <c r="A341" s="14"/>
      <c r="B341" s="14"/>
    </row>
    <row r="342" ht="15.75" customHeight="1">
      <c r="A342" s="14"/>
      <c r="B342" s="14"/>
    </row>
    <row r="343" ht="15.75" customHeight="1">
      <c r="A343" s="14"/>
      <c r="B343" s="14"/>
    </row>
    <row r="344" ht="15.75" customHeight="1">
      <c r="A344" s="14"/>
      <c r="B344" s="14"/>
    </row>
    <row r="345" ht="15.75" customHeight="1">
      <c r="A345" s="14"/>
      <c r="B345" s="14"/>
    </row>
    <row r="346" ht="15.75" customHeight="1">
      <c r="A346" s="14"/>
      <c r="B346" s="14"/>
    </row>
    <row r="347" ht="15.75" customHeight="1">
      <c r="A347" s="14"/>
      <c r="B347" s="14"/>
    </row>
    <row r="348" ht="15.75" customHeight="1">
      <c r="A348" s="14"/>
      <c r="B348" s="14"/>
    </row>
    <row r="349" ht="15.75" customHeight="1">
      <c r="A349" s="14"/>
      <c r="B349" s="14"/>
    </row>
    <row r="350" ht="15.75" customHeight="1">
      <c r="A350" s="14"/>
      <c r="B350" s="14"/>
    </row>
    <row r="351" ht="15.75" customHeight="1">
      <c r="A351" s="14"/>
      <c r="B351" s="14"/>
    </row>
    <row r="352" ht="15.75" customHeight="1">
      <c r="A352" s="14"/>
      <c r="B352" s="14"/>
    </row>
    <row r="353" ht="15.75" customHeight="1">
      <c r="A353" s="14"/>
      <c r="B353" s="14"/>
    </row>
    <row r="354" ht="15.75" customHeight="1">
      <c r="A354" s="14"/>
      <c r="B354" s="14"/>
    </row>
    <row r="355" ht="15.75" customHeight="1">
      <c r="A355" s="14"/>
      <c r="B355" s="14"/>
    </row>
    <row r="356" ht="15.75" customHeight="1">
      <c r="A356" s="14"/>
      <c r="B356" s="14"/>
    </row>
    <row r="357" ht="15.75" customHeight="1">
      <c r="A357" s="14"/>
      <c r="B357" s="14"/>
    </row>
    <row r="358" ht="15.75" customHeight="1">
      <c r="A358" s="14"/>
      <c r="B358" s="14"/>
    </row>
    <row r="359" ht="15.75" customHeight="1">
      <c r="A359" s="14"/>
      <c r="B359" s="14"/>
    </row>
    <row r="360" ht="15.75" customHeight="1">
      <c r="A360" s="14"/>
      <c r="B360" s="14"/>
    </row>
    <row r="361" ht="15.75" customHeight="1">
      <c r="A361" s="14"/>
      <c r="B361" s="14"/>
    </row>
    <row r="362" ht="15.75" customHeight="1">
      <c r="A362" s="14"/>
      <c r="B362" s="14"/>
    </row>
    <row r="363" ht="15.75" customHeight="1">
      <c r="A363" s="14"/>
      <c r="B363" s="14"/>
    </row>
    <row r="364" ht="15.75" customHeight="1">
      <c r="A364" s="14"/>
      <c r="B364" s="14"/>
    </row>
    <row r="365" ht="15.75" customHeight="1">
      <c r="A365" s="14"/>
      <c r="B365" s="14"/>
    </row>
    <row r="366" ht="15.75" customHeight="1">
      <c r="A366" s="14"/>
      <c r="B366" s="14"/>
    </row>
    <row r="367" ht="15.75" customHeight="1">
      <c r="A367" s="14"/>
      <c r="B367" s="14"/>
    </row>
    <row r="368" ht="15.75" customHeight="1">
      <c r="A368" s="14"/>
      <c r="B368" s="14"/>
    </row>
    <row r="369" ht="15.75" customHeight="1">
      <c r="A369" s="14"/>
      <c r="B369" s="14"/>
    </row>
    <row r="370" ht="15.75" customHeight="1">
      <c r="A370" s="14"/>
      <c r="B370" s="14"/>
    </row>
    <row r="371" ht="15.75" customHeight="1">
      <c r="A371" s="14"/>
      <c r="B371" s="14"/>
    </row>
    <row r="372" ht="15.75" customHeight="1">
      <c r="A372" s="14"/>
      <c r="B372" s="14"/>
    </row>
    <row r="373" ht="15.75" customHeight="1">
      <c r="A373" s="14"/>
      <c r="B373" s="14"/>
    </row>
    <row r="374" ht="15.75" customHeight="1">
      <c r="A374" s="14"/>
      <c r="B374" s="14"/>
    </row>
    <row r="375" ht="15.75" customHeight="1">
      <c r="A375" s="14"/>
      <c r="B375" s="14"/>
    </row>
    <row r="376" ht="15.75" customHeight="1">
      <c r="A376" s="14"/>
      <c r="B376" s="14"/>
    </row>
    <row r="377" ht="15.75" customHeight="1">
      <c r="A377" s="14"/>
      <c r="B377" s="14"/>
    </row>
    <row r="378" ht="15.75" customHeight="1">
      <c r="A378" s="14"/>
      <c r="B378" s="14"/>
    </row>
    <row r="379" ht="15.75" customHeight="1">
      <c r="A379" s="14"/>
      <c r="B379" s="14"/>
    </row>
    <row r="380" ht="15.75" customHeight="1">
      <c r="A380" s="14"/>
      <c r="B380" s="14"/>
    </row>
    <row r="381" ht="15.75" customHeight="1">
      <c r="A381" s="14"/>
      <c r="B381" s="14"/>
    </row>
    <row r="382" ht="15.75" customHeight="1">
      <c r="A382" s="14"/>
      <c r="B382" s="14"/>
    </row>
    <row r="383" ht="15.75" customHeight="1">
      <c r="A383" s="14"/>
      <c r="B383" s="14"/>
    </row>
    <row r="384" ht="15.75" customHeight="1">
      <c r="A384" s="14"/>
      <c r="B384" s="14"/>
    </row>
    <row r="385" ht="15.75" customHeight="1">
      <c r="A385" s="14"/>
      <c r="B385" s="14"/>
    </row>
    <row r="386" ht="15.75" customHeight="1">
      <c r="A386" s="14"/>
      <c r="B386" s="14"/>
    </row>
    <row r="387" ht="15.75" customHeight="1">
      <c r="A387" s="14"/>
      <c r="B387" s="14"/>
    </row>
    <row r="388" ht="15.75" customHeight="1">
      <c r="A388" s="14"/>
      <c r="B388" s="14"/>
    </row>
    <row r="389" ht="15.75" customHeight="1">
      <c r="A389" s="14"/>
      <c r="B389" s="14"/>
    </row>
    <row r="390" ht="15.75" customHeight="1">
      <c r="A390" s="14"/>
      <c r="B390" s="14"/>
    </row>
    <row r="391" ht="15.75" customHeight="1">
      <c r="A391" s="14"/>
      <c r="B391" s="14"/>
    </row>
    <row r="392" ht="15.75" customHeight="1">
      <c r="A392" s="14"/>
      <c r="B392" s="14"/>
    </row>
    <row r="393" ht="15.75" customHeight="1">
      <c r="A393" s="14"/>
      <c r="B393" s="14"/>
    </row>
    <row r="394" ht="15.75" customHeight="1">
      <c r="A394" s="14"/>
      <c r="B394" s="14"/>
    </row>
    <row r="395" ht="15.75" customHeight="1">
      <c r="A395" s="14"/>
      <c r="B395" s="14"/>
    </row>
    <row r="396" ht="15.75" customHeight="1">
      <c r="A396" s="14"/>
      <c r="B396" s="14"/>
    </row>
    <row r="397" ht="15.75" customHeight="1">
      <c r="A397" s="14"/>
      <c r="B397" s="14"/>
    </row>
    <row r="398" ht="15.75" customHeight="1">
      <c r="A398" s="14"/>
      <c r="B398" s="14"/>
    </row>
    <row r="399" ht="15.75" customHeight="1">
      <c r="A399" s="14"/>
      <c r="B399" s="14"/>
    </row>
    <row r="400" ht="15.75" customHeight="1">
      <c r="A400" s="14"/>
      <c r="B400" s="14"/>
    </row>
    <row r="401" ht="15.75" customHeight="1">
      <c r="A401" s="14"/>
      <c r="B401" s="14"/>
    </row>
    <row r="402" ht="15.75" customHeight="1">
      <c r="A402" s="14"/>
      <c r="B402" s="14"/>
    </row>
    <row r="403" ht="15.75" customHeight="1">
      <c r="A403" s="14"/>
      <c r="B403" s="14"/>
    </row>
    <row r="404" ht="15.75" customHeight="1">
      <c r="A404" s="14"/>
      <c r="B404" s="14"/>
    </row>
    <row r="405" ht="15.75" customHeight="1">
      <c r="A405" s="14"/>
      <c r="B405" s="14"/>
    </row>
    <row r="406" ht="15.75" customHeight="1">
      <c r="A406" s="14"/>
      <c r="B406" s="14"/>
    </row>
    <row r="407" ht="15.75" customHeight="1">
      <c r="A407" s="14"/>
      <c r="B407" s="14"/>
    </row>
    <row r="408" ht="15.75" customHeight="1">
      <c r="A408" s="14"/>
      <c r="B408" s="14"/>
    </row>
    <row r="409" ht="15.75" customHeight="1">
      <c r="A409" s="14"/>
      <c r="B409" s="14"/>
    </row>
    <row r="410" ht="15.75" customHeight="1">
      <c r="A410" s="14"/>
      <c r="B410" s="14"/>
    </row>
    <row r="411" ht="15.75" customHeight="1">
      <c r="A411" s="14"/>
      <c r="B411" s="14"/>
    </row>
    <row r="412" ht="15.75" customHeight="1">
      <c r="A412" s="14"/>
      <c r="B412" s="14"/>
    </row>
    <row r="413" ht="15.75" customHeight="1">
      <c r="A413" s="14"/>
      <c r="B413" s="14"/>
    </row>
    <row r="414" ht="15.75" customHeight="1">
      <c r="A414" s="14"/>
      <c r="B414" s="14"/>
    </row>
    <row r="415" ht="15.75" customHeight="1">
      <c r="A415" s="14"/>
      <c r="B415" s="14"/>
    </row>
    <row r="416" ht="15.75" customHeight="1">
      <c r="A416" s="14"/>
      <c r="B416" s="14"/>
    </row>
    <row r="417" ht="15.75" customHeight="1">
      <c r="A417" s="14"/>
      <c r="B417" s="14"/>
    </row>
    <row r="418" ht="15.75" customHeight="1">
      <c r="A418" s="14"/>
      <c r="B418" s="14"/>
    </row>
    <row r="419" ht="15.75" customHeight="1">
      <c r="A419" s="14"/>
      <c r="B419" s="14"/>
    </row>
    <row r="420" ht="15.75" customHeight="1">
      <c r="A420" s="14"/>
      <c r="B420" s="14"/>
    </row>
    <row r="421" ht="15.75" customHeight="1">
      <c r="A421" s="14"/>
      <c r="B421" s="14"/>
    </row>
    <row r="422" ht="15.75" customHeight="1">
      <c r="A422" s="14"/>
      <c r="B422" s="14"/>
    </row>
    <row r="423" ht="15.75" customHeight="1">
      <c r="A423" s="14"/>
      <c r="B423" s="14"/>
    </row>
    <row r="424" ht="15.75" customHeight="1">
      <c r="A424" s="14"/>
      <c r="B424" s="14"/>
    </row>
    <row r="425" ht="15.75" customHeight="1">
      <c r="A425" s="14"/>
      <c r="B425" s="14"/>
    </row>
    <row r="426" ht="15.75" customHeight="1">
      <c r="A426" s="14"/>
      <c r="B426" s="14"/>
    </row>
    <row r="427" ht="15.75" customHeight="1">
      <c r="A427" s="14"/>
      <c r="B427" s="14"/>
    </row>
    <row r="428" ht="15.75" customHeight="1">
      <c r="A428" s="14"/>
      <c r="B428" s="14"/>
    </row>
    <row r="429" ht="15.75" customHeight="1">
      <c r="A429" s="14"/>
      <c r="B429" s="14"/>
    </row>
    <row r="430" ht="15.75" customHeight="1">
      <c r="A430" s="14"/>
      <c r="B430" s="14"/>
    </row>
    <row r="431" ht="15.75" customHeight="1">
      <c r="A431" s="14"/>
      <c r="B431" s="14"/>
    </row>
    <row r="432" ht="15.75" customHeight="1">
      <c r="A432" s="14"/>
      <c r="B432" s="14"/>
    </row>
    <row r="433" ht="15.75" customHeight="1">
      <c r="A433" s="14"/>
      <c r="B433" s="14"/>
    </row>
    <row r="434" ht="15.75" customHeight="1">
      <c r="A434" s="14"/>
      <c r="B434" s="14"/>
    </row>
    <row r="435" ht="15.75" customHeight="1">
      <c r="A435" s="14"/>
      <c r="B435" s="14"/>
    </row>
    <row r="436" ht="15.75" customHeight="1">
      <c r="A436" s="14"/>
      <c r="B436" s="14"/>
    </row>
    <row r="437" ht="15.75" customHeight="1">
      <c r="A437" s="14"/>
      <c r="B437" s="14"/>
    </row>
    <row r="438" ht="15.75" customHeight="1">
      <c r="A438" s="14"/>
      <c r="B438" s="14"/>
    </row>
    <row r="439" ht="15.75" customHeight="1">
      <c r="A439" s="14"/>
      <c r="B439" s="14"/>
    </row>
    <row r="440" ht="15.75" customHeight="1">
      <c r="A440" s="14"/>
      <c r="B440" s="14"/>
    </row>
    <row r="441" ht="15.75" customHeight="1">
      <c r="A441" s="14"/>
      <c r="B441" s="14"/>
    </row>
    <row r="442" ht="15.75" customHeight="1">
      <c r="A442" s="14"/>
      <c r="B442" s="14"/>
    </row>
    <row r="443" ht="15.75" customHeight="1">
      <c r="A443" s="14"/>
      <c r="B443" s="14"/>
    </row>
    <row r="444" ht="15.75" customHeight="1">
      <c r="A444" s="14"/>
      <c r="B444" s="14"/>
    </row>
    <row r="445" ht="15.75" customHeight="1">
      <c r="A445" s="14"/>
      <c r="B445" s="14"/>
    </row>
    <row r="446" ht="15.75" customHeight="1">
      <c r="A446" s="14"/>
      <c r="B446" s="14"/>
    </row>
    <row r="447" ht="15.75" customHeight="1">
      <c r="A447" s="14"/>
      <c r="B447" s="14"/>
    </row>
    <row r="448" ht="15.75" customHeight="1">
      <c r="A448" s="14"/>
      <c r="B448" s="14"/>
    </row>
    <row r="449" ht="15.75" customHeight="1">
      <c r="A449" s="14"/>
      <c r="B449" s="14"/>
    </row>
    <row r="450" ht="15.75" customHeight="1">
      <c r="A450" s="14"/>
      <c r="B450" s="14"/>
    </row>
    <row r="451" ht="15.75" customHeight="1">
      <c r="A451" s="14"/>
      <c r="B451" s="14"/>
    </row>
    <row r="452" ht="15.75" customHeight="1">
      <c r="A452" s="14"/>
      <c r="B452" s="14"/>
    </row>
    <row r="453" ht="15.75" customHeight="1">
      <c r="A453" s="14"/>
      <c r="B453" s="14"/>
    </row>
    <row r="454" ht="15.75" customHeight="1">
      <c r="A454" s="14"/>
      <c r="B454" s="14"/>
    </row>
    <row r="455" ht="15.75" customHeight="1">
      <c r="A455" s="14"/>
      <c r="B455" s="14"/>
    </row>
    <row r="456" ht="15.75" customHeight="1">
      <c r="A456" s="14"/>
      <c r="B456" s="14"/>
    </row>
    <row r="457" ht="15.75" customHeight="1">
      <c r="A457" s="14"/>
      <c r="B457" s="14"/>
    </row>
    <row r="458" ht="15.75" customHeight="1">
      <c r="A458" s="14"/>
      <c r="B458" s="14"/>
    </row>
    <row r="459" ht="15.75" customHeight="1">
      <c r="A459" s="14"/>
      <c r="B459" s="14"/>
    </row>
    <row r="460" ht="15.75" customHeight="1">
      <c r="A460" s="14"/>
      <c r="B460" s="14"/>
    </row>
    <row r="461" ht="15.75" customHeight="1">
      <c r="A461" s="14"/>
      <c r="B461" s="14"/>
    </row>
    <row r="462" ht="15.75" customHeight="1">
      <c r="A462" s="14"/>
      <c r="B462" s="14"/>
    </row>
    <row r="463" ht="15.75" customHeight="1">
      <c r="A463" s="14"/>
      <c r="B463" s="14"/>
    </row>
    <row r="464" ht="15.75" customHeight="1">
      <c r="A464" s="14"/>
      <c r="B464" s="14"/>
    </row>
    <row r="465" ht="15.75" customHeight="1">
      <c r="A465" s="14"/>
      <c r="B465" s="14"/>
    </row>
    <row r="466" ht="15.75" customHeight="1">
      <c r="A466" s="14"/>
      <c r="B466" s="14"/>
    </row>
    <row r="467" ht="15.75" customHeight="1">
      <c r="A467" s="14"/>
      <c r="B467" s="14"/>
    </row>
    <row r="468" ht="15.75" customHeight="1">
      <c r="A468" s="14"/>
      <c r="B468" s="14"/>
    </row>
    <row r="469" ht="15.75" customHeight="1">
      <c r="A469" s="14"/>
      <c r="B469" s="14"/>
    </row>
    <row r="470" ht="15.75" customHeight="1">
      <c r="A470" s="14"/>
      <c r="B470" s="14"/>
    </row>
    <row r="471" ht="15.75" customHeight="1">
      <c r="A471" s="14"/>
      <c r="B471" s="14"/>
    </row>
    <row r="472" ht="15.75" customHeight="1">
      <c r="A472" s="14"/>
      <c r="B472" s="14"/>
    </row>
    <row r="473" ht="15.75" customHeight="1">
      <c r="A473" s="14"/>
      <c r="B473" s="14"/>
    </row>
    <row r="474" ht="15.75" customHeight="1">
      <c r="A474" s="14"/>
      <c r="B474" s="14"/>
    </row>
    <row r="475" ht="15.75" customHeight="1">
      <c r="A475" s="14"/>
      <c r="B475" s="14"/>
    </row>
    <row r="476" ht="15.75" customHeight="1">
      <c r="A476" s="14"/>
      <c r="B476" s="14"/>
    </row>
    <row r="477" ht="15.75" customHeight="1">
      <c r="A477" s="14"/>
      <c r="B477" s="14"/>
    </row>
    <row r="478" ht="15.75" customHeight="1">
      <c r="A478" s="14"/>
      <c r="B478" s="14"/>
    </row>
    <row r="479" ht="15.75" customHeight="1">
      <c r="A479" s="14"/>
      <c r="B479" s="14"/>
    </row>
    <row r="480" ht="15.75" customHeight="1">
      <c r="A480" s="14"/>
      <c r="B480" s="14"/>
    </row>
    <row r="481" ht="15.75" customHeight="1">
      <c r="A481" s="14"/>
      <c r="B481" s="14"/>
    </row>
    <row r="482" ht="15.75" customHeight="1">
      <c r="A482" s="14"/>
      <c r="B482" s="14"/>
    </row>
    <row r="483" ht="15.75" customHeight="1">
      <c r="A483" s="14"/>
      <c r="B483" s="14"/>
    </row>
    <row r="484" ht="15.75" customHeight="1">
      <c r="A484" s="14"/>
      <c r="B484" s="14"/>
    </row>
    <row r="485" ht="15.75" customHeight="1">
      <c r="A485" s="14"/>
      <c r="B485" s="14"/>
    </row>
    <row r="486" ht="15.75" customHeight="1">
      <c r="A486" s="14"/>
      <c r="B486" s="14"/>
    </row>
    <row r="487" ht="15.75" customHeight="1">
      <c r="A487" s="14"/>
      <c r="B487" s="14"/>
    </row>
    <row r="488" ht="15.75" customHeight="1">
      <c r="A488" s="14"/>
      <c r="B488" s="14"/>
    </row>
    <row r="489" ht="15.75" customHeight="1">
      <c r="A489" s="14"/>
      <c r="B489" s="14"/>
    </row>
    <row r="490" ht="15.75" customHeight="1">
      <c r="A490" s="14"/>
      <c r="B490" s="14"/>
    </row>
    <row r="491" ht="15.75" customHeight="1">
      <c r="A491" s="14"/>
      <c r="B491" s="14"/>
    </row>
    <row r="492" ht="15.75" customHeight="1">
      <c r="A492" s="14"/>
      <c r="B492" s="14"/>
    </row>
    <row r="493" ht="15.75" customHeight="1">
      <c r="A493" s="14"/>
      <c r="B493" s="14"/>
    </row>
    <row r="494" ht="15.75" customHeight="1">
      <c r="A494" s="14"/>
      <c r="B494" s="14"/>
    </row>
    <row r="495" ht="15.75" customHeight="1">
      <c r="A495" s="14"/>
      <c r="B495" s="14"/>
    </row>
    <row r="496" ht="15.75" customHeight="1">
      <c r="A496" s="14"/>
      <c r="B496" s="14"/>
    </row>
    <row r="497" ht="15.75" customHeight="1">
      <c r="A497" s="14"/>
      <c r="B497" s="14"/>
    </row>
    <row r="498" ht="15.75" customHeight="1">
      <c r="A498" s="14"/>
      <c r="B498" s="14"/>
    </row>
    <row r="499" ht="15.75" customHeight="1">
      <c r="A499" s="14"/>
      <c r="B499" s="14"/>
    </row>
    <row r="500" ht="15.75" customHeight="1">
      <c r="A500" s="14"/>
      <c r="B500" s="14"/>
    </row>
    <row r="501" ht="15.75" customHeight="1">
      <c r="A501" s="14"/>
      <c r="B501" s="14"/>
    </row>
    <row r="502" ht="15.75" customHeight="1">
      <c r="A502" s="14"/>
      <c r="B502" s="14"/>
    </row>
    <row r="503" ht="15.75" customHeight="1">
      <c r="A503" s="14"/>
      <c r="B503" s="14"/>
    </row>
    <row r="504" ht="15.75" customHeight="1">
      <c r="A504" s="14"/>
      <c r="B504" s="14"/>
    </row>
    <row r="505" ht="15.75" customHeight="1">
      <c r="A505" s="14"/>
      <c r="B505" s="14"/>
    </row>
    <row r="506" ht="15.75" customHeight="1">
      <c r="A506" s="14"/>
      <c r="B506" s="14"/>
    </row>
    <row r="507" ht="15.75" customHeight="1">
      <c r="A507" s="14"/>
      <c r="B507" s="14"/>
    </row>
    <row r="508" ht="15.75" customHeight="1">
      <c r="A508" s="14"/>
      <c r="B508" s="14"/>
    </row>
    <row r="509" ht="15.75" customHeight="1">
      <c r="A509" s="14"/>
      <c r="B509" s="14"/>
    </row>
    <row r="510" ht="15.75" customHeight="1">
      <c r="A510" s="14"/>
      <c r="B510" s="14"/>
    </row>
    <row r="511" ht="15.75" customHeight="1">
      <c r="A511" s="14"/>
      <c r="B511" s="14"/>
    </row>
    <row r="512" ht="15.75" customHeight="1">
      <c r="A512" s="14"/>
      <c r="B512" s="14"/>
    </row>
    <row r="513" ht="15.75" customHeight="1">
      <c r="A513" s="14"/>
      <c r="B513" s="14"/>
    </row>
    <row r="514" ht="15.75" customHeight="1">
      <c r="A514" s="14"/>
      <c r="B514" s="14"/>
    </row>
    <row r="515" ht="15.75" customHeight="1">
      <c r="A515" s="14"/>
      <c r="B515" s="14"/>
    </row>
    <row r="516" ht="15.75" customHeight="1">
      <c r="A516" s="14"/>
      <c r="B516" s="14"/>
    </row>
    <row r="517" ht="15.75" customHeight="1">
      <c r="A517" s="14"/>
      <c r="B517" s="14"/>
    </row>
    <row r="518" ht="15.75" customHeight="1">
      <c r="A518" s="14"/>
      <c r="B518" s="14"/>
    </row>
    <row r="519" ht="15.75" customHeight="1">
      <c r="A519" s="14"/>
      <c r="B519" s="14"/>
    </row>
    <row r="520" ht="15.75" customHeight="1">
      <c r="A520" s="14"/>
      <c r="B520" s="14"/>
    </row>
    <row r="521" ht="15.75" customHeight="1">
      <c r="A521" s="14"/>
      <c r="B521" s="14"/>
    </row>
    <row r="522" ht="15.75" customHeight="1">
      <c r="A522" s="14"/>
      <c r="B522" s="14"/>
    </row>
    <row r="523" ht="15.75" customHeight="1">
      <c r="A523" s="14"/>
      <c r="B523" s="14"/>
    </row>
    <row r="524" ht="15.75" customHeight="1">
      <c r="A524" s="14"/>
      <c r="B524" s="14"/>
    </row>
    <row r="525" ht="15.75" customHeight="1">
      <c r="A525" s="14"/>
      <c r="B525" s="14"/>
    </row>
    <row r="526" ht="15.75" customHeight="1">
      <c r="A526" s="14"/>
      <c r="B526" s="14"/>
    </row>
    <row r="527" ht="15.75" customHeight="1">
      <c r="A527" s="14"/>
      <c r="B527" s="14"/>
    </row>
    <row r="528" ht="15.75" customHeight="1">
      <c r="A528" s="14"/>
      <c r="B528" s="14"/>
    </row>
    <row r="529" ht="15.75" customHeight="1">
      <c r="A529" s="14"/>
      <c r="B529" s="14"/>
    </row>
    <row r="530" ht="15.75" customHeight="1">
      <c r="A530" s="14"/>
      <c r="B530" s="14"/>
    </row>
    <row r="531" ht="15.75" customHeight="1">
      <c r="A531" s="14"/>
      <c r="B531" s="14"/>
    </row>
    <row r="532" ht="15.75" customHeight="1">
      <c r="A532" s="14"/>
      <c r="B532" s="14"/>
    </row>
    <row r="533" ht="15.75" customHeight="1">
      <c r="A533" s="14"/>
      <c r="B533" s="14"/>
    </row>
    <row r="534" ht="15.75" customHeight="1">
      <c r="A534" s="14"/>
      <c r="B534" s="14"/>
    </row>
    <row r="535" ht="15.75" customHeight="1">
      <c r="A535" s="14"/>
      <c r="B535" s="14"/>
    </row>
    <row r="536" ht="15.75" customHeight="1">
      <c r="A536" s="14"/>
      <c r="B536" s="14"/>
    </row>
    <row r="537" ht="15.75" customHeight="1">
      <c r="A537" s="14"/>
      <c r="B537" s="14"/>
    </row>
    <row r="538" ht="15.75" customHeight="1">
      <c r="A538" s="14"/>
      <c r="B538" s="14"/>
    </row>
    <row r="539" ht="15.75" customHeight="1">
      <c r="A539" s="14"/>
      <c r="B539" s="14"/>
    </row>
    <row r="540" ht="15.75" customHeight="1">
      <c r="A540" s="14"/>
      <c r="B540" s="14"/>
    </row>
    <row r="541" ht="15.75" customHeight="1">
      <c r="A541" s="14"/>
      <c r="B541" s="14"/>
    </row>
    <row r="542" ht="15.75" customHeight="1">
      <c r="A542" s="14"/>
      <c r="B542" s="14"/>
    </row>
    <row r="543" ht="15.75" customHeight="1">
      <c r="A543" s="14"/>
      <c r="B543" s="14"/>
    </row>
    <row r="544" ht="15.75" customHeight="1">
      <c r="A544" s="14"/>
      <c r="B544" s="14"/>
    </row>
    <row r="545" ht="15.75" customHeight="1">
      <c r="A545" s="14"/>
      <c r="B545" s="14"/>
    </row>
    <row r="546" ht="15.75" customHeight="1">
      <c r="A546" s="14"/>
      <c r="B546" s="14"/>
    </row>
    <row r="547" ht="15.75" customHeight="1">
      <c r="A547" s="14"/>
      <c r="B547" s="14"/>
    </row>
    <row r="548" ht="15.75" customHeight="1">
      <c r="A548" s="14"/>
      <c r="B548" s="14"/>
    </row>
    <row r="549" ht="15.75" customHeight="1">
      <c r="A549" s="14"/>
      <c r="B549" s="14"/>
    </row>
    <row r="550" ht="15.75" customHeight="1">
      <c r="A550" s="14"/>
      <c r="B550" s="14"/>
    </row>
    <row r="551" ht="15.75" customHeight="1">
      <c r="A551" s="14"/>
      <c r="B551" s="14"/>
    </row>
    <row r="552" ht="15.75" customHeight="1">
      <c r="A552" s="14"/>
      <c r="B552" s="14"/>
    </row>
    <row r="553" ht="15.75" customHeight="1">
      <c r="A553" s="14"/>
      <c r="B553" s="14"/>
    </row>
    <row r="554" ht="15.75" customHeight="1">
      <c r="A554" s="14"/>
      <c r="B554" s="14"/>
    </row>
    <row r="555" ht="15.75" customHeight="1">
      <c r="A555" s="14"/>
      <c r="B555" s="14"/>
    </row>
    <row r="556" ht="15.75" customHeight="1">
      <c r="A556" s="14"/>
      <c r="B556" s="14"/>
    </row>
    <row r="557" ht="15.75" customHeight="1">
      <c r="A557" s="14"/>
      <c r="B557" s="14"/>
    </row>
    <row r="558" ht="15.75" customHeight="1">
      <c r="A558" s="14"/>
      <c r="B558" s="14"/>
    </row>
    <row r="559" ht="15.75" customHeight="1">
      <c r="A559" s="14"/>
      <c r="B559" s="14"/>
    </row>
    <row r="560" ht="15.75" customHeight="1">
      <c r="A560" s="14"/>
      <c r="B560" s="14"/>
    </row>
    <row r="561" ht="15.75" customHeight="1">
      <c r="A561" s="14"/>
      <c r="B561" s="14"/>
    </row>
    <row r="562" ht="15.75" customHeight="1">
      <c r="A562" s="14"/>
      <c r="B562" s="14"/>
    </row>
    <row r="563" ht="15.75" customHeight="1">
      <c r="A563" s="14"/>
      <c r="B563" s="14"/>
    </row>
    <row r="564" ht="15.75" customHeight="1">
      <c r="A564" s="14"/>
      <c r="B564" s="14"/>
    </row>
    <row r="565" ht="15.75" customHeight="1">
      <c r="A565" s="14"/>
      <c r="B565" s="14"/>
    </row>
    <row r="566" ht="15.75" customHeight="1">
      <c r="A566" s="14"/>
      <c r="B566" s="14"/>
    </row>
    <row r="567" ht="15.75" customHeight="1">
      <c r="A567" s="14"/>
      <c r="B567" s="14"/>
    </row>
    <row r="568" ht="15.75" customHeight="1">
      <c r="A568" s="14"/>
      <c r="B568" s="14"/>
    </row>
    <row r="569" ht="15.75" customHeight="1">
      <c r="A569" s="14"/>
      <c r="B569" s="14"/>
    </row>
    <row r="570" ht="15.75" customHeight="1">
      <c r="A570" s="14"/>
      <c r="B570" s="14"/>
    </row>
    <row r="571" ht="15.75" customHeight="1">
      <c r="A571" s="14"/>
      <c r="B571" s="14"/>
    </row>
    <row r="572" ht="15.75" customHeight="1">
      <c r="A572" s="14"/>
      <c r="B572" s="14"/>
    </row>
    <row r="573" ht="15.75" customHeight="1">
      <c r="A573" s="14"/>
      <c r="B573" s="14"/>
    </row>
    <row r="574" ht="15.75" customHeight="1">
      <c r="A574" s="14"/>
      <c r="B574" s="14"/>
    </row>
    <row r="575" ht="15.75" customHeight="1">
      <c r="A575" s="14"/>
      <c r="B575" s="14"/>
    </row>
    <row r="576" ht="15.75" customHeight="1">
      <c r="A576" s="14"/>
      <c r="B576" s="14"/>
    </row>
    <row r="577" ht="15.75" customHeight="1">
      <c r="A577" s="14"/>
      <c r="B577" s="14"/>
    </row>
    <row r="578" ht="15.75" customHeight="1">
      <c r="A578" s="14"/>
      <c r="B578" s="14"/>
    </row>
    <row r="579" ht="15.75" customHeight="1">
      <c r="A579" s="14"/>
      <c r="B579" s="14"/>
    </row>
    <row r="580" ht="15.75" customHeight="1">
      <c r="A580" s="14"/>
      <c r="B580" s="14"/>
    </row>
    <row r="581" ht="15.75" customHeight="1">
      <c r="A581" s="14"/>
      <c r="B581" s="14"/>
    </row>
    <row r="582" ht="15.75" customHeight="1">
      <c r="A582" s="14"/>
      <c r="B582" s="14"/>
    </row>
    <row r="583" ht="15.75" customHeight="1">
      <c r="A583" s="14"/>
      <c r="B583" s="14"/>
    </row>
    <row r="584" ht="15.75" customHeight="1">
      <c r="A584" s="14"/>
      <c r="B584" s="14"/>
    </row>
    <row r="585" ht="15.75" customHeight="1">
      <c r="A585" s="14"/>
      <c r="B585" s="14"/>
    </row>
    <row r="586" ht="15.75" customHeight="1">
      <c r="A586" s="14"/>
      <c r="B586" s="14"/>
    </row>
    <row r="587" ht="15.75" customHeight="1">
      <c r="A587" s="14"/>
      <c r="B587" s="14"/>
    </row>
    <row r="588" ht="15.75" customHeight="1">
      <c r="A588" s="14"/>
      <c r="B588" s="14"/>
    </row>
    <row r="589" ht="15.75" customHeight="1">
      <c r="A589" s="14"/>
      <c r="B589" s="14"/>
    </row>
    <row r="590" ht="15.75" customHeight="1">
      <c r="A590" s="14"/>
      <c r="B590" s="14"/>
    </row>
    <row r="591" ht="15.75" customHeight="1">
      <c r="A591" s="14"/>
      <c r="B591" s="14"/>
    </row>
    <row r="592" ht="15.75" customHeight="1">
      <c r="A592" s="14"/>
      <c r="B592" s="14"/>
    </row>
    <row r="593" ht="15.75" customHeight="1">
      <c r="A593" s="14"/>
      <c r="B593" s="14"/>
    </row>
    <row r="594" ht="15.75" customHeight="1">
      <c r="A594" s="14"/>
      <c r="B594" s="14"/>
    </row>
    <row r="595" ht="15.75" customHeight="1">
      <c r="A595" s="14"/>
      <c r="B595" s="14"/>
    </row>
    <row r="596" ht="15.75" customHeight="1">
      <c r="A596" s="14"/>
      <c r="B596" s="14"/>
    </row>
    <row r="597" ht="15.75" customHeight="1">
      <c r="A597" s="14"/>
      <c r="B597" s="14"/>
    </row>
    <row r="598" ht="15.75" customHeight="1">
      <c r="A598" s="14"/>
      <c r="B598" s="14"/>
    </row>
    <row r="599" ht="15.75" customHeight="1">
      <c r="A599" s="14"/>
      <c r="B599" s="14"/>
    </row>
    <row r="600" ht="15.75" customHeight="1">
      <c r="A600" s="14"/>
      <c r="B600" s="14"/>
    </row>
    <row r="601" ht="15.75" customHeight="1">
      <c r="A601" s="14"/>
      <c r="B601" s="14"/>
    </row>
    <row r="602" ht="15.75" customHeight="1">
      <c r="A602" s="14"/>
      <c r="B602" s="14"/>
    </row>
    <row r="603" ht="15.75" customHeight="1">
      <c r="A603" s="14"/>
      <c r="B603" s="14"/>
    </row>
    <row r="604" ht="15.75" customHeight="1">
      <c r="A604" s="14"/>
      <c r="B604" s="14"/>
    </row>
    <row r="605" ht="15.75" customHeight="1">
      <c r="A605" s="14"/>
      <c r="B605" s="14"/>
    </row>
    <row r="606" ht="15.75" customHeight="1">
      <c r="A606" s="14"/>
      <c r="B606" s="14"/>
    </row>
    <row r="607" ht="15.75" customHeight="1">
      <c r="A607" s="14"/>
      <c r="B607" s="14"/>
    </row>
    <row r="608" ht="15.75" customHeight="1">
      <c r="A608" s="14"/>
      <c r="B608" s="14"/>
    </row>
    <row r="609" ht="15.75" customHeight="1">
      <c r="A609" s="14"/>
      <c r="B609" s="14"/>
    </row>
    <row r="610" ht="15.75" customHeight="1">
      <c r="A610" s="14"/>
      <c r="B610" s="14"/>
    </row>
    <row r="611" ht="15.75" customHeight="1">
      <c r="A611" s="14"/>
      <c r="B611" s="14"/>
    </row>
    <row r="612" ht="15.75" customHeight="1">
      <c r="A612" s="14"/>
      <c r="B612" s="14"/>
    </row>
    <row r="613" ht="15.75" customHeight="1">
      <c r="A613" s="14"/>
      <c r="B613" s="14"/>
    </row>
    <row r="614" ht="15.75" customHeight="1">
      <c r="A614" s="14"/>
      <c r="B614" s="14"/>
    </row>
    <row r="615" ht="15.75" customHeight="1">
      <c r="A615" s="14"/>
      <c r="B615" s="14"/>
    </row>
    <row r="616" ht="15.75" customHeight="1">
      <c r="A616" s="14"/>
      <c r="B616" s="14"/>
    </row>
    <row r="617" ht="15.75" customHeight="1">
      <c r="A617" s="14"/>
      <c r="B617" s="14"/>
    </row>
    <row r="618" ht="15.75" customHeight="1">
      <c r="A618" s="14"/>
      <c r="B618" s="14"/>
    </row>
    <row r="619" ht="15.75" customHeight="1">
      <c r="A619" s="14"/>
      <c r="B619" s="14"/>
    </row>
    <row r="620" ht="15.75" customHeight="1">
      <c r="A620" s="14"/>
      <c r="B620" s="14"/>
    </row>
    <row r="621" ht="15.75" customHeight="1">
      <c r="A621" s="14"/>
      <c r="B621" s="14"/>
    </row>
    <row r="622" ht="15.75" customHeight="1">
      <c r="A622" s="14"/>
      <c r="B622" s="14"/>
    </row>
    <row r="623" ht="15.75" customHeight="1">
      <c r="A623" s="14"/>
      <c r="B623" s="14"/>
    </row>
    <row r="624" ht="15.75" customHeight="1">
      <c r="A624" s="14"/>
      <c r="B624" s="14"/>
    </row>
    <row r="625" ht="15.75" customHeight="1">
      <c r="A625" s="14"/>
      <c r="B625" s="14"/>
    </row>
    <row r="626" ht="15.75" customHeight="1">
      <c r="A626" s="14"/>
      <c r="B626" s="14"/>
    </row>
    <row r="627" ht="15.75" customHeight="1">
      <c r="A627" s="14"/>
      <c r="B627" s="14"/>
    </row>
    <row r="628" ht="15.75" customHeight="1">
      <c r="A628" s="14"/>
      <c r="B628" s="14"/>
    </row>
    <row r="629" ht="15.75" customHeight="1">
      <c r="A629" s="14"/>
      <c r="B629" s="14"/>
    </row>
    <row r="630" ht="15.75" customHeight="1">
      <c r="A630" s="14"/>
      <c r="B630" s="14"/>
    </row>
    <row r="631" ht="15.75" customHeight="1">
      <c r="A631" s="14"/>
      <c r="B631" s="14"/>
    </row>
    <row r="632" ht="15.75" customHeight="1">
      <c r="A632" s="14"/>
      <c r="B632" s="14"/>
    </row>
    <row r="633" ht="15.75" customHeight="1">
      <c r="A633" s="14"/>
      <c r="B633" s="14"/>
    </row>
    <row r="634" ht="15.75" customHeight="1">
      <c r="A634" s="14"/>
      <c r="B634" s="14"/>
    </row>
    <row r="635" ht="15.75" customHeight="1">
      <c r="A635" s="14"/>
      <c r="B635" s="14"/>
    </row>
    <row r="636" ht="15.75" customHeight="1">
      <c r="A636" s="14"/>
      <c r="B636" s="14"/>
    </row>
    <row r="637" ht="15.75" customHeight="1">
      <c r="A637" s="14"/>
      <c r="B637" s="14"/>
    </row>
    <row r="638" ht="15.75" customHeight="1">
      <c r="A638" s="14"/>
      <c r="B638" s="14"/>
    </row>
    <row r="639" ht="15.75" customHeight="1">
      <c r="A639" s="14"/>
      <c r="B639" s="14"/>
    </row>
    <row r="640" ht="15.75" customHeight="1">
      <c r="A640" s="14"/>
      <c r="B640" s="14"/>
    </row>
    <row r="641" ht="15.75" customHeight="1">
      <c r="A641" s="14"/>
      <c r="B641" s="14"/>
    </row>
    <row r="642" ht="15.75" customHeight="1">
      <c r="A642" s="14"/>
      <c r="B642" s="14"/>
    </row>
    <row r="643" ht="15.75" customHeight="1">
      <c r="A643" s="14"/>
      <c r="B643" s="14"/>
    </row>
    <row r="644" ht="15.75" customHeight="1">
      <c r="A644" s="14"/>
      <c r="B644" s="14"/>
    </row>
    <row r="645" ht="15.75" customHeight="1">
      <c r="A645" s="14"/>
      <c r="B645" s="14"/>
    </row>
    <row r="646" ht="15.75" customHeight="1">
      <c r="A646" s="14"/>
      <c r="B646" s="14"/>
    </row>
    <row r="647" ht="15.75" customHeight="1">
      <c r="A647" s="14"/>
      <c r="B647" s="14"/>
    </row>
    <row r="648" ht="15.75" customHeight="1">
      <c r="A648" s="14"/>
      <c r="B648" s="14"/>
    </row>
    <row r="649" ht="15.75" customHeight="1">
      <c r="A649" s="14"/>
      <c r="B649" s="14"/>
    </row>
    <row r="650" ht="15.75" customHeight="1">
      <c r="A650" s="14"/>
      <c r="B650" s="14"/>
    </row>
    <row r="651" ht="15.75" customHeight="1">
      <c r="A651" s="14"/>
      <c r="B651" s="14"/>
    </row>
    <row r="652" ht="15.75" customHeight="1">
      <c r="A652" s="14"/>
      <c r="B652" s="14"/>
    </row>
    <row r="653" ht="15.75" customHeight="1">
      <c r="A653" s="14"/>
      <c r="B653" s="14"/>
    </row>
    <row r="654" ht="15.75" customHeight="1">
      <c r="A654" s="14"/>
      <c r="B654" s="14"/>
    </row>
    <row r="655" ht="15.75" customHeight="1">
      <c r="A655" s="14"/>
      <c r="B655" s="14"/>
    </row>
    <row r="656" ht="15.75" customHeight="1">
      <c r="A656" s="14"/>
      <c r="B656" s="14"/>
    </row>
    <row r="657" ht="15.75" customHeight="1">
      <c r="A657" s="14"/>
      <c r="B657" s="14"/>
    </row>
    <row r="658" ht="15.75" customHeight="1">
      <c r="A658" s="14"/>
      <c r="B658" s="14"/>
    </row>
    <row r="659" ht="15.75" customHeight="1">
      <c r="A659" s="14"/>
      <c r="B659" s="14"/>
    </row>
    <row r="660" ht="15.75" customHeight="1">
      <c r="A660" s="14"/>
      <c r="B660" s="14"/>
    </row>
    <row r="661" ht="15.75" customHeight="1">
      <c r="A661" s="14"/>
      <c r="B661" s="14"/>
    </row>
    <row r="662" ht="15.75" customHeight="1">
      <c r="A662" s="14"/>
      <c r="B662" s="14"/>
    </row>
    <row r="663" ht="15.75" customHeight="1">
      <c r="A663" s="14"/>
      <c r="B663" s="14"/>
    </row>
    <row r="664" ht="15.75" customHeight="1">
      <c r="A664" s="14"/>
      <c r="B664" s="14"/>
    </row>
    <row r="665" ht="15.75" customHeight="1">
      <c r="A665" s="14"/>
      <c r="B665" s="14"/>
    </row>
    <row r="666" ht="15.75" customHeight="1">
      <c r="A666" s="14"/>
      <c r="B666" s="14"/>
    </row>
    <row r="667" ht="15.75" customHeight="1">
      <c r="A667" s="14"/>
      <c r="B667" s="14"/>
    </row>
    <row r="668" ht="15.75" customHeight="1">
      <c r="A668" s="14"/>
      <c r="B668" s="14"/>
    </row>
    <row r="669" ht="15.75" customHeight="1">
      <c r="A669" s="14"/>
      <c r="B669" s="14"/>
    </row>
    <row r="670" ht="15.75" customHeight="1">
      <c r="A670" s="14"/>
      <c r="B670" s="14"/>
    </row>
    <row r="671" ht="15.75" customHeight="1">
      <c r="A671" s="14"/>
      <c r="B671" s="14"/>
    </row>
    <row r="672" ht="15.75" customHeight="1">
      <c r="A672" s="14"/>
      <c r="B672" s="14"/>
    </row>
    <row r="673" ht="15.75" customHeight="1">
      <c r="A673" s="14"/>
      <c r="B673" s="14"/>
    </row>
    <row r="674" ht="15.75" customHeight="1">
      <c r="A674" s="14"/>
      <c r="B674" s="14"/>
    </row>
    <row r="675" ht="15.75" customHeight="1">
      <c r="A675" s="14"/>
      <c r="B675" s="14"/>
    </row>
    <row r="676" ht="15.75" customHeight="1">
      <c r="A676" s="14"/>
      <c r="B676" s="14"/>
    </row>
    <row r="677" ht="15.75" customHeight="1">
      <c r="A677" s="14"/>
      <c r="B677" s="14"/>
    </row>
    <row r="678" ht="15.75" customHeight="1">
      <c r="A678" s="14"/>
      <c r="B678" s="14"/>
    </row>
    <row r="679" ht="15.75" customHeight="1">
      <c r="A679" s="14"/>
      <c r="B679" s="14"/>
    </row>
    <row r="680" ht="15.75" customHeight="1">
      <c r="A680" s="14"/>
      <c r="B680" s="14"/>
    </row>
    <row r="681" ht="15.75" customHeight="1">
      <c r="A681" s="14"/>
      <c r="B681" s="14"/>
    </row>
    <row r="682" ht="15.75" customHeight="1">
      <c r="A682" s="14"/>
      <c r="B682" s="14"/>
    </row>
    <row r="683" ht="15.75" customHeight="1">
      <c r="A683" s="14"/>
      <c r="B683" s="14"/>
    </row>
    <row r="684" ht="15.75" customHeight="1">
      <c r="A684" s="14"/>
      <c r="B684" s="14"/>
    </row>
    <row r="685" ht="15.75" customHeight="1">
      <c r="A685" s="14"/>
      <c r="B685" s="14"/>
    </row>
    <row r="686" ht="15.75" customHeight="1">
      <c r="A686" s="14"/>
      <c r="B686" s="14"/>
    </row>
    <row r="687" ht="15.75" customHeight="1">
      <c r="A687" s="14"/>
      <c r="B687" s="14"/>
    </row>
    <row r="688" ht="15.75" customHeight="1">
      <c r="A688" s="14"/>
      <c r="B688" s="14"/>
    </row>
    <row r="689" ht="15.75" customHeight="1">
      <c r="A689" s="14"/>
      <c r="B689" s="14"/>
    </row>
    <row r="690" ht="15.75" customHeight="1">
      <c r="A690" s="14"/>
      <c r="B690" s="14"/>
    </row>
    <row r="691" ht="15.75" customHeight="1">
      <c r="A691" s="14"/>
      <c r="B691" s="14"/>
    </row>
    <row r="692" ht="15.75" customHeight="1">
      <c r="A692" s="14"/>
      <c r="B692" s="14"/>
    </row>
    <row r="693" ht="15.75" customHeight="1">
      <c r="A693" s="14"/>
      <c r="B693" s="14"/>
    </row>
    <row r="694" ht="15.75" customHeight="1">
      <c r="A694" s="14"/>
      <c r="B694" s="14"/>
    </row>
    <row r="695" ht="15.75" customHeight="1">
      <c r="A695" s="14"/>
      <c r="B695" s="14"/>
    </row>
    <row r="696" ht="15.75" customHeight="1">
      <c r="A696" s="14"/>
      <c r="B696" s="14"/>
    </row>
    <row r="697" ht="15.75" customHeight="1">
      <c r="A697" s="14"/>
      <c r="B697" s="14"/>
    </row>
    <row r="698" ht="15.75" customHeight="1">
      <c r="A698" s="14"/>
      <c r="B698" s="14"/>
    </row>
    <row r="699" ht="15.75" customHeight="1">
      <c r="A699" s="14"/>
      <c r="B699" s="14"/>
    </row>
    <row r="700" ht="15.75" customHeight="1">
      <c r="A700" s="14"/>
      <c r="B700" s="14"/>
    </row>
    <row r="701" ht="15.75" customHeight="1">
      <c r="A701" s="14"/>
      <c r="B701" s="14"/>
    </row>
    <row r="702" ht="15.75" customHeight="1">
      <c r="A702" s="14"/>
      <c r="B702" s="14"/>
    </row>
    <row r="703" ht="15.75" customHeight="1">
      <c r="A703" s="14"/>
      <c r="B703" s="14"/>
    </row>
    <row r="704" ht="15.75" customHeight="1">
      <c r="A704" s="14"/>
      <c r="B704" s="14"/>
    </row>
    <row r="705" ht="15.75" customHeight="1">
      <c r="A705" s="14"/>
      <c r="B705" s="14"/>
    </row>
    <row r="706" ht="15.75" customHeight="1">
      <c r="A706" s="14"/>
      <c r="B706" s="14"/>
    </row>
    <row r="707" ht="15.75" customHeight="1">
      <c r="A707" s="14"/>
      <c r="B707" s="14"/>
    </row>
    <row r="708" ht="15.75" customHeight="1">
      <c r="A708" s="14"/>
      <c r="B708" s="14"/>
    </row>
    <row r="709" ht="15.75" customHeight="1">
      <c r="A709" s="14"/>
      <c r="B709" s="14"/>
    </row>
    <row r="710" ht="15.75" customHeight="1">
      <c r="A710" s="14"/>
      <c r="B710" s="14"/>
    </row>
    <row r="711" ht="15.75" customHeight="1">
      <c r="A711" s="14"/>
      <c r="B711" s="14"/>
    </row>
    <row r="712" ht="15.75" customHeight="1">
      <c r="A712" s="14"/>
      <c r="B712" s="14"/>
    </row>
    <row r="713" ht="15.75" customHeight="1">
      <c r="A713" s="14"/>
      <c r="B713" s="14"/>
    </row>
    <row r="714" ht="15.75" customHeight="1">
      <c r="A714" s="14"/>
      <c r="B714" s="14"/>
    </row>
    <row r="715" ht="15.75" customHeight="1">
      <c r="A715" s="14"/>
      <c r="B715" s="14"/>
    </row>
    <row r="716" ht="15.75" customHeight="1">
      <c r="A716" s="14"/>
      <c r="B716" s="14"/>
    </row>
    <row r="717" ht="15.75" customHeight="1">
      <c r="A717" s="14"/>
      <c r="B717" s="14"/>
    </row>
    <row r="718" ht="15.75" customHeight="1">
      <c r="A718" s="14"/>
      <c r="B718" s="14"/>
    </row>
    <row r="719" ht="15.75" customHeight="1">
      <c r="A719" s="14"/>
      <c r="B719" s="14"/>
    </row>
    <row r="720" ht="15.75" customHeight="1">
      <c r="A720" s="14"/>
      <c r="B720" s="14"/>
    </row>
    <row r="721" ht="15.75" customHeight="1">
      <c r="A721" s="14"/>
      <c r="B721" s="14"/>
    </row>
    <row r="722" ht="15.75" customHeight="1">
      <c r="A722" s="14"/>
      <c r="B722" s="14"/>
    </row>
    <row r="723" ht="15.75" customHeight="1">
      <c r="A723" s="14"/>
      <c r="B723" s="14"/>
    </row>
    <row r="724" ht="15.75" customHeight="1">
      <c r="A724" s="14"/>
      <c r="B724" s="14"/>
    </row>
    <row r="725" ht="15.75" customHeight="1">
      <c r="A725" s="14"/>
      <c r="B725" s="14"/>
    </row>
    <row r="726" ht="15.75" customHeight="1">
      <c r="A726" s="14"/>
      <c r="B726" s="14"/>
    </row>
    <row r="727" ht="15.75" customHeight="1">
      <c r="A727" s="14"/>
      <c r="B727" s="14"/>
    </row>
    <row r="728" ht="15.75" customHeight="1">
      <c r="A728" s="14"/>
      <c r="B728" s="14"/>
    </row>
    <row r="729" ht="15.75" customHeight="1">
      <c r="A729" s="14"/>
      <c r="B729" s="14"/>
    </row>
    <row r="730" ht="15.75" customHeight="1">
      <c r="A730" s="14"/>
      <c r="B730" s="14"/>
    </row>
    <row r="731" ht="15.75" customHeight="1">
      <c r="A731" s="14"/>
      <c r="B731" s="14"/>
    </row>
    <row r="732" ht="15.75" customHeight="1">
      <c r="A732" s="14"/>
      <c r="B732" s="14"/>
    </row>
    <row r="733" ht="15.75" customHeight="1">
      <c r="A733" s="14"/>
      <c r="B733" s="14"/>
    </row>
    <row r="734" ht="15.75" customHeight="1">
      <c r="A734" s="14"/>
      <c r="B734" s="14"/>
    </row>
    <row r="735" ht="15.75" customHeight="1">
      <c r="A735" s="14"/>
      <c r="B735" s="14"/>
    </row>
    <row r="736" ht="15.75" customHeight="1">
      <c r="A736" s="14"/>
      <c r="B736" s="14"/>
    </row>
    <row r="737" ht="15.75" customHeight="1">
      <c r="A737" s="14"/>
      <c r="B737" s="14"/>
    </row>
    <row r="738" ht="15.75" customHeight="1">
      <c r="A738" s="14"/>
      <c r="B738" s="14"/>
    </row>
    <row r="739" ht="15.75" customHeight="1">
      <c r="A739" s="14"/>
      <c r="B739" s="14"/>
    </row>
    <row r="740" ht="15.75" customHeight="1">
      <c r="A740" s="14"/>
      <c r="B740" s="14"/>
    </row>
    <row r="741" ht="15.75" customHeight="1">
      <c r="A741" s="14"/>
      <c r="B741" s="14"/>
    </row>
    <row r="742" ht="15.75" customHeight="1">
      <c r="A742" s="14"/>
      <c r="B742" s="14"/>
    </row>
    <row r="743" ht="15.75" customHeight="1">
      <c r="A743" s="14"/>
      <c r="B743" s="14"/>
    </row>
    <row r="744" ht="15.75" customHeight="1">
      <c r="A744" s="14"/>
      <c r="B744" s="14"/>
    </row>
    <row r="745" ht="15.75" customHeight="1">
      <c r="A745" s="14"/>
      <c r="B745" s="14"/>
    </row>
    <row r="746" ht="15.75" customHeight="1">
      <c r="A746" s="14"/>
      <c r="B746" s="14"/>
    </row>
    <row r="747" ht="15.75" customHeight="1">
      <c r="A747" s="14"/>
      <c r="B747" s="14"/>
    </row>
    <row r="748" ht="15.75" customHeight="1">
      <c r="A748" s="14"/>
      <c r="B748" s="14"/>
    </row>
    <row r="749" ht="15.75" customHeight="1">
      <c r="A749" s="14"/>
      <c r="B749" s="14"/>
    </row>
    <row r="750" ht="15.75" customHeight="1">
      <c r="A750" s="14"/>
      <c r="B750" s="14"/>
    </row>
    <row r="751" ht="15.75" customHeight="1">
      <c r="A751" s="14"/>
      <c r="B751" s="14"/>
    </row>
    <row r="752" ht="15.75" customHeight="1">
      <c r="A752" s="14"/>
      <c r="B752" s="14"/>
    </row>
    <row r="753" ht="15.75" customHeight="1">
      <c r="A753" s="14"/>
      <c r="B753" s="14"/>
    </row>
    <row r="754" ht="15.75" customHeight="1">
      <c r="A754" s="14"/>
      <c r="B754" s="14"/>
    </row>
    <row r="755" ht="15.75" customHeight="1">
      <c r="A755" s="14"/>
      <c r="B755" s="14"/>
    </row>
    <row r="756" ht="15.75" customHeight="1">
      <c r="A756" s="14"/>
      <c r="B756" s="14"/>
    </row>
    <row r="757" ht="15.75" customHeight="1">
      <c r="A757" s="14"/>
      <c r="B757" s="14"/>
    </row>
    <row r="758" ht="15.75" customHeight="1">
      <c r="A758" s="14"/>
      <c r="B758" s="14"/>
    </row>
    <row r="759" ht="15.75" customHeight="1">
      <c r="A759" s="14"/>
      <c r="B759" s="14"/>
    </row>
    <row r="760" ht="15.75" customHeight="1">
      <c r="A760" s="14"/>
      <c r="B760" s="14"/>
    </row>
    <row r="761" ht="15.75" customHeight="1">
      <c r="A761" s="14"/>
      <c r="B761" s="14"/>
    </row>
    <row r="762" ht="15.75" customHeight="1">
      <c r="A762" s="14"/>
      <c r="B762" s="14"/>
    </row>
    <row r="763" ht="15.75" customHeight="1">
      <c r="A763" s="14"/>
      <c r="B763" s="14"/>
    </row>
    <row r="764" ht="15.75" customHeight="1">
      <c r="A764" s="14"/>
      <c r="B764" s="14"/>
    </row>
    <row r="765" ht="15.75" customHeight="1">
      <c r="A765" s="14"/>
      <c r="B765" s="14"/>
    </row>
    <row r="766" ht="15.75" customHeight="1">
      <c r="A766" s="14"/>
      <c r="B766" s="14"/>
    </row>
    <row r="767" ht="15.75" customHeight="1">
      <c r="A767" s="14"/>
      <c r="B767" s="14"/>
    </row>
    <row r="768" ht="15.75" customHeight="1">
      <c r="A768" s="14"/>
      <c r="B768" s="14"/>
    </row>
    <row r="769" ht="15.75" customHeight="1">
      <c r="A769" s="14"/>
      <c r="B769" s="14"/>
    </row>
    <row r="770" ht="15.75" customHeight="1">
      <c r="A770" s="14"/>
      <c r="B770" s="14"/>
    </row>
    <row r="771" ht="15.75" customHeight="1">
      <c r="A771" s="14"/>
      <c r="B771" s="14"/>
    </row>
    <row r="772" ht="15.75" customHeight="1">
      <c r="A772" s="14"/>
      <c r="B772" s="14"/>
    </row>
    <row r="773" ht="15.75" customHeight="1">
      <c r="A773" s="14"/>
      <c r="B773" s="14"/>
    </row>
    <row r="774" ht="15.75" customHeight="1">
      <c r="A774" s="14"/>
      <c r="B774" s="14"/>
    </row>
    <row r="775" ht="15.75" customHeight="1">
      <c r="A775" s="14"/>
      <c r="B775" s="14"/>
    </row>
    <row r="776" ht="15.75" customHeight="1">
      <c r="A776" s="14"/>
      <c r="B776" s="14"/>
    </row>
    <row r="777" ht="15.75" customHeight="1">
      <c r="A777" s="14"/>
      <c r="B777" s="14"/>
    </row>
    <row r="778" ht="15.75" customHeight="1">
      <c r="A778" s="14"/>
      <c r="B778" s="14"/>
    </row>
    <row r="779" ht="15.75" customHeight="1">
      <c r="A779" s="14"/>
      <c r="B779" s="14"/>
    </row>
    <row r="780" ht="15.75" customHeight="1">
      <c r="A780" s="14"/>
      <c r="B780" s="14"/>
    </row>
    <row r="781" ht="15.75" customHeight="1">
      <c r="A781" s="14"/>
      <c r="B781" s="14"/>
    </row>
    <row r="782" ht="15.75" customHeight="1">
      <c r="A782" s="14"/>
      <c r="B782" s="14"/>
    </row>
    <row r="783" ht="15.75" customHeight="1">
      <c r="A783" s="14"/>
      <c r="B783" s="14"/>
    </row>
    <row r="784" ht="15.75" customHeight="1">
      <c r="A784" s="14"/>
      <c r="B784" s="14"/>
    </row>
    <row r="785" ht="15.75" customHeight="1">
      <c r="A785" s="14"/>
      <c r="B785" s="14"/>
    </row>
    <row r="786" ht="15.75" customHeight="1">
      <c r="A786" s="14"/>
      <c r="B786" s="14"/>
    </row>
    <row r="787" ht="15.75" customHeight="1">
      <c r="A787" s="14"/>
      <c r="B787" s="14"/>
    </row>
    <row r="788" ht="15.75" customHeight="1">
      <c r="A788" s="14"/>
      <c r="B788" s="14"/>
    </row>
    <row r="789" ht="15.75" customHeight="1">
      <c r="A789" s="14"/>
      <c r="B789" s="14"/>
    </row>
    <row r="790" ht="15.75" customHeight="1">
      <c r="A790" s="14"/>
      <c r="B790" s="14"/>
    </row>
    <row r="791" ht="15.75" customHeight="1">
      <c r="A791" s="14"/>
      <c r="B791" s="14"/>
    </row>
    <row r="792" ht="15.75" customHeight="1">
      <c r="A792" s="14"/>
      <c r="B792" s="14"/>
    </row>
    <row r="793" ht="15.75" customHeight="1">
      <c r="A793" s="14"/>
      <c r="B793" s="14"/>
    </row>
    <row r="794" ht="15.75" customHeight="1">
      <c r="A794" s="14"/>
      <c r="B794" s="14"/>
    </row>
    <row r="795" ht="15.75" customHeight="1">
      <c r="A795" s="14"/>
      <c r="B795" s="14"/>
    </row>
    <row r="796" ht="15.75" customHeight="1">
      <c r="A796" s="14"/>
      <c r="B796" s="14"/>
    </row>
    <row r="797" ht="15.75" customHeight="1">
      <c r="A797" s="14"/>
      <c r="B797" s="14"/>
    </row>
    <row r="798" ht="15.75" customHeight="1">
      <c r="A798" s="14"/>
      <c r="B798" s="14"/>
    </row>
    <row r="799" ht="15.75" customHeight="1">
      <c r="A799" s="14"/>
      <c r="B799" s="14"/>
    </row>
    <row r="800" ht="15.75" customHeight="1">
      <c r="A800" s="14"/>
      <c r="B800" s="14"/>
    </row>
    <row r="801" ht="15.75" customHeight="1">
      <c r="A801" s="14"/>
      <c r="B801" s="14"/>
    </row>
    <row r="802" ht="15.75" customHeight="1">
      <c r="A802" s="14"/>
      <c r="B802" s="14"/>
    </row>
    <row r="803" ht="15.75" customHeight="1">
      <c r="A803" s="14"/>
      <c r="B803" s="14"/>
    </row>
    <row r="804" ht="15.75" customHeight="1">
      <c r="A804" s="14"/>
      <c r="B804" s="14"/>
    </row>
    <row r="805" ht="15.75" customHeight="1">
      <c r="A805" s="14"/>
      <c r="B805" s="14"/>
    </row>
    <row r="806" ht="15.75" customHeight="1">
      <c r="A806" s="14"/>
      <c r="B806" s="14"/>
    </row>
    <row r="807" ht="15.75" customHeight="1">
      <c r="A807" s="14"/>
      <c r="B807" s="14"/>
    </row>
    <row r="808" ht="15.75" customHeight="1">
      <c r="A808" s="14"/>
      <c r="B808" s="14"/>
    </row>
    <row r="809" ht="15.75" customHeight="1">
      <c r="A809" s="14"/>
      <c r="B809" s="14"/>
    </row>
    <row r="810" ht="15.75" customHeight="1">
      <c r="A810" s="14"/>
      <c r="B810" s="14"/>
    </row>
    <row r="811" ht="15.75" customHeight="1">
      <c r="A811" s="14"/>
      <c r="B811" s="14"/>
    </row>
    <row r="812" ht="15.75" customHeight="1">
      <c r="A812" s="14"/>
      <c r="B812" s="14"/>
    </row>
    <row r="813" ht="15.75" customHeight="1">
      <c r="A813" s="14"/>
      <c r="B813" s="14"/>
    </row>
    <row r="814" ht="15.75" customHeight="1">
      <c r="A814" s="14"/>
      <c r="B814" s="14"/>
    </row>
    <row r="815" ht="15.75" customHeight="1">
      <c r="A815" s="14"/>
      <c r="B815" s="14"/>
    </row>
    <row r="816" ht="15.75" customHeight="1">
      <c r="A816" s="14"/>
      <c r="B816" s="14"/>
    </row>
    <row r="817" ht="15.75" customHeight="1">
      <c r="A817" s="14"/>
      <c r="B817" s="14"/>
    </row>
    <row r="818" ht="15.75" customHeight="1">
      <c r="A818" s="14"/>
      <c r="B818" s="14"/>
    </row>
    <row r="819" ht="15.75" customHeight="1">
      <c r="A819" s="14"/>
      <c r="B819" s="14"/>
    </row>
    <row r="820" ht="15.75" customHeight="1">
      <c r="A820" s="14"/>
      <c r="B820" s="14"/>
    </row>
    <row r="821" ht="15.75" customHeight="1">
      <c r="A821" s="14"/>
      <c r="B821" s="14"/>
    </row>
    <row r="822" ht="15.75" customHeight="1">
      <c r="A822" s="14"/>
      <c r="B822" s="14"/>
    </row>
    <row r="823" ht="15.75" customHeight="1">
      <c r="A823" s="14"/>
      <c r="B823" s="14"/>
    </row>
    <row r="824" ht="15.75" customHeight="1">
      <c r="A824" s="14"/>
      <c r="B824" s="14"/>
    </row>
    <row r="825" ht="15.75" customHeight="1">
      <c r="A825" s="14"/>
      <c r="B825" s="14"/>
    </row>
    <row r="826" ht="15.75" customHeight="1">
      <c r="A826" s="14"/>
      <c r="B826" s="14"/>
    </row>
    <row r="827" ht="15.75" customHeight="1">
      <c r="A827" s="14"/>
      <c r="B827" s="14"/>
    </row>
    <row r="828" ht="15.75" customHeight="1">
      <c r="A828" s="14"/>
      <c r="B828" s="14"/>
    </row>
    <row r="829" ht="15.75" customHeight="1">
      <c r="A829" s="14"/>
      <c r="B829" s="14"/>
    </row>
    <row r="830" ht="15.75" customHeight="1">
      <c r="A830" s="14"/>
      <c r="B830" s="14"/>
    </row>
    <row r="831" ht="15.75" customHeight="1">
      <c r="A831" s="14"/>
      <c r="B831" s="14"/>
    </row>
    <row r="832" ht="15.75" customHeight="1">
      <c r="A832" s="14"/>
      <c r="B832" s="14"/>
    </row>
    <row r="833" ht="15.75" customHeight="1">
      <c r="A833" s="14"/>
      <c r="B833" s="14"/>
    </row>
    <row r="834" ht="15.75" customHeight="1">
      <c r="A834" s="14"/>
      <c r="B834" s="14"/>
    </row>
    <row r="835" ht="15.75" customHeight="1">
      <c r="A835" s="14"/>
      <c r="B835" s="14"/>
    </row>
    <row r="836" ht="15.75" customHeight="1">
      <c r="A836" s="14"/>
      <c r="B836" s="14"/>
    </row>
    <row r="837" ht="15.75" customHeight="1">
      <c r="A837" s="14"/>
      <c r="B837" s="14"/>
    </row>
    <row r="838" ht="15.75" customHeight="1">
      <c r="A838" s="14"/>
      <c r="B838" s="14"/>
    </row>
    <row r="839" ht="15.75" customHeight="1">
      <c r="A839" s="14"/>
      <c r="B839" s="14"/>
    </row>
    <row r="840" ht="15.75" customHeight="1">
      <c r="A840" s="14"/>
      <c r="B840" s="14"/>
    </row>
    <row r="841" ht="15.75" customHeight="1">
      <c r="A841" s="14"/>
      <c r="B841" s="14"/>
    </row>
    <row r="842" ht="15.75" customHeight="1">
      <c r="A842" s="14"/>
      <c r="B842" s="14"/>
    </row>
    <row r="843" ht="15.75" customHeight="1">
      <c r="A843" s="14"/>
      <c r="B843" s="14"/>
    </row>
    <row r="844" ht="15.75" customHeight="1">
      <c r="A844" s="14"/>
      <c r="B844" s="14"/>
    </row>
    <row r="845" ht="15.75" customHeight="1">
      <c r="A845" s="14"/>
      <c r="B845" s="14"/>
    </row>
    <row r="846" ht="15.75" customHeight="1">
      <c r="A846" s="14"/>
      <c r="B846" s="14"/>
    </row>
    <row r="847" ht="15.75" customHeight="1">
      <c r="A847" s="14"/>
      <c r="B847" s="14"/>
    </row>
    <row r="848" ht="15.75" customHeight="1">
      <c r="A848" s="14"/>
      <c r="B848" s="14"/>
    </row>
    <row r="849" ht="15.75" customHeight="1">
      <c r="A849" s="14"/>
      <c r="B849" s="14"/>
    </row>
    <row r="850" ht="15.75" customHeight="1">
      <c r="A850" s="14"/>
      <c r="B850" s="14"/>
    </row>
    <row r="851" ht="15.75" customHeight="1">
      <c r="A851" s="14"/>
      <c r="B851" s="14"/>
    </row>
    <row r="852" ht="15.75" customHeight="1">
      <c r="A852" s="14"/>
      <c r="B852" s="14"/>
    </row>
    <row r="853" ht="15.75" customHeight="1">
      <c r="A853" s="14"/>
      <c r="B853" s="14"/>
    </row>
    <row r="854" ht="15.75" customHeight="1">
      <c r="A854" s="14"/>
      <c r="B854" s="14"/>
    </row>
    <row r="855" ht="15.75" customHeight="1">
      <c r="A855" s="14"/>
      <c r="B855" s="14"/>
    </row>
    <row r="856" ht="15.75" customHeight="1">
      <c r="A856" s="14"/>
      <c r="B856" s="14"/>
    </row>
    <row r="857" ht="15.75" customHeight="1">
      <c r="A857" s="14"/>
      <c r="B857" s="14"/>
    </row>
    <row r="858" ht="15.75" customHeight="1">
      <c r="A858" s="14"/>
      <c r="B858" s="14"/>
    </row>
    <row r="859" ht="15.75" customHeight="1">
      <c r="A859" s="14"/>
      <c r="B859" s="14"/>
    </row>
    <row r="860" ht="15.75" customHeight="1">
      <c r="A860" s="14"/>
      <c r="B860" s="14"/>
    </row>
    <row r="861" ht="15.75" customHeight="1">
      <c r="A861" s="14"/>
      <c r="B861" s="14"/>
    </row>
    <row r="862" ht="15.75" customHeight="1">
      <c r="A862" s="14"/>
      <c r="B862" s="14"/>
    </row>
    <row r="863" ht="15.75" customHeight="1">
      <c r="A863" s="14"/>
      <c r="B863" s="14"/>
    </row>
    <row r="864" ht="15.75" customHeight="1">
      <c r="A864" s="14"/>
      <c r="B864" s="14"/>
    </row>
    <row r="865" ht="15.75" customHeight="1">
      <c r="A865" s="14"/>
      <c r="B865" s="14"/>
    </row>
    <row r="866" ht="15.75" customHeight="1">
      <c r="A866" s="14"/>
      <c r="B866" s="14"/>
    </row>
    <row r="867" ht="15.75" customHeight="1">
      <c r="A867" s="14"/>
      <c r="B867" s="14"/>
    </row>
    <row r="868" ht="15.75" customHeight="1">
      <c r="A868" s="14"/>
      <c r="B868" s="14"/>
    </row>
    <row r="869" ht="15.75" customHeight="1">
      <c r="A869" s="14"/>
      <c r="B869" s="14"/>
    </row>
    <row r="870" ht="15.75" customHeight="1">
      <c r="A870" s="14"/>
      <c r="B870" s="14"/>
    </row>
    <row r="871" ht="15.75" customHeight="1">
      <c r="A871" s="14"/>
      <c r="B871" s="14"/>
    </row>
    <row r="872" ht="15.75" customHeight="1">
      <c r="A872" s="14"/>
      <c r="B872" s="14"/>
    </row>
    <row r="873" ht="15.75" customHeight="1">
      <c r="A873" s="14"/>
      <c r="B873" s="14"/>
    </row>
    <row r="874" ht="15.75" customHeight="1">
      <c r="A874" s="14"/>
      <c r="B874" s="14"/>
    </row>
    <row r="875" ht="15.75" customHeight="1">
      <c r="A875" s="14"/>
      <c r="B875" s="14"/>
    </row>
    <row r="876" ht="15.75" customHeight="1">
      <c r="A876" s="14"/>
      <c r="B876" s="14"/>
    </row>
    <row r="877" ht="15.75" customHeight="1">
      <c r="A877" s="14"/>
      <c r="B877" s="14"/>
    </row>
    <row r="878" ht="15.75" customHeight="1">
      <c r="A878" s="14"/>
      <c r="B878" s="14"/>
    </row>
    <row r="879" ht="15.75" customHeight="1">
      <c r="A879" s="14"/>
      <c r="B879" s="14"/>
    </row>
    <row r="880" ht="15.75" customHeight="1">
      <c r="A880" s="14"/>
      <c r="B880" s="14"/>
    </row>
    <row r="881" ht="15.75" customHeight="1">
      <c r="A881" s="14"/>
      <c r="B881" s="14"/>
    </row>
    <row r="882" ht="15.75" customHeight="1">
      <c r="A882" s="14"/>
      <c r="B882" s="14"/>
    </row>
    <row r="883" ht="15.75" customHeight="1">
      <c r="A883" s="14"/>
      <c r="B883" s="14"/>
    </row>
    <row r="884" ht="15.75" customHeight="1">
      <c r="A884" s="14"/>
      <c r="B884" s="14"/>
    </row>
    <row r="885" ht="15.75" customHeight="1">
      <c r="A885" s="14"/>
      <c r="B885" s="14"/>
    </row>
    <row r="886" ht="15.75" customHeight="1">
      <c r="A886" s="14"/>
      <c r="B886" s="14"/>
    </row>
    <row r="887" ht="15.75" customHeight="1">
      <c r="A887" s="14"/>
      <c r="B887" s="14"/>
    </row>
    <row r="888" ht="15.75" customHeight="1">
      <c r="A888" s="14"/>
      <c r="B888" s="14"/>
    </row>
    <row r="889" ht="15.75" customHeight="1">
      <c r="A889" s="14"/>
      <c r="B889" s="14"/>
    </row>
    <row r="890" ht="15.75" customHeight="1">
      <c r="A890" s="14"/>
      <c r="B890" s="14"/>
    </row>
    <row r="891" ht="15.75" customHeight="1">
      <c r="A891" s="14"/>
      <c r="B891" s="14"/>
    </row>
    <row r="892" ht="15.75" customHeight="1">
      <c r="A892" s="14"/>
      <c r="B892" s="14"/>
    </row>
    <row r="893" ht="15.75" customHeight="1">
      <c r="A893" s="14"/>
      <c r="B893" s="14"/>
    </row>
    <row r="894" ht="15.75" customHeight="1">
      <c r="A894" s="14"/>
      <c r="B894" s="14"/>
    </row>
    <row r="895" ht="15.75" customHeight="1">
      <c r="A895" s="14"/>
      <c r="B895" s="14"/>
    </row>
    <row r="896" ht="15.75" customHeight="1">
      <c r="A896" s="14"/>
      <c r="B896" s="14"/>
    </row>
    <row r="897" ht="15.75" customHeight="1">
      <c r="A897" s="14"/>
      <c r="B897" s="14"/>
    </row>
    <row r="898" ht="15.75" customHeight="1">
      <c r="A898" s="14"/>
      <c r="B898" s="14"/>
    </row>
    <row r="899" ht="15.75" customHeight="1">
      <c r="A899" s="14"/>
      <c r="B899" s="14"/>
    </row>
    <row r="900" ht="15.75" customHeight="1">
      <c r="A900" s="14"/>
      <c r="B900" s="14"/>
    </row>
    <row r="901" ht="15.75" customHeight="1">
      <c r="A901" s="14"/>
      <c r="B901" s="14"/>
    </row>
    <row r="902" ht="15.75" customHeight="1">
      <c r="A902" s="14"/>
      <c r="B902" s="14"/>
    </row>
    <row r="903" ht="15.75" customHeight="1">
      <c r="A903" s="14"/>
      <c r="B903" s="14"/>
    </row>
    <row r="904" ht="15.75" customHeight="1">
      <c r="A904" s="14"/>
      <c r="B904" s="14"/>
    </row>
    <row r="905" ht="15.75" customHeight="1">
      <c r="A905" s="14"/>
      <c r="B905" s="14"/>
    </row>
    <row r="906" ht="15.75" customHeight="1">
      <c r="A906" s="14"/>
      <c r="B906" s="14"/>
    </row>
    <row r="907" ht="15.75" customHeight="1">
      <c r="A907" s="14"/>
      <c r="B907" s="14"/>
    </row>
    <row r="908" ht="15.75" customHeight="1">
      <c r="A908" s="14"/>
      <c r="B908" s="14"/>
    </row>
    <row r="909" ht="15.75" customHeight="1">
      <c r="A909" s="14"/>
      <c r="B909" s="14"/>
    </row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