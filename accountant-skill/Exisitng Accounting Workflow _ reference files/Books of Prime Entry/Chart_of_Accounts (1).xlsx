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" sheetId="1" r:id="rId4"/>
    <sheet state="visible" name="Cost Centers" sheetId="2" r:id="rId5"/>
  </sheets>
  <definedNames/>
  <calcPr/>
  <extLst>
    <ext uri="GoogleSheetsCustomDataVersion2">
      <go:sheetsCustomData xmlns:go="http://customooxmlschemas.google.com/" r:id="rId6" roundtripDataChecksum="c+/183yIwy3w2oshXUspL8p8klS3Dgpkv9d5027032I="/>
    </ext>
  </extLst>
</workbook>
</file>

<file path=xl/sharedStrings.xml><?xml version="1.0" encoding="utf-8"?>
<sst xmlns="http://schemas.openxmlformats.org/spreadsheetml/2006/main" count="324" uniqueCount="207">
  <si>
    <t>Category</t>
  </si>
  <si>
    <t>Example</t>
  </si>
  <si>
    <t>Legal &amp; Registration</t>
  </si>
  <si>
    <t>Company incorporation, license fees, permits</t>
  </si>
  <si>
    <t>Professional Services</t>
  </si>
  <si>
    <t>Consultant, lawyer, auditor, market research</t>
  </si>
  <si>
    <t>Office Setup</t>
  </si>
  <si>
    <t>Rent before operation, recruitment cost</t>
  </si>
  <si>
    <t>Marketing Setup</t>
  </si>
  <si>
    <t>Pre-opening promotions, logo, signage design</t>
  </si>
  <si>
    <t>Staff Training</t>
  </si>
  <si>
    <t>Before actual production begins</t>
  </si>
  <si>
    <t>Factory Buildings</t>
  </si>
  <si>
    <t>Office Buildings</t>
  </si>
  <si>
    <t>Warehouses</t>
  </si>
  <si>
    <t>Showrooms</t>
  </si>
  <si>
    <t>Storage Facilities</t>
  </si>
  <si>
    <t>Building Improvements &amp; Renovations</t>
  </si>
  <si>
    <t>Charts of Accounts</t>
  </si>
  <si>
    <t>Subcategory</t>
  </si>
  <si>
    <t>Account Number</t>
  </si>
  <si>
    <t>Asset</t>
  </si>
  <si>
    <t>Current Assets</t>
  </si>
  <si>
    <t>10000-14999</t>
  </si>
  <si>
    <t>Non-Current Assets</t>
  </si>
  <si>
    <t>15000-19999</t>
  </si>
  <si>
    <t>Liabilities</t>
  </si>
  <si>
    <t>Current Liabilities</t>
  </si>
  <si>
    <t>20000-24999</t>
  </si>
  <si>
    <t>Non-Current Liabilities</t>
  </si>
  <si>
    <t>25000-29999</t>
  </si>
  <si>
    <t>Equity</t>
  </si>
  <si>
    <t>30000-39999</t>
  </si>
  <si>
    <t>Revenue</t>
  </si>
  <si>
    <t>40000-49999</t>
  </si>
  <si>
    <t>Cost of Goods Sold</t>
  </si>
  <si>
    <t>Proudction Direct Cost, Overhead Cost</t>
  </si>
  <si>
    <t>50000-59999</t>
  </si>
  <si>
    <t>SG&amp;A</t>
  </si>
  <si>
    <t>60000-69999</t>
  </si>
  <si>
    <t>Other Income</t>
  </si>
  <si>
    <t>Gain or losses</t>
  </si>
  <si>
    <t>70000-79999</t>
  </si>
  <si>
    <t>Other Expenses</t>
  </si>
  <si>
    <t>80000-89999</t>
  </si>
  <si>
    <t>Sub-Category</t>
  </si>
  <si>
    <t>Accounts</t>
  </si>
  <si>
    <t>Initial Balance</t>
  </si>
  <si>
    <t>Description</t>
  </si>
  <si>
    <t>Cash</t>
  </si>
  <si>
    <t>Cash in hand</t>
  </si>
  <si>
    <t>Cash on hand</t>
  </si>
  <si>
    <t>Cash at Bank</t>
  </si>
  <si>
    <t>Cash at bank</t>
  </si>
  <si>
    <t>Account Receivable</t>
  </si>
  <si>
    <t>Accounts Receivable</t>
  </si>
  <si>
    <t>Money owed by customers</t>
  </si>
  <si>
    <t>Inventory</t>
  </si>
  <si>
    <t>Inventory - Raw Material</t>
  </si>
  <si>
    <t>Ingredients like sugar, water, carbonation, flavors, and preservatives.</t>
  </si>
  <si>
    <t>Transaction Type</t>
  </si>
  <si>
    <t>Inventory - Packaging</t>
  </si>
  <si>
    <t>Bottles, labels, caps, cartons.</t>
  </si>
  <si>
    <t>Paid by Cash</t>
  </si>
  <si>
    <t>Inventory - Finished Goods</t>
  </si>
  <si>
    <t>Completed, ready-to-sell soft drinks, Note cost per box is marked at  6892 MMK , totaling 5,000 boxes</t>
  </si>
  <si>
    <t>Bank Account</t>
  </si>
  <si>
    <t>Paid by Bank Account</t>
  </si>
  <si>
    <t>Contra-Asset</t>
  </si>
  <si>
    <t>Inventory Adjustments</t>
  </si>
  <si>
    <t>Used for recording wastage, spoilage, or discrepancies.</t>
  </si>
  <si>
    <t>Credit</t>
  </si>
  <si>
    <t>Paid by Credit</t>
  </si>
  <si>
    <t>Work-in-Progress</t>
  </si>
  <si>
    <t>Drinking Water WIP bottles before filling</t>
  </si>
  <si>
    <t>Advanced Payments</t>
  </si>
  <si>
    <t>Advanced Payment to Supplier, Employees, expenses, insurance coverage</t>
  </si>
  <si>
    <t>Property,Plant and Equipment</t>
  </si>
  <si>
    <t xml:space="preserve">Land </t>
  </si>
  <si>
    <t>Land</t>
  </si>
  <si>
    <t>Buildings &amp; Structures</t>
  </si>
  <si>
    <t>Cost of Factory Buildings, Office Buildings, Warehouses, Showrooms, Storage Facilities, Building Improvements &amp; Renovations</t>
  </si>
  <si>
    <t>Authorized Person</t>
  </si>
  <si>
    <t>Position</t>
  </si>
  <si>
    <t>Machinery &amp; Equipment</t>
  </si>
  <si>
    <t>Machinery used in production</t>
  </si>
  <si>
    <t>U Sai Yu Win</t>
  </si>
  <si>
    <t>Co-founder</t>
  </si>
  <si>
    <t>Office &amp; Facility Equipment</t>
  </si>
  <si>
    <t>U Min Yu Win</t>
  </si>
  <si>
    <t>Electrical &amp; Utility Systems</t>
  </si>
  <si>
    <t>U Hmu Hein</t>
  </si>
  <si>
    <t>Investor</t>
  </si>
  <si>
    <t>Construction in Progress</t>
  </si>
  <si>
    <t>Tracks construction costs until completion</t>
  </si>
  <si>
    <t>Motor Vehicles</t>
  </si>
  <si>
    <t>Automobiles, motor cycles</t>
  </si>
  <si>
    <t>Accumulated Depreciation - Buildings &amp; Structures</t>
  </si>
  <si>
    <t>Reduces the book value of buildings over time</t>
  </si>
  <si>
    <t>Accumulated Depreciation - Machinery &amp; Equipment</t>
  </si>
  <si>
    <t>Reduces the book value of machinery over time</t>
  </si>
  <si>
    <t>Accumulated Depreciation - Office &amp; Facility Equipment</t>
  </si>
  <si>
    <t>Reduces the book value of office &amp; facility equipment over time</t>
  </si>
  <si>
    <t>Accumulated Depreciation - Electrical &amp; Utility Systems</t>
  </si>
  <si>
    <t>Reduces the book value of electrical &amp; utility system over time</t>
  </si>
  <si>
    <t>Accumulated Depreciation - Motor Vehicles</t>
  </si>
  <si>
    <t>Reduces the book value of motor over time</t>
  </si>
  <si>
    <t>Deferred Preliminary Expenses</t>
  </si>
  <si>
    <t>Legal &amp; Registration,Professional Services,Office Setup,Marketing Setup,Staff Training before the commencement of the business</t>
  </si>
  <si>
    <t>Liability</t>
  </si>
  <si>
    <t>Account Payables</t>
  </si>
  <si>
    <t>Accounts Payable</t>
  </si>
  <si>
    <t>Money owed to suppliers</t>
  </si>
  <si>
    <t>Short-term loans</t>
  </si>
  <si>
    <t>Short-term Loans</t>
  </si>
  <si>
    <t>Short-term business loans</t>
  </si>
  <si>
    <t>Accured Expenses</t>
  </si>
  <si>
    <t>Utility Bills</t>
  </si>
  <si>
    <t>Expenses incurred but not yet paid (utilities, rent, etc.)</t>
  </si>
  <si>
    <t>Provision for Managment Compensation</t>
  </si>
  <si>
    <t xml:space="preserve">Provision Management Performance bonsues / annual incentives </t>
  </si>
  <si>
    <t>Wages Payable</t>
  </si>
  <si>
    <t>Salaries owed to employees</t>
  </si>
  <si>
    <t>Bank Loan</t>
  </si>
  <si>
    <t>Long-term bank loan</t>
  </si>
  <si>
    <t>Paid-up Capital</t>
  </si>
  <si>
    <t>Capital Contributed by shareholders</t>
  </si>
  <si>
    <t>Retained Earnings</t>
  </si>
  <si>
    <t>Surplus Earnings or loss</t>
  </si>
  <si>
    <t>Sales Revenue</t>
  </si>
  <si>
    <t>Revenue from sales of soft drinks and drinking water</t>
  </si>
  <si>
    <t>Cost of Production</t>
  </si>
  <si>
    <t xml:space="preserve">Opening Inventory - Raw Materials </t>
  </si>
  <si>
    <t>Opening Inventory in cost of goods sold</t>
  </si>
  <si>
    <t xml:space="preserve">Opening Inventory - Packaging </t>
  </si>
  <si>
    <t>Opening Inventory - Finished Goods</t>
  </si>
  <si>
    <t>Purchases Raw Materials</t>
  </si>
  <si>
    <t>Raw Material Purchases</t>
  </si>
  <si>
    <t>Purchases Packaging</t>
  </si>
  <si>
    <t>Packaging Purchases</t>
  </si>
  <si>
    <t>Closing Inventory - Raw Materials</t>
  </si>
  <si>
    <t>Closing Inventory in cost of goods sold</t>
  </si>
  <si>
    <t>Closing Inventory - Packaging</t>
  </si>
  <si>
    <t>Closing Inventory - Finished Goods</t>
  </si>
  <si>
    <t>Production Overhead Costs</t>
  </si>
  <si>
    <t>Direct Labor Wages</t>
  </si>
  <si>
    <t>Factory worker wages including meal allowance</t>
  </si>
  <si>
    <t>Machine Maintenance &amp; Repair Expense</t>
  </si>
  <si>
    <t>Costs for maintaining and repairing production machinery</t>
  </si>
  <si>
    <t>Production Utilities (Electricity &amp; Water)</t>
  </si>
  <si>
    <t>Meter and water bill for Production</t>
  </si>
  <si>
    <t>Depreciation Expenses - COGS</t>
  </si>
  <si>
    <t>Depreciation of Machinery &amp; equipment used in production</t>
  </si>
  <si>
    <t>Expense</t>
  </si>
  <si>
    <t>Marketing &amp; Advertising Expense</t>
  </si>
  <si>
    <t>Expenses related to marketing and advertising</t>
  </si>
  <si>
    <t>Office Salaries</t>
  </si>
  <si>
    <t>Office employee wages</t>
  </si>
  <si>
    <t>Meal Allowance Expense</t>
  </si>
  <si>
    <t>Meal Allowance</t>
  </si>
  <si>
    <t>Utilities (Electricity &amp; Water)</t>
  </si>
  <si>
    <t>Electricity and water expenses</t>
  </si>
  <si>
    <t>Transportation &amp; Distribution Expense</t>
  </si>
  <si>
    <t>Delivery, fuel, and transport costs</t>
  </si>
  <si>
    <t>Factory Buildings &amp; Office Supplies and Maintenance</t>
  </si>
  <si>
    <t>Supplies, repair and maintenance costs of factory buildings and office as well as insurance expense</t>
  </si>
  <si>
    <t>Depreciation Expenses - SG&amp;A</t>
  </si>
  <si>
    <t>Depreciation of Buildings and structures unrelated to production</t>
  </si>
  <si>
    <t>Inventory Write-off</t>
  </si>
  <si>
    <t>For damaged/obsolete inventory</t>
  </si>
  <si>
    <t>Donation or other charitable activities</t>
  </si>
  <si>
    <t>Key Managment Personnel and Director Compensation</t>
  </si>
  <si>
    <t xml:space="preserve">Management Performance bonsues / annual incentives </t>
  </si>
  <si>
    <t>Interest Income</t>
  </si>
  <si>
    <t>Income from Bank Interest</t>
  </si>
  <si>
    <t>Tax Expenses</t>
  </si>
  <si>
    <t>Taxes paid on business operations and revenue</t>
  </si>
  <si>
    <t>Inventory Loss due to unexpected events</t>
  </si>
  <si>
    <t xml:space="preserve">Inventory loss due to natural disasters. </t>
  </si>
  <si>
    <t>PC Code</t>
  </si>
  <si>
    <t>Profit Center Name</t>
  </si>
  <si>
    <t>PC01</t>
  </si>
  <si>
    <t>Soft Drink</t>
  </si>
  <si>
    <t>PC02</t>
  </si>
  <si>
    <t>Drinking Water</t>
  </si>
  <si>
    <t>PC99</t>
  </si>
  <si>
    <t>Shared / Corporate</t>
  </si>
  <si>
    <t>CC Code</t>
  </si>
  <si>
    <t>Cost Center Name</t>
  </si>
  <si>
    <t>CC101</t>
  </si>
  <si>
    <t>Soft Drink Production</t>
  </si>
  <si>
    <t>CC102</t>
  </si>
  <si>
    <t>Drinking Water Production</t>
  </si>
  <si>
    <t>CC103</t>
  </si>
  <si>
    <t>Water Treatment</t>
  </si>
  <si>
    <t>CC104</t>
  </si>
  <si>
    <t>Preform Production</t>
  </si>
  <si>
    <t>CC105</t>
  </si>
  <si>
    <t>Filling &amp; Packaging</t>
  </si>
  <si>
    <t>CC201</t>
  </si>
  <si>
    <t>Factory Utilities</t>
  </si>
  <si>
    <t>CC202</t>
  </si>
  <si>
    <t>Maintenance</t>
  </si>
  <si>
    <t>CC301</t>
  </si>
  <si>
    <t>Sales &amp; Marketing</t>
  </si>
  <si>
    <t>CC302</t>
  </si>
  <si>
    <t>Administration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</si>
</sst>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5.0"/>
      <color rgb="FF0E2841"/>
      <name val="Cambria"/>
    </font>
    <font>
      <sz val="11.0"/>
      <color rgb="FF000000"/>
      <name val="Cambria"/>
    </font>
    <font>
      <b/>
      <sz val="12.0"/>
      <color rgb="FFFFFFFF"/>
      <name val="Cambria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6">
    <border/>
    <border>
      <bottom style="thin">
        <color rgb="FF156082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  <xf borderId="0" fillId="0" fontId="2" numFmtId="4" xfId="0" applyFont="1" applyNumberFormat="1"/>
    <xf borderId="1" fillId="0" fontId="3" numFmtId="0" xfId="0" applyBorder="1" applyFont="1"/>
    <xf borderId="0" fillId="0" fontId="4" numFmtId="0" xfId="0" applyFont="1"/>
    <xf borderId="0" fillId="0" fontId="2" numFmtId="0" xfId="0" applyFont="1"/>
    <xf borderId="0" fillId="0" fontId="4" numFmtId="0" xfId="0" applyAlignment="1" applyFont="1">
      <alignment horizontal="right"/>
    </xf>
    <xf borderId="0" fillId="0" fontId="4" numFmtId="4" xfId="0" applyFont="1" applyNumberFormat="1"/>
    <xf borderId="0" fillId="0" fontId="2" numFmtId="3" xfId="0" applyFont="1" applyNumberFormat="1"/>
    <xf borderId="2" fillId="2" fontId="5" numFmtId="0" xfId="0" applyBorder="1" applyFill="1" applyFont="1"/>
    <xf borderId="3" fillId="3" fontId="4" numFmtId="0" xfId="0" applyBorder="1" applyFill="1" applyFont="1"/>
    <xf borderId="0" fillId="0" fontId="2" numFmtId="4" xfId="0" applyFont="1" applyNumberFormat="1"/>
    <xf borderId="4" fillId="3" fontId="4" numFmtId="0" xfId="0" applyBorder="1" applyFont="1"/>
    <xf borderId="5" fillId="3" fontId="4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4" fillId="6" fontId="6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3" pivot="0" name="COA-style">
      <tableStyleElement dxfId="1" type="headerRow"/>
      <tableStyleElement dxfId="2" type="firstRowStripe"/>
      <tableStyleElement dxfId="3" type="secondRowStripe"/>
    </tableStyle>
    <tableStyle count="3" pivot="0" name="COA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F55:H65" displayName="Table_1" name="Table_1" id="1">
  <tableColumns count="3">
    <tableColumn name="Category" id="1"/>
    <tableColumn name="Subcategory" id="2"/>
    <tableColumn name="Account Number" id="3"/>
  </tableColumns>
  <tableStyleInfo name="COA-style" showColumnStripes="0" showFirstColumn="1" showLastColumn="1" showRowStripes="1"/>
</table>
</file>

<file path=xl/tables/table2.xml><?xml version="1.0" encoding="utf-8"?>
<table xmlns="http://schemas.openxmlformats.org/spreadsheetml/2006/main" ref="F70:K132" displayName="Table_2" name="Table_2" id="2">
  <tableColumns count="6">
    <tableColumn name="Category" id="1"/>
    <tableColumn name="Sub-Category" id="2"/>
    <tableColumn name="Account Number" id="3"/>
    <tableColumn name="Accounts" id="4"/>
    <tableColumn name="Initial Balance" id="5"/>
    <tableColumn name="Description" id="6"/>
  </tableColumns>
  <tableStyleInfo name="CO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41.63"/>
    <col customWidth="1" min="4" max="4" width="15.0"/>
    <col customWidth="1" min="5" max="5" width="47.0"/>
    <col customWidth="1" min="6" max="6" width="13.88"/>
    <col customWidth="1" min="7" max="7" width="105.75"/>
    <col customWidth="1" min="9" max="9" width="28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R6" s="1" t="s">
        <v>0</v>
      </c>
      <c r="S6" s="1" t="s">
        <v>1</v>
      </c>
    </row>
    <row r="7" ht="15.75" customHeight="1">
      <c r="R7" s="2" t="s">
        <v>2</v>
      </c>
      <c r="S7" s="2" t="s">
        <v>3</v>
      </c>
    </row>
    <row r="8" ht="15.75" customHeight="1">
      <c r="R8" s="2" t="s">
        <v>4</v>
      </c>
      <c r="S8" s="2" t="s">
        <v>5</v>
      </c>
    </row>
    <row r="9" ht="15.75" customHeight="1">
      <c r="R9" s="2" t="s">
        <v>6</v>
      </c>
      <c r="S9" s="2" t="s">
        <v>7</v>
      </c>
    </row>
    <row r="10" ht="15.75" customHeight="1">
      <c r="R10" s="2" t="s">
        <v>8</v>
      </c>
      <c r="S10" s="2" t="s">
        <v>9</v>
      </c>
    </row>
    <row r="11" ht="15.75" customHeight="1">
      <c r="R11" s="2" t="s">
        <v>10</v>
      </c>
      <c r="S11" s="2" t="s">
        <v>11</v>
      </c>
    </row>
    <row r="12" ht="15.75" customHeight="1"/>
    <row r="13" ht="15.75" customHeight="1"/>
    <row r="14" ht="15.75" customHeight="1"/>
    <row r="15" ht="15.75" customHeight="1"/>
    <row r="16" ht="15.75" customHeight="1">
      <c r="P16" s="2" t="str">
        <f>_xludf.TEXTJOIN(",",,R7,R8,R9,R10,R11)</f>
        <v>#NAME?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I24" s="3">
        <f>SUM(J74:J84)</f>
        <v>473566123.4</v>
      </c>
    </row>
    <row r="25" ht="15.75" customHeight="1">
      <c r="I25" s="4">
        <f>SUM(J87:J90)</f>
        <v>34035300</v>
      </c>
    </row>
    <row r="26" ht="15.75" customHeight="1">
      <c r="I26" s="3">
        <f>I24-I25</f>
        <v>439530823.4</v>
      </c>
    </row>
    <row r="27" ht="15.75" customHeight="1"/>
    <row r="28" ht="15.75" customHeight="1"/>
    <row r="29" ht="15.75" customHeight="1"/>
    <row r="30" ht="15.75" customHeight="1"/>
    <row r="31" ht="15.75" customHeight="1">
      <c r="K31" s="2" t="s">
        <v>12</v>
      </c>
    </row>
    <row r="32" ht="15.75" customHeight="1">
      <c r="K32" s="2" t="s">
        <v>13</v>
      </c>
    </row>
    <row r="33" ht="15.75" customHeight="1">
      <c r="K33" s="2" t="s">
        <v>14</v>
      </c>
    </row>
    <row r="34" ht="15.75" customHeight="1">
      <c r="K34" s="2" t="s">
        <v>15</v>
      </c>
    </row>
    <row r="35" ht="15.75" customHeight="1">
      <c r="K35" s="2" t="s">
        <v>16</v>
      </c>
    </row>
    <row r="36" ht="15.75" customHeight="1">
      <c r="K36" s="2"/>
    </row>
    <row r="37" ht="15.75" customHeight="1">
      <c r="K37" s="2" t="s">
        <v>17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F53" s="5" t="s">
        <v>18</v>
      </c>
      <c r="G53" s="5"/>
      <c r="H53" s="5"/>
      <c r="I53" s="6"/>
      <c r="J53" s="6"/>
      <c r="K53" s="6"/>
    </row>
    <row r="54" ht="15.75" customHeight="1">
      <c r="F54" s="6"/>
      <c r="G54" s="6"/>
      <c r="H54" s="6"/>
      <c r="I54" s="6"/>
      <c r="J54" s="6"/>
      <c r="K54" s="6"/>
    </row>
    <row r="55" ht="15.75" customHeight="1">
      <c r="F55" s="7" t="s">
        <v>0</v>
      </c>
      <c r="G55" s="7" t="s">
        <v>19</v>
      </c>
      <c r="H55" s="7" t="s">
        <v>20</v>
      </c>
      <c r="I55" s="6"/>
      <c r="J55" s="6"/>
      <c r="K55" s="6"/>
    </row>
    <row r="56" ht="15.75" customHeight="1">
      <c r="F56" s="7" t="s">
        <v>21</v>
      </c>
      <c r="G56" s="7" t="s">
        <v>22</v>
      </c>
      <c r="H56" s="7" t="s">
        <v>23</v>
      </c>
      <c r="I56" s="6"/>
      <c r="J56" s="6"/>
      <c r="K56" s="6"/>
    </row>
    <row r="57" ht="15.75" customHeight="1">
      <c r="F57" s="7" t="s">
        <v>21</v>
      </c>
      <c r="G57" s="7" t="s">
        <v>24</v>
      </c>
      <c r="H57" s="7" t="s">
        <v>25</v>
      </c>
      <c r="I57" s="6"/>
      <c r="J57" s="6"/>
      <c r="K57" s="6"/>
    </row>
    <row r="58" ht="15.75" customHeight="1">
      <c r="F58" s="7" t="s">
        <v>26</v>
      </c>
      <c r="G58" s="7" t="s">
        <v>27</v>
      </c>
      <c r="H58" s="7" t="s">
        <v>28</v>
      </c>
      <c r="I58" s="6"/>
      <c r="J58" s="6"/>
      <c r="K58" s="6"/>
    </row>
    <row r="59" ht="15.75" customHeight="1">
      <c r="F59" s="7" t="s">
        <v>26</v>
      </c>
      <c r="G59" s="7" t="s">
        <v>29</v>
      </c>
      <c r="H59" s="7" t="s">
        <v>30</v>
      </c>
      <c r="I59" s="6"/>
      <c r="J59" s="6"/>
      <c r="K59" s="6"/>
    </row>
    <row r="60" ht="15.75" customHeight="1">
      <c r="F60" s="7" t="s">
        <v>31</v>
      </c>
      <c r="G60" s="7" t="s">
        <v>31</v>
      </c>
      <c r="H60" s="7" t="s">
        <v>32</v>
      </c>
      <c r="I60" s="6"/>
      <c r="J60" s="6"/>
      <c r="K60" s="6"/>
    </row>
    <row r="61" ht="15.75" customHeight="1">
      <c r="F61" s="7" t="s">
        <v>33</v>
      </c>
      <c r="G61" s="7" t="s">
        <v>33</v>
      </c>
      <c r="H61" s="7" t="s">
        <v>34</v>
      </c>
      <c r="I61" s="6"/>
      <c r="J61" s="8"/>
      <c r="K61" s="6"/>
    </row>
    <row r="62" ht="15.75" customHeight="1">
      <c r="F62" s="7" t="s">
        <v>35</v>
      </c>
      <c r="G62" s="7" t="s">
        <v>36</v>
      </c>
      <c r="H62" s="7" t="s">
        <v>37</v>
      </c>
      <c r="I62" s="6"/>
      <c r="J62" s="6"/>
      <c r="K62" s="6"/>
    </row>
    <row r="63" ht="15.75" customHeight="1">
      <c r="F63" s="7" t="s">
        <v>38</v>
      </c>
      <c r="G63" s="7" t="s">
        <v>38</v>
      </c>
      <c r="H63" s="7" t="s">
        <v>39</v>
      </c>
      <c r="I63" s="6"/>
      <c r="J63" s="9"/>
      <c r="K63" s="6"/>
    </row>
    <row r="64" ht="15.75" customHeight="1">
      <c r="F64" s="7" t="s">
        <v>40</v>
      </c>
      <c r="G64" s="7" t="s">
        <v>41</v>
      </c>
      <c r="H64" s="7" t="s">
        <v>42</v>
      </c>
      <c r="I64" s="6"/>
      <c r="J64" s="6"/>
      <c r="K64" s="6"/>
    </row>
    <row r="65" ht="15.75" customHeight="1">
      <c r="F65" s="7" t="s">
        <v>43</v>
      </c>
      <c r="G65" s="7" t="s">
        <v>43</v>
      </c>
      <c r="H65" s="7" t="s">
        <v>44</v>
      </c>
      <c r="I65" s="6"/>
      <c r="J65" s="6"/>
      <c r="K65" s="6"/>
    </row>
    <row r="66" ht="15.75" customHeight="1">
      <c r="F66" s="6"/>
      <c r="G66" s="6"/>
      <c r="H66" s="6"/>
      <c r="I66" s="6"/>
      <c r="J66" s="6"/>
      <c r="K66" s="6"/>
    </row>
    <row r="67" ht="15.75" customHeight="1">
      <c r="F67" s="6"/>
      <c r="G67" s="6"/>
      <c r="H67" s="6"/>
      <c r="I67" s="6"/>
      <c r="J67" s="9"/>
      <c r="K67" s="6"/>
    </row>
    <row r="68" ht="15.75" customHeight="1">
      <c r="F68" s="6"/>
      <c r="G68" s="6"/>
      <c r="H68" s="6"/>
      <c r="I68" s="8"/>
      <c r="J68" s="6"/>
      <c r="K68" s="6"/>
    </row>
    <row r="69" ht="15.75" customHeight="1">
      <c r="F69" s="6"/>
      <c r="G69" s="6"/>
      <c r="H69" s="6"/>
      <c r="I69" s="6"/>
      <c r="J69" s="6"/>
      <c r="K69" s="6"/>
    </row>
    <row r="70" ht="15.75" customHeight="1">
      <c r="F70" s="7" t="s">
        <v>0</v>
      </c>
      <c r="G70" s="7" t="s">
        <v>45</v>
      </c>
      <c r="H70" s="7" t="s">
        <v>20</v>
      </c>
      <c r="I70" s="7" t="s">
        <v>46</v>
      </c>
      <c r="J70" s="7" t="s">
        <v>47</v>
      </c>
      <c r="K70" s="7" t="s">
        <v>48</v>
      </c>
    </row>
    <row r="71" ht="15.75" customHeight="1">
      <c r="F71" s="7" t="s">
        <v>21</v>
      </c>
      <c r="G71" s="7" t="s">
        <v>49</v>
      </c>
      <c r="H71" s="7">
        <v>10000.0</v>
      </c>
      <c r="I71" s="7" t="s">
        <v>50</v>
      </c>
      <c r="J71" s="7">
        <v>0.0</v>
      </c>
      <c r="K71" s="7" t="s">
        <v>51</v>
      </c>
    </row>
    <row r="72" ht="15.75" customHeight="1">
      <c r="F72" s="7" t="s">
        <v>21</v>
      </c>
      <c r="G72" s="7" t="s">
        <v>49</v>
      </c>
      <c r="H72" s="7">
        <v>10100.0</v>
      </c>
      <c r="I72" s="7" t="s">
        <v>52</v>
      </c>
      <c r="J72" s="7">
        <v>0.0</v>
      </c>
      <c r="K72" s="7" t="s">
        <v>53</v>
      </c>
    </row>
    <row r="73" ht="15.75" customHeight="1">
      <c r="F73" s="7" t="s">
        <v>21</v>
      </c>
      <c r="G73" s="7" t="s">
        <v>54</v>
      </c>
      <c r="H73" s="7">
        <v>11000.0</v>
      </c>
      <c r="I73" s="7" t="s">
        <v>55</v>
      </c>
      <c r="J73" s="7">
        <v>0.0</v>
      </c>
      <c r="K73" s="7" t="s">
        <v>56</v>
      </c>
    </row>
    <row r="74" ht="15.75" customHeight="1">
      <c r="F74" s="7" t="s">
        <v>21</v>
      </c>
      <c r="G74" s="7" t="s">
        <v>57</v>
      </c>
      <c r="H74" s="7">
        <v>12000.0</v>
      </c>
      <c r="I74" s="7" t="s">
        <v>58</v>
      </c>
      <c r="J74" s="10">
        <v>5605177.44</v>
      </c>
      <c r="K74" s="7" t="s">
        <v>59</v>
      </c>
      <c r="O74" s="11" t="s">
        <v>60</v>
      </c>
      <c r="P74" s="11" t="s">
        <v>48</v>
      </c>
    </row>
    <row r="75" ht="15.75" customHeight="1">
      <c r="F75" s="7" t="s">
        <v>21</v>
      </c>
      <c r="G75" s="7" t="s">
        <v>57</v>
      </c>
      <c r="H75" s="7">
        <v>12100.0</v>
      </c>
      <c r="I75" s="7" t="s">
        <v>61</v>
      </c>
      <c r="J75" s="10">
        <v>7899300.0</v>
      </c>
      <c r="K75" s="7" t="s">
        <v>62</v>
      </c>
      <c r="O75" s="12" t="s">
        <v>49</v>
      </c>
      <c r="P75" s="12" t="s">
        <v>63</v>
      </c>
    </row>
    <row r="76" ht="15.75" customHeight="1">
      <c r="F76" s="7" t="s">
        <v>21</v>
      </c>
      <c r="G76" s="7" t="s">
        <v>57</v>
      </c>
      <c r="H76" s="7">
        <v>12200.0</v>
      </c>
      <c r="I76" s="7" t="s">
        <v>64</v>
      </c>
      <c r="J76" s="13">
        <v>3.4461646E7</v>
      </c>
      <c r="K76" s="7" t="s">
        <v>65</v>
      </c>
      <c r="O76" s="14" t="s">
        <v>66</v>
      </c>
      <c r="P76" s="14" t="s">
        <v>67</v>
      </c>
    </row>
    <row r="77" ht="15.75" customHeight="1">
      <c r="F77" s="7" t="s">
        <v>68</v>
      </c>
      <c r="G77" s="7" t="s">
        <v>57</v>
      </c>
      <c r="H77" s="7">
        <v>12300.0</v>
      </c>
      <c r="I77" s="7" t="s">
        <v>69</v>
      </c>
      <c r="J77" s="7">
        <v>0.0</v>
      </c>
      <c r="K77" s="7" t="s">
        <v>70</v>
      </c>
      <c r="O77" s="15" t="s">
        <v>71</v>
      </c>
      <c r="P77" s="15" t="s">
        <v>72</v>
      </c>
    </row>
    <row r="78" ht="15.75" customHeight="1">
      <c r="F78" s="7" t="s">
        <v>21</v>
      </c>
      <c r="G78" s="7" t="s">
        <v>57</v>
      </c>
      <c r="H78" s="7">
        <v>12400.0</v>
      </c>
      <c r="I78" s="7" t="s">
        <v>73</v>
      </c>
      <c r="J78" s="7">
        <v>0.0</v>
      </c>
      <c r="K78" s="7" t="s">
        <v>74</v>
      </c>
      <c r="O78" s="6"/>
      <c r="P78" s="6"/>
    </row>
    <row r="79" ht="15.75" customHeight="1">
      <c r="F79" s="7" t="s">
        <v>21</v>
      </c>
      <c r="G79" s="7" t="s">
        <v>75</v>
      </c>
      <c r="H79" s="7">
        <v>13000.0</v>
      </c>
      <c r="I79" s="7" t="s">
        <v>75</v>
      </c>
      <c r="J79" s="7">
        <v>0.0</v>
      </c>
      <c r="K79" s="7" t="s">
        <v>76</v>
      </c>
      <c r="O79" s="6"/>
      <c r="P79" s="6"/>
    </row>
    <row r="80" ht="15.75" customHeight="1">
      <c r="F80" s="7" t="s">
        <v>21</v>
      </c>
      <c r="G80" s="7" t="s">
        <v>77</v>
      </c>
      <c r="H80" s="7">
        <v>15000.0</v>
      </c>
      <c r="I80" s="7" t="s">
        <v>78</v>
      </c>
      <c r="J80" s="10">
        <v>2.19E8</v>
      </c>
      <c r="K80" s="7" t="s">
        <v>79</v>
      </c>
      <c r="O80" s="6"/>
      <c r="P80" s="6"/>
    </row>
    <row r="81" ht="15.75" customHeight="1">
      <c r="F81" s="7" t="s">
        <v>21</v>
      </c>
      <c r="G81" s="7" t="s">
        <v>77</v>
      </c>
      <c r="H81" s="7">
        <v>15100.0</v>
      </c>
      <c r="I81" s="7" t="s">
        <v>80</v>
      </c>
      <c r="J81" s="13">
        <v>1.33E8</v>
      </c>
      <c r="K81" s="7" t="s">
        <v>81</v>
      </c>
      <c r="O81" s="11" t="s">
        <v>82</v>
      </c>
      <c r="P81" s="11" t="s">
        <v>83</v>
      </c>
    </row>
    <row r="82" ht="15.75" customHeight="1">
      <c r="F82" s="7" t="s">
        <v>21</v>
      </c>
      <c r="G82" s="7" t="s">
        <v>77</v>
      </c>
      <c r="H82" s="7">
        <v>15200.0</v>
      </c>
      <c r="I82" s="7" t="s">
        <v>84</v>
      </c>
      <c r="J82" s="13">
        <v>6.64E7</v>
      </c>
      <c r="K82" s="7" t="s">
        <v>85</v>
      </c>
      <c r="O82" s="12" t="s">
        <v>86</v>
      </c>
      <c r="P82" s="12" t="s">
        <v>87</v>
      </c>
    </row>
    <row r="83" ht="15.75" customHeight="1">
      <c r="B83" s="6"/>
      <c r="C83" s="6"/>
      <c r="D83" s="6"/>
      <c r="E83" s="6"/>
      <c r="F83" s="7" t="s">
        <v>21</v>
      </c>
      <c r="G83" s="7" t="s">
        <v>77</v>
      </c>
      <c r="H83" s="7">
        <v>15300.0</v>
      </c>
      <c r="I83" s="7" t="s">
        <v>88</v>
      </c>
      <c r="J83" s="7">
        <v>0.0</v>
      </c>
      <c r="K83" s="7"/>
      <c r="O83" s="14" t="s">
        <v>89</v>
      </c>
      <c r="P83" s="14" t="s">
        <v>87</v>
      </c>
    </row>
    <row r="84" ht="15.75" customHeight="1">
      <c r="B84" s="6"/>
      <c r="C84" s="6"/>
      <c r="D84" s="6"/>
      <c r="E84" s="6"/>
      <c r="F84" s="7" t="s">
        <v>21</v>
      </c>
      <c r="G84" s="7" t="s">
        <v>77</v>
      </c>
      <c r="H84" s="7">
        <v>15400.0</v>
      </c>
      <c r="I84" s="7" t="s">
        <v>90</v>
      </c>
      <c r="J84" s="13">
        <v>7200000.0</v>
      </c>
      <c r="K84" s="7"/>
      <c r="O84" s="15" t="s">
        <v>91</v>
      </c>
      <c r="P84" s="15" t="s">
        <v>92</v>
      </c>
    </row>
    <row r="85" ht="15.75" customHeight="1">
      <c r="B85" s="6"/>
      <c r="C85" s="6"/>
      <c r="D85" s="6"/>
      <c r="E85" s="6"/>
      <c r="F85" s="7" t="s">
        <v>21</v>
      </c>
      <c r="G85" s="7" t="s">
        <v>77</v>
      </c>
      <c r="H85" s="7">
        <v>15500.0</v>
      </c>
      <c r="I85" s="7" t="s">
        <v>93</v>
      </c>
      <c r="J85" s="7">
        <v>0.0</v>
      </c>
      <c r="K85" s="7" t="s">
        <v>94</v>
      </c>
    </row>
    <row r="86" ht="15.75" customHeight="1">
      <c r="B86" s="6"/>
      <c r="C86" s="6"/>
      <c r="D86" s="6"/>
      <c r="E86" s="6"/>
      <c r="F86" s="7" t="s">
        <v>21</v>
      </c>
      <c r="G86" s="7" t="s">
        <v>77</v>
      </c>
      <c r="H86" s="7">
        <v>15600.0</v>
      </c>
      <c r="I86" s="7" t="s">
        <v>95</v>
      </c>
      <c r="J86" s="13">
        <v>0.0</v>
      </c>
      <c r="K86" s="7" t="s">
        <v>96</v>
      </c>
    </row>
    <row r="87" ht="15.75" customHeight="1">
      <c r="D87" s="6"/>
      <c r="E87" s="6"/>
      <c r="F87" s="7" t="s">
        <v>68</v>
      </c>
      <c r="G87" s="7" t="s">
        <v>77</v>
      </c>
      <c r="H87" s="7">
        <v>15110.0</v>
      </c>
      <c r="I87" s="7" t="s">
        <v>97</v>
      </c>
      <c r="J87" s="13">
        <v>1.995E7</v>
      </c>
      <c r="K87" s="7" t="s">
        <v>98</v>
      </c>
    </row>
    <row r="88" ht="15.75" customHeight="1">
      <c r="D88" s="6"/>
      <c r="E88" s="6"/>
      <c r="F88" s="7" t="s">
        <v>68</v>
      </c>
      <c r="G88" s="7" t="s">
        <v>77</v>
      </c>
      <c r="H88" s="7">
        <v>15210.0</v>
      </c>
      <c r="I88" s="7" t="s">
        <v>99</v>
      </c>
      <c r="J88" s="13">
        <v>1.23753E7</v>
      </c>
      <c r="K88" s="7" t="s">
        <v>100</v>
      </c>
    </row>
    <row r="89" ht="15.75" customHeight="1">
      <c r="D89" s="6"/>
      <c r="E89" s="6"/>
      <c r="F89" s="7" t="s">
        <v>68</v>
      </c>
      <c r="G89" s="7" t="s">
        <v>77</v>
      </c>
      <c r="H89" s="7">
        <v>15310.0</v>
      </c>
      <c r="I89" s="7" t="s">
        <v>101</v>
      </c>
      <c r="J89" s="7">
        <v>0.0</v>
      </c>
      <c r="K89" s="7" t="s">
        <v>102</v>
      </c>
    </row>
    <row r="90" ht="15.75" customHeight="1">
      <c r="D90" s="6"/>
      <c r="E90" s="6"/>
      <c r="F90" s="7" t="s">
        <v>68</v>
      </c>
      <c r="G90" s="7" t="s">
        <v>77</v>
      </c>
      <c r="H90" s="7">
        <v>15410.0</v>
      </c>
      <c r="I90" s="7" t="s">
        <v>103</v>
      </c>
      <c r="J90" s="13">
        <v>1710000.0</v>
      </c>
      <c r="K90" s="7" t="s">
        <v>104</v>
      </c>
    </row>
    <row r="91" ht="15.75" customHeight="1">
      <c r="D91" s="6"/>
      <c r="E91" s="6"/>
      <c r="F91" s="7" t="s">
        <v>68</v>
      </c>
      <c r="G91" s="7" t="s">
        <v>77</v>
      </c>
      <c r="H91" s="7">
        <v>15510.0</v>
      </c>
      <c r="I91" s="7" t="s">
        <v>105</v>
      </c>
      <c r="J91" s="7">
        <v>0.0</v>
      </c>
      <c r="K91" s="7" t="s">
        <v>106</v>
      </c>
    </row>
    <row r="92" ht="15.75" customHeight="1">
      <c r="D92" s="6"/>
      <c r="E92" s="6"/>
      <c r="F92" s="7" t="s">
        <v>21</v>
      </c>
      <c r="G92" s="7" t="s">
        <v>107</v>
      </c>
      <c r="H92" s="7">
        <v>14000.0</v>
      </c>
      <c r="I92" s="7" t="s">
        <v>107</v>
      </c>
      <c r="J92" s="7">
        <v>0.0</v>
      </c>
      <c r="K92" s="7" t="s">
        <v>108</v>
      </c>
    </row>
    <row r="93" ht="15.75" customHeight="1">
      <c r="D93" s="6"/>
      <c r="E93" s="6"/>
      <c r="F93" s="7"/>
      <c r="G93" s="7"/>
      <c r="H93" s="7"/>
      <c r="I93" s="7"/>
      <c r="J93" s="7"/>
      <c r="K93" s="7"/>
    </row>
    <row r="94" ht="15.75" customHeight="1">
      <c r="D94" s="6"/>
      <c r="E94" s="6"/>
      <c r="F94" s="7" t="s">
        <v>109</v>
      </c>
      <c r="G94" s="7" t="s">
        <v>110</v>
      </c>
      <c r="H94" s="7">
        <v>20000.0</v>
      </c>
      <c r="I94" s="7" t="s">
        <v>111</v>
      </c>
      <c r="J94" s="7">
        <v>0.0</v>
      </c>
      <c r="K94" s="7" t="s">
        <v>112</v>
      </c>
    </row>
    <row r="95" ht="15.75" customHeight="1">
      <c r="D95" s="6"/>
      <c r="E95" s="6"/>
      <c r="F95" s="7" t="s">
        <v>109</v>
      </c>
      <c r="G95" s="7" t="s">
        <v>113</v>
      </c>
      <c r="H95" s="7">
        <v>21000.0</v>
      </c>
      <c r="I95" s="7" t="s">
        <v>114</v>
      </c>
      <c r="J95" s="7">
        <v>0.0</v>
      </c>
      <c r="K95" s="7" t="s">
        <v>115</v>
      </c>
    </row>
    <row r="96" ht="15.75" customHeight="1">
      <c r="D96" s="6"/>
      <c r="E96" s="6"/>
      <c r="F96" s="7" t="s">
        <v>109</v>
      </c>
      <c r="G96" s="7" t="s">
        <v>116</v>
      </c>
      <c r="H96" s="7">
        <v>22000.0</v>
      </c>
      <c r="I96" s="7" t="s">
        <v>117</v>
      </c>
      <c r="J96" s="7">
        <v>0.0</v>
      </c>
      <c r="K96" s="7" t="s">
        <v>118</v>
      </c>
    </row>
    <row r="97" ht="15.75" customHeight="1">
      <c r="F97" s="7" t="s">
        <v>109</v>
      </c>
      <c r="G97" s="7" t="s">
        <v>116</v>
      </c>
      <c r="H97" s="7">
        <v>22100.0</v>
      </c>
      <c r="I97" s="7" t="s">
        <v>119</v>
      </c>
      <c r="J97" s="7">
        <v>0.0</v>
      </c>
      <c r="K97" s="7" t="s">
        <v>120</v>
      </c>
    </row>
    <row r="98" ht="15.75" customHeight="1">
      <c r="F98" s="7" t="s">
        <v>109</v>
      </c>
      <c r="G98" s="7" t="s">
        <v>116</v>
      </c>
      <c r="H98" s="7">
        <v>22200.0</v>
      </c>
      <c r="I98" s="7" t="s">
        <v>121</v>
      </c>
      <c r="J98" s="7">
        <v>0.0</v>
      </c>
      <c r="K98" s="7" t="s">
        <v>122</v>
      </c>
    </row>
    <row r="99" ht="15.75" customHeight="1">
      <c r="F99" s="7" t="s">
        <v>109</v>
      </c>
      <c r="G99" s="7" t="s">
        <v>123</v>
      </c>
      <c r="H99" s="7">
        <v>25000.0</v>
      </c>
      <c r="I99" s="7" t="s">
        <v>123</v>
      </c>
      <c r="J99" s="7">
        <v>0.0</v>
      </c>
      <c r="K99" s="7" t="s">
        <v>124</v>
      </c>
    </row>
    <row r="100" ht="15.75" customHeight="1">
      <c r="F100" s="7"/>
      <c r="G100" s="7"/>
      <c r="H100" s="7"/>
      <c r="I100" s="7"/>
      <c r="J100" s="7"/>
      <c r="K100" s="7"/>
    </row>
    <row r="101" ht="15.75" customHeight="1">
      <c r="F101" s="7" t="s">
        <v>31</v>
      </c>
      <c r="G101" s="7" t="s">
        <v>31</v>
      </c>
      <c r="H101" s="7">
        <v>31000.0</v>
      </c>
      <c r="I101" s="7" t="s">
        <v>125</v>
      </c>
      <c r="J101" s="10">
        <v>4.3953082344E8</v>
      </c>
      <c r="K101" s="7" t="s">
        <v>126</v>
      </c>
    </row>
    <row r="102" ht="15.75" customHeight="1">
      <c r="F102" s="7" t="s">
        <v>31</v>
      </c>
      <c r="G102" s="7" t="s">
        <v>127</v>
      </c>
      <c r="H102" s="7">
        <v>32000.0</v>
      </c>
      <c r="I102" s="7" t="s">
        <v>127</v>
      </c>
      <c r="J102" s="13"/>
      <c r="K102" s="7" t="s">
        <v>128</v>
      </c>
    </row>
    <row r="103" ht="15.75" customHeight="1">
      <c r="F103" s="7"/>
      <c r="G103" s="7"/>
      <c r="H103" s="7"/>
      <c r="I103" s="7"/>
      <c r="J103" s="7"/>
      <c r="K103" s="7"/>
    </row>
    <row r="104" ht="15.75" customHeight="1">
      <c r="F104" s="7" t="s">
        <v>33</v>
      </c>
      <c r="G104" s="7" t="s">
        <v>33</v>
      </c>
      <c r="H104" s="7">
        <v>40000.0</v>
      </c>
      <c r="I104" s="7" t="s">
        <v>129</v>
      </c>
      <c r="J104" s="7">
        <v>0.0</v>
      </c>
      <c r="K104" s="7" t="s">
        <v>130</v>
      </c>
    </row>
    <row r="105" ht="15.75" customHeight="1">
      <c r="F105" s="7"/>
      <c r="G105" s="7"/>
      <c r="H105" s="7"/>
      <c r="I105" s="7"/>
      <c r="J105" s="7"/>
      <c r="K105" s="7"/>
    </row>
    <row r="106" ht="15.75" customHeight="1">
      <c r="F106" s="7" t="s">
        <v>35</v>
      </c>
      <c r="G106" s="7" t="s">
        <v>131</v>
      </c>
      <c r="H106" s="7">
        <v>50000.0</v>
      </c>
      <c r="I106" s="7" t="s">
        <v>132</v>
      </c>
      <c r="J106" s="7">
        <v>0.0</v>
      </c>
      <c r="K106" s="7" t="s">
        <v>133</v>
      </c>
    </row>
    <row r="107" ht="15.75" customHeight="1">
      <c r="F107" s="7" t="s">
        <v>35</v>
      </c>
      <c r="G107" s="7" t="s">
        <v>131</v>
      </c>
      <c r="H107" s="7">
        <v>50100.0</v>
      </c>
      <c r="I107" s="7" t="s">
        <v>134</v>
      </c>
      <c r="J107" s="7">
        <v>0.0</v>
      </c>
      <c r="K107" s="7" t="s">
        <v>133</v>
      </c>
    </row>
    <row r="108" ht="15.75" customHeight="1">
      <c r="F108" s="7" t="s">
        <v>35</v>
      </c>
      <c r="G108" s="7" t="s">
        <v>131</v>
      </c>
      <c r="H108" s="7">
        <v>50200.0</v>
      </c>
      <c r="I108" s="7" t="s">
        <v>135</v>
      </c>
      <c r="J108" s="7">
        <v>0.0</v>
      </c>
      <c r="K108" s="7" t="s">
        <v>133</v>
      </c>
    </row>
    <row r="109" ht="15.75" customHeight="1">
      <c r="F109" s="7" t="s">
        <v>35</v>
      </c>
      <c r="G109" s="7" t="s">
        <v>131</v>
      </c>
      <c r="H109" s="7">
        <v>50010.0</v>
      </c>
      <c r="I109" s="7" t="s">
        <v>136</v>
      </c>
      <c r="J109" s="7">
        <v>0.0</v>
      </c>
      <c r="K109" s="7" t="s">
        <v>137</v>
      </c>
    </row>
    <row r="110" ht="15.75" customHeight="1">
      <c r="F110" s="7" t="s">
        <v>35</v>
      </c>
      <c r="G110" s="7" t="s">
        <v>131</v>
      </c>
      <c r="H110" s="7">
        <v>50110.0</v>
      </c>
      <c r="I110" s="7" t="s">
        <v>138</v>
      </c>
      <c r="J110" s="7">
        <v>0.0</v>
      </c>
      <c r="K110" s="7" t="s">
        <v>139</v>
      </c>
    </row>
    <row r="111" ht="15.75" customHeight="1">
      <c r="F111" s="7" t="s">
        <v>35</v>
      </c>
      <c r="G111" s="7" t="s">
        <v>131</v>
      </c>
      <c r="H111" s="7">
        <v>50020.0</v>
      </c>
      <c r="I111" s="7" t="s">
        <v>140</v>
      </c>
      <c r="J111" s="7">
        <v>0.0</v>
      </c>
      <c r="K111" s="7" t="s">
        <v>141</v>
      </c>
    </row>
    <row r="112" ht="15.75" customHeight="1">
      <c r="F112" s="7" t="s">
        <v>35</v>
      </c>
      <c r="G112" s="7" t="s">
        <v>131</v>
      </c>
      <c r="H112" s="7">
        <v>50120.0</v>
      </c>
      <c r="I112" s="7" t="s">
        <v>142</v>
      </c>
      <c r="J112" s="7">
        <v>0.0</v>
      </c>
      <c r="K112" s="7" t="s">
        <v>141</v>
      </c>
    </row>
    <row r="113" ht="15.75" customHeight="1">
      <c r="F113" s="7" t="s">
        <v>35</v>
      </c>
      <c r="G113" s="7" t="s">
        <v>131</v>
      </c>
      <c r="H113" s="7">
        <v>50220.0</v>
      </c>
      <c r="I113" s="7" t="s">
        <v>143</v>
      </c>
      <c r="J113" s="7">
        <v>0.0</v>
      </c>
      <c r="K113" s="7" t="s">
        <v>141</v>
      </c>
    </row>
    <row r="114" ht="15.75" customHeight="1">
      <c r="F114" s="7" t="s">
        <v>35</v>
      </c>
      <c r="G114" s="7" t="s">
        <v>144</v>
      </c>
      <c r="H114" s="7">
        <v>53000.0</v>
      </c>
      <c r="I114" s="7" t="s">
        <v>145</v>
      </c>
      <c r="J114" s="7">
        <v>0.0</v>
      </c>
      <c r="K114" s="7" t="s">
        <v>146</v>
      </c>
    </row>
    <row r="115" ht="15.75" customHeight="1">
      <c r="F115" s="7" t="s">
        <v>35</v>
      </c>
      <c r="G115" s="7" t="s">
        <v>144</v>
      </c>
      <c r="H115" s="7">
        <v>53100.0</v>
      </c>
      <c r="I115" s="7" t="s">
        <v>147</v>
      </c>
      <c r="J115" s="7">
        <v>0.0</v>
      </c>
      <c r="K115" s="7" t="s">
        <v>148</v>
      </c>
    </row>
    <row r="116" ht="15.75" customHeight="1">
      <c r="F116" s="7" t="s">
        <v>35</v>
      </c>
      <c r="G116" s="7" t="s">
        <v>144</v>
      </c>
      <c r="H116" s="7">
        <v>53200.0</v>
      </c>
      <c r="I116" s="7" t="s">
        <v>149</v>
      </c>
      <c r="J116" s="7">
        <v>0.0</v>
      </c>
      <c r="K116" s="7" t="s">
        <v>150</v>
      </c>
    </row>
    <row r="117" ht="15.75" customHeight="1">
      <c r="F117" s="7" t="s">
        <v>35</v>
      </c>
      <c r="G117" s="7" t="s">
        <v>144</v>
      </c>
      <c r="H117" s="7">
        <v>53300.0</v>
      </c>
      <c r="I117" s="7" t="s">
        <v>151</v>
      </c>
      <c r="J117" s="7">
        <v>0.0</v>
      </c>
      <c r="K117" s="7" t="s">
        <v>152</v>
      </c>
    </row>
    <row r="118" ht="15.75" customHeight="1">
      <c r="F118" s="7" t="s">
        <v>153</v>
      </c>
      <c r="G118" s="7" t="s">
        <v>38</v>
      </c>
      <c r="H118" s="7">
        <v>60000.0</v>
      </c>
      <c r="I118" s="7" t="s">
        <v>154</v>
      </c>
      <c r="J118" s="7">
        <v>0.0</v>
      </c>
      <c r="K118" s="7" t="s">
        <v>155</v>
      </c>
    </row>
    <row r="119" ht="15.75" customHeight="1">
      <c r="F119" s="7" t="s">
        <v>153</v>
      </c>
      <c r="G119" s="7" t="s">
        <v>38</v>
      </c>
      <c r="H119" s="7">
        <v>61000.0</v>
      </c>
      <c r="I119" s="7" t="s">
        <v>156</v>
      </c>
      <c r="J119" s="7">
        <v>0.0</v>
      </c>
      <c r="K119" s="7" t="s">
        <v>157</v>
      </c>
    </row>
    <row r="120" ht="15.75" customHeight="1">
      <c r="F120" s="7" t="s">
        <v>153</v>
      </c>
      <c r="G120" s="7" t="s">
        <v>38</v>
      </c>
      <c r="H120" s="7">
        <v>62000.0</v>
      </c>
      <c r="I120" s="7" t="s">
        <v>158</v>
      </c>
      <c r="J120" s="7">
        <v>0.0</v>
      </c>
      <c r="K120" s="7" t="s">
        <v>159</v>
      </c>
    </row>
    <row r="121" ht="15.75" customHeight="1">
      <c r="F121" s="7" t="s">
        <v>153</v>
      </c>
      <c r="G121" s="7" t="s">
        <v>38</v>
      </c>
      <c r="H121" s="7">
        <v>63000.0</v>
      </c>
      <c r="I121" s="7" t="s">
        <v>160</v>
      </c>
      <c r="J121" s="7">
        <v>0.0</v>
      </c>
      <c r="K121" s="7" t="s">
        <v>161</v>
      </c>
    </row>
    <row r="122" ht="15.75" customHeight="1">
      <c r="F122" s="7" t="s">
        <v>153</v>
      </c>
      <c r="G122" s="7" t="s">
        <v>38</v>
      </c>
      <c r="H122" s="7">
        <v>64000.0</v>
      </c>
      <c r="I122" s="7" t="s">
        <v>162</v>
      </c>
      <c r="J122" s="7">
        <v>0.0</v>
      </c>
      <c r="K122" s="7" t="s">
        <v>163</v>
      </c>
    </row>
    <row r="123" ht="15.75" customHeight="1">
      <c r="F123" s="7" t="s">
        <v>153</v>
      </c>
      <c r="G123" s="7" t="s">
        <v>38</v>
      </c>
      <c r="H123" s="7">
        <v>65000.0</v>
      </c>
      <c r="I123" s="7" t="s">
        <v>164</v>
      </c>
      <c r="J123" s="7">
        <v>0.0</v>
      </c>
      <c r="K123" s="7" t="s">
        <v>165</v>
      </c>
    </row>
    <row r="124" ht="15.75" customHeight="1">
      <c r="F124" s="7" t="s">
        <v>153</v>
      </c>
      <c r="G124" s="7" t="s">
        <v>38</v>
      </c>
      <c r="H124" s="7">
        <v>66000.0</v>
      </c>
      <c r="I124" s="7" t="s">
        <v>166</v>
      </c>
      <c r="J124" s="7">
        <v>0.0</v>
      </c>
      <c r="K124" s="7" t="s">
        <v>167</v>
      </c>
    </row>
    <row r="125" ht="15.75" customHeight="1">
      <c r="F125" s="7" t="s">
        <v>153</v>
      </c>
      <c r="G125" s="7" t="s">
        <v>38</v>
      </c>
      <c r="H125" s="7">
        <v>67000.0</v>
      </c>
      <c r="I125" s="7" t="s">
        <v>168</v>
      </c>
      <c r="J125" s="7">
        <v>0.0</v>
      </c>
      <c r="K125" s="7" t="s">
        <v>169</v>
      </c>
    </row>
    <row r="126" ht="15.75" customHeight="1">
      <c r="F126" s="7" t="s">
        <v>153</v>
      </c>
      <c r="G126" s="7" t="s">
        <v>38</v>
      </c>
      <c r="H126" s="7">
        <v>68000.0</v>
      </c>
      <c r="I126" s="7" t="s">
        <v>43</v>
      </c>
      <c r="J126" s="7">
        <v>0.0</v>
      </c>
      <c r="K126" s="7" t="s">
        <v>170</v>
      </c>
    </row>
    <row r="127" ht="15.75" customHeight="1">
      <c r="F127" s="7" t="s">
        <v>153</v>
      </c>
      <c r="G127" s="7" t="s">
        <v>38</v>
      </c>
      <c r="H127" s="7">
        <v>69000.0</v>
      </c>
      <c r="I127" s="7" t="s">
        <v>171</v>
      </c>
      <c r="J127" s="7">
        <v>0.0</v>
      </c>
      <c r="K127" s="7" t="s">
        <v>172</v>
      </c>
    </row>
    <row r="128" ht="15.75" customHeight="1">
      <c r="F128" s="7"/>
      <c r="G128" s="7"/>
      <c r="H128" s="7"/>
      <c r="I128" s="7"/>
      <c r="J128" s="7"/>
      <c r="K128" s="7"/>
    </row>
    <row r="129" ht="15.75" customHeight="1">
      <c r="F129" s="7" t="s">
        <v>40</v>
      </c>
      <c r="G129" s="7" t="s">
        <v>40</v>
      </c>
      <c r="H129" s="7">
        <v>70000.0</v>
      </c>
      <c r="I129" s="7" t="s">
        <v>173</v>
      </c>
      <c r="J129" s="7">
        <v>0.0</v>
      </c>
      <c r="K129" s="7" t="s">
        <v>174</v>
      </c>
    </row>
    <row r="130" ht="15.75" customHeight="1">
      <c r="F130" s="7"/>
      <c r="G130" s="7"/>
      <c r="H130" s="7"/>
      <c r="I130" s="7"/>
      <c r="J130" s="7"/>
      <c r="K130" s="7"/>
    </row>
    <row r="131" ht="15.75" customHeight="1">
      <c r="F131" s="7" t="s">
        <v>43</v>
      </c>
      <c r="G131" s="7" t="s">
        <v>43</v>
      </c>
      <c r="H131" s="7">
        <v>80000.0</v>
      </c>
      <c r="I131" s="7" t="s">
        <v>175</v>
      </c>
      <c r="J131" s="7">
        <v>0.0</v>
      </c>
      <c r="K131" s="7" t="s">
        <v>176</v>
      </c>
    </row>
    <row r="132" ht="15.75" customHeight="1">
      <c r="F132" s="7" t="s">
        <v>43</v>
      </c>
      <c r="G132" s="7" t="s">
        <v>43</v>
      </c>
      <c r="H132" s="7">
        <v>81000.0</v>
      </c>
      <c r="I132" s="7" t="s">
        <v>177</v>
      </c>
      <c r="J132" s="7">
        <v>0.0</v>
      </c>
      <c r="K132" s="7" t="s">
        <v>178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0.63"/>
    <col customWidth="1" min="3" max="3" width="18.88"/>
    <col customWidth="1" min="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>
      <c r="B7" s="16" t="s">
        <v>179</v>
      </c>
      <c r="C7" s="16" t="s">
        <v>180</v>
      </c>
    </row>
    <row r="8" ht="12.75" customHeight="1">
      <c r="B8" s="17" t="s">
        <v>181</v>
      </c>
      <c r="C8" s="17" t="s">
        <v>182</v>
      </c>
    </row>
    <row r="9" ht="12.75" customHeight="1">
      <c r="B9" s="18" t="s">
        <v>183</v>
      </c>
      <c r="C9" s="18" t="s">
        <v>184</v>
      </c>
    </row>
    <row r="10" ht="12.75" customHeight="1">
      <c r="B10" s="17" t="s">
        <v>185</v>
      </c>
      <c r="C10" s="17" t="s">
        <v>186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>
      <c r="B17" s="16" t="s">
        <v>187</v>
      </c>
      <c r="C17" s="16" t="s">
        <v>188</v>
      </c>
    </row>
    <row r="18" ht="12.75" customHeight="1">
      <c r="B18" s="17" t="s">
        <v>189</v>
      </c>
      <c r="C18" s="17" t="s">
        <v>190</v>
      </c>
    </row>
    <row r="19" ht="12.75" customHeight="1">
      <c r="B19" s="18" t="s">
        <v>191</v>
      </c>
      <c r="C19" s="18" t="s">
        <v>192</v>
      </c>
    </row>
    <row r="20" ht="12.75" customHeight="1">
      <c r="B20" s="17" t="s">
        <v>193</v>
      </c>
      <c r="C20" s="17" t="s">
        <v>194</v>
      </c>
    </row>
    <row r="21" ht="12.75" customHeight="1">
      <c r="B21" s="18" t="s">
        <v>195</v>
      </c>
      <c r="C21" s="18" t="s">
        <v>196</v>
      </c>
    </row>
    <row r="22" ht="12.75" customHeight="1">
      <c r="B22" s="17" t="s">
        <v>197</v>
      </c>
      <c r="C22" s="17" t="s">
        <v>198</v>
      </c>
    </row>
    <row r="23" ht="12.75" customHeight="1">
      <c r="B23" s="18" t="s">
        <v>199</v>
      </c>
      <c r="C23" s="18" t="s">
        <v>200</v>
      </c>
    </row>
    <row r="24" ht="12.75" customHeight="1">
      <c r="B24" s="17" t="s">
        <v>201</v>
      </c>
      <c r="C24" s="17" t="s">
        <v>202</v>
      </c>
    </row>
    <row r="25" ht="12.75" customHeight="1">
      <c r="B25" s="18" t="s">
        <v>203</v>
      </c>
      <c r="C25" s="18" t="s">
        <v>204</v>
      </c>
    </row>
    <row r="26" ht="12.75" customHeight="1">
      <c r="B26" s="17" t="s">
        <v>205</v>
      </c>
      <c r="C26" s="17" t="s">
        <v>206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