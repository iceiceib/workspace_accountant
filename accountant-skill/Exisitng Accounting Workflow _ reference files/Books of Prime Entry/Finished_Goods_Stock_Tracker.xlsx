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_2025_Bal" sheetId="1" r:id="rId4"/>
    <sheet state="visible" name="Mar_2025_Bal" sheetId="2" r:id="rId5"/>
    <sheet state="visible" name="April_2025_Bal" sheetId="3" r:id="rId6"/>
    <sheet state="visible" name="May_2025_Bal" sheetId="4" r:id="rId7"/>
    <sheet state="visible" name="June_2025_Bal" sheetId="5" r:id="rId8"/>
    <sheet state="visible" name="July_2025_Bal" sheetId="6" r:id="rId9"/>
    <sheet state="visible" name="Aug_2025_Bal" sheetId="7" r:id="rId10"/>
    <sheet state="visible" name="Sep_2025_Bal" sheetId="8" r:id="rId11"/>
    <sheet state="visible" name="Oct_2025_Bal" sheetId="9" r:id="rId12"/>
    <sheet state="visible" name="Nov_2025_Bal" sheetId="10" r:id="rId13"/>
    <sheet state="visible" name="Finished Goods Stock Balance" sheetId="11" r:id="rId14"/>
    <sheet state="visible" name="Test" sheetId="12" r:id="rId15"/>
  </sheets>
  <definedNames/>
  <calcPr/>
  <extLst>
    <ext uri="GoogleSheetsCustomDataVersion2">
      <go:sheetsCustomData xmlns:go="http://customooxmlschemas.google.com/" r:id="rId16" roundtripDataChecksum="UzWoR7zUrr7yfWOWX/d0wCXZ4DDi2hEfQha1x8QnIgI="/>
    </ext>
  </extLst>
</workbook>
</file>

<file path=xl/sharedStrings.xml><?xml version="1.0" encoding="utf-8"?>
<sst xmlns="http://schemas.openxmlformats.org/spreadsheetml/2006/main" count="213" uniqueCount="29">
  <si>
    <t>Opening Stock</t>
  </si>
  <si>
    <t>Units Produced</t>
  </si>
  <si>
    <t>Units Sold</t>
  </si>
  <si>
    <t>Closing Inventory</t>
  </si>
  <si>
    <t>Trial Balance Opening Stock + Production Value</t>
  </si>
  <si>
    <t>Unit Cost</t>
  </si>
  <si>
    <t>Sold Unit Total Cost</t>
  </si>
  <si>
    <t>Total</t>
  </si>
  <si>
    <t>SKU</t>
  </si>
  <si>
    <t>K&amp;K-Lip-140C-70B</t>
  </si>
  <si>
    <t>K&amp;K-Lyc-140C-70B</t>
  </si>
  <si>
    <t>K&amp;K-Str-140C-70B</t>
  </si>
  <si>
    <t>K&amp;K-Gra-140C-70B</t>
  </si>
  <si>
    <t>K&amp;K-Tam-140C-70B</t>
  </si>
  <si>
    <t>K&amp;K-Lip-175C-70B</t>
  </si>
  <si>
    <t>K&amp;K-Lyc-175C-70B</t>
  </si>
  <si>
    <t>K&amp;K-Str-175C-70B</t>
  </si>
  <si>
    <t>K&amp;K-Gra-175C-70B</t>
  </si>
  <si>
    <t>K&amp;K-Tam-175C-70B</t>
  </si>
  <si>
    <t>Closing Inventory Before Losses</t>
  </si>
  <si>
    <t>Unit Losses</t>
  </si>
  <si>
    <t>Closing Inventory After Losses</t>
  </si>
  <si>
    <t>Unit losses</t>
  </si>
  <si>
    <t>K&amp;K Finished Goods Stock Balance</t>
  </si>
  <si>
    <t>As of Date</t>
  </si>
  <si>
    <t>Extraordinary Losses due to earthquake hit</t>
  </si>
  <si>
    <t xml:space="preserve">MOnth </t>
  </si>
  <si>
    <t>xdcvcxd</t>
  </si>
  <si>
    <t>hjlhlhj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</si>
</sst>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434343"/>
      <name val="Arial"/>
    </font>
    <font>
      <b/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0" fillId="4" fontId="2" numFmtId="0" xfId="0" applyFill="1" applyFont="1"/>
    <xf borderId="1" fillId="3" fontId="1" numFmtId="3" xfId="0" applyBorder="1" applyFont="1" applyNumberFormat="1"/>
    <xf borderId="0" fillId="4" fontId="2" numFmtId="4" xfId="0" applyFont="1" applyNumberFormat="1"/>
    <xf borderId="0" fillId="0" fontId="2" numFmtId="4" xfId="0" applyFont="1" applyNumberFormat="1"/>
    <xf borderId="0" fillId="0" fontId="2" numFmtId="0" xfId="0" applyFont="1"/>
    <xf borderId="0" fillId="0" fontId="2" numFmtId="3" xfId="0" applyFont="1" applyNumberFormat="1"/>
    <xf borderId="0" fillId="0" fontId="2" numFmtId="3" xfId="0" applyFont="1" applyNumberFormat="1"/>
    <xf borderId="0" fillId="0" fontId="2" numFmtId="0" xfId="0" applyFont="1"/>
    <xf borderId="0" fillId="3" fontId="1" numFmtId="164" xfId="0" applyFont="1" applyNumberFormat="1"/>
    <xf borderId="1" fillId="4" fontId="3" numFmtId="0" xfId="0" applyAlignment="1" applyBorder="1" applyFont="1">
      <alignment shrinkToFit="0" wrapText="1"/>
    </xf>
    <xf borderId="0" fillId="5" fontId="4" numFmtId="0" xfId="0" applyAlignment="1" applyFill="1" applyFont="1">
      <alignment shrinkToFit="0" wrapText="1"/>
    </xf>
    <xf borderId="0" fillId="6" fontId="4" numFmtId="0" xfId="0" applyAlignment="1" applyFill="1" applyFont="1">
      <alignment shrinkToFit="0" wrapText="1"/>
    </xf>
    <xf borderId="0" fillId="3" fontId="4" numFmtId="0" xfId="0" applyAlignment="1" applyFont="1">
      <alignment shrinkToFit="0" wrapText="1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tableStyles count="10">
    <tableStyle count="3" pivot="0" name="Feb_2025_Bal-style">
      <tableStyleElement dxfId="1" type="headerRow"/>
      <tableStyleElement dxfId="2" type="firstRowStripe"/>
      <tableStyleElement dxfId="3" type="secondRowStripe"/>
    </tableStyle>
    <tableStyle count="3" pivot="0" name="Mar_2025_Bal-style">
      <tableStyleElement dxfId="1" type="headerRow"/>
      <tableStyleElement dxfId="2" type="firstRowStripe"/>
      <tableStyleElement dxfId="3" type="secondRowStripe"/>
    </tableStyle>
    <tableStyle count="3" pivot="0" name="April_2025_Bal-style">
      <tableStyleElement dxfId="1" type="headerRow"/>
      <tableStyleElement dxfId="2" type="firstRowStripe"/>
      <tableStyleElement dxfId="3" type="secondRowStripe"/>
    </tableStyle>
    <tableStyle count="3" pivot="0" name="May_2025_Bal-style">
      <tableStyleElement dxfId="1" type="headerRow"/>
      <tableStyleElement dxfId="2" type="firstRowStripe"/>
      <tableStyleElement dxfId="3" type="secondRowStripe"/>
    </tableStyle>
    <tableStyle count="3" pivot="0" name="June_2025_Bal-style">
      <tableStyleElement dxfId="1" type="headerRow"/>
      <tableStyleElement dxfId="2" type="firstRowStripe"/>
      <tableStyleElement dxfId="3" type="secondRowStripe"/>
    </tableStyle>
    <tableStyle count="3" pivot="0" name="July_2025_Bal-style">
      <tableStyleElement dxfId="1" type="headerRow"/>
      <tableStyleElement dxfId="2" type="firstRowStripe"/>
      <tableStyleElement dxfId="3" type="secondRowStripe"/>
    </tableStyle>
    <tableStyle count="3" pivot="0" name="Aug_2025_Bal-style">
      <tableStyleElement dxfId="1" type="headerRow"/>
      <tableStyleElement dxfId="2" type="firstRowStripe"/>
      <tableStyleElement dxfId="3" type="secondRowStripe"/>
    </tableStyle>
    <tableStyle count="3" pivot="0" name="Sep_2025_Bal-style">
      <tableStyleElement dxfId="1" type="headerRow"/>
      <tableStyleElement dxfId="2" type="firstRowStripe"/>
      <tableStyleElement dxfId="3" type="secondRowStripe"/>
    </tableStyle>
    <tableStyle count="3" pivot="0" name="Oct_2025_Bal-style">
      <tableStyleElement dxfId="1" type="headerRow"/>
      <tableStyleElement dxfId="2" type="firstRowStripe"/>
      <tableStyleElement dxfId="3" type="secondRowStripe"/>
    </tableStyle>
    <tableStyle count="3" pivot="0" name="Nov_2025_B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F16" displayName="Table_1" name="Table_1" id="1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Feb_2025_Bal-style" showColumnStripes="0" showFirstColumn="1" showLastColumn="1" showRowStripes="1"/>
</table>
</file>

<file path=xl/tables/table2.xml><?xml version="1.0" encoding="utf-8"?>
<table xmlns="http://schemas.openxmlformats.org/spreadsheetml/2006/main" ref="B6:G16" displayName="Table_2" name="Table_2" id="2">
  <tableColumns count="6">
    <tableColumn name="SKU" id="1"/>
    <tableColumn name="Opening Stock" id="2"/>
    <tableColumn name="Units Produced" id="3"/>
    <tableColumn name="Units Sold" id="4"/>
    <tableColumn name="Closing Inventory After Losses" id="5"/>
    <tableColumn name="Unit losses" id="6"/>
  </tableColumns>
  <tableStyleInfo name="Mar_2025_Bal-style" showColumnStripes="0" showFirstColumn="1" showLastColumn="1" showRowStripes="1"/>
</table>
</file>

<file path=xl/tables/table3.xml><?xml version="1.0" encoding="utf-8"?>
<table xmlns="http://schemas.openxmlformats.org/spreadsheetml/2006/main" ref="B6:F16" displayName="Table_3" name="Table_3" id="3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April_2025_Bal-style" showColumnStripes="0" showFirstColumn="1" showLastColumn="1" showRowStripes="1"/>
</table>
</file>

<file path=xl/tables/table4.xml><?xml version="1.0" encoding="utf-8"?>
<table xmlns="http://schemas.openxmlformats.org/spreadsheetml/2006/main" ref="B6:F16" displayName="Table_4" name="Table_4" id="4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May_2025_Bal-style" showColumnStripes="0" showFirstColumn="1" showLastColumn="1" showRowStripes="1"/>
</table>
</file>

<file path=xl/tables/table5.xml><?xml version="1.0" encoding="utf-8"?>
<table xmlns="http://schemas.openxmlformats.org/spreadsheetml/2006/main" ref="B6:F16" displayName="Table_5" name="Table_5" id="5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June_2025_Bal-style" showColumnStripes="0" showFirstColumn="1" showLastColumn="1" showRowStripes="1"/>
</table>
</file>

<file path=xl/tables/table6.xml><?xml version="1.0" encoding="utf-8"?>
<table xmlns="http://schemas.openxmlformats.org/spreadsheetml/2006/main" ref="B6:F16" displayName="Table_6" name="Table_6" id="6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July_2025_Bal-style" showColumnStripes="0" showFirstColumn="1" showLastColumn="1" showRowStripes="1"/>
</table>
</file>

<file path=xl/tables/table7.xml><?xml version="1.0" encoding="utf-8"?>
<table xmlns="http://schemas.openxmlformats.org/spreadsheetml/2006/main" ref="B6:F16" displayName="Table_7" name="Table_7" id="7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Aug_2025_Bal-style" showColumnStripes="0" showFirstColumn="1" showLastColumn="1" showRowStripes="1"/>
</table>
</file>

<file path=xl/tables/table8.xml><?xml version="1.0" encoding="utf-8"?>
<table xmlns="http://schemas.openxmlformats.org/spreadsheetml/2006/main" ref="B6:F16" displayName="Table_8" name="Table_8" id="8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Sep_2025_Bal-style" showColumnStripes="0" showFirstColumn="1" showLastColumn="1" showRowStripes="1"/>
</table>
</file>

<file path=xl/tables/table9.xml><?xml version="1.0" encoding="utf-8"?>
<table xmlns="http://schemas.openxmlformats.org/spreadsheetml/2006/main" ref="B6:F16" displayName="Table_9" name="Table_9" id="9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Oct_2025_Bal-style" showColumnStripes="0" showFirstColumn="1" showLastColumn="1" showRowStripes="1"/>
</table>
</file>

<file path=xl/tables/table10.xml><?xml version="1.0" encoding="utf-8"?>
<table xmlns="http://schemas.openxmlformats.org/spreadsheetml/2006/main" ref="B6:F16" displayName="Table_10" name="Table_10" id="10">
  <tableColumns count="5">
    <tableColumn name="SKU" id="1"/>
    <tableColumn name="Opening Stock" id="2"/>
    <tableColumn name="Units Produced" id="3"/>
    <tableColumn name="Units Sold" id="4"/>
    <tableColumn name="Closing Inventory" id="5"/>
  </tableColumns>
  <tableStyleInfo name="Nov_2025_B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18.25"/>
    <col customWidth="1" min="8" max="8" width="39.88"/>
  </cols>
  <sheetData>
    <row r="1" ht="15.75" customHeight="1"/>
    <row r="2" ht="15.75" customHeight="1">
      <c r="B2" s="1" t="str">
        <f>'Finished Goods Stock Balance'!A4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H2" s="3" t="s">
        <v>4</v>
      </c>
      <c r="I2" s="3" t="s">
        <v>5</v>
      </c>
      <c r="J2" s="3" t="s">
        <v>6</v>
      </c>
      <c r="K2" s="3" t="s">
        <v>3</v>
      </c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H3" s="5"/>
      <c r="I3" s="5">
        <v>6881.91</v>
      </c>
      <c r="J3" s="5">
        <f>I3*E3</f>
        <v>0</v>
      </c>
      <c r="K3" s="5">
        <f>H3-J3</f>
        <v>0</v>
      </c>
    </row>
    <row r="4" ht="15.75" customHeight="1">
      <c r="I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Balance'!C4:L4)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18.25"/>
    <col customWidth="1" min="8" max="8" width="39.88"/>
  </cols>
  <sheetData>
    <row r="1" ht="15.75" customHeight="1"/>
    <row r="2" ht="15.75" customHeight="1">
      <c r="B2" s="1" t="str">
        <f>'Finished Goods Stock Balance'!A53</f>
        <v>December-99</v>
      </c>
      <c r="C2" s="2" t="s">
        <v>0</v>
      </c>
      <c r="D2" s="2" t="s">
        <v>1</v>
      </c>
      <c r="E2" s="2" t="s">
        <v>2</v>
      </c>
      <c r="F2" s="2" t="s">
        <v>19</v>
      </c>
      <c r="G2" s="2" t="s">
        <v>20</v>
      </c>
      <c r="H2" s="2" t="s">
        <v>21</v>
      </c>
      <c r="I2" s="10"/>
      <c r="J2" s="10"/>
      <c r="K2" s="10"/>
    </row>
    <row r="3" ht="15.75" customHeight="1">
      <c r="B3" s="2" t="s">
        <v>7</v>
      </c>
      <c r="C3" s="4">
        <f t="shared" ref="C3:E3" si="1">SUM(C7:C16)</f>
        <v>0</v>
      </c>
      <c r="D3" s="4">
        <f t="shared" si="1"/>
        <v>0</v>
      </c>
      <c r="E3" s="4">
        <f t="shared" si="1"/>
        <v>0</v>
      </c>
      <c r="F3" s="4">
        <f>H3-G3</f>
        <v>0</v>
      </c>
      <c r="G3" s="4">
        <f>SUM(G7:G16)</f>
        <v>0</v>
      </c>
      <c r="H3" s="4">
        <f>SUM(F7:F16)</f>
        <v>0</v>
      </c>
      <c r="I3" s="6"/>
      <c r="J3" s="6"/>
      <c r="K3" s="6"/>
    </row>
    <row r="4" ht="15.75" customHeight="1">
      <c r="I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21</v>
      </c>
      <c r="G6" s="7" t="s">
        <v>22</v>
      </c>
    </row>
    <row r="7" ht="15.75" customHeight="1">
      <c r="B7" s="7" t="s">
        <v>9</v>
      </c>
      <c r="C7" s="8" t="str">
        <f t="array" ref="C7:C16">TRANSPOSE('Finished Goods Stock Balance'!C24:L24)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C7+D7-E7+G7</f>
        <v>0</v>
      </c>
      <c r="G7" s="8" t="str">
        <f t="array" ref="G7:G16">TRANSPOSE('Finished Goods Stock Balance'!AT54:BC54)</f>
        <v/>
      </c>
      <c r="J7" s="9"/>
      <c r="K7" s="9"/>
      <c r="L7" s="9"/>
      <c r="M7" s="9"/>
      <c r="N7" s="9"/>
      <c r="O7" s="9"/>
      <c r="P7" s="9"/>
      <c r="Q7" s="9"/>
      <c r="R7" s="9"/>
      <c r="S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  <c r="G8" s="7"/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  <c r="G9" s="7"/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  <c r="G10" s="7"/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  <c r="G11" s="7"/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  <c r="G12" s="7"/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  <c r="G13" s="7"/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  <c r="G14" s="7"/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  <c r="G15" s="7"/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  <c r="G16" s="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Balance'!A84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Balance'!C55:L55)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Balance'!A85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Balance'!C85:L85)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Balance'!A116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Balance'!C116:L116)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Balance'!A176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Balance'!C146:L146)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Balance'!A206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Balance'!C177:L177)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Balance'!A237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Balance'!C208:L208)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Balance'!A265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Balance'!C238:L238)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  <c r="H8" s="9"/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  <c r="H9" s="9"/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  <c r="H10" s="9"/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  <c r="H11" s="9"/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  <c r="H12" s="9"/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  <c r="H13" s="9"/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  <c r="H14" s="9"/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  <c r="H15" s="9"/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  <c r="H16" s="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6.88"/>
    <col customWidth="1" min="5" max="5" width="13.0"/>
    <col customWidth="1" min="6" max="6" width="23.0"/>
  </cols>
  <sheetData>
    <row r="1" ht="15.75" customHeight="1"/>
    <row r="2" ht="15.75" customHeight="1">
      <c r="B2" s="1" t="str">
        <f>'Finished Goods Stock Balance'!A269</f>
        <v>December-99</v>
      </c>
      <c r="C2" s="2" t="s">
        <v>0</v>
      </c>
      <c r="D2" s="2" t="s">
        <v>1</v>
      </c>
      <c r="E2" s="2" t="s">
        <v>2</v>
      </c>
      <c r="F2" s="2" t="s">
        <v>3</v>
      </c>
      <c r="G2" s="10"/>
      <c r="H2" s="10"/>
      <c r="I2" s="10"/>
    </row>
    <row r="3" ht="15.75" customHeight="1">
      <c r="B3" s="2" t="s">
        <v>7</v>
      </c>
      <c r="C3" s="4">
        <f t="shared" ref="C3:F3" si="1">SUM(C7:C16)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6"/>
      <c r="H3" s="6"/>
      <c r="I3" s="6"/>
    </row>
    <row r="4" ht="15.75" customHeight="1">
      <c r="G4" s="6"/>
    </row>
    <row r="5" ht="15.75" customHeight="1"/>
    <row r="6" ht="15.75" customHeight="1">
      <c r="B6" s="7" t="s">
        <v>8</v>
      </c>
      <c r="C6" s="7" t="s">
        <v>0</v>
      </c>
      <c r="D6" s="7" t="s">
        <v>1</v>
      </c>
      <c r="E6" s="7" t="s">
        <v>2</v>
      </c>
      <c r="F6" s="7" t="s">
        <v>3</v>
      </c>
    </row>
    <row r="7" ht="15.75" customHeight="1">
      <c r="B7" s="7" t="s">
        <v>9</v>
      </c>
      <c r="C7" s="8" t="str">
        <f t="array" ref="C7:C16">TRANSPOSE('Finished Goods Stock Balance'!C238:L238)</f>
        <v/>
      </c>
      <c r="D7" s="8">
        <f>SUMIF('Finished Goods Stock Balance'!A:A,$B$2,'Finished Goods Stock Balance'!M:M)</f>
        <v>0</v>
      </c>
      <c r="E7" s="8">
        <f>SUMIF('Finished Goods Stock Balance'!A:A,$B$2,'Finished Goods Stock Balance'!W:W)</f>
        <v>0</v>
      </c>
      <c r="F7" s="8">
        <f t="shared" ref="F7:F16" si="2">C7+D7-E7</f>
        <v>0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ht="15.75" customHeight="1">
      <c r="B8" s="7" t="s">
        <v>10</v>
      </c>
      <c r="C8" s="8"/>
      <c r="D8" s="8">
        <f>SUMIF('Finished Goods Stock Balance'!A:A,$B$2,'Finished Goods Stock Balance'!N:N)</f>
        <v>0</v>
      </c>
      <c r="E8" s="8">
        <f>SUMIF('Finished Goods Stock Balance'!A:A,$B$2,'Finished Goods Stock Balance'!X:X)</f>
        <v>0</v>
      </c>
      <c r="F8" s="8">
        <f t="shared" si="2"/>
        <v>0</v>
      </c>
      <c r="H8" s="9"/>
    </row>
    <row r="9" ht="15.75" customHeight="1">
      <c r="B9" s="7" t="s">
        <v>11</v>
      </c>
      <c r="C9" s="8"/>
      <c r="D9" s="8">
        <f>SUMIF('Finished Goods Stock Balance'!A:A,$B$2,'Finished Goods Stock Balance'!O:O)</f>
        <v>0</v>
      </c>
      <c r="E9" s="8">
        <f>SUMIF('Finished Goods Stock Balance'!A:A,$B$2,'Finished Goods Stock Balance'!Y:Y)</f>
        <v>0</v>
      </c>
      <c r="F9" s="8">
        <f t="shared" si="2"/>
        <v>0</v>
      </c>
      <c r="H9" s="9"/>
    </row>
    <row r="10" ht="15.75" customHeight="1">
      <c r="B10" s="7" t="s">
        <v>12</v>
      </c>
      <c r="C10" s="8"/>
      <c r="D10" s="8">
        <f>SUMIF('Finished Goods Stock Balance'!A:A,$B$2,'Finished Goods Stock Balance'!P:P)</f>
        <v>0</v>
      </c>
      <c r="E10" s="8">
        <f>SUMIF('Finished Goods Stock Balance'!A:A,$B$2,'Finished Goods Stock Balance'!Z:Z)</f>
        <v>0</v>
      </c>
      <c r="F10" s="8">
        <f t="shared" si="2"/>
        <v>0</v>
      </c>
      <c r="H10" s="9"/>
    </row>
    <row r="11" ht="15.75" customHeight="1">
      <c r="B11" s="7" t="s">
        <v>13</v>
      </c>
      <c r="C11" s="8"/>
      <c r="D11" s="8">
        <f>SUMIF('Finished Goods Stock Balance'!A:A,$B$2,'Finished Goods Stock Balance'!Q:Q)</f>
        <v>0</v>
      </c>
      <c r="E11" s="8">
        <f>SUMIF('Finished Goods Stock Balance'!A:A,$B$2,'Finished Goods Stock Balance'!AA:AA)</f>
        <v>0</v>
      </c>
      <c r="F11" s="8">
        <f t="shared" si="2"/>
        <v>0</v>
      </c>
      <c r="H11" s="9"/>
    </row>
    <row r="12" ht="15.75" customHeight="1">
      <c r="B12" s="7" t="s">
        <v>14</v>
      </c>
      <c r="C12" s="8"/>
      <c r="D12" s="8">
        <f>SUMIF('Finished Goods Stock Balance'!A:A,$B$2,'Finished Goods Stock Balance'!R:R)</f>
        <v>0</v>
      </c>
      <c r="E12" s="8">
        <f>SUMIF('Finished Goods Stock Balance'!A:A,$B$2,'Finished Goods Stock Balance'!AB:AB)</f>
        <v>0</v>
      </c>
      <c r="F12" s="8">
        <f t="shared" si="2"/>
        <v>0</v>
      </c>
      <c r="H12" s="9"/>
    </row>
    <row r="13" ht="15.75" customHeight="1">
      <c r="B13" s="7" t="s">
        <v>15</v>
      </c>
      <c r="C13" s="8"/>
      <c r="D13" s="8">
        <f>SUMIF('Finished Goods Stock Balance'!A:A,$B$2,'Finished Goods Stock Balance'!S:S)</f>
        <v>0</v>
      </c>
      <c r="E13" s="8">
        <f>SUMIF('Finished Goods Stock Balance'!A:A,$B$2,'Finished Goods Stock Balance'!AC:AC)</f>
        <v>0</v>
      </c>
      <c r="F13" s="8">
        <f t="shared" si="2"/>
        <v>0</v>
      </c>
      <c r="H13" s="9"/>
    </row>
    <row r="14" ht="15.75" customHeight="1">
      <c r="B14" s="7" t="s">
        <v>16</v>
      </c>
      <c r="C14" s="8"/>
      <c r="D14" s="8">
        <f>SUMIF('Finished Goods Stock Balance'!A:A,$B$2,'Finished Goods Stock Balance'!T:T)</f>
        <v>0</v>
      </c>
      <c r="E14" s="8">
        <f>SUMIF('Finished Goods Stock Balance'!A:A,$B$2,'Finished Goods Stock Balance'!AD:AD)</f>
        <v>0</v>
      </c>
      <c r="F14" s="8">
        <f t="shared" si="2"/>
        <v>0</v>
      </c>
      <c r="H14" s="9"/>
    </row>
    <row r="15" ht="15.75" customHeight="1">
      <c r="B15" s="7" t="s">
        <v>17</v>
      </c>
      <c r="C15" s="8"/>
      <c r="D15" s="8">
        <f>SUMIF('Finished Goods Stock Balance'!A:A,$B$2,'Finished Goods Stock Balance'!U:U)</f>
        <v>0</v>
      </c>
      <c r="E15" s="8">
        <f>SUMIF('Finished Goods Stock Balance'!A:A,$B$2,'Finished Goods Stock Balance'!AE:AE)</f>
        <v>0</v>
      </c>
      <c r="F15" s="8">
        <f t="shared" si="2"/>
        <v>0</v>
      </c>
      <c r="H15" s="9"/>
    </row>
    <row r="16" ht="15.75" customHeight="1">
      <c r="B16" s="7" t="s">
        <v>18</v>
      </c>
      <c r="C16" s="8"/>
      <c r="D16" s="8">
        <f>SUMIF('Finished Goods Stock Balance'!A:A,$B$2,'Finished Goods Stock Balance'!V:V)</f>
        <v>0</v>
      </c>
      <c r="E16" s="8">
        <f>SUMIF('Finished Goods Stock Balance'!A:A,$B$2,'Finished Goods Stock Balance'!AF:AF)</f>
        <v>0</v>
      </c>
      <c r="F16" s="8">
        <f t="shared" si="2"/>
        <v>0</v>
      </c>
      <c r="H16" s="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Col="1"/>
  <cols>
    <col customWidth="1" min="1" max="1" width="12.63"/>
    <col customWidth="1" min="2" max="2" width="17.63"/>
    <col customWidth="1" min="3" max="3" width="12.88"/>
    <col customWidth="1" min="4" max="12" width="12.75"/>
    <col customWidth="1" min="13" max="32" width="12.63" outlineLevel="1"/>
    <col customWidth="1" min="33" max="42" width="12.75"/>
    <col customWidth="1" min="43" max="65" width="12.88"/>
  </cols>
  <sheetData>
    <row r="1" ht="15.75" customHeight="1">
      <c r="B1" s="10" t="s">
        <v>23</v>
      </c>
      <c r="D1" s="10" t="s">
        <v>24</v>
      </c>
      <c r="E1" s="11">
        <f>MAX(B4:B972)</f>
        <v>0</v>
      </c>
      <c r="W1" s="9">
        <f t="shared" ref="W1:AF1" si="1">SUM(W4:W972)</f>
        <v>0</v>
      </c>
      <c r="X1" s="9">
        <f t="shared" si="1"/>
        <v>0</v>
      </c>
      <c r="Y1" s="9">
        <f t="shared" si="1"/>
        <v>0</v>
      </c>
      <c r="Z1" s="9">
        <f t="shared" si="1"/>
        <v>0</v>
      </c>
      <c r="AA1" s="9">
        <f t="shared" si="1"/>
        <v>0</v>
      </c>
      <c r="AB1" s="9">
        <f t="shared" si="1"/>
        <v>0</v>
      </c>
      <c r="AC1" s="9">
        <f t="shared" si="1"/>
        <v>0</v>
      </c>
      <c r="AD1" s="9">
        <f t="shared" si="1"/>
        <v>0</v>
      </c>
      <c r="AE1" s="9">
        <f t="shared" si="1"/>
        <v>0</v>
      </c>
      <c r="AF1" s="9">
        <f t="shared" si="1"/>
        <v>0</v>
      </c>
    </row>
    <row r="2" ht="15.75" customHeight="1">
      <c r="AT2" s="10" t="s">
        <v>25</v>
      </c>
    </row>
    <row r="3" ht="44.25" customHeight="1">
      <c r="A3" s="10" t="s">
        <v>26</v>
      </c>
      <c r="B3" s="12" t="str">
        <f>IFERROR(__xludf.DUMMYFUNCTION("QUERY(IMPORTRANGE(""https://docs.google.com/spreadsheets/d/1sOBA95jI3gUTkNtq3pD8Ob7Zb_EY63WYXvHKt7aiQk8/edit"", ""Finished Goods Stock Balance!B4:BC""), ""SELECT *"")"),"#REF!")</f>
        <v>#REF!</v>
      </c>
      <c r="C3" s="13"/>
      <c r="D3" s="13"/>
      <c r="E3" s="13"/>
      <c r="F3" s="13"/>
      <c r="G3" s="13"/>
      <c r="H3" s="14"/>
      <c r="I3" s="14"/>
      <c r="J3" s="14"/>
      <c r="K3" s="14"/>
      <c r="L3" s="14"/>
      <c r="M3" s="13"/>
      <c r="N3" s="13"/>
      <c r="O3" s="13"/>
      <c r="P3" s="13"/>
      <c r="Q3" s="13"/>
      <c r="R3" s="14"/>
      <c r="S3" s="14"/>
      <c r="T3" s="14"/>
      <c r="U3" s="14"/>
      <c r="V3" s="14"/>
      <c r="W3" s="13"/>
      <c r="X3" s="13"/>
      <c r="Y3" s="13"/>
      <c r="Z3" s="13"/>
      <c r="AA3" s="13"/>
      <c r="AB3" s="14"/>
      <c r="AC3" s="14"/>
      <c r="AD3" s="14"/>
      <c r="AE3" s="14"/>
      <c r="AF3" s="14"/>
      <c r="AG3" s="13"/>
      <c r="AH3" s="13"/>
      <c r="AI3" s="13"/>
      <c r="AJ3" s="13"/>
      <c r="AK3" s="13"/>
      <c r="AL3" s="14"/>
      <c r="AM3" s="14"/>
      <c r="AN3" s="14"/>
      <c r="AO3" s="14"/>
      <c r="AP3" s="14"/>
      <c r="AQ3" s="13"/>
      <c r="AR3" s="13"/>
      <c r="AS3" s="13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3"/>
      <c r="BE3" s="13"/>
      <c r="BF3" s="13"/>
      <c r="BG3" s="13"/>
      <c r="BH3" s="13"/>
      <c r="BI3" s="13"/>
      <c r="BJ3" s="13"/>
      <c r="BK3" s="13"/>
      <c r="BL3" s="13"/>
      <c r="BM3" s="13"/>
    </row>
    <row r="4" ht="15.75" customHeight="1">
      <c r="A4" s="10" t="str">
        <f t="shared" ref="A4:A296" si="2">TEXT(B4,"MMMM-YY")</f>
        <v>December-99</v>
      </c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</row>
    <row r="5" ht="15.75" customHeight="1">
      <c r="A5" s="10" t="str">
        <f t="shared" si="2"/>
        <v>December-99</v>
      </c>
      <c r="B5" s="16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</row>
    <row r="6" ht="15.75" customHeight="1">
      <c r="A6" s="10" t="str">
        <f t="shared" si="2"/>
        <v>December-99</v>
      </c>
      <c r="B6" s="16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ht="15.75" customHeight="1">
      <c r="A7" s="10" t="str">
        <f t="shared" si="2"/>
        <v>December-99</v>
      </c>
      <c r="B7" s="16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</row>
    <row r="8" ht="15.75" customHeight="1">
      <c r="A8" s="10" t="str">
        <f t="shared" si="2"/>
        <v>December-99</v>
      </c>
      <c r="B8" s="16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</row>
    <row r="9" ht="15.75" customHeight="1">
      <c r="A9" s="10" t="str">
        <f t="shared" si="2"/>
        <v>December-99</v>
      </c>
      <c r="B9" s="16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</row>
    <row r="10" ht="15.75" customHeight="1">
      <c r="A10" s="10" t="str">
        <f t="shared" si="2"/>
        <v>December-99</v>
      </c>
      <c r="B10" s="16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</row>
    <row r="11" ht="15.75" customHeight="1">
      <c r="A11" s="10" t="str">
        <f t="shared" si="2"/>
        <v>December-99</v>
      </c>
      <c r="B11" s="16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</row>
    <row r="12" ht="15.75" customHeight="1">
      <c r="A12" s="10" t="str">
        <f t="shared" si="2"/>
        <v>December-99</v>
      </c>
      <c r="B12" s="16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ht="15.75" customHeight="1">
      <c r="A13" s="10" t="str">
        <f t="shared" si="2"/>
        <v>December-99</v>
      </c>
      <c r="B13" s="1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ht="15.75" customHeight="1">
      <c r="A14" s="10" t="str">
        <f t="shared" si="2"/>
        <v>December-99</v>
      </c>
      <c r="B14" s="1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ht="15.75" customHeight="1">
      <c r="A15" s="10" t="str">
        <f t="shared" si="2"/>
        <v>December-99</v>
      </c>
      <c r="B15" s="16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</row>
    <row r="16" ht="15.75" customHeight="1">
      <c r="A16" s="10" t="str">
        <f t="shared" si="2"/>
        <v>December-99</v>
      </c>
      <c r="B16" s="16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</row>
    <row r="17" ht="15.75" customHeight="1">
      <c r="A17" s="10" t="str">
        <f t="shared" si="2"/>
        <v>December-99</v>
      </c>
      <c r="B17" s="16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</row>
    <row r="18" ht="15.75" customHeight="1">
      <c r="A18" s="10" t="str">
        <f t="shared" si="2"/>
        <v>December-99</v>
      </c>
      <c r="B18" s="16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</row>
    <row r="19" ht="15.75" customHeight="1">
      <c r="A19" s="10" t="str">
        <f t="shared" si="2"/>
        <v>December-99</v>
      </c>
      <c r="B19" s="16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</row>
    <row r="20" ht="15.75" customHeight="1">
      <c r="A20" s="10" t="str">
        <f t="shared" si="2"/>
        <v>December-99</v>
      </c>
      <c r="B20" s="16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ht="15.75" customHeight="1">
      <c r="A21" s="10" t="str">
        <f t="shared" si="2"/>
        <v>December-99</v>
      </c>
      <c r="B21" s="16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</row>
    <row r="22" ht="15.75" customHeight="1">
      <c r="A22" s="10" t="str">
        <f t="shared" si="2"/>
        <v>December-99</v>
      </c>
      <c r="B22" s="16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</row>
    <row r="23" ht="15.75" customHeight="1">
      <c r="A23" s="10" t="str">
        <f t="shared" si="2"/>
        <v>December-99</v>
      </c>
      <c r="B23" s="16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</row>
    <row r="24" ht="15.75" customHeight="1">
      <c r="A24" s="10" t="str">
        <f t="shared" si="2"/>
        <v>December-99</v>
      </c>
      <c r="B24" s="16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</row>
    <row r="25" ht="15.75" customHeight="1">
      <c r="A25" s="10" t="str">
        <f t="shared" si="2"/>
        <v>December-99</v>
      </c>
      <c r="B25" s="16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</row>
    <row r="26" ht="15.75" customHeight="1">
      <c r="A26" s="10" t="str">
        <f t="shared" si="2"/>
        <v>December-99</v>
      </c>
      <c r="B26" s="16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</row>
    <row r="27" ht="15.75" customHeight="1">
      <c r="A27" s="10" t="str">
        <f t="shared" si="2"/>
        <v>December-99</v>
      </c>
      <c r="B27" s="16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</row>
    <row r="28" ht="15.75" customHeight="1">
      <c r="A28" s="10" t="str">
        <f t="shared" si="2"/>
        <v>December-99</v>
      </c>
      <c r="B28" s="16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</row>
    <row r="29" ht="15.75" customHeight="1">
      <c r="A29" s="10" t="str">
        <f t="shared" si="2"/>
        <v>December-99</v>
      </c>
      <c r="B29" s="16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9"/>
      <c r="AR29" s="9"/>
      <c r="AS29" s="9"/>
      <c r="AT29" s="10"/>
      <c r="AU29" s="10"/>
      <c r="AV29" s="10"/>
      <c r="AW29" s="10"/>
      <c r="AX29" s="10"/>
      <c r="AY29" s="10"/>
      <c r="AZ29" s="10"/>
      <c r="BA29" s="10"/>
      <c r="BB29" s="10"/>
      <c r="BC29" s="10"/>
    </row>
    <row r="30" ht="15.75" customHeight="1">
      <c r="A30" s="10" t="str">
        <f t="shared" si="2"/>
        <v>December-99</v>
      </c>
      <c r="B30" s="16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9"/>
      <c r="AR30" s="9"/>
      <c r="AS30" s="9"/>
      <c r="AT30" s="10"/>
      <c r="AU30" s="10"/>
      <c r="AV30" s="10"/>
      <c r="AW30" s="10"/>
      <c r="AX30" s="10"/>
      <c r="AY30" s="10"/>
      <c r="AZ30" s="10"/>
      <c r="BA30" s="10"/>
      <c r="BB30" s="10"/>
      <c r="BC30" s="10"/>
    </row>
    <row r="31" ht="15.75" customHeight="1">
      <c r="A31" s="10" t="str">
        <f t="shared" si="2"/>
        <v>December-99</v>
      </c>
      <c r="B31" s="16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9"/>
      <c r="AR31" s="9"/>
      <c r="AS31" s="9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ht="15.75" customHeight="1">
      <c r="A32" s="10" t="str">
        <f t="shared" si="2"/>
        <v>December-99</v>
      </c>
      <c r="B32" s="16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9"/>
      <c r="AR32" s="9"/>
      <c r="AS32" s="9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ht="15.75" customHeight="1">
      <c r="A33" s="10" t="str">
        <f t="shared" si="2"/>
        <v>December-99</v>
      </c>
      <c r="B33" s="16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9"/>
      <c r="AR33" s="9"/>
      <c r="AS33" s="9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ht="15.75" customHeight="1">
      <c r="A34" s="10" t="str">
        <f t="shared" si="2"/>
        <v>December-99</v>
      </c>
      <c r="B34" s="16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9"/>
      <c r="AR34" s="9"/>
      <c r="AS34" s="9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ht="15.75" customHeight="1">
      <c r="A35" s="10" t="str">
        <f t="shared" si="2"/>
        <v>December-99</v>
      </c>
      <c r="B35" s="1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9"/>
      <c r="AR35" s="9"/>
      <c r="AS35" s="9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  <row r="36" ht="15.75" customHeight="1">
      <c r="A36" s="10" t="str">
        <f t="shared" si="2"/>
        <v>December-99</v>
      </c>
      <c r="B36" s="16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9"/>
      <c r="AR36" s="9"/>
      <c r="AS36" s="9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ht="15.75" customHeight="1">
      <c r="A37" s="10" t="str">
        <f t="shared" si="2"/>
        <v>December-99</v>
      </c>
      <c r="B37" s="16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9"/>
      <c r="AR37" s="9"/>
      <c r="AS37" s="9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ht="15.75" customHeight="1">
      <c r="A38" s="10" t="str">
        <f t="shared" si="2"/>
        <v>December-99</v>
      </c>
      <c r="B38" s="16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9"/>
      <c r="AR38" s="9"/>
      <c r="AS38" s="9"/>
      <c r="AT38" s="10"/>
      <c r="AU38" s="10"/>
      <c r="AV38" s="10"/>
      <c r="AW38" s="10"/>
      <c r="AX38" s="10"/>
      <c r="AY38" s="10"/>
      <c r="AZ38" s="10"/>
      <c r="BA38" s="10"/>
      <c r="BB38" s="10"/>
      <c r="BC38" s="10"/>
    </row>
    <row r="39" ht="15.75" customHeight="1">
      <c r="A39" s="10" t="str">
        <f t="shared" si="2"/>
        <v>December-99</v>
      </c>
      <c r="B39" s="16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9"/>
      <c r="AR39" s="9"/>
      <c r="AS39" s="9"/>
      <c r="AT39" s="10"/>
      <c r="AU39" s="10"/>
      <c r="AV39" s="10"/>
      <c r="AW39" s="10"/>
      <c r="AX39" s="10"/>
      <c r="AY39" s="10"/>
      <c r="AZ39" s="10"/>
      <c r="BA39" s="10"/>
      <c r="BB39" s="10"/>
      <c r="BC39" s="10"/>
    </row>
    <row r="40" ht="15.75" customHeight="1">
      <c r="A40" s="10" t="str">
        <f t="shared" si="2"/>
        <v>December-99</v>
      </c>
      <c r="B40" s="16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9"/>
      <c r="AR40" s="9"/>
      <c r="AS40" s="9"/>
      <c r="AT40" s="10"/>
      <c r="AU40" s="10"/>
      <c r="AV40" s="10"/>
      <c r="AW40" s="10"/>
      <c r="AX40" s="10"/>
      <c r="AY40" s="10"/>
      <c r="AZ40" s="10"/>
      <c r="BA40" s="10"/>
      <c r="BB40" s="10"/>
      <c r="BC40" s="10"/>
    </row>
    <row r="41" ht="15.75" customHeight="1">
      <c r="A41" s="10" t="str">
        <f t="shared" si="2"/>
        <v>December-99</v>
      </c>
      <c r="B41" s="1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9"/>
      <c r="AR41" s="9"/>
      <c r="AS41" s="9"/>
      <c r="AT41" s="10"/>
      <c r="AU41" s="10"/>
      <c r="AV41" s="10"/>
      <c r="AW41" s="10"/>
      <c r="AX41" s="10"/>
      <c r="AY41" s="10"/>
      <c r="AZ41" s="10"/>
      <c r="BA41" s="10"/>
      <c r="BB41" s="10"/>
      <c r="BC41" s="10"/>
    </row>
    <row r="42" ht="15.75" customHeight="1">
      <c r="A42" s="10" t="str">
        <f t="shared" si="2"/>
        <v>December-99</v>
      </c>
      <c r="B42" s="16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9"/>
      <c r="AR42" s="9"/>
      <c r="AS42" s="9"/>
      <c r="AT42" s="10"/>
      <c r="AU42" s="10"/>
      <c r="AV42" s="10"/>
      <c r="AW42" s="10"/>
      <c r="AX42" s="10"/>
      <c r="AY42" s="10"/>
      <c r="AZ42" s="10"/>
      <c r="BA42" s="10"/>
      <c r="BB42" s="10"/>
      <c r="BC42" s="10"/>
    </row>
    <row r="43" ht="15.75" customHeight="1">
      <c r="A43" s="10" t="str">
        <f t="shared" si="2"/>
        <v>December-99</v>
      </c>
      <c r="B43" s="16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9"/>
      <c r="AR43" s="9"/>
      <c r="AS43" s="9"/>
      <c r="AT43" s="10"/>
      <c r="AU43" s="10"/>
      <c r="AV43" s="10"/>
      <c r="AW43" s="10"/>
      <c r="AX43" s="10"/>
      <c r="AY43" s="10"/>
      <c r="AZ43" s="10"/>
      <c r="BA43" s="10"/>
      <c r="BB43" s="10"/>
      <c r="BC43" s="10"/>
    </row>
    <row r="44" ht="15.75" customHeight="1">
      <c r="A44" s="10" t="str">
        <f t="shared" si="2"/>
        <v>December-99</v>
      </c>
      <c r="B44" s="16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9"/>
      <c r="AR44" s="9"/>
      <c r="AS44" s="9"/>
      <c r="AT44" s="10"/>
      <c r="AU44" s="10"/>
      <c r="AV44" s="10"/>
      <c r="AW44" s="10"/>
      <c r="AX44" s="10"/>
      <c r="AY44" s="10"/>
      <c r="AZ44" s="10"/>
      <c r="BA44" s="10"/>
      <c r="BB44" s="10"/>
      <c r="BC44" s="10"/>
    </row>
    <row r="45" ht="15.75" customHeight="1">
      <c r="A45" s="10" t="str">
        <f t="shared" si="2"/>
        <v>December-99</v>
      </c>
      <c r="B45" s="16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9"/>
      <c r="AR45" s="9"/>
      <c r="AS45" s="9"/>
      <c r="AT45" s="10"/>
      <c r="AU45" s="10"/>
      <c r="AV45" s="10"/>
      <c r="AW45" s="10"/>
      <c r="AX45" s="10"/>
      <c r="AY45" s="10"/>
      <c r="AZ45" s="10"/>
      <c r="BA45" s="10"/>
      <c r="BB45" s="10"/>
      <c r="BC45" s="10"/>
    </row>
    <row r="46" ht="15.75" customHeight="1">
      <c r="A46" s="10" t="str">
        <f t="shared" si="2"/>
        <v>December-99</v>
      </c>
      <c r="B46" s="16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9"/>
      <c r="AR46" s="9"/>
      <c r="AS46" s="9"/>
      <c r="AT46" s="10"/>
      <c r="AU46" s="10"/>
      <c r="AV46" s="10"/>
      <c r="AW46" s="10"/>
      <c r="AX46" s="10"/>
      <c r="AY46" s="10"/>
      <c r="AZ46" s="10"/>
      <c r="BA46" s="10"/>
      <c r="BB46" s="10"/>
      <c r="BC46" s="10"/>
    </row>
    <row r="47" ht="15.75" customHeight="1">
      <c r="A47" s="10" t="str">
        <f t="shared" si="2"/>
        <v>December-99</v>
      </c>
      <c r="B47" s="16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9"/>
      <c r="AR47" s="9"/>
      <c r="AS47" s="9"/>
      <c r="AT47" s="10"/>
      <c r="AU47" s="10"/>
      <c r="AV47" s="10"/>
      <c r="AW47" s="10"/>
      <c r="AX47" s="10"/>
      <c r="AY47" s="10"/>
      <c r="AZ47" s="10"/>
      <c r="BA47" s="10"/>
      <c r="BB47" s="10"/>
      <c r="BC47" s="10"/>
    </row>
    <row r="48" ht="15.75" customHeight="1">
      <c r="A48" s="10" t="str">
        <f t="shared" si="2"/>
        <v>December-99</v>
      </c>
      <c r="B48" s="16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9"/>
      <c r="AR48" s="9"/>
      <c r="AS48" s="9"/>
      <c r="AT48" s="10"/>
      <c r="AU48" s="10"/>
      <c r="AV48" s="10"/>
      <c r="AW48" s="10"/>
      <c r="AX48" s="10"/>
      <c r="AY48" s="10"/>
      <c r="AZ48" s="10"/>
      <c r="BA48" s="10"/>
      <c r="BB48" s="10"/>
      <c r="BC48" s="10"/>
    </row>
    <row r="49" ht="15.75" customHeight="1">
      <c r="A49" s="10" t="str">
        <f t="shared" si="2"/>
        <v>December-99</v>
      </c>
      <c r="B49" s="16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9"/>
      <c r="AR49" s="9"/>
      <c r="AS49" s="9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ht="15.75" customHeight="1">
      <c r="A50" s="10" t="str">
        <f t="shared" si="2"/>
        <v>December-99</v>
      </c>
      <c r="B50" s="16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9"/>
      <c r="AR50" s="9"/>
      <c r="AS50" s="9"/>
      <c r="AT50" s="10"/>
      <c r="AU50" s="10"/>
      <c r="AV50" s="10"/>
      <c r="AW50" s="10"/>
      <c r="AX50" s="10"/>
      <c r="AY50" s="10"/>
      <c r="AZ50" s="10"/>
      <c r="BA50" s="10"/>
      <c r="BB50" s="10"/>
      <c r="BC50" s="10"/>
    </row>
    <row r="51" ht="15.75" customHeight="1">
      <c r="A51" s="10" t="str">
        <f t="shared" si="2"/>
        <v>December-99</v>
      </c>
      <c r="B51" s="16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9"/>
      <c r="AR51" s="9"/>
      <c r="AS51" s="9"/>
      <c r="AT51" s="10"/>
      <c r="AU51" s="10"/>
      <c r="AV51" s="10"/>
      <c r="AW51" s="10"/>
      <c r="AX51" s="10"/>
      <c r="AY51" s="10"/>
      <c r="AZ51" s="10"/>
      <c r="BA51" s="10"/>
      <c r="BB51" s="10"/>
      <c r="BC51" s="10"/>
    </row>
    <row r="52" ht="15.75" customHeight="1">
      <c r="A52" s="10" t="str">
        <f t="shared" si="2"/>
        <v>December-99</v>
      </c>
      <c r="B52" s="16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9"/>
      <c r="AR52" s="9"/>
      <c r="AS52" s="9"/>
      <c r="AT52" s="10"/>
      <c r="AU52" s="10"/>
      <c r="AV52" s="10"/>
      <c r="AW52" s="10"/>
      <c r="AX52" s="10"/>
      <c r="AY52" s="10"/>
      <c r="AZ52" s="10"/>
      <c r="BA52" s="10"/>
      <c r="BB52" s="10"/>
      <c r="BC52" s="10"/>
    </row>
    <row r="53" ht="15.75" customHeight="1">
      <c r="A53" s="10" t="str">
        <f t="shared" si="2"/>
        <v>December-99</v>
      </c>
      <c r="B53" s="16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9"/>
      <c r="AR53" s="9"/>
      <c r="AS53" s="9"/>
      <c r="AT53" s="10"/>
      <c r="AU53" s="10"/>
      <c r="AV53" s="10"/>
      <c r="AW53" s="10"/>
      <c r="AX53" s="10"/>
      <c r="AY53" s="10"/>
      <c r="AZ53" s="10"/>
      <c r="BA53" s="10"/>
      <c r="BB53" s="10"/>
      <c r="BC53" s="10"/>
    </row>
    <row r="54" ht="15.75" customHeight="1">
      <c r="A54" s="10" t="str">
        <f t="shared" si="2"/>
        <v>December-99</v>
      </c>
      <c r="B54" s="16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9"/>
      <c r="AR54" s="9"/>
      <c r="AS54" s="9"/>
      <c r="AT54" s="10"/>
      <c r="AU54" s="10"/>
      <c r="AV54" s="10"/>
      <c r="AW54" s="10"/>
      <c r="AX54" s="10"/>
      <c r="AY54" s="10"/>
      <c r="AZ54" s="10"/>
      <c r="BA54" s="10"/>
      <c r="BB54" s="10"/>
      <c r="BC54" s="10"/>
    </row>
    <row r="55" ht="15.75" customHeight="1">
      <c r="A55" s="10" t="str">
        <f t="shared" si="2"/>
        <v>December-99</v>
      </c>
      <c r="B55" s="16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9"/>
      <c r="AR55" s="9"/>
      <c r="AS55" s="9"/>
      <c r="AT55" s="10"/>
      <c r="AU55" s="10"/>
      <c r="AV55" s="10"/>
      <c r="AW55" s="10"/>
      <c r="AX55" s="10"/>
      <c r="AY55" s="10"/>
      <c r="AZ55" s="10"/>
      <c r="BA55" s="10"/>
      <c r="BB55" s="10"/>
      <c r="BC55" s="10"/>
    </row>
    <row r="56" ht="15.75" customHeight="1">
      <c r="A56" s="10" t="str">
        <f t="shared" si="2"/>
        <v>December-99</v>
      </c>
      <c r="B56" s="16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9"/>
      <c r="AR56" s="9"/>
      <c r="AS56" s="9"/>
      <c r="AT56" s="10"/>
      <c r="AU56" s="10"/>
      <c r="AV56" s="10"/>
      <c r="AW56" s="10"/>
      <c r="AX56" s="10"/>
      <c r="AY56" s="10"/>
      <c r="AZ56" s="10"/>
      <c r="BA56" s="10"/>
      <c r="BB56" s="10"/>
      <c r="BC56" s="10"/>
    </row>
    <row r="57" ht="15.75" customHeight="1">
      <c r="A57" s="10" t="str">
        <f t="shared" si="2"/>
        <v>December-99</v>
      </c>
      <c r="B57" s="16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9"/>
      <c r="AR57" s="9"/>
      <c r="AS57" s="9"/>
      <c r="AT57" s="10"/>
      <c r="AU57" s="10"/>
      <c r="AV57" s="10"/>
      <c r="AW57" s="10"/>
      <c r="AX57" s="10"/>
      <c r="AY57" s="10"/>
      <c r="AZ57" s="10"/>
      <c r="BA57" s="10"/>
      <c r="BB57" s="10"/>
      <c r="BC57" s="10"/>
    </row>
    <row r="58" ht="15.75" customHeight="1">
      <c r="A58" s="10" t="str">
        <f t="shared" si="2"/>
        <v>December-99</v>
      </c>
      <c r="B58" s="16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9"/>
      <c r="AR58" s="9"/>
      <c r="AS58" s="9"/>
      <c r="AT58" s="10"/>
      <c r="AU58" s="10"/>
      <c r="AV58" s="10"/>
      <c r="AW58" s="10"/>
      <c r="AX58" s="10"/>
      <c r="AY58" s="10"/>
      <c r="AZ58" s="10"/>
      <c r="BA58" s="10"/>
      <c r="BB58" s="10"/>
      <c r="BC58" s="10"/>
    </row>
    <row r="59" ht="15.75" customHeight="1">
      <c r="A59" s="10" t="str">
        <f t="shared" si="2"/>
        <v>December-99</v>
      </c>
      <c r="B59" s="16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9"/>
      <c r="AR59" s="9"/>
      <c r="AS59" s="9"/>
      <c r="AT59" s="10"/>
      <c r="AU59" s="10"/>
      <c r="AV59" s="10"/>
      <c r="AW59" s="10"/>
      <c r="AX59" s="10"/>
      <c r="AY59" s="10"/>
      <c r="AZ59" s="10"/>
      <c r="BA59" s="10"/>
      <c r="BB59" s="10"/>
      <c r="BC59" s="10"/>
    </row>
    <row r="60" ht="15.75" customHeight="1">
      <c r="A60" s="10" t="str">
        <f t="shared" si="2"/>
        <v>December-99</v>
      </c>
      <c r="B60" s="16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9"/>
      <c r="AR60" s="9"/>
      <c r="AS60" s="9"/>
      <c r="AT60" s="10"/>
      <c r="AU60" s="10"/>
      <c r="AV60" s="10"/>
      <c r="AW60" s="10"/>
      <c r="AX60" s="10"/>
      <c r="AY60" s="10"/>
      <c r="AZ60" s="10"/>
      <c r="BA60" s="10"/>
      <c r="BB60" s="10"/>
      <c r="BC60" s="10"/>
    </row>
    <row r="61" ht="15.75" customHeight="1">
      <c r="A61" s="10" t="str">
        <f t="shared" si="2"/>
        <v>December-99</v>
      </c>
      <c r="B61" s="16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9"/>
      <c r="AR61" s="9"/>
      <c r="AS61" s="9"/>
      <c r="AT61" s="10"/>
      <c r="AU61" s="10"/>
      <c r="AV61" s="10"/>
      <c r="AW61" s="10"/>
      <c r="AX61" s="10"/>
      <c r="AY61" s="10"/>
      <c r="AZ61" s="10"/>
      <c r="BA61" s="10"/>
      <c r="BB61" s="10"/>
      <c r="BC61" s="10"/>
    </row>
    <row r="62" ht="15.75" customHeight="1">
      <c r="A62" s="10" t="str">
        <f t="shared" si="2"/>
        <v>December-99</v>
      </c>
      <c r="B62" s="16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9"/>
      <c r="AR62" s="9"/>
      <c r="AS62" s="9"/>
      <c r="AT62" s="10"/>
      <c r="AU62" s="10"/>
      <c r="AV62" s="10"/>
      <c r="AW62" s="10"/>
      <c r="AX62" s="10"/>
      <c r="AY62" s="10"/>
      <c r="AZ62" s="10"/>
      <c r="BA62" s="10"/>
      <c r="BB62" s="10"/>
      <c r="BC62" s="10"/>
    </row>
    <row r="63" ht="15.75" customHeight="1">
      <c r="A63" s="10" t="str">
        <f t="shared" si="2"/>
        <v>December-99</v>
      </c>
      <c r="B63" s="16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9"/>
      <c r="AR63" s="9"/>
      <c r="AS63" s="9"/>
      <c r="AT63" s="10"/>
      <c r="AU63" s="10"/>
      <c r="AV63" s="10"/>
      <c r="AW63" s="10"/>
      <c r="AX63" s="10"/>
      <c r="AY63" s="10"/>
      <c r="AZ63" s="10"/>
      <c r="BA63" s="10"/>
      <c r="BB63" s="10"/>
      <c r="BC63" s="10"/>
    </row>
    <row r="64" ht="15.75" customHeight="1">
      <c r="A64" s="10" t="str">
        <f t="shared" si="2"/>
        <v>December-99</v>
      </c>
      <c r="B64" s="16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9"/>
      <c r="AR64" s="9"/>
      <c r="AS64" s="9"/>
      <c r="AT64" s="10"/>
      <c r="AU64" s="10"/>
      <c r="AV64" s="10"/>
      <c r="AW64" s="10"/>
      <c r="AX64" s="10"/>
      <c r="AY64" s="10"/>
      <c r="AZ64" s="10"/>
      <c r="BA64" s="10"/>
      <c r="BB64" s="10"/>
      <c r="BC64" s="10"/>
    </row>
    <row r="65" ht="15.75" customHeight="1">
      <c r="A65" s="10" t="str">
        <f t="shared" si="2"/>
        <v>December-99</v>
      </c>
      <c r="B65" s="16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9"/>
      <c r="AR65" s="9"/>
      <c r="AS65" s="9"/>
      <c r="AT65" s="10"/>
      <c r="AU65" s="10"/>
      <c r="AV65" s="10"/>
      <c r="AW65" s="10"/>
      <c r="AX65" s="10"/>
      <c r="AY65" s="10"/>
      <c r="AZ65" s="10"/>
      <c r="BA65" s="10"/>
      <c r="BB65" s="10"/>
      <c r="BC65" s="10"/>
    </row>
    <row r="66" ht="15.75" customHeight="1">
      <c r="A66" s="10" t="str">
        <f t="shared" si="2"/>
        <v>December-99</v>
      </c>
      <c r="B66" s="16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9"/>
      <c r="AR66" s="9"/>
      <c r="AS66" s="9"/>
      <c r="AT66" s="10"/>
      <c r="AU66" s="10"/>
      <c r="AV66" s="10"/>
      <c r="AW66" s="10"/>
      <c r="AX66" s="10"/>
      <c r="AY66" s="10"/>
      <c r="AZ66" s="10"/>
      <c r="BA66" s="10"/>
      <c r="BB66" s="10"/>
      <c r="BC66" s="10"/>
    </row>
    <row r="67" ht="15.75" customHeight="1">
      <c r="A67" s="10" t="str">
        <f t="shared" si="2"/>
        <v>December-99</v>
      </c>
      <c r="B67" s="16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9"/>
      <c r="AR67" s="9"/>
      <c r="AS67" s="9"/>
      <c r="AT67" s="10"/>
      <c r="AU67" s="10"/>
      <c r="AV67" s="10"/>
      <c r="AW67" s="10"/>
      <c r="AX67" s="10"/>
      <c r="AY67" s="10"/>
      <c r="AZ67" s="10"/>
      <c r="BA67" s="10"/>
      <c r="BB67" s="10"/>
      <c r="BC67" s="10"/>
    </row>
    <row r="68" ht="15.75" customHeight="1">
      <c r="A68" s="10" t="str">
        <f t="shared" si="2"/>
        <v>December-99</v>
      </c>
      <c r="B68" s="16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9"/>
      <c r="AR68" s="9"/>
      <c r="AS68" s="9"/>
      <c r="AT68" s="10"/>
      <c r="AU68" s="10"/>
      <c r="AV68" s="10"/>
      <c r="AW68" s="10"/>
      <c r="AX68" s="10"/>
      <c r="AY68" s="10"/>
      <c r="AZ68" s="10"/>
      <c r="BA68" s="10"/>
      <c r="BB68" s="10"/>
      <c r="BC68" s="10"/>
    </row>
    <row r="69" ht="15.75" customHeight="1">
      <c r="A69" s="10" t="str">
        <f t="shared" si="2"/>
        <v>December-99</v>
      </c>
      <c r="B69" s="16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9"/>
      <c r="AR69" s="9"/>
      <c r="AS69" s="9"/>
      <c r="AT69" s="10"/>
      <c r="AU69" s="10"/>
      <c r="AV69" s="10"/>
      <c r="AW69" s="10"/>
      <c r="AX69" s="10"/>
      <c r="AY69" s="10"/>
      <c r="AZ69" s="10"/>
      <c r="BA69" s="10"/>
      <c r="BB69" s="10"/>
      <c r="BC69" s="10"/>
    </row>
    <row r="70" ht="15.75" customHeight="1">
      <c r="A70" s="10" t="str">
        <f t="shared" si="2"/>
        <v>December-99</v>
      </c>
      <c r="B70" s="16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9"/>
      <c r="AR70" s="9"/>
      <c r="AS70" s="9"/>
      <c r="AT70" s="10"/>
      <c r="AU70" s="10"/>
      <c r="AV70" s="10"/>
      <c r="AW70" s="10"/>
      <c r="AX70" s="10"/>
      <c r="AY70" s="10"/>
      <c r="AZ70" s="10"/>
      <c r="BA70" s="10"/>
      <c r="BB70" s="10"/>
      <c r="BC70" s="10"/>
    </row>
    <row r="71" ht="15.75" customHeight="1">
      <c r="A71" s="10" t="str">
        <f t="shared" si="2"/>
        <v>December-99</v>
      </c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9"/>
      <c r="AR71" s="9"/>
      <c r="AS71" s="9"/>
      <c r="AT71" s="10"/>
      <c r="AU71" s="10"/>
      <c r="AV71" s="10"/>
      <c r="AW71" s="10"/>
      <c r="AX71" s="10"/>
      <c r="AY71" s="10"/>
      <c r="AZ71" s="10"/>
      <c r="BA71" s="10"/>
      <c r="BB71" s="10"/>
      <c r="BC71" s="10"/>
    </row>
    <row r="72" ht="15.75" customHeight="1">
      <c r="A72" s="10" t="str">
        <f t="shared" si="2"/>
        <v>December-99</v>
      </c>
      <c r="B72" s="16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9"/>
      <c r="AR72" s="9"/>
      <c r="AS72" s="9"/>
      <c r="AT72" s="10"/>
      <c r="AU72" s="10"/>
      <c r="AV72" s="10"/>
      <c r="AW72" s="10"/>
      <c r="AX72" s="10"/>
      <c r="AY72" s="10"/>
      <c r="AZ72" s="10"/>
      <c r="BA72" s="10"/>
      <c r="BB72" s="10"/>
      <c r="BC72" s="10"/>
    </row>
    <row r="73" ht="15.75" customHeight="1">
      <c r="A73" s="10" t="str">
        <f t="shared" si="2"/>
        <v>December-99</v>
      </c>
      <c r="B73" s="16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9"/>
      <c r="AR73" s="9"/>
      <c r="AS73" s="9"/>
      <c r="AT73" s="10"/>
      <c r="AU73" s="10"/>
      <c r="AV73" s="10"/>
      <c r="AW73" s="10"/>
      <c r="AX73" s="10"/>
      <c r="AY73" s="10"/>
      <c r="AZ73" s="10"/>
      <c r="BA73" s="10"/>
      <c r="BB73" s="10"/>
      <c r="BC73" s="10"/>
    </row>
    <row r="74" ht="15.75" customHeight="1">
      <c r="A74" s="10" t="str">
        <f t="shared" si="2"/>
        <v>December-99</v>
      </c>
      <c r="B74" s="16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9"/>
      <c r="AR74" s="9"/>
      <c r="AS74" s="9"/>
      <c r="AT74" s="10"/>
      <c r="AU74" s="10"/>
      <c r="AV74" s="10"/>
      <c r="AW74" s="10"/>
      <c r="AX74" s="10"/>
      <c r="AY74" s="10"/>
      <c r="AZ74" s="10"/>
      <c r="BA74" s="10"/>
      <c r="BB74" s="10"/>
      <c r="BC74" s="10"/>
    </row>
    <row r="75" ht="15.75" customHeight="1">
      <c r="A75" s="10" t="str">
        <f t="shared" si="2"/>
        <v>December-99</v>
      </c>
      <c r="B75" s="16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9"/>
      <c r="AR75" s="9"/>
      <c r="AS75" s="9"/>
      <c r="AT75" s="10"/>
      <c r="AU75" s="10"/>
      <c r="AV75" s="10"/>
      <c r="AW75" s="10"/>
      <c r="AX75" s="10"/>
      <c r="AY75" s="10"/>
      <c r="AZ75" s="10"/>
      <c r="BA75" s="10"/>
      <c r="BB75" s="10"/>
      <c r="BC75" s="10"/>
    </row>
    <row r="76" ht="15.75" customHeight="1">
      <c r="A76" s="10" t="str">
        <f t="shared" si="2"/>
        <v>December-99</v>
      </c>
      <c r="B76" s="16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9"/>
      <c r="AR76" s="9"/>
      <c r="AS76" s="9"/>
      <c r="AT76" s="10"/>
      <c r="AU76" s="10"/>
      <c r="AV76" s="10"/>
      <c r="AW76" s="10"/>
      <c r="AX76" s="10"/>
      <c r="AY76" s="10"/>
      <c r="AZ76" s="10"/>
      <c r="BA76" s="10"/>
      <c r="BB76" s="10"/>
      <c r="BC76" s="10"/>
    </row>
    <row r="77" ht="15.75" customHeight="1">
      <c r="A77" s="10" t="str">
        <f t="shared" si="2"/>
        <v>December-99</v>
      </c>
      <c r="B77" s="16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9"/>
      <c r="AR77" s="9"/>
      <c r="AS77" s="9"/>
      <c r="AT77" s="10"/>
      <c r="AU77" s="10"/>
      <c r="AV77" s="10"/>
      <c r="AW77" s="10"/>
      <c r="AX77" s="10"/>
      <c r="AY77" s="10"/>
      <c r="AZ77" s="10"/>
      <c r="BA77" s="10"/>
      <c r="BB77" s="10"/>
      <c r="BC77" s="10"/>
    </row>
    <row r="78" ht="15.75" customHeight="1">
      <c r="A78" s="10" t="str">
        <f t="shared" si="2"/>
        <v>December-99</v>
      </c>
      <c r="B78" s="16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9"/>
      <c r="AR78" s="9"/>
      <c r="AS78" s="9"/>
      <c r="AT78" s="10"/>
      <c r="AU78" s="10"/>
      <c r="AV78" s="10"/>
      <c r="AW78" s="10"/>
      <c r="AX78" s="10"/>
      <c r="AY78" s="10"/>
      <c r="AZ78" s="10"/>
      <c r="BA78" s="10"/>
      <c r="BB78" s="10"/>
      <c r="BC78" s="10"/>
    </row>
    <row r="79" ht="15.75" customHeight="1">
      <c r="A79" s="10" t="str">
        <f t="shared" si="2"/>
        <v>December-99</v>
      </c>
      <c r="B79" s="16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9"/>
      <c r="AR79" s="9"/>
      <c r="AS79" s="9"/>
      <c r="AT79" s="10"/>
      <c r="AU79" s="10"/>
      <c r="AV79" s="10"/>
      <c r="AW79" s="10"/>
      <c r="AX79" s="10"/>
      <c r="AY79" s="10"/>
      <c r="AZ79" s="10"/>
      <c r="BA79" s="10"/>
      <c r="BB79" s="10"/>
      <c r="BC79" s="10"/>
    </row>
    <row r="80" ht="15.75" customHeight="1">
      <c r="A80" s="10" t="str">
        <f t="shared" si="2"/>
        <v>December-99</v>
      </c>
      <c r="B80" s="16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9"/>
      <c r="AR80" s="9"/>
      <c r="AS80" s="9"/>
      <c r="AT80" s="10"/>
      <c r="AU80" s="10"/>
      <c r="AV80" s="10"/>
      <c r="AW80" s="10"/>
      <c r="AX80" s="10"/>
      <c r="AY80" s="10"/>
      <c r="AZ80" s="10"/>
      <c r="BA80" s="10"/>
      <c r="BB80" s="10"/>
      <c r="BC80" s="10"/>
    </row>
    <row r="81" ht="15.75" customHeight="1">
      <c r="A81" s="10" t="str">
        <f t="shared" si="2"/>
        <v>December-99</v>
      </c>
      <c r="B81" s="16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9"/>
      <c r="AR81" s="9"/>
      <c r="AS81" s="9"/>
      <c r="AT81" s="10"/>
      <c r="AU81" s="10"/>
      <c r="AV81" s="10"/>
      <c r="AW81" s="10"/>
      <c r="AX81" s="10"/>
      <c r="AY81" s="10"/>
      <c r="AZ81" s="10"/>
      <c r="BA81" s="10"/>
      <c r="BB81" s="10"/>
      <c r="BC81" s="10"/>
    </row>
    <row r="82" ht="15.75" customHeight="1">
      <c r="A82" s="10" t="str">
        <f t="shared" si="2"/>
        <v>December-99</v>
      </c>
      <c r="B82" s="16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9"/>
      <c r="AR82" s="9"/>
      <c r="AS82" s="9"/>
      <c r="AT82" s="10"/>
      <c r="AU82" s="10"/>
      <c r="AV82" s="10"/>
      <c r="AW82" s="10"/>
      <c r="AX82" s="10"/>
      <c r="AY82" s="10"/>
      <c r="AZ82" s="10"/>
      <c r="BA82" s="10"/>
      <c r="BB82" s="10"/>
      <c r="BC82" s="10"/>
    </row>
    <row r="83" ht="15.75" customHeight="1">
      <c r="A83" s="10" t="str">
        <f t="shared" si="2"/>
        <v>December-99</v>
      </c>
      <c r="B83" s="16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9"/>
      <c r="AR83" s="9"/>
      <c r="AS83" s="9"/>
      <c r="AT83" s="10"/>
      <c r="AU83" s="10"/>
      <c r="AV83" s="10"/>
      <c r="AW83" s="10"/>
      <c r="AX83" s="10"/>
      <c r="AY83" s="10"/>
      <c r="AZ83" s="10"/>
      <c r="BA83" s="10"/>
      <c r="BB83" s="10"/>
      <c r="BC83" s="10"/>
    </row>
    <row r="84" ht="15.75" customHeight="1">
      <c r="A84" s="10" t="str">
        <f t="shared" si="2"/>
        <v>December-99</v>
      </c>
      <c r="B84" s="1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9"/>
      <c r="AR84" s="9"/>
      <c r="AS84" s="9"/>
      <c r="AT84" s="10"/>
      <c r="AU84" s="10"/>
      <c r="AV84" s="10"/>
      <c r="AW84" s="10"/>
      <c r="AX84" s="10"/>
      <c r="AY84" s="10"/>
      <c r="AZ84" s="10"/>
      <c r="BA84" s="10"/>
      <c r="BB84" s="10"/>
      <c r="BC84" s="10"/>
    </row>
    <row r="85" ht="15.75" customHeight="1">
      <c r="A85" s="10" t="str">
        <f t="shared" si="2"/>
        <v>December-99</v>
      </c>
      <c r="B85" s="1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9"/>
      <c r="AR85" s="9"/>
      <c r="AS85" s="9"/>
      <c r="AT85" s="10"/>
      <c r="AU85" s="10"/>
      <c r="AV85" s="10"/>
      <c r="AW85" s="10"/>
      <c r="AX85" s="10"/>
      <c r="AY85" s="10"/>
      <c r="AZ85" s="10"/>
      <c r="BA85" s="10"/>
      <c r="BB85" s="10"/>
      <c r="BC85" s="10"/>
    </row>
    <row r="86" ht="15.75" customHeight="1">
      <c r="A86" s="10" t="str">
        <f t="shared" si="2"/>
        <v>December-99</v>
      </c>
      <c r="B86" s="16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9"/>
      <c r="AR86" s="9"/>
      <c r="AS86" s="9"/>
      <c r="AT86" s="10"/>
      <c r="AU86" s="10"/>
      <c r="AV86" s="10"/>
      <c r="AW86" s="10"/>
      <c r="AX86" s="10"/>
      <c r="AY86" s="10"/>
      <c r="AZ86" s="10"/>
      <c r="BA86" s="10"/>
      <c r="BB86" s="10"/>
      <c r="BC86" s="10"/>
    </row>
    <row r="87" ht="15.75" customHeight="1">
      <c r="A87" s="10" t="str">
        <f t="shared" si="2"/>
        <v>December-99</v>
      </c>
      <c r="B87" s="16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9"/>
      <c r="AR87" s="9"/>
      <c r="AS87" s="9"/>
      <c r="AT87" s="10"/>
      <c r="AU87" s="10"/>
      <c r="AV87" s="10"/>
      <c r="AW87" s="10"/>
      <c r="AX87" s="10"/>
      <c r="AY87" s="10"/>
      <c r="AZ87" s="10"/>
      <c r="BA87" s="10"/>
      <c r="BB87" s="10"/>
      <c r="BC87" s="10"/>
    </row>
    <row r="88" ht="15.75" customHeight="1">
      <c r="A88" s="10" t="str">
        <f t="shared" si="2"/>
        <v>December-99</v>
      </c>
      <c r="B88" s="16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9"/>
      <c r="AR88" s="9"/>
      <c r="AS88" s="9"/>
      <c r="AT88" s="10"/>
      <c r="AU88" s="10"/>
      <c r="AV88" s="10"/>
      <c r="AW88" s="10"/>
      <c r="AX88" s="10"/>
      <c r="AY88" s="10"/>
      <c r="AZ88" s="10"/>
      <c r="BA88" s="10"/>
      <c r="BB88" s="10"/>
      <c r="BC88" s="10"/>
    </row>
    <row r="89" ht="15.75" customHeight="1">
      <c r="A89" s="10" t="str">
        <f t="shared" si="2"/>
        <v>December-99</v>
      </c>
      <c r="B89" s="16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9"/>
      <c r="AR89" s="9"/>
      <c r="AS89" s="9"/>
      <c r="AT89" s="10"/>
      <c r="AU89" s="10"/>
      <c r="AV89" s="10"/>
      <c r="AW89" s="10"/>
      <c r="AX89" s="10"/>
      <c r="AY89" s="10"/>
      <c r="AZ89" s="10"/>
      <c r="BA89" s="10"/>
      <c r="BB89" s="10"/>
      <c r="BC89" s="10"/>
    </row>
    <row r="90" ht="15.75" customHeight="1">
      <c r="A90" s="10" t="str">
        <f t="shared" si="2"/>
        <v>December-99</v>
      </c>
      <c r="B90" s="16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9"/>
      <c r="AR90" s="9"/>
      <c r="AS90" s="9"/>
      <c r="AT90" s="10"/>
      <c r="AU90" s="10"/>
      <c r="AV90" s="10"/>
      <c r="AW90" s="10"/>
      <c r="AX90" s="10"/>
      <c r="AY90" s="10"/>
      <c r="AZ90" s="10"/>
      <c r="BA90" s="10"/>
      <c r="BB90" s="10"/>
      <c r="BC90" s="10"/>
    </row>
    <row r="91" ht="15.75" customHeight="1">
      <c r="A91" s="10" t="str">
        <f t="shared" si="2"/>
        <v>December-99</v>
      </c>
      <c r="B91" s="16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9"/>
      <c r="AR91" s="9"/>
      <c r="AS91" s="9"/>
      <c r="AT91" s="10"/>
      <c r="AU91" s="10"/>
      <c r="AV91" s="10"/>
      <c r="AW91" s="10"/>
      <c r="AX91" s="10"/>
      <c r="AY91" s="10"/>
      <c r="AZ91" s="10"/>
      <c r="BA91" s="10"/>
      <c r="BB91" s="10"/>
      <c r="BC91" s="10"/>
    </row>
    <row r="92" ht="15.75" customHeight="1">
      <c r="A92" s="10" t="str">
        <f t="shared" si="2"/>
        <v>December-99</v>
      </c>
      <c r="B92" s="16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9"/>
      <c r="AR92" s="9"/>
      <c r="AS92" s="9"/>
      <c r="AT92" s="10"/>
      <c r="AU92" s="10"/>
      <c r="AV92" s="10"/>
      <c r="AW92" s="10"/>
      <c r="AX92" s="10"/>
      <c r="AY92" s="10"/>
      <c r="AZ92" s="10"/>
      <c r="BA92" s="10"/>
      <c r="BB92" s="10"/>
      <c r="BC92" s="10"/>
    </row>
    <row r="93" ht="15.75" customHeight="1">
      <c r="A93" s="10" t="str">
        <f t="shared" si="2"/>
        <v>December-99</v>
      </c>
      <c r="B93" s="16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9"/>
      <c r="AR93" s="9"/>
      <c r="AS93" s="9"/>
      <c r="AT93" s="10"/>
      <c r="AU93" s="10"/>
      <c r="AV93" s="10"/>
      <c r="AW93" s="10"/>
      <c r="AX93" s="10"/>
      <c r="AY93" s="10"/>
      <c r="AZ93" s="10"/>
      <c r="BA93" s="10"/>
      <c r="BB93" s="10"/>
      <c r="BC93" s="10"/>
    </row>
    <row r="94" ht="15.75" customHeight="1">
      <c r="A94" s="10" t="str">
        <f t="shared" si="2"/>
        <v>December-99</v>
      </c>
      <c r="B94" s="16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9"/>
      <c r="AR94" s="9"/>
      <c r="AS94" s="9"/>
      <c r="AT94" s="10"/>
      <c r="AU94" s="10"/>
      <c r="AV94" s="10"/>
      <c r="AW94" s="10"/>
      <c r="AX94" s="10"/>
      <c r="AY94" s="10"/>
      <c r="AZ94" s="10"/>
      <c r="BA94" s="10"/>
      <c r="BB94" s="10"/>
      <c r="BC94" s="10"/>
    </row>
    <row r="95" ht="15.75" customHeight="1">
      <c r="A95" s="10" t="str">
        <f t="shared" si="2"/>
        <v>December-99</v>
      </c>
      <c r="B95" s="16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9"/>
      <c r="AR95" s="9"/>
      <c r="AS95" s="9"/>
      <c r="AT95" s="10"/>
      <c r="AU95" s="10"/>
      <c r="AV95" s="10"/>
      <c r="AW95" s="10"/>
      <c r="AX95" s="10"/>
      <c r="AY95" s="10"/>
      <c r="AZ95" s="10"/>
      <c r="BA95" s="10"/>
      <c r="BB95" s="10"/>
      <c r="BC95" s="10"/>
    </row>
    <row r="96" ht="15.75" customHeight="1">
      <c r="A96" s="10" t="str">
        <f t="shared" si="2"/>
        <v>December-99</v>
      </c>
      <c r="B96" s="16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9"/>
      <c r="AR96" s="9"/>
      <c r="AS96" s="9"/>
      <c r="AT96" s="10"/>
      <c r="AU96" s="10"/>
      <c r="AV96" s="10"/>
      <c r="AW96" s="10"/>
      <c r="AX96" s="10"/>
      <c r="AY96" s="10"/>
      <c r="AZ96" s="10"/>
      <c r="BA96" s="10"/>
      <c r="BB96" s="10"/>
      <c r="BC96" s="10"/>
    </row>
    <row r="97" ht="15.75" customHeight="1">
      <c r="A97" s="10" t="str">
        <f t="shared" si="2"/>
        <v>December-99</v>
      </c>
      <c r="B97" s="16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9"/>
      <c r="AR97" s="9"/>
      <c r="AS97" s="9"/>
      <c r="AT97" s="10"/>
      <c r="AU97" s="10"/>
      <c r="AV97" s="10"/>
      <c r="AW97" s="10"/>
      <c r="AX97" s="10"/>
      <c r="AY97" s="10"/>
      <c r="AZ97" s="10"/>
      <c r="BA97" s="10"/>
      <c r="BB97" s="10"/>
      <c r="BC97" s="10"/>
    </row>
    <row r="98" ht="15.75" customHeight="1">
      <c r="A98" s="10" t="str">
        <f t="shared" si="2"/>
        <v>December-99</v>
      </c>
      <c r="B98" s="16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9"/>
      <c r="AR98" s="9"/>
      <c r="AS98" s="9"/>
      <c r="AT98" s="10"/>
      <c r="AU98" s="10"/>
      <c r="AV98" s="10"/>
      <c r="AW98" s="10"/>
      <c r="AX98" s="10"/>
      <c r="AY98" s="10"/>
      <c r="AZ98" s="10"/>
      <c r="BA98" s="10"/>
      <c r="BB98" s="10"/>
      <c r="BC98" s="10"/>
    </row>
    <row r="99" ht="15.75" customHeight="1">
      <c r="A99" s="10" t="str">
        <f t="shared" si="2"/>
        <v>December-99</v>
      </c>
      <c r="B99" s="16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9"/>
      <c r="AR99" s="9"/>
      <c r="AS99" s="9"/>
      <c r="AT99" s="10"/>
      <c r="AU99" s="10"/>
      <c r="AV99" s="10"/>
      <c r="AW99" s="10"/>
      <c r="AX99" s="10"/>
      <c r="AY99" s="10"/>
      <c r="AZ99" s="10"/>
      <c r="BA99" s="10"/>
      <c r="BB99" s="10"/>
      <c r="BC99" s="10"/>
    </row>
    <row r="100" ht="15.75" customHeight="1">
      <c r="A100" s="10" t="str">
        <f t="shared" si="2"/>
        <v>December-99</v>
      </c>
      <c r="B100" s="16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9"/>
      <c r="AR100" s="9"/>
      <c r="AS100" s="9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</row>
    <row r="101" ht="15.75" customHeight="1">
      <c r="A101" s="10" t="str">
        <f t="shared" si="2"/>
        <v>December-99</v>
      </c>
      <c r="B101" s="16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9"/>
      <c r="AR101" s="9"/>
      <c r="AS101" s="9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</row>
    <row r="102" ht="15.75" customHeight="1">
      <c r="A102" s="10" t="str">
        <f t="shared" si="2"/>
        <v>December-99</v>
      </c>
      <c r="B102" s="16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9"/>
      <c r="AR102" s="9"/>
      <c r="AS102" s="9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</row>
    <row r="103" ht="15.75" customHeight="1">
      <c r="A103" s="10" t="str">
        <f t="shared" si="2"/>
        <v>December-99</v>
      </c>
      <c r="B103" s="16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9"/>
      <c r="AR103" s="9"/>
      <c r="AS103" s="9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</row>
    <row r="104" ht="15.75" customHeight="1">
      <c r="A104" s="10" t="str">
        <f t="shared" si="2"/>
        <v>December-99</v>
      </c>
      <c r="B104" s="16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9"/>
      <c r="AR104" s="9"/>
      <c r="AS104" s="9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</row>
    <row r="105" ht="15.75" customHeight="1">
      <c r="A105" s="10" t="str">
        <f t="shared" si="2"/>
        <v>December-99</v>
      </c>
      <c r="B105" s="16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9"/>
      <c r="AR105" s="9"/>
      <c r="AS105" s="9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</row>
    <row r="106" ht="15.75" customHeight="1">
      <c r="A106" s="10" t="str">
        <f t="shared" si="2"/>
        <v>December-99</v>
      </c>
      <c r="B106" s="16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9"/>
      <c r="AR106" s="9"/>
      <c r="AS106" s="9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</row>
    <row r="107" ht="15.75" customHeight="1">
      <c r="A107" s="10" t="str">
        <f t="shared" si="2"/>
        <v>December-99</v>
      </c>
      <c r="B107" s="16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9"/>
      <c r="AR107" s="9"/>
      <c r="AS107" s="9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</row>
    <row r="108" ht="15.75" customHeight="1">
      <c r="A108" s="10" t="str">
        <f t="shared" si="2"/>
        <v>December-99</v>
      </c>
      <c r="B108" s="16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9"/>
      <c r="AR108" s="9"/>
      <c r="AS108" s="9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</row>
    <row r="109" ht="15.75" customHeight="1">
      <c r="A109" s="10" t="str">
        <f t="shared" si="2"/>
        <v>December-99</v>
      </c>
      <c r="B109" s="16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9"/>
      <c r="AR109" s="9"/>
      <c r="AS109" s="9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</row>
    <row r="110" ht="15.75" customHeight="1">
      <c r="A110" s="10" t="str">
        <f t="shared" si="2"/>
        <v>December-99</v>
      </c>
      <c r="B110" s="16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9"/>
      <c r="AR110" s="9"/>
      <c r="AS110" s="9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</row>
    <row r="111" ht="15.75" customHeight="1">
      <c r="A111" s="10" t="str">
        <f t="shared" si="2"/>
        <v>December-99</v>
      </c>
      <c r="B111" s="16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9"/>
      <c r="AR111" s="9"/>
      <c r="AS111" s="9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</row>
    <row r="112" ht="15.75" customHeight="1">
      <c r="A112" s="10" t="str">
        <f t="shared" si="2"/>
        <v>December-99</v>
      </c>
      <c r="B112" s="16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9"/>
      <c r="AR112" s="9"/>
      <c r="AS112" s="9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</row>
    <row r="113" ht="15.75" customHeight="1">
      <c r="A113" s="10" t="str">
        <f t="shared" si="2"/>
        <v>December-99</v>
      </c>
      <c r="B113" s="16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9"/>
      <c r="AR113" s="9"/>
      <c r="AS113" s="9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</row>
    <row r="114" ht="15.75" customHeight="1">
      <c r="A114" s="10" t="str">
        <f t="shared" si="2"/>
        <v>December-99</v>
      </c>
      <c r="B114" s="16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9"/>
      <c r="AR114" s="9"/>
      <c r="AS114" s="9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</row>
    <row r="115" ht="15.75" customHeight="1">
      <c r="A115" s="10" t="str">
        <f t="shared" si="2"/>
        <v>December-99</v>
      </c>
      <c r="B115" s="16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9"/>
      <c r="AR115" s="9"/>
      <c r="AS115" s="9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</row>
    <row r="116" ht="15.75" customHeight="1">
      <c r="A116" s="10" t="str">
        <f t="shared" si="2"/>
        <v>December-99</v>
      </c>
      <c r="B116" s="16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9"/>
      <c r="AR116" s="9"/>
      <c r="AS116" s="9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</row>
    <row r="117" ht="15.75" customHeight="1">
      <c r="A117" s="10" t="str">
        <f t="shared" si="2"/>
        <v>December-99</v>
      </c>
      <c r="B117" s="16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9"/>
      <c r="AR117" s="9"/>
      <c r="AS117" s="9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</row>
    <row r="118" ht="15.75" customHeight="1">
      <c r="A118" s="10" t="str">
        <f t="shared" si="2"/>
        <v>December-99</v>
      </c>
      <c r="B118" s="16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9"/>
      <c r="AR118" s="9"/>
      <c r="AS118" s="9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</row>
    <row r="119" ht="15.75" customHeight="1">
      <c r="A119" s="10" t="str">
        <f t="shared" si="2"/>
        <v>December-99</v>
      </c>
      <c r="B119" s="16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9"/>
      <c r="AR119" s="9"/>
      <c r="AS119" s="9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</row>
    <row r="120" ht="15.75" customHeight="1">
      <c r="A120" s="10" t="str">
        <f t="shared" si="2"/>
        <v>December-99</v>
      </c>
      <c r="B120" s="16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9"/>
      <c r="AR120" s="9"/>
      <c r="AS120" s="9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</row>
    <row r="121" ht="15.75" customHeight="1">
      <c r="A121" s="10" t="str">
        <f t="shared" si="2"/>
        <v>December-99</v>
      </c>
      <c r="B121" s="1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9"/>
      <c r="AR121" s="9"/>
      <c r="AS121" s="9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</row>
    <row r="122" ht="15.75" customHeight="1">
      <c r="A122" s="10" t="str">
        <f t="shared" si="2"/>
        <v>December-99</v>
      </c>
      <c r="B122" s="16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9"/>
      <c r="AR122" s="9"/>
      <c r="AS122" s="9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</row>
    <row r="123" ht="15.75" customHeight="1">
      <c r="A123" s="10" t="str">
        <f t="shared" si="2"/>
        <v>December-99</v>
      </c>
      <c r="B123" s="16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9"/>
      <c r="AR123" s="9"/>
      <c r="AS123" s="9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</row>
    <row r="124" ht="15.75" customHeight="1">
      <c r="A124" s="10" t="str">
        <f t="shared" si="2"/>
        <v>December-99</v>
      </c>
      <c r="B124" s="16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9"/>
      <c r="AR124" s="9"/>
      <c r="AS124" s="9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</row>
    <row r="125" ht="15.75" customHeight="1">
      <c r="A125" s="10" t="str">
        <f t="shared" si="2"/>
        <v>December-99</v>
      </c>
      <c r="B125" s="16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9"/>
      <c r="AR125" s="9"/>
      <c r="AS125" s="9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</row>
    <row r="126" ht="15.75" customHeight="1">
      <c r="A126" s="10" t="str">
        <f t="shared" si="2"/>
        <v>December-99</v>
      </c>
      <c r="B126" s="16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9"/>
      <c r="AR126" s="9"/>
      <c r="AS126" s="9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</row>
    <row r="127" ht="15.75" customHeight="1">
      <c r="A127" s="10" t="str">
        <f t="shared" si="2"/>
        <v>December-99</v>
      </c>
      <c r="B127" s="16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9"/>
      <c r="AR127" s="9"/>
      <c r="AS127" s="9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</row>
    <row r="128" ht="15.75" customHeight="1">
      <c r="A128" s="10" t="str">
        <f t="shared" si="2"/>
        <v>December-99</v>
      </c>
      <c r="B128" s="16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9"/>
      <c r="AR128" s="9"/>
      <c r="AS128" s="9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</row>
    <row r="129" ht="15.75" customHeight="1">
      <c r="A129" s="10" t="str">
        <f t="shared" si="2"/>
        <v>December-99</v>
      </c>
      <c r="B129" s="16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9"/>
      <c r="AR129" s="9"/>
      <c r="AS129" s="9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</row>
    <row r="130" ht="15.75" customHeight="1">
      <c r="A130" s="10" t="str">
        <f t="shared" si="2"/>
        <v>December-99</v>
      </c>
      <c r="B130" s="16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9"/>
      <c r="AR130" s="9"/>
      <c r="AS130" s="9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</row>
    <row r="131" ht="15.75" customHeight="1">
      <c r="A131" s="10" t="str">
        <f t="shared" si="2"/>
        <v>December-99</v>
      </c>
      <c r="B131" s="16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9"/>
      <c r="AR131" s="9"/>
      <c r="AS131" s="9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</row>
    <row r="132" ht="15.75" customHeight="1">
      <c r="A132" s="10" t="str">
        <f t="shared" si="2"/>
        <v>December-99</v>
      </c>
      <c r="B132" s="16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9"/>
      <c r="AR132" s="9"/>
      <c r="AS132" s="9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</row>
    <row r="133" ht="15.75" customHeight="1">
      <c r="A133" s="10" t="str">
        <f t="shared" si="2"/>
        <v>December-99</v>
      </c>
      <c r="B133" s="16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9"/>
      <c r="AR133" s="9"/>
      <c r="AS133" s="9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</row>
    <row r="134" ht="15.75" customHeight="1">
      <c r="A134" s="10" t="str">
        <f t="shared" si="2"/>
        <v>December-99</v>
      </c>
      <c r="B134" s="16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9"/>
      <c r="AR134" s="9"/>
      <c r="AS134" s="9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</row>
    <row r="135" ht="15.75" customHeight="1">
      <c r="A135" s="10" t="str">
        <f t="shared" si="2"/>
        <v>December-99</v>
      </c>
      <c r="B135" s="16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9"/>
      <c r="AR135" s="9"/>
      <c r="AS135" s="9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</row>
    <row r="136" ht="15.75" customHeight="1">
      <c r="A136" s="10" t="str">
        <f t="shared" si="2"/>
        <v>December-99</v>
      </c>
      <c r="B136" s="16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9"/>
      <c r="AR136" s="9"/>
      <c r="AS136" s="9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</row>
    <row r="137" ht="15.75" customHeight="1">
      <c r="A137" s="10" t="str">
        <f t="shared" si="2"/>
        <v>December-99</v>
      </c>
      <c r="B137" s="16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9"/>
      <c r="AR137" s="9"/>
      <c r="AS137" s="9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</row>
    <row r="138" ht="15.75" customHeight="1">
      <c r="A138" s="10" t="str">
        <f t="shared" si="2"/>
        <v>December-99</v>
      </c>
      <c r="B138" s="16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9"/>
      <c r="AR138" s="9"/>
      <c r="AS138" s="9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</row>
    <row r="139" ht="15.75" customHeight="1">
      <c r="A139" s="10" t="str">
        <f t="shared" si="2"/>
        <v>December-99</v>
      </c>
      <c r="B139" s="16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9"/>
      <c r="AR139" s="9"/>
      <c r="AS139" s="9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</row>
    <row r="140" ht="15.75" customHeight="1">
      <c r="A140" s="10" t="str">
        <f t="shared" si="2"/>
        <v>December-99</v>
      </c>
      <c r="B140" s="16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9"/>
      <c r="AR140" s="9"/>
      <c r="AS140" s="9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</row>
    <row r="141" ht="15.75" customHeight="1">
      <c r="A141" s="10" t="str">
        <f t="shared" si="2"/>
        <v>December-99</v>
      </c>
      <c r="B141" s="16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9"/>
      <c r="AR141" s="9"/>
      <c r="AS141" s="9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</row>
    <row r="142" ht="15.75" customHeight="1">
      <c r="A142" s="10" t="str">
        <f t="shared" si="2"/>
        <v>December-99</v>
      </c>
      <c r="B142" s="16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9"/>
      <c r="AR142" s="9"/>
      <c r="AS142" s="9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</row>
    <row r="143" ht="15.75" customHeight="1">
      <c r="A143" s="10" t="str">
        <f t="shared" si="2"/>
        <v>December-99</v>
      </c>
      <c r="B143" s="16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9"/>
      <c r="AR143" s="9"/>
      <c r="AS143" s="9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</row>
    <row r="144" ht="15.75" customHeight="1">
      <c r="A144" s="10" t="str">
        <f t="shared" si="2"/>
        <v>December-99</v>
      </c>
      <c r="B144" s="16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9"/>
      <c r="AR144" s="9"/>
      <c r="AS144" s="9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</row>
    <row r="145" ht="15.75" customHeight="1">
      <c r="A145" s="10" t="str">
        <f t="shared" si="2"/>
        <v>December-99</v>
      </c>
      <c r="B145" s="16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9"/>
      <c r="AR145" s="9"/>
      <c r="AS145" s="9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</row>
    <row r="146" ht="15.75" customHeight="1">
      <c r="A146" s="10" t="str">
        <f t="shared" si="2"/>
        <v>December-99</v>
      </c>
      <c r="B146" s="16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9"/>
      <c r="AR146" s="9"/>
      <c r="AS146" s="9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</row>
    <row r="147" ht="15.75" customHeight="1">
      <c r="A147" s="10" t="str">
        <f t="shared" si="2"/>
        <v>December-99</v>
      </c>
      <c r="B147" s="16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9"/>
      <c r="AR147" s="9"/>
      <c r="AS147" s="9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</row>
    <row r="148" ht="15.75" customHeight="1">
      <c r="A148" s="10" t="str">
        <f t="shared" si="2"/>
        <v>December-99</v>
      </c>
      <c r="B148" s="16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9"/>
      <c r="AR148" s="9"/>
      <c r="AS148" s="9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</row>
    <row r="149" ht="15.75" customHeight="1">
      <c r="A149" s="10" t="str">
        <f t="shared" si="2"/>
        <v>December-99</v>
      </c>
      <c r="B149" s="16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9"/>
      <c r="AR149" s="9"/>
      <c r="AS149" s="9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</row>
    <row r="150" ht="15.75" customHeight="1">
      <c r="A150" s="10" t="str">
        <f t="shared" si="2"/>
        <v>December-99</v>
      </c>
      <c r="B150" s="16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9"/>
      <c r="AR150" s="9"/>
      <c r="AS150" s="9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</row>
    <row r="151" ht="15.75" customHeight="1">
      <c r="A151" s="10" t="str">
        <f t="shared" si="2"/>
        <v>December-99</v>
      </c>
      <c r="B151" s="16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9"/>
      <c r="AR151" s="9"/>
      <c r="AS151" s="9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</row>
    <row r="152" ht="15.75" customHeight="1">
      <c r="A152" s="10" t="str">
        <f t="shared" si="2"/>
        <v>December-99</v>
      </c>
      <c r="B152" s="16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9"/>
      <c r="AR152" s="9"/>
      <c r="AS152" s="9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</row>
    <row r="153" ht="15.75" customHeight="1">
      <c r="A153" s="10" t="str">
        <f t="shared" si="2"/>
        <v>December-99</v>
      </c>
      <c r="B153" s="16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9"/>
      <c r="AR153" s="9"/>
      <c r="AS153" s="9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</row>
    <row r="154" ht="15.75" customHeight="1">
      <c r="A154" s="10" t="str">
        <f t="shared" si="2"/>
        <v>December-99</v>
      </c>
      <c r="B154" s="16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9"/>
      <c r="AR154" s="9"/>
      <c r="AS154" s="9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</row>
    <row r="155" ht="15.75" customHeight="1">
      <c r="A155" s="10" t="str">
        <f t="shared" si="2"/>
        <v>December-99</v>
      </c>
      <c r="B155" s="16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9"/>
      <c r="AR155" s="9"/>
      <c r="AS155" s="9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</row>
    <row r="156" ht="15.75" customHeight="1">
      <c r="A156" s="10" t="str">
        <f t="shared" si="2"/>
        <v>December-99</v>
      </c>
      <c r="B156" s="16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9"/>
      <c r="AR156" s="9"/>
      <c r="AS156" s="9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</row>
    <row r="157" ht="15.75" customHeight="1">
      <c r="A157" s="10" t="str">
        <f t="shared" si="2"/>
        <v>December-99</v>
      </c>
      <c r="B157" s="16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9"/>
      <c r="AR157" s="9"/>
      <c r="AS157" s="9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</row>
    <row r="158" ht="15.75" customHeight="1">
      <c r="A158" s="10" t="str">
        <f t="shared" si="2"/>
        <v>December-99</v>
      </c>
      <c r="B158" s="16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9"/>
      <c r="AR158" s="9"/>
      <c r="AS158" s="9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</row>
    <row r="159" ht="15.75" customHeight="1">
      <c r="A159" s="10" t="str">
        <f t="shared" si="2"/>
        <v>December-99</v>
      </c>
      <c r="B159" s="16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9"/>
      <c r="AR159" s="9"/>
      <c r="AS159" s="9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</row>
    <row r="160" ht="15.75" customHeight="1">
      <c r="A160" s="10" t="str">
        <f t="shared" si="2"/>
        <v>December-99</v>
      </c>
      <c r="B160" s="16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9"/>
      <c r="AR160" s="9"/>
      <c r="AS160" s="9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</row>
    <row r="161" ht="15.75" customHeight="1">
      <c r="A161" s="10" t="str">
        <f t="shared" si="2"/>
        <v>December-99</v>
      </c>
      <c r="B161" s="16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9"/>
      <c r="AR161" s="9"/>
      <c r="AS161" s="9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</row>
    <row r="162" ht="15.75" customHeight="1">
      <c r="A162" s="10" t="str">
        <f t="shared" si="2"/>
        <v>December-99</v>
      </c>
      <c r="B162" s="16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9"/>
      <c r="AR162" s="9"/>
      <c r="AS162" s="9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</row>
    <row r="163" ht="15.75" customHeight="1">
      <c r="A163" s="10" t="str">
        <f t="shared" si="2"/>
        <v>December-99</v>
      </c>
      <c r="B163" s="16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9"/>
      <c r="AR163" s="9"/>
      <c r="AS163" s="9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</row>
    <row r="164" ht="15.75" customHeight="1">
      <c r="A164" s="10" t="str">
        <f t="shared" si="2"/>
        <v>December-99</v>
      </c>
      <c r="B164" s="16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9"/>
      <c r="AR164" s="9"/>
      <c r="AS164" s="9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</row>
    <row r="165" ht="15.75" customHeight="1">
      <c r="A165" s="10" t="str">
        <f t="shared" si="2"/>
        <v>December-99</v>
      </c>
      <c r="B165" s="16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9"/>
      <c r="AR165" s="9"/>
      <c r="AS165" s="9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</row>
    <row r="166" ht="15.75" customHeight="1">
      <c r="A166" s="10" t="str">
        <f t="shared" si="2"/>
        <v>December-99</v>
      </c>
      <c r="B166" s="16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9"/>
      <c r="AR166" s="9"/>
      <c r="AS166" s="9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</row>
    <row r="167" ht="15.75" customHeight="1">
      <c r="A167" s="10" t="str">
        <f t="shared" si="2"/>
        <v>December-99</v>
      </c>
      <c r="B167" s="16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9"/>
      <c r="AR167" s="9"/>
      <c r="AS167" s="9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</row>
    <row r="168" ht="15.75" customHeight="1">
      <c r="A168" s="10" t="str">
        <f t="shared" si="2"/>
        <v>December-99</v>
      </c>
      <c r="B168" s="16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9"/>
      <c r="AR168" s="9"/>
      <c r="AS168" s="9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</row>
    <row r="169" ht="15.75" customHeight="1">
      <c r="A169" s="10" t="str">
        <f t="shared" si="2"/>
        <v>December-99</v>
      </c>
      <c r="B169" s="16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9"/>
      <c r="AR169" s="9"/>
      <c r="AS169" s="9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</row>
    <row r="170" ht="15.75" customHeight="1">
      <c r="A170" s="10" t="str">
        <f t="shared" si="2"/>
        <v>December-99</v>
      </c>
      <c r="B170" s="16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9"/>
      <c r="AR170" s="9"/>
      <c r="AS170" s="9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</row>
    <row r="171" ht="15.75" customHeight="1">
      <c r="A171" s="10" t="str">
        <f t="shared" si="2"/>
        <v>December-99</v>
      </c>
      <c r="B171" s="16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9"/>
      <c r="AR171" s="9"/>
      <c r="AS171" s="9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</row>
    <row r="172" ht="15.75" customHeight="1">
      <c r="A172" s="10" t="str">
        <f t="shared" si="2"/>
        <v>December-99</v>
      </c>
      <c r="B172" s="16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9"/>
      <c r="AR172" s="9"/>
      <c r="AS172" s="9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</row>
    <row r="173" ht="15.75" customHeight="1">
      <c r="A173" s="10" t="str">
        <f t="shared" si="2"/>
        <v>December-99</v>
      </c>
      <c r="B173" s="16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9"/>
      <c r="AR173" s="9"/>
      <c r="AS173" s="9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</row>
    <row r="174" ht="15.75" customHeight="1">
      <c r="A174" s="10" t="str">
        <f t="shared" si="2"/>
        <v>December-99</v>
      </c>
      <c r="B174" s="16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9"/>
      <c r="AR174" s="9"/>
      <c r="AS174" s="9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</row>
    <row r="175" ht="15.75" customHeight="1">
      <c r="A175" s="10" t="str">
        <f t="shared" si="2"/>
        <v>December-99</v>
      </c>
      <c r="B175" s="16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9"/>
      <c r="AR175" s="9"/>
      <c r="AS175" s="9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</row>
    <row r="176" ht="15.75" customHeight="1">
      <c r="A176" s="10" t="str">
        <f t="shared" si="2"/>
        <v>December-99</v>
      </c>
      <c r="B176" s="16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9"/>
      <c r="AR176" s="9"/>
      <c r="AS176" s="9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</row>
    <row r="177" ht="15.75" customHeight="1">
      <c r="A177" s="10" t="str">
        <f t="shared" si="2"/>
        <v>December-99</v>
      </c>
      <c r="B177" s="16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9"/>
      <c r="AR177" s="9"/>
      <c r="AS177" s="9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</row>
    <row r="178" ht="15.75" customHeight="1">
      <c r="A178" s="10" t="str">
        <f t="shared" si="2"/>
        <v>December-99</v>
      </c>
      <c r="B178" s="16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9"/>
      <c r="AR178" s="9"/>
      <c r="AS178" s="9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</row>
    <row r="179" ht="15.75" customHeight="1">
      <c r="A179" s="10" t="str">
        <f t="shared" si="2"/>
        <v>December-99</v>
      </c>
      <c r="B179" s="16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9"/>
      <c r="AR179" s="9"/>
      <c r="AS179" s="9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</row>
    <row r="180" ht="15.75" customHeight="1">
      <c r="A180" s="10" t="str">
        <f t="shared" si="2"/>
        <v>December-99</v>
      </c>
      <c r="B180" s="16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9"/>
      <c r="AR180" s="9"/>
      <c r="AS180" s="9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</row>
    <row r="181" ht="15.75" customHeight="1">
      <c r="A181" s="10" t="str">
        <f t="shared" si="2"/>
        <v>December-99</v>
      </c>
      <c r="B181" s="16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9"/>
      <c r="AR181" s="9"/>
      <c r="AS181" s="9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</row>
    <row r="182" ht="15.75" customHeight="1">
      <c r="A182" s="10" t="str">
        <f t="shared" si="2"/>
        <v>December-99</v>
      </c>
      <c r="B182" s="16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9"/>
      <c r="AR182" s="9"/>
      <c r="AS182" s="9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</row>
    <row r="183" ht="15.75" customHeight="1">
      <c r="A183" s="10" t="str">
        <f t="shared" si="2"/>
        <v>December-99</v>
      </c>
      <c r="B183" s="16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9"/>
      <c r="AR183" s="9"/>
      <c r="AS183" s="9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</row>
    <row r="184" ht="15.75" customHeight="1">
      <c r="A184" s="10" t="str">
        <f t="shared" si="2"/>
        <v>December-99</v>
      </c>
      <c r="B184" s="16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9"/>
      <c r="AR184" s="9"/>
      <c r="AS184" s="9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</row>
    <row r="185" ht="15.75" customHeight="1">
      <c r="A185" s="10" t="str">
        <f t="shared" si="2"/>
        <v>December-99</v>
      </c>
      <c r="B185" s="16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9"/>
      <c r="AR185" s="9"/>
      <c r="AS185" s="9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</row>
    <row r="186" ht="15.75" customHeight="1">
      <c r="A186" s="10" t="str">
        <f t="shared" si="2"/>
        <v>December-99</v>
      </c>
      <c r="B186" s="16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9"/>
      <c r="AR186" s="9"/>
      <c r="AS186" s="9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</row>
    <row r="187" ht="15.75" customHeight="1">
      <c r="A187" s="10" t="str">
        <f t="shared" si="2"/>
        <v>December-99</v>
      </c>
      <c r="B187" s="16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9"/>
      <c r="AR187" s="9"/>
      <c r="AS187" s="9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</row>
    <row r="188" ht="15.75" customHeight="1">
      <c r="A188" s="10" t="str">
        <f t="shared" si="2"/>
        <v>December-99</v>
      </c>
      <c r="B188" s="16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9"/>
      <c r="AR188" s="9"/>
      <c r="AS188" s="9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</row>
    <row r="189" ht="15.75" customHeight="1">
      <c r="A189" s="10" t="str">
        <f t="shared" si="2"/>
        <v>December-99</v>
      </c>
      <c r="B189" s="16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9"/>
      <c r="AR189" s="9"/>
      <c r="AS189" s="9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</row>
    <row r="190" ht="15.75" customHeight="1">
      <c r="A190" s="10" t="str">
        <f t="shared" si="2"/>
        <v>December-99</v>
      </c>
      <c r="B190" s="16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9"/>
      <c r="AR190" s="9"/>
      <c r="AS190" s="9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</row>
    <row r="191" ht="15.75" customHeight="1">
      <c r="A191" s="10" t="str">
        <f t="shared" si="2"/>
        <v>December-99</v>
      </c>
      <c r="B191" s="16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9"/>
      <c r="AR191" s="9"/>
      <c r="AS191" s="9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</row>
    <row r="192" ht="15.75" customHeight="1">
      <c r="A192" s="10" t="str">
        <f t="shared" si="2"/>
        <v>December-99</v>
      </c>
      <c r="B192" s="16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9"/>
      <c r="AR192" s="9"/>
      <c r="AS192" s="9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</row>
    <row r="193" ht="15.75" customHeight="1">
      <c r="A193" s="10" t="str">
        <f t="shared" si="2"/>
        <v>December-99</v>
      </c>
      <c r="B193" s="16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9"/>
      <c r="AR193" s="9"/>
      <c r="AS193" s="9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</row>
    <row r="194" ht="15.75" customHeight="1">
      <c r="A194" s="10" t="str">
        <f t="shared" si="2"/>
        <v>December-99</v>
      </c>
      <c r="B194" s="16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9"/>
      <c r="AR194" s="9"/>
      <c r="AS194" s="9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</row>
    <row r="195" ht="15.75" customHeight="1">
      <c r="A195" s="10" t="str">
        <f t="shared" si="2"/>
        <v>December-99</v>
      </c>
      <c r="B195" s="16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9"/>
      <c r="AR195" s="9"/>
      <c r="AS195" s="9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</row>
    <row r="196" ht="15.75" customHeight="1">
      <c r="A196" s="10" t="str">
        <f t="shared" si="2"/>
        <v>December-99</v>
      </c>
      <c r="B196" s="16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9"/>
      <c r="AR196" s="9"/>
      <c r="AS196" s="9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</row>
    <row r="197" ht="15.75" customHeight="1">
      <c r="A197" s="10" t="str">
        <f t="shared" si="2"/>
        <v>December-99</v>
      </c>
      <c r="B197" s="16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9"/>
      <c r="AR197" s="9"/>
      <c r="AS197" s="9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</row>
    <row r="198" ht="15.75" customHeight="1">
      <c r="A198" s="10" t="str">
        <f t="shared" si="2"/>
        <v>December-99</v>
      </c>
      <c r="B198" s="16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9"/>
      <c r="AR198" s="9"/>
      <c r="AS198" s="9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</row>
    <row r="199" ht="15.75" customHeight="1">
      <c r="A199" s="10" t="str">
        <f t="shared" si="2"/>
        <v>December-99</v>
      </c>
      <c r="B199" s="16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9"/>
      <c r="AR199" s="9"/>
      <c r="AS199" s="9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</row>
    <row r="200" ht="15.75" customHeight="1">
      <c r="A200" s="10" t="str">
        <f t="shared" si="2"/>
        <v>December-99</v>
      </c>
      <c r="B200" s="16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9"/>
      <c r="AR200" s="9"/>
      <c r="AS200" s="9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</row>
    <row r="201" ht="15.75" customHeight="1">
      <c r="A201" s="10" t="str">
        <f t="shared" si="2"/>
        <v>December-99</v>
      </c>
      <c r="B201" s="16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9"/>
      <c r="AR201" s="9"/>
      <c r="AS201" s="9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</row>
    <row r="202" ht="15.75" customHeight="1">
      <c r="A202" s="10" t="str">
        <f t="shared" si="2"/>
        <v>December-99</v>
      </c>
      <c r="B202" s="16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9"/>
      <c r="AR202" s="9"/>
      <c r="AS202" s="9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</row>
    <row r="203" ht="15.75" customHeight="1">
      <c r="A203" s="10" t="str">
        <f t="shared" si="2"/>
        <v>December-99</v>
      </c>
      <c r="B203" s="16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9"/>
      <c r="AR203" s="9"/>
      <c r="AS203" s="9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</row>
    <row r="204" ht="15.75" customHeight="1">
      <c r="A204" s="10" t="str">
        <f t="shared" si="2"/>
        <v>December-99</v>
      </c>
      <c r="B204" s="16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9"/>
      <c r="AR204" s="9"/>
      <c r="AS204" s="9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</row>
    <row r="205" ht="15.75" customHeight="1">
      <c r="A205" s="10" t="str">
        <f t="shared" si="2"/>
        <v>December-99</v>
      </c>
      <c r="B205" s="16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9"/>
      <c r="AR205" s="9"/>
      <c r="AS205" s="9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</row>
    <row r="206" ht="15.75" customHeight="1">
      <c r="A206" s="10" t="str">
        <f t="shared" si="2"/>
        <v>December-99</v>
      </c>
      <c r="B206" s="16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9"/>
      <c r="AR206" s="9"/>
      <c r="AS206" s="9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</row>
    <row r="207" ht="15.75" customHeight="1">
      <c r="A207" s="10" t="str">
        <f t="shared" si="2"/>
        <v>December-99</v>
      </c>
      <c r="B207" s="16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9"/>
      <c r="AR207" s="9"/>
      <c r="AS207" s="9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</row>
    <row r="208" ht="15.75" customHeight="1">
      <c r="A208" s="10" t="str">
        <f t="shared" si="2"/>
        <v>December-99</v>
      </c>
      <c r="B208" s="16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9"/>
      <c r="AR208" s="9"/>
      <c r="AS208" s="9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</row>
    <row r="209" ht="15.75" customHeight="1">
      <c r="A209" s="10" t="str">
        <f t="shared" si="2"/>
        <v>December-99</v>
      </c>
      <c r="B209" s="16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9"/>
      <c r="AR209" s="9"/>
      <c r="AS209" s="9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</row>
    <row r="210" ht="15.75" customHeight="1">
      <c r="A210" s="10" t="str">
        <f t="shared" si="2"/>
        <v>December-99</v>
      </c>
      <c r="B210" s="16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9"/>
      <c r="AR210" s="9"/>
      <c r="AS210" s="9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</row>
    <row r="211" ht="15.75" customHeight="1">
      <c r="A211" s="10" t="str">
        <f t="shared" si="2"/>
        <v>December-99</v>
      </c>
      <c r="B211" s="16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9"/>
      <c r="AR211" s="9"/>
      <c r="AS211" s="9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</row>
    <row r="212" ht="15.75" customHeight="1">
      <c r="A212" s="10" t="str">
        <f t="shared" si="2"/>
        <v>December-99</v>
      </c>
      <c r="B212" s="16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9"/>
      <c r="AR212" s="9"/>
      <c r="AS212" s="9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</row>
    <row r="213" ht="15.75" customHeight="1">
      <c r="A213" s="10" t="str">
        <f t="shared" si="2"/>
        <v>December-99</v>
      </c>
      <c r="B213" s="16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9"/>
      <c r="AR213" s="9"/>
      <c r="AS213" s="9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</row>
    <row r="214" ht="15.75" customHeight="1">
      <c r="A214" s="10" t="str">
        <f t="shared" si="2"/>
        <v>December-99</v>
      </c>
      <c r="B214" s="16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9"/>
      <c r="AR214" s="9"/>
      <c r="AS214" s="9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</row>
    <row r="215" ht="15.75" customHeight="1">
      <c r="A215" s="10" t="str">
        <f t="shared" si="2"/>
        <v>December-99</v>
      </c>
      <c r="B215" s="16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9"/>
      <c r="AR215" s="9"/>
      <c r="AS215" s="9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</row>
    <row r="216" ht="15.75" customHeight="1">
      <c r="A216" s="10" t="str">
        <f t="shared" si="2"/>
        <v>December-99</v>
      </c>
      <c r="B216" s="16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9"/>
      <c r="AR216" s="9"/>
      <c r="AS216" s="9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</row>
    <row r="217" ht="15.75" customHeight="1">
      <c r="A217" s="10" t="str">
        <f t="shared" si="2"/>
        <v>December-99</v>
      </c>
      <c r="B217" s="16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9"/>
      <c r="AR217" s="9"/>
      <c r="AS217" s="9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</row>
    <row r="218" ht="15.75" customHeight="1">
      <c r="A218" s="10" t="str">
        <f t="shared" si="2"/>
        <v>December-99</v>
      </c>
      <c r="B218" s="16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9"/>
      <c r="AR218" s="9"/>
      <c r="AS218" s="9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</row>
    <row r="219" ht="15.75" customHeight="1">
      <c r="A219" s="10" t="str">
        <f t="shared" si="2"/>
        <v>December-99</v>
      </c>
      <c r="B219" s="16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9"/>
      <c r="AR219" s="9"/>
      <c r="AS219" s="9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</row>
    <row r="220" ht="15.75" customHeight="1">
      <c r="A220" s="10" t="str">
        <f t="shared" si="2"/>
        <v>December-99</v>
      </c>
      <c r="B220" s="16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9"/>
      <c r="AR220" s="9"/>
      <c r="AS220" s="9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</row>
    <row r="221" ht="15.75" customHeight="1">
      <c r="A221" s="10" t="str">
        <f t="shared" si="2"/>
        <v>December-99</v>
      </c>
      <c r="B221" s="16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9"/>
      <c r="AR221" s="9"/>
      <c r="AS221" s="9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</row>
    <row r="222" ht="15.75" customHeight="1">
      <c r="A222" s="10" t="str">
        <f t="shared" si="2"/>
        <v>December-99</v>
      </c>
      <c r="B222" s="16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9"/>
      <c r="AR222" s="9"/>
      <c r="AS222" s="9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</row>
    <row r="223" ht="15.75" customHeight="1">
      <c r="A223" s="10" t="str">
        <f t="shared" si="2"/>
        <v>December-99</v>
      </c>
      <c r="B223" s="16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9"/>
      <c r="AR223" s="9"/>
      <c r="AS223" s="9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</row>
    <row r="224" ht="15.75" customHeight="1">
      <c r="A224" s="10" t="str">
        <f t="shared" si="2"/>
        <v>December-99</v>
      </c>
      <c r="B224" s="16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9"/>
      <c r="AR224" s="9"/>
      <c r="AS224" s="9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</row>
    <row r="225" ht="15.75" customHeight="1">
      <c r="A225" s="10" t="str">
        <f t="shared" si="2"/>
        <v>December-99</v>
      </c>
      <c r="B225" s="16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9"/>
      <c r="AR225" s="9"/>
      <c r="AS225" s="9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</row>
    <row r="226" ht="15.75" customHeight="1">
      <c r="A226" s="10" t="str">
        <f t="shared" si="2"/>
        <v>December-99</v>
      </c>
      <c r="B226" s="16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9"/>
      <c r="AR226" s="9"/>
      <c r="AS226" s="9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</row>
    <row r="227" ht="15.75" customHeight="1">
      <c r="A227" s="10" t="str">
        <f t="shared" si="2"/>
        <v>December-99</v>
      </c>
      <c r="B227" s="16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9"/>
      <c r="AR227" s="9"/>
      <c r="AS227" s="9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</row>
    <row r="228" ht="15.75" customHeight="1">
      <c r="A228" s="10" t="str">
        <f t="shared" si="2"/>
        <v>December-99</v>
      </c>
      <c r="B228" s="16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9"/>
      <c r="AR228" s="9"/>
      <c r="AS228" s="9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</row>
    <row r="229" ht="15.75" customHeight="1">
      <c r="A229" s="10" t="str">
        <f t="shared" si="2"/>
        <v>December-99</v>
      </c>
      <c r="B229" s="16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9"/>
      <c r="AR229" s="9"/>
      <c r="AS229" s="9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</row>
    <row r="230" ht="15.75" customHeight="1">
      <c r="A230" s="10" t="str">
        <f t="shared" si="2"/>
        <v>December-99</v>
      </c>
      <c r="B230" s="16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9"/>
      <c r="AR230" s="9"/>
      <c r="AS230" s="9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</row>
    <row r="231" ht="15.75" customHeight="1">
      <c r="A231" s="10" t="str">
        <f t="shared" si="2"/>
        <v>December-99</v>
      </c>
      <c r="B231" s="16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9"/>
      <c r="AR231" s="9"/>
      <c r="AS231" s="9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</row>
    <row r="232" ht="15.75" customHeight="1">
      <c r="A232" s="10" t="str">
        <f t="shared" si="2"/>
        <v>December-99</v>
      </c>
      <c r="B232" s="16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9"/>
      <c r="AR232" s="9"/>
      <c r="AS232" s="9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</row>
    <row r="233" ht="15.75" customHeight="1">
      <c r="A233" s="10" t="str">
        <f t="shared" si="2"/>
        <v>December-99</v>
      </c>
      <c r="B233" s="16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9"/>
      <c r="AR233" s="9"/>
      <c r="AS233" s="9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</row>
    <row r="234" ht="15.75" customHeight="1">
      <c r="A234" s="10" t="str">
        <f t="shared" si="2"/>
        <v>December-99</v>
      </c>
      <c r="B234" s="16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9"/>
      <c r="AR234" s="9"/>
      <c r="AS234" s="9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</row>
    <row r="235" ht="15.75" customHeight="1">
      <c r="A235" s="10" t="str">
        <f t="shared" si="2"/>
        <v>December-99</v>
      </c>
      <c r="B235" s="16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9"/>
      <c r="AR235" s="9"/>
      <c r="AS235" s="9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</row>
    <row r="236" ht="15.75" customHeight="1">
      <c r="A236" s="10" t="str">
        <f t="shared" si="2"/>
        <v>December-99</v>
      </c>
      <c r="B236" s="16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9"/>
      <c r="AR236" s="9"/>
      <c r="AS236" s="9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</row>
    <row r="237" ht="15.75" customHeight="1">
      <c r="A237" s="10" t="str">
        <f t="shared" si="2"/>
        <v>December-99</v>
      </c>
      <c r="B237" s="16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9"/>
      <c r="AR237" s="9"/>
      <c r="AS237" s="9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</row>
    <row r="238" ht="15.75" customHeight="1">
      <c r="A238" s="10" t="str">
        <f t="shared" si="2"/>
        <v>December-99</v>
      </c>
      <c r="B238" s="16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9"/>
      <c r="AR238" s="9"/>
      <c r="AS238" s="9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</row>
    <row r="239" ht="15.75" customHeight="1">
      <c r="A239" s="10" t="str">
        <f t="shared" si="2"/>
        <v>December-99</v>
      </c>
      <c r="B239" s="16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9"/>
      <c r="AR239" s="9"/>
      <c r="AS239" s="9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</row>
    <row r="240" ht="15.75" customHeight="1">
      <c r="A240" s="10" t="str">
        <f t="shared" si="2"/>
        <v>December-99</v>
      </c>
      <c r="B240" s="16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9"/>
      <c r="AR240" s="9"/>
      <c r="AS240" s="9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</row>
    <row r="241" ht="15.75" customHeight="1">
      <c r="A241" s="10" t="str">
        <f t="shared" si="2"/>
        <v>December-99</v>
      </c>
      <c r="B241" s="16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9"/>
      <c r="AR241" s="9"/>
      <c r="AS241" s="9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</row>
    <row r="242" ht="15.75" customHeight="1">
      <c r="A242" s="10" t="str">
        <f t="shared" si="2"/>
        <v>December-99</v>
      </c>
      <c r="B242" s="16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9"/>
      <c r="AR242" s="9"/>
      <c r="AS242" s="9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</row>
    <row r="243" ht="15.75" customHeight="1">
      <c r="A243" s="10" t="str">
        <f t="shared" si="2"/>
        <v>December-99</v>
      </c>
      <c r="B243" s="16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9"/>
      <c r="AR243" s="9"/>
      <c r="AS243" s="9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</row>
    <row r="244" ht="15.75" customHeight="1">
      <c r="A244" s="10" t="str">
        <f t="shared" si="2"/>
        <v>December-99</v>
      </c>
      <c r="B244" s="16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9"/>
      <c r="AR244" s="9"/>
      <c r="AS244" s="9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</row>
    <row r="245" ht="15.75" customHeight="1">
      <c r="A245" s="10" t="str">
        <f t="shared" si="2"/>
        <v>December-99</v>
      </c>
      <c r="B245" s="16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9"/>
      <c r="AR245" s="9"/>
      <c r="AS245" s="9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</row>
    <row r="246" ht="15.75" customHeight="1">
      <c r="A246" s="10" t="str">
        <f t="shared" si="2"/>
        <v>December-99</v>
      </c>
      <c r="B246" s="16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9"/>
      <c r="AR246" s="9"/>
      <c r="AS246" s="9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</row>
    <row r="247" ht="15.75" customHeight="1">
      <c r="A247" s="10" t="str">
        <f t="shared" si="2"/>
        <v>December-99</v>
      </c>
      <c r="B247" s="16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9"/>
      <c r="AR247" s="9"/>
      <c r="AS247" s="9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</row>
    <row r="248" ht="15.75" customHeight="1">
      <c r="A248" s="10" t="str">
        <f t="shared" si="2"/>
        <v>December-99</v>
      </c>
      <c r="B248" s="16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9"/>
      <c r="AR248" s="9"/>
      <c r="AS248" s="9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</row>
    <row r="249" ht="15.75" customHeight="1">
      <c r="A249" s="10" t="str">
        <f t="shared" si="2"/>
        <v>December-99</v>
      </c>
      <c r="B249" s="16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9"/>
      <c r="AR249" s="9"/>
      <c r="AS249" s="9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</row>
    <row r="250" ht="15.75" customHeight="1">
      <c r="A250" s="10" t="str">
        <f t="shared" si="2"/>
        <v>December-99</v>
      </c>
      <c r="B250" s="16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9"/>
      <c r="AR250" s="9"/>
      <c r="AS250" s="9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</row>
    <row r="251" ht="15.75" customHeight="1">
      <c r="A251" s="10" t="str">
        <f t="shared" si="2"/>
        <v>December-99</v>
      </c>
      <c r="B251" s="16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9"/>
      <c r="AR251" s="9"/>
      <c r="AS251" s="9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</row>
    <row r="252" ht="15.75" customHeight="1">
      <c r="A252" s="10" t="str">
        <f t="shared" si="2"/>
        <v>December-99</v>
      </c>
      <c r="B252" s="16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9"/>
      <c r="AR252" s="9"/>
      <c r="AS252" s="9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</row>
    <row r="253" ht="15.75" customHeight="1">
      <c r="A253" s="10" t="str">
        <f t="shared" si="2"/>
        <v>December-99</v>
      </c>
      <c r="B253" s="16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9"/>
      <c r="AR253" s="9"/>
      <c r="AS253" s="9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</row>
    <row r="254" ht="15.75" customHeight="1">
      <c r="A254" s="10" t="str">
        <f t="shared" si="2"/>
        <v>December-99</v>
      </c>
      <c r="B254" s="16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9"/>
      <c r="AR254" s="9"/>
      <c r="AS254" s="9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</row>
    <row r="255" ht="15.75" customHeight="1">
      <c r="A255" s="10" t="str">
        <f t="shared" si="2"/>
        <v>December-99</v>
      </c>
      <c r="B255" s="16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9"/>
      <c r="AR255" s="9"/>
      <c r="AS255" s="9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</row>
    <row r="256" ht="15.75" customHeight="1">
      <c r="A256" s="10" t="str">
        <f t="shared" si="2"/>
        <v>December-99</v>
      </c>
      <c r="B256" s="16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9"/>
      <c r="AR256" s="9"/>
      <c r="AS256" s="9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</row>
    <row r="257" ht="15.75" customHeight="1">
      <c r="A257" s="10" t="str">
        <f t="shared" si="2"/>
        <v>December-99</v>
      </c>
      <c r="B257" s="16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9"/>
      <c r="AR257" s="9"/>
      <c r="AS257" s="9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</row>
    <row r="258" ht="15.75" customHeight="1">
      <c r="A258" s="10" t="str">
        <f t="shared" si="2"/>
        <v>December-99</v>
      </c>
      <c r="B258" s="16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9"/>
      <c r="AR258" s="9"/>
      <c r="AS258" s="9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</row>
    <row r="259" ht="15.75" customHeight="1">
      <c r="A259" s="10" t="str">
        <f t="shared" si="2"/>
        <v>December-99</v>
      </c>
      <c r="B259" s="16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9"/>
      <c r="AR259" s="9"/>
      <c r="AS259" s="9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</row>
    <row r="260" ht="15.75" customHeight="1">
      <c r="A260" s="10" t="str">
        <f t="shared" si="2"/>
        <v>December-99</v>
      </c>
      <c r="B260" s="16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9"/>
      <c r="AR260" s="9"/>
      <c r="AS260" s="9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</row>
    <row r="261" ht="15.75" customHeight="1">
      <c r="A261" s="10" t="str">
        <f t="shared" si="2"/>
        <v>December-99</v>
      </c>
      <c r="B261" s="16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9"/>
      <c r="AR261" s="9"/>
      <c r="AS261" s="9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</row>
    <row r="262" ht="15.75" customHeight="1">
      <c r="A262" s="10" t="str">
        <f t="shared" si="2"/>
        <v>December-99</v>
      </c>
      <c r="B262" s="16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9"/>
      <c r="AR262" s="9"/>
      <c r="AS262" s="9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</row>
    <row r="263" ht="15.75" customHeight="1">
      <c r="A263" s="10" t="str">
        <f t="shared" si="2"/>
        <v>December-99</v>
      </c>
      <c r="B263" s="16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9"/>
      <c r="AR263" s="9"/>
      <c r="AS263" s="9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</row>
    <row r="264" ht="15.75" customHeight="1">
      <c r="A264" s="10" t="str">
        <f t="shared" si="2"/>
        <v>December-99</v>
      </c>
      <c r="B264" s="16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9"/>
      <c r="AR264" s="9"/>
      <c r="AS264" s="9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</row>
    <row r="265" ht="15.75" customHeight="1">
      <c r="A265" s="10" t="str">
        <f t="shared" si="2"/>
        <v>December-99</v>
      </c>
      <c r="B265" s="16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9"/>
      <c r="AR265" s="9"/>
      <c r="AS265" s="9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</row>
    <row r="266" ht="15.75" customHeight="1">
      <c r="A266" s="10" t="str">
        <f t="shared" si="2"/>
        <v>December-99</v>
      </c>
      <c r="B266" s="16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9"/>
      <c r="AR266" s="9"/>
      <c r="AS266" s="9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</row>
    <row r="267" ht="15.75" customHeight="1">
      <c r="A267" s="10" t="str">
        <f t="shared" si="2"/>
        <v>December-99</v>
      </c>
      <c r="B267" s="16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9"/>
      <c r="AR267" s="9"/>
      <c r="AS267" s="9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</row>
    <row r="268" ht="15.75" customHeight="1">
      <c r="A268" s="10" t="str">
        <f t="shared" si="2"/>
        <v>December-99</v>
      </c>
      <c r="B268" s="16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9"/>
      <c r="AR268" s="9"/>
      <c r="AS268" s="9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</row>
    <row r="269" ht="15.75" customHeight="1">
      <c r="A269" s="10" t="str">
        <f t="shared" si="2"/>
        <v>December-99</v>
      </c>
      <c r="B269" s="16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9"/>
      <c r="AR269" s="9"/>
      <c r="AS269" s="9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</row>
    <row r="270" ht="15.75" customHeight="1">
      <c r="A270" s="10" t="str">
        <f t="shared" si="2"/>
        <v>December-99</v>
      </c>
      <c r="B270" s="16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9"/>
      <c r="AR270" s="9"/>
      <c r="AS270" s="9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</row>
    <row r="271" ht="15.75" customHeight="1">
      <c r="A271" s="10" t="str">
        <f t="shared" si="2"/>
        <v>December-99</v>
      </c>
      <c r="B271" s="16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9"/>
      <c r="AR271" s="9"/>
      <c r="AS271" s="9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</row>
    <row r="272" ht="15.75" customHeight="1">
      <c r="A272" s="10" t="str">
        <f t="shared" si="2"/>
        <v>December-99</v>
      </c>
      <c r="B272" s="16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9"/>
      <c r="AR272" s="9"/>
      <c r="AS272" s="9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</row>
    <row r="273" ht="15.75" customHeight="1">
      <c r="A273" s="10" t="str">
        <f t="shared" si="2"/>
        <v>December-99</v>
      </c>
      <c r="B273" s="16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9"/>
      <c r="AR273" s="9"/>
      <c r="AS273" s="9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</row>
    <row r="274" ht="15.75" customHeight="1">
      <c r="A274" s="10" t="str">
        <f t="shared" si="2"/>
        <v>December-99</v>
      </c>
      <c r="B274" s="16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9"/>
      <c r="AR274" s="9"/>
      <c r="AS274" s="9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</row>
    <row r="275" ht="15.75" customHeight="1">
      <c r="A275" s="10" t="str">
        <f t="shared" si="2"/>
        <v>December-99</v>
      </c>
      <c r="B275" s="16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9"/>
      <c r="AR275" s="9"/>
      <c r="AS275" s="9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</row>
    <row r="276" ht="15.75" customHeight="1">
      <c r="A276" s="10" t="str">
        <f t="shared" si="2"/>
        <v>December-99</v>
      </c>
      <c r="B276" s="16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9"/>
      <c r="AR276" s="9"/>
      <c r="AS276" s="9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</row>
    <row r="277" ht="15.75" customHeight="1">
      <c r="A277" s="10" t="str">
        <f t="shared" si="2"/>
        <v>December-99</v>
      </c>
      <c r="B277" s="16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9"/>
      <c r="AR277" s="9"/>
      <c r="AS277" s="9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</row>
    <row r="278" ht="15.75" customHeight="1">
      <c r="A278" s="10" t="str">
        <f t="shared" si="2"/>
        <v>December-99</v>
      </c>
      <c r="B278" s="16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9"/>
      <c r="AR278" s="9"/>
      <c r="AS278" s="9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</row>
    <row r="279" ht="15.75" customHeight="1">
      <c r="A279" s="10" t="str">
        <f t="shared" si="2"/>
        <v>December-99</v>
      </c>
      <c r="B279" s="16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9"/>
      <c r="AR279" s="9"/>
      <c r="AS279" s="9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</row>
    <row r="280" ht="15.75" customHeight="1">
      <c r="A280" s="10" t="str">
        <f t="shared" si="2"/>
        <v>December-99</v>
      </c>
      <c r="B280" s="16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9"/>
      <c r="AR280" s="9"/>
      <c r="AS280" s="9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</row>
    <row r="281" ht="15.75" customHeight="1">
      <c r="A281" s="10" t="str">
        <f t="shared" si="2"/>
        <v>December-99</v>
      </c>
      <c r="B281" s="16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9"/>
      <c r="AR281" s="9"/>
      <c r="AS281" s="9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</row>
    <row r="282" ht="15.75" customHeight="1">
      <c r="A282" s="10" t="str">
        <f t="shared" si="2"/>
        <v>December-99</v>
      </c>
      <c r="B282" s="16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9"/>
      <c r="AR282" s="9"/>
      <c r="AS282" s="9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</row>
    <row r="283" ht="15.75" customHeight="1">
      <c r="A283" s="10" t="str">
        <f t="shared" si="2"/>
        <v>December-99</v>
      </c>
      <c r="B283" s="16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9"/>
      <c r="AR283" s="9"/>
      <c r="AS283" s="9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</row>
    <row r="284" ht="15.75" customHeight="1">
      <c r="A284" s="10" t="str">
        <f t="shared" si="2"/>
        <v>December-99</v>
      </c>
      <c r="B284" s="16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9"/>
      <c r="AR284" s="9"/>
      <c r="AS284" s="9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</row>
    <row r="285" ht="15.75" customHeight="1">
      <c r="A285" s="10" t="str">
        <f t="shared" si="2"/>
        <v>December-99</v>
      </c>
      <c r="B285" s="16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9"/>
      <c r="AR285" s="9"/>
      <c r="AS285" s="9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</row>
    <row r="286" ht="15.75" customHeight="1">
      <c r="A286" s="10" t="str">
        <f t="shared" si="2"/>
        <v>December-99</v>
      </c>
      <c r="B286" s="16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9"/>
      <c r="AR286" s="9"/>
      <c r="AS286" s="9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</row>
    <row r="287" ht="15.75" customHeight="1">
      <c r="A287" s="10" t="str">
        <f t="shared" si="2"/>
        <v>December-99</v>
      </c>
      <c r="B287" s="16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9"/>
      <c r="AR287" s="9"/>
      <c r="AS287" s="9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</row>
    <row r="288" ht="15.75" customHeight="1">
      <c r="A288" s="10" t="str">
        <f t="shared" si="2"/>
        <v>December-99</v>
      </c>
      <c r="B288" s="16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9"/>
      <c r="AR288" s="9"/>
      <c r="AS288" s="9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</row>
    <row r="289" ht="15.75" customHeight="1">
      <c r="A289" s="10" t="str">
        <f t="shared" si="2"/>
        <v>December-99</v>
      </c>
      <c r="B289" s="16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9"/>
      <c r="AR289" s="9"/>
      <c r="AS289" s="9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</row>
    <row r="290" ht="15.75" customHeight="1">
      <c r="A290" s="10" t="str">
        <f t="shared" si="2"/>
        <v>December-99</v>
      </c>
      <c r="B290" s="16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9"/>
      <c r="AR290" s="9"/>
      <c r="AS290" s="9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</row>
    <row r="291" ht="15.75" customHeight="1">
      <c r="A291" s="10" t="str">
        <f t="shared" si="2"/>
        <v>December-99</v>
      </c>
      <c r="B291" s="16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9"/>
      <c r="AR291" s="9"/>
      <c r="AS291" s="9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</row>
    <row r="292" ht="15.75" customHeight="1">
      <c r="A292" s="10" t="str">
        <f t="shared" si="2"/>
        <v>December-99</v>
      </c>
      <c r="B292" s="16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9"/>
      <c r="AR292" s="9"/>
      <c r="AS292" s="9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</row>
    <row r="293" ht="15.75" customHeight="1">
      <c r="A293" s="10" t="str">
        <f t="shared" si="2"/>
        <v>December-99</v>
      </c>
      <c r="B293" s="16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9"/>
      <c r="AR293" s="9"/>
      <c r="AS293" s="9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</row>
    <row r="294" ht="15.75" customHeight="1">
      <c r="A294" s="10" t="str">
        <f t="shared" si="2"/>
        <v>December-99</v>
      </c>
      <c r="B294" s="16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9"/>
      <c r="AR294" s="9"/>
      <c r="AS294" s="9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</row>
    <row r="295" ht="15.75" customHeight="1">
      <c r="A295" s="10" t="str">
        <f t="shared" si="2"/>
        <v>December-99</v>
      </c>
      <c r="B295" s="16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9"/>
      <c r="AR295" s="9"/>
      <c r="AS295" s="9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</row>
    <row r="296" ht="15.75" customHeight="1">
      <c r="A296" s="10" t="str">
        <f t="shared" si="2"/>
        <v>December-99</v>
      </c>
      <c r="B296" s="16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9"/>
      <c r="AR296" s="9"/>
      <c r="AS296" s="9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</row>
    <row r="297" ht="15.75" customHeight="1">
      <c r="B297" s="16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9"/>
      <c r="AR297" s="9"/>
      <c r="AS297" s="9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</row>
    <row r="298" ht="15.75" customHeight="1">
      <c r="B298" s="16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9"/>
      <c r="AR298" s="9"/>
      <c r="AS298" s="9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</row>
    <row r="299" ht="15.75" customHeight="1">
      <c r="B299" s="16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9"/>
      <c r="AR299" s="9"/>
      <c r="AS299" s="9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</row>
    <row r="300" ht="15.75" customHeight="1">
      <c r="B300" s="16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9"/>
      <c r="AR300" s="9"/>
      <c r="AS300" s="9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</row>
    <row r="301" ht="15.75" customHeight="1">
      <c r="B301" s="16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9"/>
      <c r="AR301" s="9"/>
      <c r="AS301" s="9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</row>
    <row r="302" ht="15.75" customHeight="1">
      <c r="B302" s="16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9"/>
      <c r="AR302" s="9"/>
      <c r="AS302" s="9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</row>
    <row r="303" ht="15.75" customHeight="1">
      <c r="B303" s="16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9"/>
      <c r="AR303" s="9"/>
      <c r="AS303" s="9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</row>
    <row r="304" ht="15.75" customHeight="1">
      <c r="B304" s="16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9"/>
      <c r="AR304" s="9"/>
      <c r="AS304" s="9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</row>
    <row r="305" ht="15.75" customHeight="1">
      <c r="B305" s="16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9"/>
      <c r="AR305" s="9"/>
      <c r="AS305" s="9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</row>
    <row r="306" ht="15.75" customHeight="1">
      <c r="B306" s="16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9"/>
      <c r="AR306" s="9"/>
      <c r="AS306" s="9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</row>
    <row r="307" ht="15.75" customHeight="1">
      <c r="B307" s="16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9"/>
      <c r="AR307" s="9"/>
      <c r="AS307" s="9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</row>
    <row r="308" ht="15.75" customHeight="1">
      <c r="B308" s="16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9"/>
      <c r="AR308" s="9"/>
      <c r="AS308" s="9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</row>
    <row r="309" ht="15.75" customHeight="1">
      <c r="B309" s="16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9"/>
      <c r="AR309" s="9"/>
      <c r="AS309" s="9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</row>
    <row r="310" ht="15.75" customHeight="1">
      <c r="B310" s="16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9"/>
      <c r="AR310" s="9"/>
      <c r="AS310" s="9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</row>
    <row r="311" ht="15.75" customHeight="1">
      <c r="B311" s="16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9"/>
      <c r="AR311" s="9"/>
      <c r="AS311" s="9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</row>
    <row r="312" ht="15.75" customHeight="1">
      <c r="B312" s="16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9"/>
      <c r="AR312" s="9"/>
      <c r="AS312" s="9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</row>
    <row r="313" ht="15.75" customHeight="1">
      <c r="B313" s="16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9"/>
      <c r="AR313" s="9"/>
      <c r="AS313" s="9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</row>
    <row r="314" ht="15.75" customHeight="1">
      <c r="B314" s="16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9"/>
      <c r="AR314" s="9"/>
      <c r="AS314" s="9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</row>
    <row r="315" ht="15.75" customHeight="1">
      <c r="B315" s="16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9"/>
      <c r="AR315" s="9"/>
      <c r="AS315" s="9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</row>
    <row r="316" ht="15.75" customHeight="1">
      <c r="B316" s="16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9"/>
      <c r="AR316" s="9"/>
      <c r="AS316" s="9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</row>
    <row r="317" ht="15.75" customHeight="1">
      <c r="B317" s="16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9"/>
      <c r="AR317" s="9"/>
      <c r="AS317" s="9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</row>
    <row r="318" ht="15.75" customHeight="1">
      <c r="B318" s="16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9"/>
      <c r="AR318" s="9"/>
      <c r="AS318" s="9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</row>
    <row r="319" ht="15.75" customHeight="1">
      <c r="B319" s="16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9"/>
      <c r="AR319" s="9"/>
      <c r="AS319" s="9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</row>
    <row r="320" ht="15.75" customHeight="1">
      <c r="B320" s="16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9"/>
      <c r="AR320" s="9"/>
      <c r="AS320" s="9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</row>
    <row r="321" ht="15.75" customHeight="1">
      <c r="B321" s="16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9"/>
      <c r="AR321" s="9"/>
      <c r="AS321" s="9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</row>
    <row r="322" ht="15.75" customHeight="1">
      <c r="B322" s="16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9"/>
      <c r="AR322" s="9"/>
      <c r="AS322" s="9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</row>
    <row r="323" ht="15.75" customHeight="1">
      <c r="B323" s="16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9"/>
      <c r="AR323" s="9"/>
      <c r="AS323" s="9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</row>
    <row r="324" ht="15.75" customHeight="1">
      <c r="B324" s="16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9"/>
      <c r="AR324" s="9"/>
      <c r="AS324" s="9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</row>
    <row r="325" ht="15.75" customHeight="1">
      <c r="B325" s="16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9"/>
      <c r="AR325" s="9"/>
      <c r="AS325" s="9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</row>
    <row r="326" ht="15.75" customHeight="1">
      <c r="B326" s="16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9"/>
      <c r="AR326" s="9"/>
      <c r="AS326" s="9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</row>
    <row r="327" ht="15.75" customHeight="1">
      <c r="B327" s="16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9"/>
      <c r="AR327" s="9"/>
      <c r="AS327" s="9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</row>
    <row r="328" ht="15.75" customHeight="1">
      <c r="B328" s="16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9"/>
      <c r="AR328" s="9"/>
      <c r="AS328" s="9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</row>
    <row r="329" ht="15.75" customHeight="1">
      <c r="B329" s="16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9"/>
      <c r="AR329" s="9"/>
      <c r="AS329" s="9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</row>
    <row r="330" ht="15.75" customHeight="1">
      <c r="B330" s="16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9"/>
      <c r="AR330" s="9"/>
      <c r="AS330" s="9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</row>
    <row r="331" ht="15.75" customHeight="1">
      <c r="B331" s="16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9"/>
      <c r="AR331" s="9"/>
      <c r="AS331" s="9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</row>
    <row r="332" ht="15.75" customHeight="1">
      <c r="B332" s="16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9"/>
      <c r="AR332" s="9"/>
      <c r="AS332" s="9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</row>
    <row r="333" ht="15.75" customHeight="1">
      <c r="B333" s="16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9"/>
      <c r="AR333" s="9"/>
      <c r="AS333" s="9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</row>
    <row r="334" ht="15.75" customHeight="1">
      <c r="B334" s="16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9"/>
      <c r="AR334" s="9"/>
      <c r="AS334" s="9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</row>
    <row r="335" ht="15.75" customHeight="1">
      <c r="B335" s="16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9"/>
      <c r="AR335" s="9"/>
      <c r="AS335" s="9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</row>
    <row r="336" ht="15.75" customHeight="1">
      <c r="B336" s="16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9"/>
      <c r="AR336" s="9"/>
      <c r="AS336" s="9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</row>
    <row r="337" ht="15.75" customHeight="1">
      <c r="B337" s="1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9"/>
      <c r="AR337" s="9"/>
      <c r="AS337" s="9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</row>
    <row r="338" ht="15.75" customHeight="1">
      <c r="B338" s="1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9"/>
      <c r="AR338" s="9"/>
      <c r="AS338" s="9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</row>
    <row r="339" ht="15.75" customHeight="1">
      <c r="B339" s="1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9"/>
      <c r="AR339" s="9"/>
      <c r="AS339" s="9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</row>
    <row r="340" ht="15.75" customHeight="1">
      <c r="B340" s="1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9"/>
      <c r="AR340" s="9"/>
      <c r="AS340" s="9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</row>
    <row r="341" ht="15.75" customHeight="1">
      <c r="B341" s="1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9"/>
      <c r="AR341" s="9"/>
      <c r="AS341" s="9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</row>
    <row r="342" ht="15.75" customHeight="1">
      <c r="B342" s="1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9"/>
      <c r="AR342" s="9"/>
      <c r="AS342" s="9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</row>
    <row r="343" ht="15.75" customHeight="1">
      <c r="B343" s="1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9"/>
      <c r="AR343" s="9"/>
      <c r="AS343" s="9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</row>
    <row r="344" ht="15.75" customHeight="1">
      <c r="B344" s="1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9"/>
      <c r="AR344" s="9"/>
      <c r="AS344" s="9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</row>
    <row r="345" ht="15.75" customHeight="1">
      <c r="B345" s="1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9"/>
      <c r="AR345" s="9"/>
      <c r="AS345" s="9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</row>
    <row r="346" ht="15.75" customHeight="1">
      <c r="B346" s="1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9"/>
      <c r="AR346" s="9"/>
      <c r="AS346" s="9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</row>
    <row r="347" ht="15.75" customHeight="1">
      <c r="B347" s="1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9"/>
      <c r="AR347" s="9"/>
      <c r="AS347" s="9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</row>
    <row r="348" ht="15.75" customHeight="1">
      <c r="B348" s="1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9"/>
      <c r="AR348" s="9"/>
      <c r="AS348" s="9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</row>
    <row r="349" ht="15.75" customHeight="1">
      <c r="B349" s="1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9"/>
      <c r="AR349" s="9"/>
      <c r="AS349" s="9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</row>
    <row r="350" ht="15.75" customHeight="1">
      <c r="B350" s="1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9"/>
      <c r="AR350" s="9"/>
      <c r="AS350" s="9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</row>
    <row r="351" ht="15.75" customHeight="1">
      <c r="B351" s="1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9"/>
      <c r="AR351" s="9"/>
      <c r="AS351" s="9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</row>
    <row r="352" ht="15.75" customHeight="1">
      <c r="B352" s="1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9"/>
      <c r="AR352" s="9"/>
      <c r="AS352" s="9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</row>
    <row r="353" ht="15.75" customHeight="1">
      <c r="B353" s="1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9"/>
      <c r="AR353" s="9"/>
      <c r="AS353" s="9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</row>
    <row r="354" ht="15.75" customHeight="1">
      <c r="B354" s="1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9"/>
      <c r="AR354" s="9"/>
      <c r="AS354" s="9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</row>
    <row r="355" ht="15.75" customHeight="1">
      <c r="B355" s="1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9"/>
      <c r="AR355" s="9"/>
      <c r="AS355" s="9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</row>
    <row r="356" ht="15.75" customHeight="1">
      <c r="B356" s="1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9"/>
      <c r="AR356" s="9"/>
      <c r="AS356" s="9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</row>
    <row r="357" ht="15.75" customHeight="1">
      <c r="B357" s="1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9"/>
      <c r="AR357" s="9"/>
      <c r="AS357" s="9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</row>
    <row r="358" ht="15.75" customHeight="1">
      <c r="B358" s="1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9"/>
      <c r="AR358" s="9"/>
      <c r="AS358" s="9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</row>
    <row r="359" ht="15.75" customHeight="1">
      <c r="B359" s="1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9"/>
      <c r="AR359" s="9"/>
      <c r="AS359" s="9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</row>
    <row r="360" ht="15.75" customHeight="1">
      <c r="B360" s="1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9"/>
      <c r="AR360" s="9"/>
      <c r="AS360" s="9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</row>
    <row r="361" ht="15.75" customHeight="1">
      <c r="B361" s="1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9"/>
      <c r="AR361" s="9"/>
      <c r="AS361" s="9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</row>
    <row r="362" ht="15.75" customHeight="1">
      <c r="B362" s="1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9"/>
      <c r="AR362" s="9"/>
      <c r="AS362" s="9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</row>
    <row r="363" ht="15.75" customHeight="1">
      <c r="B363" s="1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9"/>
      <c r="AR363" s="9"/>
      <c r="AS363" s="9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</row>
    <row r="364" ht="15.75" customHeight="1">
      <c r="B364" s="1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9"/>
      <c r="AR364" s="9"/>
      <c r="AS364" s="9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</row>
    <row r="365" ht="15.75" customHeight="1">
      <c r="B365" s="1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9"/>
      <c r="AR365" s="9"/>
      <c r="AS365" s="9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</row>
    <row r="366" ht="15.75" customHeight="1">
      <c r="B366" s="1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9"/>
      <c r="AR366" s="9"/>
      <c r="AS366" s="9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</row>
    <row r="367" ht="15.75" customHeight="1">
      <c r="B367" s="1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9"/>
      <c r="AR367" s="9"/>
      <c r="AS367" s="9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</row>
    <row r="368" ht="15.75" customHeight="1">
      <c r="B368" s="1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9"/>
      <c r="AR368" s="9"/>
      <c r="AS368" s="9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</row>
    <row r="369" ht="15.75" customHeight="1">
      <c r="B369" s="1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9"/>
      <c r="AR369" s="9"/>
      <c r="AS369" s="9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</row>
    <row r="370" ht="15.75" customHeight="1">
      <c r="B370" s="1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9"/>
      <c r="AR370" s="9"/>
      <c r="AS370" s="9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</row>
    <row r="371" ht="15.75" customHeight="1">
      <c r="B371" s="1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9"/>
      <c r="AR371" s="9"/>
      <c r="AS371" s="9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</row>
    <row r="372" ht="15.75" customHeight="1">
      <c r="B372" s="1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9"/>
      <c r="AR372" s="9"/>
      <c r="AS372" s="9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</row>
    <row r="373" ht="15.75" customHeight="1">
      <c r="B373" s="1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9"/>
      <c r="AR373" s="9"/>
      <c r="AS373" s="9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</row>
    <row r="374" ht="15.75" customHeight="1">
      <c r="B374" s="1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9"/>
      <c r="AR374" s="9"/>
      <c r="AS374" s="9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</row>
    <row r="375" ht="15.75" customHeight="1">
      <c r="B375" s="1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9"/>
      <c r="AR375" s="9"/>
      <c r="AS375" s="9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</row>
    <row r="376" ht="15.75" customHeight="1">
      <c r="B376" s="1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9"/>
      <c r="AR376" s="9"/>
      <c r="AS376" s="9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</row>
    <row r="377" ht="15.75" customHeight="1">
      <c r="B377" s="1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9"/>
      <c r="AR377" s="9"/>
      <c r="AS377" s="9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</row>
    <row r="378" ht="15.75" customHeight="1">
      <c r="B378" s="1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9"/>
      <c r="AR378" s="9"/>
      <c r="AS378" s="9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</row>
    <row r="379" ht="15.75" customHeight="1">
      <c r="B379" s="1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9"/>
      <c r="AR379" s="9"/>
      <c r="AS379" s="9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</row>
    <row r="380" ht="15.75" customHeight="1">
      <c r="B380" s="1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9"/>
      <c r="AR380" s="9"/>
      <c r="AS380" s="9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</row>
    <row r="381" ht="15.75" customHeight="1">
      <c r="B381" s="1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9"/>
      <c r="AR381" s="9"/>
      <c r="AS381" s="9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</row>
    <row r="382" ht="15.75" customHeight="1">
      <c r="B382" s="1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9"/>
      <c r="AR382" s="9"/>
      <c r="AS382" s="9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</row>
    <row r="383" ht="15.75" customHeight="1">
      <c r="B383" s="1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9"/>
      <c r="AR383" s="9"/>
      <c r="AS383" s="9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</row>
    <row r="384" ht="15.75" customHeight="1">
      <c r="B384" s="1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9"/>
      <c r="AR384" s="9"/>
      <c r="AS384" s="9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</row>
    <row r="385" ht="15.75" customHeight="1">
      <c r="B385" s="1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9"/>
      <c r="AR385" s="9"/>
      <c r="AS385" s="9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</row>
    <row r="386" ht="15.75" customHeight="1">
      <c r="B386" s="1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9"/>
      <c r="AR386" s="9"/>
      <c r="AS386" s="9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</row>
    <row r="387" ht="15.75" customHeight="1">
      <c r="B387" s="1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9"/>
      <c r="AR387" s="9"/>
      <c r="AS387" s="9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</row>
    <row r="388" ht="15.75" customHeight="1">
      <c r="B388" s="1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9"/>
      <c r="AR388" s="9"/>
      <c r="AS388" s="9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</row>
    <row r="389" ht="15.75" customHeight="1">
      <c r="B389" s="1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9"/>
      <c r="AR389" s="9"/>
      <c r="AS389" s="9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</row>
    <row r="390" ht="15.75" customHeight="1">
      <c r="B390" s="1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9"/>
      <c r="AR390" s="9"/>
      <c r="AS390" s="9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</row>
    <row r="391" ht="15.75" customHeight="1">
      <c r="B391" s="1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9"/>
      <c r="AR391" s="9"/>
      <c r="AS391" s="9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</row>
    <row r="392" ht="15.75" customHeight="1">
      <c r="B392" s="1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9"/>
      <c r="AR392" s="9"/>
      <c r="AS392" s="9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</row>
    <row r="393" ht="15.75" customHeight="1">
      <c r="B393" s="1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9"/>
      <c r="AR393" s="9"/>
      <c r="AS393" s="9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</row>
    <row r="394" ht="15.75" customHeight="1">
      <c r="B394" s="1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9"/>
      <c r="AR394" s="9"/>
      <c r="AS394" s="9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</row>
    <row r="395" ht="15.75" customHeight="1">
      <c r="B395" s="1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9"/>
      <c r="AR395" s="9"/>
      <c r="AS395" s="9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</row>
    <row r="396" ht="15.75" customHeight="1">
      <c r="B396" s="1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9"/>
      <c r="AR396" s="9"/>
      <c r="AS396" s="9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</row>
    <row r="397" ht="15.75" customHeight="1">
      <c r="B397" s="1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9"/>
      <c r="AR397" s="9"/>
      <c r="AS397" s="9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</row>
    <row r="398" ht="15.75" customHeight="1">
      <c r="B398" s="1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9"/>
      <c r="AR398" s="9"/>
      <c r="AS398" s="9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</row>
    <row r="399" ht="15.75" customHeight="1">
      <c r="B399" s="1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9"/>
      <c r="AR399" s="9"/>
      <c r="AS399" s="9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</row>
    <row r="400" ht="15.75" customHeight="1">
      <c r="B400" s="1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9"/>
      <c r="AR400" s="9"/>
      <c r="AS400" s="9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</row>
    <row r="401" ht="15.75" customHeight="1">
      <c r="B401" s="1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9"/>
      <c r="AR401" s="9"/>
      <c r="AS401" s="9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</row>
    <row r="402" ht="15.75" customHeight="1">
      <c r="B402" s="1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9"/>
      <c r="AR402" s="9"/>
      <c r="AS402" s="9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</row>
    <row r="403" ht="15.75" customHeight="1">
      <c r="B403" s="1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9"/>
      <c r="AR403" s="9"/>
      <c r="AS403" s="9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</row>
    <row r="404" ht="15.75" customHeight="1">
      <c r="B404" s="1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9"/>
      <c r="AR404" s="9"/>
      <c r="AS404" s="9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</row>
    <row r="405" ht="15.75" customHeight="1">
      <c r="B405" s="1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9"/>
      <c r="AR405" s="9"/>
      <c r="AS405" s="9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</row>
    <row r="406" ht="15.75" customHeight="1">
      <c r="B406" s="1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9"/>
      <c r="AR406" s="9"/>
      <c r="AS406" s="9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</row>
    <row r="407" ht="15.75" customHeight="1">
      <c r="B407" s="1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9"/>
      <c r="AR407" s="9"/>
      <c r="AS407" s="9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</row>
    <row r="408" ht="15.75" customHeight="1">
      <c r="B408" s="1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9"/>
      <c r="AR408" s="9"/>
      <c r="AS408" s="9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</row>
    <row r="409" ht="15.75" customHeight="1">
      <c r="B409" s="1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9"/>
      <c r="AR409" s="9"/>
      <c r="AS409" s="9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</row>
    <row r="410" ht="15.75" customHeight="1">
      <c r="B410" s="1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9"/>
      <c r="AR410" s="9"/>
      <c r="AS410" s="9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</row>
    <row r="411" ht="15.75" customHeight="1">
      <c r="B411" s="1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9"/>
      <c r="AR411" s="9"/>
      <c r="AS411" s="9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</row>
    <row r="412" ht="15.75" customHeight="1">
      <c r="B412" s="1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9"/>
      <c r="AR412" s="9"/>
      <c r="AS412" s="9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</row>
    <row r="413" ht="15.75" customHeight="1">
      <c r="B413" s="1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9"/>
      <c r="AR413" s="9"/>
      <c r="AS413" s="9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</row>
    <row r="414" ht="15.75" customHeight="1">
      <c r="B414" s="1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9"/>
      <c r="AR414" s="9"/>
      <c r="AS414" s="9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</row>
    <row r="415" ht="15.75" customHeight="1">
      <c r="B415" s="1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9"/>
      <c r="AR415" s="9"/>
      <c r="AS415" s="9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</row>
    <row r="416" ht="15.75" customHeight="1">
      <c r="B416" s="1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9"/>
      <c r="AR416" s="9"/>
      <c r="AS416" s="9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</row>
    <row r="417" ht="15.75" customHeight="1">
      <c r="B417" s="1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9"/>
      <c r="AR417" s="9"/>
      <c r="AS417" s="9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</row>
    <row r="418" ht="15.75" customHeight="1">
      <c r="B418" s="1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9"/>
      <c r="AR418" s="9"/>
      <c r="AS418" s="9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</row>
    <row r="419" ht="15.75" customHeight="1">
      <c r="B419" s="1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9"/>
      <c r="AR419" s="9"/>
      <c r="AS419" s="9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</row>
    <row r="420" ht="15.75" customHeight="1">
      <c r="B420" s="1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9"/>
      <c r="AR420" s="9"/>
      <c r="AS420" s="9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</row>
    <row r="421" ht="15.75" customHeight="1">
      <c r="B421" s="1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9"/>
      <c r="AR421" s="9"/>
      <c r="AS421" s="9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</row>
    <row r="422" ht="15.75" customHeight="1">
      <c r="B422" s="1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9"/>
      <c r="AR422" s="9"/>
      <c r="AS422" s="9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</row>
    <row r="423" ht="15.75" customHeight="1">
      <c r="B423" s="1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9"/>
      <c r="AR423" s="9"/>
      <c r="AS423" s="9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</row>
    <row r="424" ht="15.75" customHeight="1">
      <c r="B424" s="1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9"/>
      <c r="AR424" s="9"/>
      <c r="AS424" s="9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</row>
    <row r="425" ht="15.75" customHeight="1">
      <c r="B425" s="1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9"/>
      <c r="AR425" s="9"/>
      <c r="AS425" s="9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</row>
    <row r="426" ht="15.75" customHeight="1">
      <c r="B426" s="1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9"/>
      <c r="AR426" s="9"/>
      <c r="AS426" s="9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</row>
    <row r="427" ht="15.75" customHeight="1">
      <c r="B427" s="1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9"/>
      <c r="AR427" s="9"/>
      <c r="AS427" s="9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</row>
    <row r="428" ht="15.75" customHeight="1">
      <c r="B428" s="1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9"/>
      <c r="AR428" s="9"/>
      <c r="AS428" s="9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</row>
    <row r="429" ht="15.75" customHeight="1">
      <c r="B429" s="1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9"/>
      <c r="AR429" s="9"/>
      <c r="AS429" s="9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</row>
    <row r="430" ht="15.75" customHeight="1">
      <c r="B430" s="1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9"/>
      <c r="AR430" s="9"/>
      <c r="AS430" s="9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</row>
    <row r="431" ht="15.75" customHeight="1">
      <c r="B431" s="1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9"/>
      <c r="AR431" s="9"/>
      <c r="AS431" s="9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</row>
    <row r="432" ht="15.75" customHeight="1">
      <c r="B432" s="1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9"/>
      <c r="AR432" s="9"/>
      <c r="AS432" s="9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</row>
    <row r="433" ht="15.75" customHeight="1">
      <c r="B433" s="1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9"/>
      <c r="AR433" s="9"/>
      <c r="AS433" s="9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</row>
    <row r="434" ht="15.75" customHeight="1">
      <c r="B434" s="1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9"/>
      <c r="AR434" s="9"/>
      <c r="AS434" s="9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</row>
    <row r="435" ht="15.75" customHeight="1">
      <c r="B435" s="1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9"/>
      <c r="AR435" s="9"/>
      <c r="AS435" s="9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</row>
    <row r="436" ht="15.75" customHeight="1">
      <c r="B436" s="1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9"/>
      <c r="AR436" s="9"/>
      <c r="AS436" s="9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</row>
    <row r="437" ht="15.75" customHeight="1">
      <c r="B437" s="1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9"/>
      <c r="AR437" s="9"/>
      <c r="AS437" s="9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</row>
    <row r="438" ht="15.75" customHeight="1">
      <c r="B438" s="1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9"/>
      <c r="AR438" s="9"/>
      <c r="AS438" s="9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</row>
    <row r="439" ht="15.75" customHeight="1">
      <c r="B439" s="1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9"/>
      <c r="AR439" s="9"/>
      <c r="AS439" s="9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</row>
    <row r="440" ht="15.75" customHeight="1">
      <c r="B440" s="1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9"/>
      <c r="AR440" s="9"/>
      <c r="AS440" s="9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</row>
    <row r="441" ht="15.75" customHeight="1">
      <c r="B441" s="1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9"/>
      <c r="AR441" s="9"/>
      <c r="AS441" s="9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</row>
    <row r="442" ht="15.75" customHeight="1">
      <c r="B442" s="1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9"/>
      <c r="AR442" s="9"/>
      <c r="AS442" s="9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</row>
    <row r="443" ht="15.75" customHeight="1">
      <c r="B443" s="1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9"/>
      <c r="AR443" s="9"/>
      <c r="AS443" s="9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</row>
    <row r="444" ht="15.75" customHeight="1">
      <c r="B444" s="1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9"/>
      <c r="AR444" s="9"/>
      <c r="AS444" s="9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</row>
    <row r="445" ht="15.75" customHeight="1">
      <c r="B445" s="1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9"/>
      <c r="AR445" s="9"/>
      <c r="AS445" s="9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</row>
    <row r="446" ht="15.75" customHeight="1">
      <c r="B446" s="1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9"/>
      <c r="AR446" s="9"/>
      <c r="AS446" s="9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</row>
    <row r="447" ht="15.75" customHeight="1">
      <c r="B447" s="1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9"/>
      <c r="AR447" s="9"/>
      <c r="AS447" s="9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</row>
    <row r="448" ht="15.75" customHeight="1">
      <c r="B448" s="1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9"/>
      <c r="AR448" s="9"/>
      <c r="AS448" s="9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</row>
    <row r="449" ht="15.75" customHeight="1">
      <c r="B449" s="1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9"/>
      <c r="AR449" s="9"/>
      <c r="AS449" s="9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</row>
    <row r="450" ht="15.75" customHeight="1">
      <c r="B450" s="1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9"/>
      <c r="AR450" s="9"/>
      <c r="AS450" s="9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</row>
    <row r="451" ht="15.75" customHeight="1">
      <c r="B451" s="1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9"/>
      <c r="AR451" s="9"/>
      <c r="AS451" s="9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</row>
    <row r="452" ht="15.75" customHeight="1">
      <c r="B452" s="1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9"/>
      <c r="AR452" s="9"/>
      <c r="AS452" s="9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</row>
    <row r="453" ht="15.75" customHeight="1">
      <c r="B453" s="1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9"/>
      <c r="AR453" s="9"/>
      <c r="AS453" s="9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</row>
    <row r="454" ht="15.75" customHeight="1">
      <c r="B454" s="1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9"/>
      <c r="AR454" s="9"/>
      <c r="AS454" s="9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</row>
    <row r="455" ht="15.75" customHeight="1">
      <c r="B455" s="1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9"/>
      <c r="AR455" s="9"/>
      <c r="AS455" s="9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</row>
    <row r="456" ht="15.75" customHeight="1">
      <c r="B456" s="1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9"/>
      <c r="AR456" s="9"/>
      <c r="AS456" s="9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</row>
    <row r="457" ht="15.75" customHeight="1">
      <c r="B457" s="1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9"/>
      <c r="AR457" s="9"/>
      <c r="AS457" s="9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</row>
    <row r="458" ht="15.75" customHeight="1">
      <c r="B458" s="1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9"/>
      <c r="AR458" s="9"/>
      <c r="AS458" s="9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</row>
    <row r="459" ht="15.75" customHeight="1">
      <c r="B459" s="1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9"/>
      <c r="AR459" s="9"/>
      <c r="AS459" s="9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</row>
    <row r="460" ht="15.75" customHeight="1">
      <c r="B460" s="1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9"/>
      <c r="AR460" s="9"/>
      <c r="AS460" s="9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</row>
    <row r="461" ht="15.75" customHeight="1">
      <c r="B461" s="1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9"/>
      <c r="AR461" s="9"/>
      <c r="AS461" s="9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</row>
    <row r="462" ht="15.75" customHeight="1">
      <c r="B462" s="1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9"/>
      <c r="AR462" s="9"/>
      <c r="AS462" s="9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</row>
    <row r="463" ht="15.75" customHeight="1">
      <c r="B463" s="1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9"/>
      <c r="AR463" s="9"/>
      <c r="AS463" s="9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</row>
    <row r="464" ht="15.75" customHeight="1">
      <c r="B464" s="1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9"/>
      <c r="AR464" s="9"/>
      <c r="AS464" s="9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</row>
    <row r="465" ht="15.75" customHeight="1">
      <c r="B465" s="1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9"/>
      <c r="AR465" s="9"/>
      <c r="AS465" s="9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</row>
    <row r="466" ht="15.75" customHeight="1">
      <c r="B466" s="1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9"/>
      <c r="AR466" s="9"/>
      <c r="AS466" s="9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</row>
    <row r="467" ht="15.75" customHeight="1">
      <c r="B467" s="1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9"/>
      <c r="AR467" s="9"/>
      <c r="AS467" s="9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</row>
    <row r="468" ht="15.75" customHeight="1">
      <c r="B468" s="1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9"/>
      <c r="AR468" s="9"/>
      <c r="AS468" s="9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</row>
    <row r="469" ht="15.75" customHeight="1">
      <c r="B469" s="1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9"/>
      <c r="AR469" s="9"/>
      <c r="AS469" s="9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</row>
    <row r="470" ht="15.75" customHeight="1">
      <c r="B470" s="1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9"/>
      <c r="AR470" s="9"/>
      <c r="AS470" s="9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</row>
    <row r="471" ht="15.75" customHeight="1">
      <c r="B471" s="1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9"/>
      <c r="AR471" s="9"/>
      <c r="AS471" s="9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</row>
    <row r="472" ht="15.75" customHeight="1">
      <c r="B472" s="1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9"/>
      <c r="AR472" s="9"/>
      <c r="AS472" s="9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</row>
    <row r="473" ht="15.75" customHeight="1">
      <c r="B473" s="1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9"/>
      <c r="AR473" s="9"/>
      <c r="AS473" s="9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</row>
    <row r="474" ht="15.75" customHeight="1">
      <c r="B474" s="1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9"/>
      <c r="AR474" s="9"/>
      <c r="AS474" s="9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</row>
    <row r="475" ht="15.75" customHeight="1">
      <c r="B475" s="1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9"/>
      <c r="AR475" s="9"/>
      <c r="AS475" s="9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</row>
    <row r="476" ht="15.75" customHeight="1">
      <c r="B476" s="1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9"/>
      <c r="AR476" s="9"/>
      <c r="AS476" s="9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</row>
    <row r="477" ht="15.75" customHeight="1">
      <c r="B477" s="1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9"/>
      <c r="AR477" s="9"/>
      <c r="AS477" s="9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</row>
    <row r="478" ht="15.75" customHeight="1">
      <c r="B478" s="1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9"/>
      <c r="AR478" s="9"/>
      <c r="AS478" s="9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</row>
    <row r="479" ht="15.75" customHeight="1">
      <c r="B479" s="1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9"/>
      <c r="AR479" s="9"/>
      <c r="AS479" s="9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</row>
    <row r="480" ht="15.75" customHeight="1">
      <c r="B480" s="1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9"/>
      <c r="AR480" s="9"/>
      <c r="AS480" s="9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</row>
    <row r="481" ht="15.75" customHeight="1">
      <c r="B481" s="1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9"/>
      <c r="AR481" s="9"/>
      <c r="AS481" s="9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</row>
    <row r="482" ht="15.75" customHeight="1">
      <c r="B482" s="1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9"/>
      <c r="AR482" s="9"/>
      <c r="AS482" s="9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</row>
    <row r="483" ht="15.75" customHeight="1">
      <c r="B483" s="1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9"/>
      <c r="AR483" s="9"/>
      <c r="AS483" s="9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</row>
    <row r="484" ht="15.75" customHeight="1">
      <c r="B484" s="1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9"/>
      <c r="AR484" s="9"/>
      <c r="AS484" s="9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</row>
    <row r="485" ht="15.75" customHeight="1">
      <c r="B485" s="1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9"/>
      <c r="AR485" s="9"/>
      <c r="AS485" s="9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</row>
    <row r="486" ht="15.75" customHeight="1">
      <c r="B486" s="1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9"/>
      <c r="AR486" s="9"/>
      <c r="AS486" s="9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</row>
    <row r="487" ht="15.75" customHeight="1">
      <c r="B487" s="1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9"/>
      <c r="AR487" s="9"/>
      <c r="AS487" s="9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</row>
    <row r="488" ht="15.75" customHeight="1">
      <c r="B488" s="1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9"/>
      <c r="AR488" s="9"/>
      <c r="AS488" s="9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</row>
    <row r="489" ht="15.75" customHeight="1">
      <c r="B489" s="1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9"/>
      <c r="AR489" s="9"/>
      <c r="AS489" s="9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</row>
    <row r="490" ht="15.75" customHeight="1">
      <c r="B490" s="1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9"/>
      <c r="AR490" s="9"/>
      <c r="AS490" s="9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</row>
    <row r="491" ht="15.75" customHeight="1">
      <c r="B491" s="1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9"/>
      <c r="AR491" s="9"/>
      <c r="AS491" s="9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</row>
    <row r="492" ht="15.75" customHeight="1">
      <c r="B492" s="1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9"/>
      <c r="AR492" s="9"/>
      <c r="AS492" s="9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</row>
    <row r="493" ht="15.75" customHeight="1">
      <c r="B493" s="1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9"/>
      <c r="AR493" s="9"/>
      <c r="AS493" s="9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</row>
    <row r="494" ht="15.75" customHeight="1">
      <c r="B494" s="1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9"/>
      <c r="AR494" s="9"/>
      <c r="AS494" s="9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</row>
    <row r="495" ht="15.75" customHeight="1">
      <c r="B495" s="1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9"/>
      <c r="AR495" s="9"/>
      <c r="AS495" s="9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</row>
    <row r="496" ht="15.75" customHeight="1">
      <c r="B496" s="1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9"/>
      <c r="AR496" s="9"/>
      <c r="AS496" s="9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</row>
    <row r="497" ht="15.75" customHeight="1">
      <c r="B497" s="1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9"/>
      <c r="AR497" s="9"/>
      <c r="AS497" s="9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</row>
    <row r="498" ht="15.75" customHeight="1">
      <c r="B498" s="1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9"/>
      <c r="AR498" s="9"/>
      <c r="AS498" s="9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</row>
    <row r="499" ht="15.75" customHeight="1">
      <c r="B499" s="1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9"/>
      <c r="AR499" s="9"/>
      <c r="AS499" s="9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</row>
    <row r="500" ht="15.75" customHeight="1">
      <c r="B500" s="1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9"/>
      <c r="AR500" s="9"/>
      <c r="AS500" s="9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</row>
    <row r="501" ht="15.75" customHeight="1">
      <c r="B501" s="1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9"/>
      <c r="AR501" s="9"/>
      <c r="AS501" s="9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</row>
    <row r="502" ht="15.75" customHeight="1">
      <c r="B502" s="1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9"/>
      <c r="AR502" s="9"/>
      <c r="AS502" s="9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</row>
    <row r="503" ht="15.75" customHeight="1">
      <c r="B503" s="1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9"/>
      <c r="AR503" s="9"/>
      <c r="AS503" s="9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</row>
    <row r="504" ht="15.75" customHeight="1">
      <c r="B504" s="1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9"/>
      <c r="AR504" s="9"/>
      <c r="AS504" s="9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</row>
    <row r="505" ht="15.75" customHeight="1">
      <c r="B505" s="1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9"/>
      <c r="AR505" s="9"/>
      <c r="AS505" s="9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</row>
    <row r="506" ht="15.75" customHeight="1">
      <c r="B506" s="1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9"/>
      <c r="AR506" s="9"/>
      <c r="AS506" s="9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</row>
    <row r="507" ht="15.75" customHeight="1">
      <c r="B507" s="1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9"/>
      <c r="AR507" s="9"/>
      <c r="AS507" s="9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</row>
    <row r="508" ht="15.75" customHeight="1">
      <c r="B508" s="1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9"/>
      <c r="AR508" s="9"/>
      <c r="AS508" s="9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</row>
    <row r="509" ht="15.75" customHeight="1">
      <c r="B509" s="1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9"/>
      <c r="AR509" s="9"/>
      <c r="AS509" s="9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</row>
    <row r="510" ht="15.75" customHeight="1">
      <c r="B510" s="1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9"/>
      <c r="AR510" s="9"/>
      <c r="AS510" s="9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</row>
    <row r="511" ht="15.75" customHeight="1">
      <c r="B511" s="1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9"/>
      <c r="AR511" s="9"/>
      <c r="AS511" s="9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</row>
    <row r="512" ht="15.75" customHeight="1">
      <c r="B512" s="1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9"/>
      <c r="AR512" s="9"/>
      <c r="AS512" s="9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</row>
    <row r="513" ht="15.75" customHeight="1">
      <c r="B513" s="1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9"/>
      <c r="AR513" s="9"/>
      <c r="AS513" s="9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</row>
    <row r="514" ht="15.75" customHeight="1">
      <c r="B514" s="1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9"/>
      <c r="AR514" s="9"/>
      <c r="AS514" s="9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</row>
    <row r="515" ht="15.75" customHeight="1">
      <c r="B515" s="1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9"/>
      <c r="AR515" s="9"/>
      <c r="AS515" s="9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</row>
    <row r="516" ht="15.75" customHeight="1">
      <c r="B516" s="1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9"/>
      <c r="AR516" s="9"/>
      <c r="AS516" s="9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</row>
    <row r="517" ht="15.75" customHeight="1">
      <c r="B517" s="1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9"/>
      <c r="AR517" s="9"/>
      <c r="AS517" s="9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</row>
    <row r="518" ht="15.75" customHeight="1">
      <c r="B518" s="1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9"/>
      <c r="AR518" s="9"/>
      <c r="AS518" s="9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</row>
    <row r="519" ht="15.75" customHeight="1">
      <c r="B519" s="1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9"/>
      <c r="AR519" s="9"/>
      <c r="AS519" s="9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</row>
    <row r="520" ht="15.75" customHeight="1">
      <c r="B520" s="1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9"/>
      <c r="AR520" s="9"/>
      <c r="AS520" s="9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</row>
    <row r="521" ht="15.75" customHeight="1">
      <c r="B521" s="1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9"/>
      <c r="AR521" s="9"/>
      <c r="AS521" s="9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</row>
    <row r="522" ht="15.75" customHeight="1">
      <c r="B522" s="1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9"/>
      <c r="AR522" s="9"/>
      <c r="AS522" s="9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</row>
    <row r="523" ht="15.75" customHeight="1">
      <c r="B523" s="1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9"/>
      <c r="AR523" s="9"/>
      <c r="AS523" s="9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</row>
    <row r="524" ht="15.75" customHeight="1">
      <c r="B524" s="1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9"/>
      <c r="AR524" s="9"/>
      <c r="AS524" s="9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</row>
    <row r="525" ht="15.75" customHeight="1">
      <c r="B525" s="1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9"/>
      <c r="AR525" s="9"/>
      <c r="AS525" s="9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</row>
    <row r="526" ht="15.75" customHeight="1">
      <c r="B526" s="1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9"/>
      <c r="AR526" s="9"/>
      <c r="AS526" s="9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</row>
    <row r="527" ht="15.75" customHeight="1">
      <c r="B527" s="1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9"/>
      <c r="AR527" s="9"/>
      <c r="AS527" s="9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</row>
    <row r="528" ht="15.75" customHeight="1">
      <c r="B528" s="1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9"/>
      <c r="AR528" s="9"/>
      <c r="AS528" s="9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</row>
    <row r="529" ht="15.75" customHeight="1">
      <c r="B529" s="1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9"/>
      <c r="AR529" s="9"/>
      <c r="AS529" s="9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</row>
    <row r="530" ht="15.75" customHeight="1">
      <c r="B530" s="1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9"/>
      <c r="AR530" s="9"/>
      <c r="AS530" s="9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</row>
    <row r="531" ht="15.75" customHeight="1">
      <c r="B531" s="1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9"/>
      <c r="AR531" s="9"/>
      <c r="AS531" s="9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</row>
    <row r="532" ht="15.75" customHeight="1">
      <c r="B532" s="1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9"/>
      <c r="AR532" s="9"/>
      <c r="AS532" s="9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</row>
    <row r="533" ht="15.75" customHeight="1">
      <c r="B533" s="1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9"/>
      <c r="AR533" s="9"/>
      <c r="AS533" s="9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</row>
    <row r="534" ht="15.75" customHeight="1">
      <c r="B534" s="1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9"/>
      <c r="AR534" s="9"/>
      <c r="AS534" s="9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</row>
    <row r="535" ht="15.75" customHeight="1">
      <c r="B535" s="1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9"/>
      <c r="AR535" s="9"/>
      <c r="AS535" s="9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</row>
    <row r="536" ht="15.75" customHeight="1">
      <c r="B536" s="1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9"/>
      <c r="AR536" s="9"/>
      <c r="AS536" s="9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</row>
    <row r="537" ht="15.75" customHeight="1">
      <c r="B537" s="16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9"/>
      <c r="AR537" s="9"/>
      <c r="AS537" s="9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</row>
    <row r="538" ht="15.75" customHeight="1">
      <c r="B538" s="16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9"/>
      <c r="AR538" s="9"/>
      <c r="AS538" s="9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</row>
    <row r="539" ht="15.75" customHeight="1">
      <c r="B539" s="16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9"/>
      <c r="AR539" s="9"/>
      <c r="AS539" s="9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</row>
    <row r="540" ht="15.75" customHeight="1">
      <c r="B540" s="16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9"/>
      <c r="AR540" s="9"/>
      <c r="AS540" s="9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</row>
    <row r="541" ht="15.75" customHeight="1">
      <c r="B541" s="16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9"/>
      <c r="AR541" s="9"/>
      <c r="AS541" s="9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</row>
    <row r="542" ht="15.75" customHeight="1">
      <c r="B542" s="16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9"/>
      <c r="AR542" s="9"/>
      <c r="AS542" s="9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</row>
    <row r="543" ht="15.75" customHeight="1">
      <c r="B543" s="16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9"/>
      <c r="AR543" s="9"/>
      <c r="AS543" s="9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</row>
    <row r="544" ht="15.75" customHeight="1">
      <c r="B544" s="16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9"/>
      <c r="AR544" s="9"/>
      <c r="AS544" s="9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</row>
    <row r="545" ht="15.75" customHeight="1">
      <c r="B545" s="16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9"/>
      <c r="AR545" s="9"/>
      <c r="AS545" s="9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</row>
    <row r="546" ht="15.75" customHeight="1">
      <c r="B546" s="16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9"/>
      <c r="AR546" s="9"/>
      <c r="AS546" s="9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</row>
    <row r="547" ht="15.75" customHeight="1">
      <c r="B547" s="16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9"/>
      <c r="AR547" s="9"/>
      <c r="AS547" s="9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</row>
    <row r="548" ht="15.75" customHeight="1">
      <c r="B548" s="16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9"/>
      <c r="AR548" s="9"/>
      <c r="AS548" s="9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</row>
    <row r="549" ht="15.75" customHeight="1">
      <c r="B549" s="16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9"/>
      <c r="AR549" s="9"/>
      <c r="AS549" s="9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</row>
    <row r="550" ht="15.75" customHeight="1">
      <c r="B550" s="16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9"/>
      <c r="AR550" s="9"/>
      <c r="AS550" s="9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</row>
    <row r="551" ht="15.75" customHeight="1">
      <c r="B551" s="16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9"/>
      <c r="AR551" s="9"/>
      <c r="AS551" s="9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</row>
    <row r="552" ht="15.75" customHeight="1">
      <c r="B552" s="16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9"/>
      <c r="AR552" s="9"/>
      <c r="AS552" s="9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</row>
    <row r="553" ht="15.75" customHeight="1">
      <c r="B553" s="16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9"/>
      <c r="AR553" s="9"/>
      <c r="AS553" s="9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</row>
    <row r="554" ht="15.75" customHeight="1">
      <c r="B554" s="16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9"/>
      <c r="AR554" s="9"/>
      <c r="AS554" s="9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</row>
    <row r="555" ht="15.75" customHeight="1">
      <c r="B555" s="16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9"/>
      <c r="AR555" s="9"/>
      <c r="AS555" s="9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</row>
    <row r="556" ht="15.75" customHeight="1">
      <c r="B556" s="16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9"/>
      <c r="AR556" s="9"/>
      <c r="AS556" s="9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</row>
    <row r="557" ht="15.75" customHeight="1">
      <c r="B557" s="16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9"/>
      <c r="AR557" s="9"/>
      <c r="AS557" s="9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</row>
    <row r="558" ht="15.75" customHeight="1">
      <c r="B558" s="16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9"/>
      <c r="AR558" s="9"/>
      <c r="AS558" s="9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</row>
    <row r="559" ht="15.75" customHeight="1">
      <c r="B559" s="16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9"/>
      <c r="AR559" s="9"/>
      <c r="AS559" s="9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</row>
    <row r="560" ht="15.75" customHeight="1">
      <c r="B560" s="16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9"/>
      <c r="AR560" s="9"/>
      <c r="AS560" s="9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</row>
    <row r="561" ht="15.75" customHeight="1">
      <c r="B561" s="16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9"/>
      <c r="AR561" s="9"/>
      <c r="AS561" s="9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</row>
    <row r="562" ht="15.75" customHeight="1">
      <c r="B562" s="16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9"/>
      <c r="AR562" s="9"/>
      <c r="AS562" s="9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</row>
    <row r="563" ht="15.75" customHeight="1">
      <c r="B563" s="16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9"/>
      <c r="AR563" s="9"/>
      <c r="AS563" s="9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</row>
    <row r="564" ht="15.75" customHeight="1">
      <c r="B564" s="16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9"/>
      <c r="AR564" s="9"/>
      <c r="AS564" s="9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</row>
    <row r="565" ht="15.75" customHeight="1">
      <c r="B565" s="16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9"/>
      <c r="AR565" s="9"/>
      <c r="AS565" s="9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</row>
    <row r="566" ht="15.75" customHeight="1">
      <c r="B566" s="16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9"/>
      <c r="AR566" s="9"/>
      <c r="AS566" s="9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</row>
    <row r="567" ht="15.75" customHeight="1">
      <c r="B567" s="16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9"/>
      <c r="AR567" s="9"/>
      <c r="AS567" s="9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</row>
    <row r="568" ht="15.75" customHeight="1">
      <c r="B568" s="16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9"/>
      <c r="AR568" s="9"/>
      <c r="AS568" s="9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</row>
    <row r="569" ht="15.75" customHeight="1">
      <c r="B569" s="16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9"/>
      <c r="AR569" s="9"/>
      <c r="AS569" s="9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</row>
    <row r="570" ht="15.75" customHeight="1">
      <c r="B570" s="16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9"/>
      <c r="AR570" s="9"/>
      <c r="AS570" s="9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</row>
    <row r="571" ht="15.75" customHeight="1">
      <c r="B571" s="16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9"/>
      <c r="AR571" s="9"/>
      <c r="AS571" s="9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</row>
    <row r="572" ht="15.75" customHeight="1">
      <c r="B572" s="16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9"/>
      <c r="AR572" s="9"/>
      <c r="AS572" s="9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</row>
    <row r="573" ht="15.75" customHeight="1">
      <c r="B573" s="16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9"/>
      <c r="AR573" s="9"/>
      <c r="AS573" s="9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</row>
    <row r="574" ht="15.75" customHeight="1">
      <c r="B574" s="16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9"/>
      <c r="AR574" s="9"/>
      <c r="AS574" s="9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</row>
    <row r="575" ht="15.75" customHeight="1">
      <c r="B575" s="16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9"/>
      <c r="AR575" s="9"/>
      <c r="AS575" s="9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</row>
    <row r="576" ht="15.75" customHeight="1">
      <c r="B576" s="16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9"/>
      <c r="AR576" s="9"/>
      <c r="AS576" s="9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</row>
    <row r="577" ht="15.75" customHeight="1">
      <c r="B577" s="16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9"/>
      <c r="AR577" s="9"/>
      <c r="AS577" s="9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</row>
    <row r="578" ht="15.75" customHeight="1">
      <c r="B578" s="16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9"/>
      <c r="AR578" s="9"/>
      <c r="AS578" s="9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</row>
    <row r="579" ht="15.75" customHeight="1">
      <c r="B579" s="16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9"/>
      <c r="AR579" s="9"/>
      <c r="AS579" s="9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</row>
    <row r="580" ht="15.75" customHeight="1">
      <c r="B580" s="16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9"/>
      <c r="AR580" s="9"/>
      <c r="AS580" s="9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</row>
    <row r="581" ht="15.75" customHeight="1">
      <c r="B581" s="16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9"/>
      <c r="AR581" s="9"/>
      <c r="AS581" s="9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</row>
    <row r="582" ht="15.75" customHeight="1">
      <c r="B582" s="16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9"/>
      <c r="AR582" s="9"/>
      <c r="AS582" s="9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</row>
    <row r="583" ht="15.75" customHeight="1">
      <c r="B583" s="16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9"/>
      <c r="AR583" s="9"/>
      <c r="AS583" s="9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</row>
    <row r="584" ht="15.75" customHeight="1">
      <c r="B584" s="16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9"/>
      <c r="AR584" s="9"/>
      <c r="AS584" s="9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</row>
    <row r="585" ht="15.75" customHeight="1">
      <c r="B585" s="16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9"/>
      <c r="AR585" s="9"/>
      <c r="AS585" s="9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</row>
    <row r="586" ht="15.75" customHeight="1">
      <c r="B586" s="16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9"/>
      <c r="AR586" s="9"/>
      <c r="AS586" s="9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</row>
    <row r="587" ht="15.75" customHeight="1">
      <c r="B587" s="16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9"/>
      <c r="AR587" s="9"/>
      <c r="AS587" s="9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</row>
    <row r="588" ht="15.75" customHeight="1">
      <c r="B588" s="16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9"/>
      <c r="AR588" s="9"/>
      <c r="AS588" s="9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</row>
    <row r="589" ht="15.75" customHeight="1">
      <c r="B589" s="16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9"/>
      <c r="AR589" s="9"/>
      <c r="AS589" s="9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</row>
    <row r="590" ht="15.75" customHeight="1">
      <c r="B590" s="16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9"/>
      <c r="AR590" s="9"/>
      <c r="AS590" s="9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</row>
    <row r="591" ht="15.75" customHeight="1">
      <c r="B591" s="16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9"/>
      <c r="AR591" s="9"/>
      <c r="AS591" s="9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</row>
    <row r="592" ht="15.75" customHeight="1">
      <c r="B592" s="16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9"/>
      <c r="AR592" s="9"/>
      <c r="AS592" s="9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</row>
    <row r="593" ht="15.75" customHeight="1">
      <c r="B593" s="16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9"/>
      <c r="AR593" s="9"/>
      <c r="AS593" s="9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</row>
    <row r="594" ht="15.75" customHeight="1">
      <c r="B594" s="16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9"/>
      <c r="AR594" s="9"/>
      <c r="AS594" s="9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</row>
    <row r="595" ht="15.75" customHeight="1">
      <c r="B595" s="16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9"/>
      <c r="AR595" s="9"/>
      <c r="AS595" s="9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</row>
    <row r="596" ht="15.75" customHeight="1">
      <c r="B596" s="16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9"/>
      <c r="AR596" s="9"/>
      <c r="AS596" s="9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</row>
    <row r="597" ht="15.75" customHeight="1">
      <c r="B597" s="16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9"/>
      <c r="AR597" s="9"/>
      <c r="AS597" s="9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</row>
    <row r="598" ht="15.75" customHeight="1">
      <c r="B598" s="16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9"/>
      <c r="AR598" s="9"/>
      <c r="AS598" s="9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</row>
    <row r="599" ht="15.75" customHeight="1">
      <c r="B599" s="16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9"/>
      <c r="AR599" s="9"/>
      <c r="AS599" s="9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</row>
    <row r="600" ht="15.75" customHeight="1">
      <c r="B600" s="16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9"/>
      <c r="AR600" s="9"/>
      <c r="AS600" s="9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</row>
    <row r="601" ht="15.75" customHeight="1">
      <c r="B601" s="16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9"/>
      <c r="AR601" s="9"/>
      <c r="AS601" s="9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</row>
    <row r="602" ht="15.75" customHeight="1">
      <c r="B602" s="16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9"/>
      <c r="AR602" s="9"/>
      <c r="AS602" s="9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</row>
    <row r="603" ht="15.75" customHeight="1">
      <c r="B603" s="16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9"/>
      <c r="AR603" s="9"/>
      <c r="AS603" s="9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</row>
    <row r="604" ht="15.75" customHeight="1">
      <c r="B604" s="16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9"/>
      <c r="AR604" s="9"/>
      <c r="AS604" s="9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</row>
    <row r="605" ht="15.75" customHeight="1">
      <c r="B605" s="16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9"/>
      <c r="AR605" s="9"/>
      <c r="AS605" s="9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</row>
    <row r="606" ht="15.75" customHeight="1">
      <c r="B606" s="16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9"/>
      <c r="AR606" s="9"/>
      <c r="AS606" s="9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</row>
    <row r="607" ht="15.75" customHeight="1">
      <c r="B607" s="16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9"/>
      <c r="AR607" s="9"/>
      <c r="AS607" s="9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</row>
    <row r="608" ht="15.75" customHeight="1">
      <c r="B608" s="16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9"/>
      <c r="AR608" s="9"/>
      <c r="AS608" s="9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</row>
    <row r="609" ht="15.75" customHeight="1">
      <c r="B609" s="16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9"/>
      <c r="AR609" s="9"/>
      <c r="AS609" s="9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</row>
    <row r="610" ht="15.75" customHeight="1">
      <c r="B610" s="16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9"/>
      <c r="AR610" s="9"/>
      <c r="AS610" s="9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</row>
    <row r="611" ht="15.75" customHeight="1">
      <c r="B611" s="16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9"/>
      <c r="AR611" s="9"/>
      <c r="AS611" s="9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</row>
    <row r="612" ht="15.75" customHeight="1">
      <c r="B612" s="16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9"/>
      <c r="AR612" s="9"/>
      <c r="AS612" s="9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</row>
    <row r="613" ht="15.75" customHeight="1">
      <c r="B613" s="16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9"/>
      <c r="AR613" s="9"/>
      <c r="AS613" s="9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</row>
    <row r="614" ht="15.75" customHeight="1">
      <c r="B614" s="16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9"/>
      <c r="AR614" s="9"/>
      <c r="AS614" s="9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</row>
    <row r="615" ht="15.75" customHeight="1">
      <c r="B615" s="16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9"/>
      <c r="AR615" s="9"/>
      <c r="AS615" s="9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</row>
    <row r="616" ht="15.75" customHeight="1">
      <c r="B616" s="16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9"/>
      <c r="AR616" s="9"/>
      <c r="AS616" s="9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</row>
    <row r="617" ht="15.75" customHeight="1">
      <c r="B617" s="16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9"/>
      <c r="AR617" s="9"/>
      <c r="AS617" s="9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</row>
    <row r="618" ht="15.75" customHeight="1">
      <c r="B618" s="16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9"/>
      <c r="AR618" s="9"/>
      <c r="AS618" s="9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</row>
    <row r="619" ht="15.75" customHeight="1">
      <c r="B619" s="16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9"/>
      <c r="AR619" s="9"/>
      <c r="AS619" s="9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</row>
    <row r="620" ht="15.75" customHeight="1">
      <c r="B620" s="16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9"/>
      <c r="AR620" s="9"/>
      <c r="AS620" s="9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</row>
    <row r="621" ht="15.75" customHeight="1">
      <c r="B621" s="16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9"/>
      <c r="AR621" s="9"/>
      <c r="AS621" s="9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</row>
    <row r="622" ht="15.75" customHeight="1">
      <c r="B622" s="16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9"/>
      <c r="AR622" s="9"/>
      <c r="AS622" s="9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</row>
  </sheetData>
  <conditionalFormatting sqref="C4:G622">
    <cfRule type="cellIs" dxfId="4" priority="1" operator="lessThan">
      <formula>100</formula>
    </cfRule>
  </conditionalFormatting>
  <conditionalFormatting sqref="AG4:BM622">
    <cfRule type="cellIs" dxfId="5" priority="2" operator="lessThan">
      <formula>100</formula>
    </cfRule>
  </conditionalFormatting>
  <conditionalFormatting sqref="M4:V26">
    <cfRule type="cellIs" dxfId="6" priority="3" operator="greaterThanOrEqual">
      <formula>100</formula>
    </cfRule>
  </conditionalFormatting>
  <conditionalFormatting sqref="W4:AF26">
    <cfRule type="cellIs" dxfId="7" priority="4" operator="greaterThanOrEqual">
      <formula>100</formula>
    </cfRule>
  </conditionalFormatting>
  <dataValidations>
    <dataValidation type="custom" allowBlank="1" showDropDown="1" showErrorMessage="1" sqref="B3">
      <formula1>QUERY(IMPORTRANGE("https://docs.google.com/spreadsheets/d/1sOBA95jI3gUTkNtq3pD8Ob7Zb_EY63WYXvHKt7aiQk8/edit", "Finished Goods Stock Balance!B4:AS100"), "SELECT *")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7">
        <v>45979.51017255787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D7" s="10" t="s">
        <v>27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D15" s="10" t="s">
        <v>28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