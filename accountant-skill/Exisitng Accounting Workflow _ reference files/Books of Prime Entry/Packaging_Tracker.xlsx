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2.xml" ContentType="application/vnd.openxmlformats-officedocument.drawing+xml"/>
  <Override PartName="/xl/tables/table20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21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22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23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24.xml" ContentType="application/vnd.openxmlformats-officedocument.spreadsheetml.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25.xml" ContentType="application/vnd.openxmlformats-officedocument.spreadsheetml.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tables/table26.xml" ContentType="application/vnd.openxmlformats-officedocument.spreadsheetml.table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ables/table27.xml" ContentType="application/vnd.openxmlformats-officedocument.spreadsheetml.table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tables/table28.xml" ContentType="application/vnd.openxmlformats-officedocument.spreadsheetml.table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ng\workspace_accountant\accountant-skill\Exisitng Accounting Workflow _ reference files\Books of Prime Entry\"/>
    </mc:Choice>
  </mc:AlternateContent>
  <xr:revisionPtr revIDLastSave="0" documentId="13_ncr:1_{C2DAE917-6F4A-4642-A8A4-529324C23FC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ashboard" sheetId="1" r:id="rId1"/>
    <sheet name="COP &amp; Purchases Tracker" sheetId="2" r:id="rId2"/>
    <sheet name="Packing Stock Tracker &gt;&gt;&gt;&gt;&gt;" sheetId="3" r:id="rId3"/>
    <sheet name="12100" sheetId="4" r:id="rId4"/>
    <sheet name="12101" sheetId="5" r:id="rId5"/>
    <sheet name="12102" sheetId="6" r:id="rId6"/>
    <sheet name="12103" sheetId="7" r:id="rId7"/>
    <sheet name="12104" sheetId="8" r:id="rId8"/>
    <sheet name="12105" sheetId="9" r:id="rId9"/>
    <sheet name="12106" sheetId="10" r:id="rId10"/>
    <sheet name="12107" sheetId="22" r:id="rId11"/>
    <sheet name="12108" sheetId="23" r:id="rId12"/>
    <sheet name="12109" sheetId="24" r:id="rId13"/>
    <sheet name="12110" sheetId="25" r:id="rId14"/>
    <sheet name="12111" sheetId="26" r:id="rId15"/>
    <sheet name="12112" sheetId="27" r:id="rId16"/>
    <sheet name="Opening Balance&gt;&gt;&gt;&gt;&gt;" sheetId="11" r:id="rId17"/>
    <sheet name="OB_Feb_2025" sheetId="12" r:id="rId18"/>
    <sheet name="OB_Mar_2025" sheetId="13" r:id="rId19"/>
    <sheet name="OB_April_2025" sheetId="14" r:id="rId20"/>
    <sheet name="OB_May_2025" sheetId="15" r:id="rId21"/>
    <sheet name="OB_June_2025" sheetId="16" r:id="rId22"/>
    <sheet name="OB_July_2025" sheetId="17" r:id="rId23"/>
    <sheet name="OB_August_2025" sheetId="18" r:id="rId24"/>
    <sheet name="OB_Sept_2025" sheetId="19" r:id="rId25"/>
    <sheet name="OB_Oct_2025" sheetId="20" r:id="rId26"/>
    <sheet name="OB_Nov_2025" sheetId="21" r:id="rId2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FpUj72pjpnM8Vo9HOxBRgkPrg0JNfzT22srAzsthG8w="/>
    </ext>
  </extLst>
</workbook>
</file>

<file path=xl/calcChain.xml><?xml version="1.0" encoding="utf-8"?>
<calcChain xmlns="http://schemas.openxmlformats.org/spreadsheetml/2006/main">
  <c r="A17" i="1" l="1"/>
  <c r="A18" i="1"/>
  <c r="A19" i="1"/>
  <c r="A16" i="1"/>
  <c r="I10" i="21" l="1"/>
  <c r="H10" i="21"/>
  <c r="F10" i="21"/>
  <c r="I9" i="21"/>
  <c r="H9" i="21"/>
  <c r="F9" i="21"/>
  <c r="I8" i="21"/>
  <c r="H8" i="21"/>
  <c r="F8" i="21"/>
  <c r="I7" i="21"/>
  <c r="H7" i="21"/>
  <c r="F7" i="21"/>
  <c r="I6" i="21"/>
  <c r="H6" i="21"/>
  <c r="F6" i="21"/>
  <c r="I5" i="21"/>
  <c r="H5" i="21"/>
  <c r="F5" i="21"/>
  <c r="I4" i="21"/>
  <c r="H4" i="21"/>
  <c r="F4" i="21"/>
  <c r="F2" i="21" s="1"/>
  <c r="I10" i="20"/>
  <c r="H10" i="20"/>
  <c r="F10" i="20"/>
  <c r="I9" i="20"/>
  <c r="H9" i="20"/>
  <c r="F9" i="20"/>
  <c r="I8" i="20"/>
  <c r="H8" i="20"/>
  <c r="F8" i="20"/>
  <c r="I7" i="20"/>
  <c r="H7" i="20"/>
  <c r="F7" i="20"/>
  <c r="I6" i="20"/>
  <c r="H6" i="20"/>
  <c r="F6" i="20"/>
  <c r="I5" i="20"/>
  <c r="H5" i="20"/>
  <c r="F5" i="20"/>
  <c r="I4" i="20"/>
  <c r="H4" i="20"/>
  <c r="F4" i="20"/>
  <c r="F2" i="20" s="1"/>
  <c r="F2" i="19"/>
  <c r="F2" i="18"/>
  <c r="F2" i="17"/>
  <c r="F2" i="15"/>
  <c r="F2" i="14"/>
  <c r="F2" i="13"/>
  <c r="L4" i="12"/>
  <c r="L6" i="12" s="1"/>
  <c r="O1" i="10"/>
  <c r="N1" i="10"/>
  <c r="O1" i="9"/>
  <c r="N1" i="9"/>
  <c r="O1" i="8"/>
  <c r="N1" i="8"/>
  <c r="L14" i="7"/>
  <c r="K14" i="7"/>
  <c r="I14" i="7"/>
  <c r="L13" i="7"/>
  <c r="K13" i="7"/>
  <c r="I13" i="7"/>
  <c r="L12" i="7"/>
  <c r="K12" i="7"/>
  <c r="I12" i="7"/>
  <c r="O1" i="7"/>
  <c r="N1" i="7"/>
  <c r="L13" i="6"/>
  <c r="K13" i="6"/>
  <c r="I13" i="6"/>
  <c r="L12" i="6"/>
  <c r="K12" i="6"/>
  <c r="I12" i="6"/>
  <c r="L11" i="6"/>
  <c r="K11" i="6"/>
  <c r="I11" i="6"/>
  <c r="O1" i="6"/>
  <c r="N1" i="6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O1" i="5"/>
  <c r="N1" i="5"/>
  <c r="L23" i="4"/>
  <c r="K23" i="4"/>
  <c r="I23" i="4"/>
  <c r="G23" i="4"/>
  <c r="H23" i="4" s="1"/>
  <c r="F23" i="4"/>
  <c r="L22" i="4"/>
  <c r="K22" i="4"/>
  <c r="I22" i="4"/>
  <c r="H22" i="4"/>
  <c r="G22" i="4"/>
  <c r="F22" i="4"/>
  <c r="L21" i="4"/>
  <c r="K21" i="4"/>
  <c r="I21" i="4"/>
  <c r="G21" i="4"/>
  <c r="H21" i="4" s="1"/>
  <c r="F21" i="4"/>
  <c r="L20" i="4"/>
  <c r="K20" i="4"/>
  <c r="I20" i="4"/>
  <c r="H20" i="4"/>
  <c r="G20" i="4"/>
  <c r="F20" i="4"/>
  <c r="L19" i="4"/>
  <c r="K19" i="4"/>
  <c r="I19" i="4"/>
  <c r="G19" i="4"/>
  <c r="H19" i="4" s="1"/>
  <c r="F19" i="4"/>
  <c r="L18" i="4"/>
  <c r="K18" i="4"/>
  <c r="I18" i="4"/>
  <c r="H18" i="4"/>
  <c r="G18" i="4"/>
  <c r="F18" i="4"/>
  <c r="L17" i="4"/>
  <c r="K17" i="4"/>
  <c r="I17" i="4"/>
  <c r="G17" i="4"/>
  <c r="H17" i="4" s="1"/>
  <c r="F17" i="4"/>
  <c r="L16" i="4"/>
  <c r="K16" i="4"/>
  <c r="I16" i="4"/>
  <c r="H16" i="4"/>
  <c r="G16" i="4"/>
  <c r="F16" i="4"/>
  <c r="L15" i="4"/>
  <c r="K15" i="4"/>
  <c r="I15" i="4"/>
  <c r="G15" i="4"/>
  <c r="H15" i="4" s="1"/>
  <c r="F15" i="4"/>
  <c r="L14" i="4"/>
  <c r="K14" i="4"/>
  <c r="I14" i="4"/>
  <c r="H14" i="4"/>
  <c r="G14" i="4"/>
  <c r="F14" i="4"/>
  <c r="L13" i="4"/>
  <c r="K13" i="4"/>
  <c r="I13" i="4"/>
  <c r="G13" i="4"/>
  <c r="H13" i="4" s="1"/>
  <c r="F13" i="4"/>
  <c r="O1" i="4"/>
  <c r="N1" i="4"/>
  <c r="F2" i="16" l="1"/>
  <c r="J3" i="1" l="1"/>
  <c r="K3" i="1" l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ID#AAAB0MfBckw
tc={0bcdd609-7b4c-425d-83d2-942d90345c3d}    (2026-02-11 23:57:54)
[Threaded comment]
 Your version of Excel allows you to read this threaded comment; however, any edits to it will get removed if the file is opened in a newer version of Excel. Learn more: https://go.microsoft.com/fwlink/?linkid=870924
Comment:
	making manual adjustment by adding 37.5 for unit error , 6A x 7.5kg
======
ID#AAAB0MfBcks
tc={b7e8f83f-6493-4c2d-9b6e-fda12fe7ce4c}    (2026-02-11 23:57:54)
[Threaded comment]
 Your version of Excel allows you to read this threaded comment; however, any edits to it will get removed if the file is opened in a newer version of Excel. Learn more: https://go.microsoft.com/fwlink/?linkid=870924
Comment:
	make manual adjustment by adding 37.5
======
ID#AAAB0MfBcko
tc={0bcdd609-7b4c-425d-83d2-942d90345c3d}    (2026-02-11 23:57:54)
[Threaded comment]
 Your version of Excel allows you to read this threaded comment; however, any edits to it will get removed if the file is opened in a newer version of Excel. Learn more: https://go.microsoft.com/fwlink/?linkid=870924
Comment:
	making manual adjustment by adding 37.5 for unit error , 6A x 7.5kg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MmpiUuqEOt5jVd7wOuZZEMn41nQ=="/>
    </ext>
  </extLst>
</comments>
</file>

<file path=xl/sharedStrings.xml><?xml version="1.0" encoding="utf-8"?>
<sst xmlns="http://schemas.openxmlformats.org/spreadsheetml/2006/main" count="741" uniqueCount="198">
  <si>
    <t>Live Month</t>
  </si>
  <si>
    <t>Total Stock Value Before Production</t>
  </si>
  <si>
    <t>Total Closing Stock</t>
  </si>
  <si>
    <t>Total Cost of Production</t>
  </si>
  <si>
    <t>Inventory Code</t>
  </si>
  <si>
    <t>Raw Material Name</t>
  </si>
  <si>
    <t>Unit Measure</t>
  </si>
  <si>
    <t>Latest Stock Date</t>
  </si>
  <si>
    <t>Total Stock Before Production</t>
  </si>
  <si>
    <t>Total Stock Value 
Before Production (MMK)</t>
  </si>
  <si>
    <t>Ground Stock</t>
  </si>
  <si>
    <t>Weighted Average Cost Per Unit (MMK)</t>
  </si>
  <si>
    <t>Stock Used in Production</t>
  </si>
  <si>
    <t>Closing Stock Value 
(MMK)</t>
  </si>
  <si>
    <t>Cost of Production</t>
  </si>
  <si>
    <t>Status</t>
  </si>
  <si>
    <t>Kg</t>
  </si>
  <si>
    <t>In stock</t>
  </si>
  <si>
    <t>Box</t>
  </si>
  <si>
    <t>Cup</t>
  </si>
  <si>
    <t>Roll</t>
  </si>
  <si>
    <t>Sold out</t>
  </si>
  <si>
    <t>Hardcode</t>
  </si>
  <si>
    <t>Purchase Quantity</t>
  </si>
  <si>
    <t>Total Cost (Purchase + Carriage Inward)</t>
  </si>
  <si>
    <t>Stock Units Used in Production</t>
  </si>
  <si>
    <t>Weighted Average Unit Cost</t>
  </si>
  <si>
    <t>Period-Ended</t>
  </si>
  <si>
    <t>Total</t>
  </si>
  <si>
    <t>Packaging Stock Tracker &gt;&gt;&gt;&gt;&gt;&gt;&gt;&gt;&gt;&gt;&gt;&gt;</t>
  </si>
  <si>
    <t>Received Date</t>
  </si>
  <si>
    <t>Particular</t>
  </si>
  <si>
    <t>Opening Stock</t>
  </si>
  <si>
    <t>Unit Cost</t>
  </si>
  <si>
    <t>WAC per Unit</t>
  </si>
  <si>
    <t>Used in Production</t>
  </si>
  <si>
    <t>Closing Inventory Value</t>
  </si>
  <si>
    <t>note make mistake in previous calculation of ground stock units - 6*7.5</t>
  </si>
  <si>
    <t>Total Stock Value 
(MMK)</t>
  </si>
  <si>
    <t>As of Date</t>
  </si>
  <si>
    <t>ပိုက်အိပ်</t>
  </si>
  <si>
    <t>ဂျပ်ဖာ သေး</t>
  </si>
  <si>
    <t>ဂျပ်ဖာ ကြီး</t>
  </si>
  <si>
    <t>ပလပ်စတစ်ခွက်(140 ml)</t>
  </si>
  <si>
    <t>ပလပ်စတစ်ခွက်(175ml)</t>
  </si>
  <si>
    <t>တိတ်</t>
  </si>
  <si>
    <t>အဖုံ ပိတ်လိပ်</t>
  </si>
  <si>
    <t>Total Stock Value</t>
  </si>
  <si>
    <t>Changes in Stock</t>
  </si>
  <si>
    <t>Changes in Unit Price</t>
  </si>
  <si>
    <t xml:space="preserve">Please copy weighted averagge cost from cogs tracker tab to ensure uniform calculation </t>
  </si>
  <si>
    <t>`</t>
  </si>
  <si>
    <t>17/10/2025</t>
  </si>
  <si>
    <t>13/10/2025</t>
  </si>
  <si>
    <t>25/10/2025</t>
  </si>
  <si>
    <t>31/10/2025</t>
  </si>
  <si>
    <t>28/2/2025</t>
  </si>
  <si>
    <t>31/3/2025</t>
  </si>
  <si>
    <t>30/4/2025</t>
  </si>
  <si>
    <t>31/5/2025</t>
  </si>
  <si>
    <t>30/6/2025</t>
  </si>
  <si>
    <t>31/7/2025</t>
  </si>
  <si>
    <t>31/8/2025</t>
  </si>
  <si>
    <t>30/9/2025</t>
  </si>
  <si>
    <t>14/2/2025</t>
  </si>
  <si>
    <t>ဖောက်ပိုက် - 7Kg ပါ ၁၀ အိတ်</t>
  </si>
  <si>
    <t>ဖောက်ပိုက်သေး ( 10KG x 10)</t>
  </si>
  <si>
    <t>Dummy for month closing</t>
  </si>
  <si>
    <t>ဖောက်ပိုက် ( 7kg x 5 အိတ် x 15000 )</t>
  </si>
  <si>
    <t>14/5/2025</t>
  </si>
  <si>
    <t>18/6/2025</t>
  </si>
  <si>
    <t>ဖောက်ပိုက် ( 7kg x 5 အိတ် x 14000 )</t>
  </si>
  <si>
    <t>13/7/2025</t>
  </si>
  <si>
    <t>ပိုက် ( 7kg x 5 Bag x 14000)</t>
  </si>
  <si>
    <t>30/8/2025</t>
  </si>
  <si>
    <t>ပိုက်အိပ်5 x7x14000</t>
  </si>
  <si>
    <t>ပိုက် (10x7x14000)</t>
  </si>
  <si>
    <t>16/2/2025</t>
  </si>
  <si>
    <t>တံဆိပ်သေး</t>
  </si>
  <si>
    <t>15/3/2025</t>
  </si>
  <si>
    <t>ရာြပည့်ဂျပ်ဖာသေး 6000x1010</t>
  </si>
  <si>
    <t>£1,062.00</t>
  </si>
  <si>
    <t>22/3/2025</t>
  </si>
  <si>
    <t>ရာြပည့်ဂျပ်ဖာသေး 1290x1010</t>
  </si>
  <si>
    <t>£1,045.79</t>
  </si>
  <si>
    <t>26/4/2025</t>
  </si>
  <si>
    <t>ရာြပည့် ဂျပ်ဖာ 1313 x 1010</t>
  </si>
  <si>
    <t>£1,042.67</t>
  </si>
  <si>
    <t>18/9/2025</t>
  </si>
  <si>
    <t>ဂျပ်ဖာသေး 1500 x940</t>
  </si>
  <si>
    <t>£940.00</t>
  </si>
  <si>
    <t>ဂျပ်ဖာအသေး (1500x910)</t>
  </si>
  <si>
    <t>£942.50</t>
  </si>
  <si>
    <t>18/2/2025</t>
  </si>
  <si>
    <t>£1,167.54</t>
  </si>
  <si>
    <t>ရာပြည့်ဂျပ်ဖာ ကြီး 2872 x1120</t>
  </si>
  <si>
    <t>£1,159.68</t>
  </si>
  <si>
    <t>28/4/2025</t>
  </si>
  <si>
    <t>ရာြပည့် ဂျပ်ဖာ ကြီး 5691x1120</t>
  </si>
  <si>
    <t>£1,146.04</t>
  </si>
  <si>
    <t>16/5/2025</t>
  </si>
  <si>
    <t>ရာပြည့် ဂျပ်ဖာကြီး4875x1090</t>
  </si>
  <si>
    <t>£1,116.03</t>
  </si>
  <si>
    <t>အကြီး ( ၃၃၁၅ x ၁၀၆၀)</t>
  </si>
  <si>
    <t>£1,086.04</t>
  </si>
  <si>
    <t>22/9/2025</t>
  </si>
  <si>
    <t>ဂျပ်ဖာ အကြီး 1500 x1060</t>
  </si>
  <si>
    <t>£1,060.00</t>
  </si>
  <si>
    <t>ဂျပ်ဖာအကြီး (2000x1025)</t>
  </si>
  <si>
    <t>£1,057.50</t>
  </si>
  <si>
    <t>140 ml ပလတ်စတစ်ခွက် 5000 ပါ 15 ဖာ</t>
  </si>
  <si>
    <t>£33.10</t>
  </si>
  <si>
    <t>15/2/2025</t>
  </si>
  <si>
    <t>140 ml ပလတ်စတစ်ခွက် 5000 ပါ 50 ဖာ</t>
  </si>
  <si>
    <t>140 ml ခွက်သေး(5000x70ဖာx33)</t>
  </si>
  <si>
    <t>£33.80</t>
  </si>
  <si>
    <t>140 ml (5000x20ဖာx35)</t>
  </si>
  <si>
    <t>£36.37</t>
  </si>
  <si>
    <t>140 ml ( 5000 x 20 no x 33 )</t>
  </si>
  <si>
    <t>£33.67</t>
  </si>
  <si>
    <t>16/8/2025</t>
  </si>
  <si>
    <t>140ml ခွက် ( 5000x10ဖာx33)</t>
  </si>
  <si>
    <t>£33.63</t>
  </si>
  <si>
    <t>140ml ခွက်သေ: (5000x10x33)</t>
  </si>
  <si>
    <t>£33.66</t>
  </si>
  <si>
    <t>140ml ခွက်သေး(5000x25ဖာx33)</t>
  </si>
  <si>
    <t>£38.53</t>
  </si>
  <si>
    <t>175 ml ပလတ်စတစ်ခွက် 4200 ပါ 20 ဖာ 2 boxtra</t>
  </si>
  <si>
    <t>£38.70</t>
  </si>
  <si>
    <t>မစန်းစန်း၀င်း175 ml(4200x35x38)38ကျပ်</t>
  </si>
  <si>
    <t>£38.77</t>
  </si>
  <si>
    <t>175 ml ခွက် 4200x35x39</t>
  </si>
  <si>
    <t>£39.77</t>
  </si>
  <si>
    <t>175 ml ပလတ်စတစ်ခွက် 4200 ပါ 35</t>
  </si>
  <si>
    <t>£39.12</t>
  </si>
  <si>
    <t>175 ml (4200x50ဖာx38.5)</t>
  </si>
  <si>
    <t>£39.15</t>
  </si>
  <si>
    <t>175 ml ( 4200x 20 no x 38.5)</t>
  </si>
  <si>
    <t>£39.25</t>
  </si>
  <si>
    <t>175 ml ( 4200 x 20 no x 38.5 )</t>
  </si>
  <si>
    <t>£38.71</t>
  </si>
  <si>
    <t>175 ml ( 4200 x 30 no x 38.5 )</t>
  </si>
  <si>
    <t>£39.28</t>
  </si>
  <si>
    <t>175ml ခွက် ( 4200x20ဖာx38.5)</t>
  </si>
  <si>
    <t>£39.24</t>
  </si>
  <si>
    <t>175ml ခွက်ကြီး(4200x25x38.5)</t>
  </si>
  <si>
    <t>£39.27</t>
  </si>
  <si>
    <t>175ml ခွက်ကြီး(4200x10ဖာx38.5)</t>
  </si>
  <si>
    <t>£44.95</t>
  </si>
  <si>
    <t>တိပ်ခွေ 15 x 13200 မာကာပင် ၁</t>
  </si>
  <si>
    <t>£13,280.00</t>
  </si>
  <si>
    <t>G-1000 တိပ် 12 x 13200</t>
  </si>
  <si>
    <t>£13,300.00</t>
  </si>
  <si>
    <t>G-1000 တိပ် 12 x 13200 မာကာပင် ၁</t>
  </si>
  <si>
    <t>£13,483.33</t>
  </si>
  <si>
    <t>18/4/2025</t>
  </si>
  <si>
    <t>G-1000 တိပ် 11 x 13200 စတာပလာ ၃</t>
  </si>
  <si>
    <t>£13,436.36</t>
  </si>
  <si>
    <t>27/4/2025</t>
  </si>
  <si>
    <t>G-1000 တိပ် 12 x 13200 စတာပလာ ၃</t>
  </si>
  <si>
    <t>£13,566.67</t>
  </si>
  <si>
    <t>13/5/2025</t>
  </si>
  <si>
    <t>2လက်မတိတ်အကြည် 4x16000</t>
  </si>
  <si>
    <t>£16,000.00</t>
  </si>
  <si>
    <t>15/5/2025</t>
  </si>
  <si>
    <t>တိုင်းချစ် တိတ် 2ခု</t>
  </si>
  <si>
    <t>£11,000.00</t>
  </si>
  <si>
    <t>တိုင်းချစ် တိတ် 8ခု</t>
  </si>
  <si>
    <t>26/5/2025</t>
  </si>
  <si>
    <t>တကသိုလ်2 1/2တိတ် 10</t>
  </si>
  <si>
    <t>£8,600.00</t>
  </si>
  <si>
    <t>တိုင်းချစ် တိတ်ခွေ</t>
  </si>
  <si>
    <t>£8,714.29</t>
  </si>
  <si>
    <t>17/6/2025</t>
  </si>
  <si>
    <t>ပါကင်တိတ်ကြည်</t>
  </si>
  <si>
    <t>£9,750.00</t>
  </si>
  <si>
    <t>G-1000 တိတ် ( ၁၀ x 13000)</t>
  </si>
  <si>
    <t>£13,500.00</t>
  </si>
  <si>
    <t>တိတ် 20 x 13000</t>
  </si>
  <si>
    <t>£13,250.00</t>
  </si>
  <si>
    <t>ကိုက် ၁၀၀၀ တိတ်ကြည်</t>
  </si>
  <si>
    <t>£14,063.64</t>
  </si>
  <si>
    <t>27/2/2025</t>
  </si>
  <si>
    <t>ပိတ်လိပ် ( 65 x 40 = 2600 x 4440)</t>
  </si>
  <si>
    <t>£177,892.09</t>
  </si>
  <si>
    <t>ပိတ်လိမ် 8.32 လိပ်(333 $x4420)</t>
  </si>
  <si>
    <t>£182,896.63</t>
  </si>
  <si>
    <t>ပိတ်လိပ် 24</t>
  </si>
  <si>
    <t>£201,646.15</t>
  </si>
  <si>
    <t>ပိတ်လိပ်</t>
  </si>
  <si>
    <t>£170,590.91</t>
  </si>
  <si>
    <t>ရေလုံအိပ်</t>
  </si>
  <si>
    <t>Unit</t>
  </si>
  <si>
    <t>Plastic Roll</t>
  </si>
  <si>
    <t>ခါးပတ်တံဆိပ်</t>
  </si>
  <si>
    <t>0.6L Tube</t>
  </si>
  <si>
    <t>1L 24g Tube</t>
  </si>
  <si>
    <t>0.3L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</si>
</sst>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MMK ]#,##0.00"/>
    <numFmt numFmtId="165" formatCode="d&quot;/&quot;m&quot;/&quot;yyyy"/>
    <numFmt numFmtId="166" formatCode="d/m/yyyy"/>
    <numFmt numFmtId="167" formatCode="#,##0.0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Roboto"/>
    </font>
    <font>
      <sz val="10"/>
      <color rgb="FF4A86E8"/>
      <name val="Arial"/>
      <family val="2"/>
    </font>
    <font>
      <sz val="10"/>
      <color rgb="FF11734B"/>
      <name val="Roboto"/>
    </font>
    <font>
      <sz val="10"/>
      <color rgb="FFFFFFFF"/>
      <name val="Arial"/>
      <family val="2"/>
    </font>
    <font>
      <sz val="10"/>
      <name val="Arial"/>
      <family val="2"/>
    </font>
    <font>
      <sz val="36"/>
      <color theme="1"/>
      <name val="Arial"/>
      <family val="2"/>
    </font>
    <font>
      <sz val="10"/>
      <color rgb="FF434343"/>
      <name val="Roboto"/>
    </font>
    <font>
      <sz val="10"/>
      <color rgb="FF0000FF"/>
      <name val="Roboto"/>
    </font>
    <font>
      <sz val="10"/>
      <color rgb="FF0000FF"/>
      <name val="Arial"/>
      <family val="2"/>
    </font>
    <font>
      <sz val="8"/>
      <color rgb="FF434343"/>
      <name val="Roboto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1155CC"/>
        <bgColor rgb="FF1155CC"/>
      </patternFill>
    </fill>
    <fill>
      <patternFill patternType="solid">
        <fgColor rgb="FF5B95F9"/>
        <bgColor rgb="FF5B95F9"/>
      </patternFill>
    </fill>
    <fill>
      <patternFill patternType="solid">
        <fgColor rgb="FFF46524"/>
        <bgColor rgb="FFF46524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/>
      <right/>
      <top/>
      <bottom style="thin">
        <color rgb="FF000000"/>
      </bottom>
      <diagonal/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3" fontId="1" fillId="0" borderId="0" xfId="0" applyNumberFormat="1" applyFont="1"/>
    <xf numFmtId="164" fontId="3" fillId="3" borderId="1" xfId="0" applyNumberFormat="1" applyFont="1" applyFill="1" applyBorder="1" applyAlignment="1">
      <alignment horizontal="right"/>
    </xf>
    <xf numFmtId="4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4" fontId="1" fillId="0" borderId="0" xfId="0" applyNumberFormat="1" applyFont="1"/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4" fontId="1" fillId="0" borderId="5" xfId="0" applyNumberFormat="1" applyFont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49" fontId="1" fillId="0" borderId="0" xfId="0" applyNumberFormat="1" applyFont="1"/>
    <xf numFmtId="0" fontId="1" fillId="6" borderId="0" xfId="0" applyFont="1" applyFill="1"/>
    <xf numFmtId="3" fontId="1" fillId="6" borderId="0" xfId="0" applyNumberFormat="1" applyFont="1" applyFill="1"/>
    <xf numFmtId="0" fontId="1" fillId="5" borderId="0" xfId="0" applyFont="1" applyFill="1"/>
    <xf numFmtId="0" fontId="1" fillId="6" borderId="0" xfId="0" applyFont="1" applyFill="1" applyAlignment="1">
      <alignment horizontal="center"/>
    </xf>
    <xf numFmtId="0" fontId="8" fillId="7" borderId="0" xfId="0" applyFont="1" applyFill="1" applyAlignment="1">
      <alignment horizontal="left" wrapText="1"/>
    </xf>
    <xf numFmtId="49" fontId="8" fillId="7" borderId="0" xfId="0" applyNumberFormat="1" applyFont="1" applyFill="1" applyAlignment="1">
      <alignment horizontal="left" wrapText="1"/>
    </xf>
    <xf numFmtId="0" fontId="1" fillId="6" borderId="0" xfId="0" applyFont="1" applyFill="1" applyAlignment="1">
      <alignment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8" fillId="0" borderId="0" xfId="0" applyFont="1" applyAlignment="1">
      <alignment horizontal="left" wrapText="1"/>
    </xf>
    <xf numFmtId="49" fontId="8" fillId="0" borderId="0" xfId="0" applyNumberFormat="1" applyFont="1" applyAlignment="1">
      <alignment horizontal="left" wrapText="1"/>
    </xf>
    <xf numFmtId="166" fontId="1" fillId="0" borderId="0" xfId="0" applyNumberFormat="1" applyFont="1"/>
    <xf numFmtId="0" fontId="10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165" fontId="11" fillId="3" borderId="9" xfId="0" applyNumberFormat="1" applyFont="1" applyFill="1" applyBorder="1" applyAlignment="1">
      <alignment horizontal="right" vertical="center"/>
    </xf>
    <xf numFmtId="49" fontId="11" fillId="3" borderId="10" xfId="0" applyNumberFormat="1" applyFont="1" applyFill="1" applyBorder="1" applyAlignment="1">
      <alignment vertical="center"/>
    </xf>
    <xf numFmtId="3" fontId="12" fillId="3" borderId="10" xfId="0" applyNumberFormat="1" applyFont="1" applyFill="1" applyBorder="1" applyAlignment="1">
      <alignment horizontal="right" vertical="center"/>
    </xf>
    <xf numFmtId="3" fontId="11" fillId="3" borderId="10" xfId="0" applyNumberFormat="1" applyFont="1" applyFill="1" applyBorder="1" applyAlignment="1">
      <alignment horizontal="right" vertical="center"/>
    </xf>
    <xf numFmtId="167" fontId="11" fillId="3" borderId="10" xfId="0" applyNumberFormat="1" applyFont="1" applyFill="1" applyBorder="1" applyAlignment="1">
      <alignment horizontal="right" vertical="center"/>
    </xf>
    <xf numFmtId="0" fontId="11" fillId="3" borderId="10" xfId="0" applyFont="1" applyFill="1" applyBorder="1" applyAlignment="1">
      <alignment horizontal="right" vertical="center"/>
    </xf>
    <xf numFmtId="4" fontId="11" fillId="10" borderId="11" xfId="0" applyNumberFormat="1" applyFont="1" applyFill="1" applyBorder="1" applyAlignment="1">
      <alignment horizontal="right" vertical="center"/>
    </xf>
    <xf numFmtId="0" fontId="1" fillId="3" borderId="10" xfId="0" applyFont="1" applyFill="1" applyBorder="1" applyAlignment="1">
      <alignment vertical="center"/>
    </xf>
    <xf numFmtId="3" fontId="13" fillId="3" borderId="10" xfId="0" applyNumberFormat="1" applyFont="1" applyFill="1" applyBorder="1" applyAlignment="1">
      <alignment vertical="center"/>
    </xf>
    <xf numFmtId="4" fontId="1" fillId="3" borderId="10" xfId="0" applyNumberFormat="1" applyFont="1" applyFill="1" applyBorder="1" applyAlignment="1">
      <alignment vertical="center"/>
    </xf>
    <xf numFmtId="4" fontId="1" fillId="3" borderId="12" xfId="0" applyNumberFormat="1" applyFont="1" applyFill="1" applyBorder="1" applyAlignment="1">
      <alignment vertical="center"/>
    </xf>
    <xf numFmtId="165" fontId="11" fillId="3" borderId="0" xfId="0" applyNumberFormat="1" applyFont="1" applyFill="1" applyAlignment="1">
      <alignment horizontal="right" vertical="center"/>
    </xf>
    <xf numFmtId="49" fontId="11" fillId="3" borderId="0" xfId="0" applyNumberFormat="1" applyFont="1" applyFill="1" applyAlignment="1">
      <alignment vertical="center"/>
    </xf>
    <xf numFmtId="0" fontId="12" fillId="3" borderId="0" xfId="0" applyFont="1" applyFill="1" applyAlignment="1">
      <alignment horizontal="right" vertical="center"/>
    </xf>
    <xf numFmtId="3" fontId="11" fillId="3" borderId="0" xfId="0" applyNumberFormat="1" applyFont="1" applyFill="1" applyAlignment="1">
      <alignment horizontal="right" vertical="center"/>
    </xf>
    <xf numFmtId="167" fontId="11" fillId="3" borderId="0" xfId="0" applyNumberFormat="1" applyFont="1" applyFill="1" applyAlignment="1">
      <alignment horizontal="right" vertical="center"/>
    </xf>
    <xf numFmtId="0" fontId="13" fillId="3" borderId="10" xfId="0" applyFont="1" applyFill="1" applyBorder="1" applyAlignment="1">
      <alignment vertical="center"/>
    </xf>
    <xf numFmtId="0" fontId="1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4" fontId="1" fillId="3" borderId="0" xfId="0" applyNumberFormat="1" applyFont="1" applyFill="1" applyAlignment="1">
      <alignment vertical="center"/>
    </xf>
    <xf numFmtId="4" fontId="11" fillId="3" borderId="10" xfId="0" applyNumberFormat="1" applyFont="1" applyFill="1" applyBorder="1" applyAlignment="1">
      <alignment vertical="center"/>
    </xf>
    <xf numFmtId="3" fontId="6" fillId="3" borderId="10" xfId="0" applyNumberFormat="1" applyFont="1" applyFill="1" applyBorder="1" applyAlignment="1">
      <alignment vertical="center"/>
    </xf>
    <xf numFmtId="167" fontId="1" fillId="0" borderId="0" xfId="0" applyNumberFormat="1" applyFont="1" applyAlignment="1">
      <alignment vertical="center"/>
    </xf>
    <xf numFmtId="4" fontId="1" fillId="10" borderId="0" xfId="0" applyNumberFormat="1" applyFont="1" applyFill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4" fontId="11" fillId="3" borderId="0" xfId="0" applyNumberFormat="1" applyFont="1" applyFill="1" applyAlignment="1">
      <alignment horizontal="right" vertical="center"/>
    </xf>
    <xf numFmtId="4" fontId="13" fillId="3" borderId="10" xfId="0" applyNumberFormat="1" applyFont="1" applyFill="1" applyBorder="1" applyAlignment="1">
      <alignment vertical="center"/>
    </xf>
    <xf numFmtId="4" fontId="13" fillId="3" borderId="0" xfId="0" applyNumberFormat="1" applyFont="1" applyFill="1" applyAlignment="1">
      <alignment vertical="center"/>
    </xf>
    <xf numFmtId="3" fontId="12" fillId="3" borderId="10" xfId="0" applyNumberFormat="1" applyFont="1" applyFill="1" applyBorder="1" applyAlignment="1">
      <alignment vertical="center"/>
    </xf>
    <xf numFmtId="3" fontId="11" fillId="3" borderId="10" xfId="0" applyNumberFormat="1" applyFont="1" applyFill="1" applyBorder="1" applyAlignment="1">
      <alignment vertical="center"/>
    </xf>
    <xf numFmtId="167" fontId="11" fillId="3" borderId="10" xfId="0" applyNumberFormat="1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167" fontId="11" fillId="3" borderId="0" xfId="0" applyNumberFormat="1" applyFont="1" applyFill="1" applyAlignment="1">
      <alignment vertical="center"/>
    </xf>
    <xf numFmtId="4" fontId="12" fillId="3" borderId="10" xfId="0" applyNumberFormat="1" applyFont="1" applyFill="1" applyBorder="1" applyAlignment="1">
      <alignment vertical="center"/>
    </xf>
    <xf numFmtId="0" fontId="11" fillId="3" borderId="10" xfId="0" applyFont="1" applyFill="1" applyBorder="1" applyAlignment="1">
      <alignment vertical="center"/>
    </xf>
    <xf numFmtId="4" fontId="11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165" fontId="11" fillId="3" borderId="10" xfId="0" applyNumberFormat="1" applyFont="1" applyFill="1" applyBorder="1" applyAlignment="1">
      <alignment horizontal="right" vertical="center"/>
    </xf>
    <xf numFmtId="165" fontId="11" fillId="5" borderId="13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wrapText="1"/>
    </xf>
    <xf numFmtId="3" fontId="1" fillId="10" borderId="1" xfId="0" applyNumberFormat="1" applyFont="1" applyFill="1" applyBorder="1" applyAlignment="1">
      <alignment wrapText="1"/>
    </xf>
    <xf numFmtId="4" fontId="14" fillId="3" borderId="0" xfId="0" applyNumberFormat="1" applyFont="1" applyFill="1" applyAlignment="1">
      <alignment vertical="center"/>
    </xf>
    <xf numFmtId="10" fontId="11" fillId="3" borderId="0" xfId="0" applyNumberFormat="1" applyFont="1" applyFill="1" applyAlignment="1">
      <alignment vertical="center"/>
    </xf>
    <xf numFmtId="4" fontId="1" fillId="10" borderId="1" xfId="0" applyNumberFormat="1" applyFont="1" applyFill="1" applyBorder="1" applyAlignment="1">
      <alignment wrapText="1"/>
    </xf>
    <xf numFmtId="3" fontId="13" fillId="0" borderId="0" xfId="0" applyNumberFormat="1" applyFont="1" applyAlignment="1">
      <alignment vertical="center"/>
    </xf>
    <xf numFmtId="16" fontId="1" fillId="0" borderId="0" xfId="0" applyNumberFormat="1" applyFont="1"/>
    <xf numFmtId="0" fontId="8" fillId="7" borderId="8" xfId="0" applyFont="1" applyFill="1" applyBorder="1" applyAlignment="1">
      <alignment horizontal="center"/>
    </xf>
    <xf numFmtId="0" fontId="9" fillId="0" borderId="8" xfId="0" applyFont="1" applyBorder="1"/>
    <xf numFmtId="0" fontId="1" fillId="2" borderId="8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</cellXfs>
  <cellStyles count="1">
    <cellStyle name="Normal" xfId="0" builtinId="0"/>
  </cellStyles>
  <dxfs count="105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3">
    <tableStyle name="Dashboard-style" pivot="0" count="3" xr9:uid="{00000000-0011-0000-FFFF-FFFF00000000}">
      <tableStyleElement type="headerRow" dxfId="104"/>
      <tableStyleElement type="firstRowStripe" dxfId="103"/>
      <tableStyleElement type="secondRowStripe" dxfId="102"/>
    </tableStyle>
    <tableStyle name="Dashboard-style 2" pivot="0" count="3" xr9:uid="{00000000-0011-0000-FFFF-FFFF01000000}">
      <tableStyleElement type="headerRow" dxfId="101"/>
      <tableStyleElement type="firstRowStripe" dxfId="100"/>
      <tableStyleElement type="secondRowStripe" dxfId="99"/>
    </tableStyle>
    <tableStyle name="Dashboard-style 3" pivot="0" count="3" xr9:uid="{00000000-0011-0000-FFFF-FFFF02000000}">
      <tableStyleElement type="headerRow" dxfId="98"/>
      <tableStyleElement type="firstRowStripe" dxfId="97"/>
      <tableStyleElement type="secondRowStripe" dxfId="96"/>
    </tableStyle>
    <tableStyle name="COP &amp; Purchases Tracker-style" pivot="0" count="3" xr9:uid="{00000000-0011-0000-FFFF-FFFF03000000}">
      <tableStyleElement type="headerRow" dxfId="95"/>
      <tableStyleElement type="firstRowStripe" dxfId="94"/>
      <tableStyleElement type="secondRowStripe" dxfId="93"/>
    </tableStyle>
    <tableStyle name="COP &amp; Purchases Tracker-style 2" pivot="0" count="3" xr9:uid="{00000000-0011-0000-FFFF-FFFF04000000}">
      <tableStyleElement type="headerRow" dxfId="92"/>
      <tableStyleElement type="firstRowStripe" dxfId="91"/>
      <tableStyleElement type="secondRowStripe" dxfId="90"/>
    </tableStyle>
    <tableStyle name="COP &amp; Purchases Tracker-style 3" pivot="0" count="3" xr9:uid="{00000000-0011-0000-FFFF-FFFF05000000}">
      <tableStyleElement type="headerRow" dxfId="89"/>
      <tableStyleElement type="firstRowStripe" dxfId="88"/>
      <tableStyleElement type="secondRowStripe" dxfId="87"/>
    </tableStyle>
    <tableStyle name="12100-style" pivot="0" count="3" xr9:uid="{00000000-0011-0000-FFFF-FFFF06000000}">
      <tableStyleElement type="headerRow" dxfId="86"/>
      <tableStyleElement type="firstRowStripe" dxfId="85"/>
      <tableStyleElement type="secondRowStripe" dxfId="84"/>
    </tableStyle>
    <tableStyle name="12101-style" pivot="0" count="3" xr9:uid="{00000000-0011-0000-FFFF-FFFF07000000}">
      <tableStyleElement type="headerRow" dxfId="83"/>
      <tableStyleElement type="firstRowStripe" dxfId="82"/>
      <tableStyleElement type="secondRowStripe" dxfId="81"/>
    </tableStyle>
    <tableStyle name="12102-style" pivot="0" count="3" xr9:uid="{00000000-0011-0000-FFFF-FFFF08000000}">
      <tableStyleElement type="headerRow" dxfId="80"/>
      <tableStyleElement type="firstRowStripe" dxfId="79"/>
      <tableStyleElement type="secondRowStripe" dxfId="78"/>
    </tableStyle>
    <tableStyle name="12103-style" pivot="0" count="3" xr9:uid="{00000000-0011-0000-FFFF-FFFF09000000}">
      <tableStyleElement type="headerRow" dxfId="77"/>
      <tableStyleElement type="firstRowStripe" dxfId="76"/>
      <tableStyleElement type="secondRowStripe" dxfId="75"/>
    </tableStyle>
    <tableStyle name="12104-style" pivot="0" count="3" xr9:uid="{00000000-0011-0000-FFFF-FFFF0A000000}">
      <tableStyleElement type="headerRow" dxfId="74"/>
      <tableStyleElement type="firstRowStripe" dxfId="73"/>
      <tableStyleElement type="secondRowStripe" dxfId="72"/>
    </tableStyle>
    <tableStyle name="12105-style" pivot="0" count="3" xr9:uid="{00000000-0011-0000-FFFF-FFFF0B000000}">
      <tableStyleElement type="headerRow" dxfId="71"/>
      <tableStyleElement type="firstRowStripe" dxfId="70"/>
      <tableStyleElement type="secondRowStripe" dxfId="69"/>
    </tableStyle>
    <tableStyle name="12106-style" pivot="0" count="3" xr9:uid="{00000000-0011-0000-FFFF-FFFF0C000000}">
      <tableStyleElement type="headerRow" dxfId="68"/>
      <tableStyleElement type="firstRowStripe" dxfId="67"/>
      <tableStyleElement type="secondRowStripe" dxfId="66"/>
    </tableStyle>
    <tableStyle name="OB_Feb_2025-style" pivot="0" count="3" xr9:uid="{00000000-0011-0000-FFFF-FFFF0D000000}">
      <tableStyleElement type="headerRow" dxfId="65"/>
      <tableStyleElement type="firstRowStripe" dxfId="64"/>
      <tableStyleElement type="secondRowStripe" dxfId="63"/>
    </tableStyle>
    <tableStyle name="OB_Mar_2025-style" pivot="0" count="3" xr9:uid="{00000000-0011-0000-FFFF-FFFF0E000000}">
      <tableStyleElement type="headerRow" dxfId="62"/>
      <tableStyleElement type="firstRowStripe" dxfId="61"/>
      <tableStyleElement type="secondRowStripe" dxfId="60"/>
    </tableStyle>
    <tableStyle name="OB_April_2025-style" pivot="0" count="3" xr9:uid="{00000000-0011-0000-FFFF-FFFF0F000000}">
      <tableStyleElement type="headerRow" dxfId="59"/>
      <tableStyleElement type="firstRowStripe" dxfId="58"/>
      <tableStyleElement type="secondRowStripe" dxfId="57"/>
    </tableStyle>
    <tableStyle name="OB_May_2025-style" pivot="0" count="3" xr9:uid="{00000000-0011-0000-FFFF-FFFF10000000}">
      <tableStyleElement type="headerRow" dxfId="56"/>
      <tableStyleElement type="firstRowStripe" dxfId="55"/>
      <tableStyleElement type="secondRowStripe" dxfId="54"/>
    </tableStyle>
    <tableStyle name="OB_June_2025-style" pivot="0" count="3" xr9:uid="{00000000-0011-0000-FFFF-FFFF11000000}">
      <tableStyleElement type="headerRow" dxfId="53"/>
      <tableStyleElement type="firstRowStripe" dxfId="52"/>
      <tableStyleElement type="secondRowStripe" dxfId="51"/>
    </tableStyle>
    <tableStyle name="OB_July_2025-style" pivot="0" count="3" xr9:uid="{00000000-0011-0000-FFFF-FFFF12000000}">
      <tableStyleElement type="headerRow" dxfId="50"/>
      <tableStyleElement type="firstRowStripe" dxfId="49"/>
      <tableStyleElement type="secondRowStripe" dxfId="48"/>
    </tableStyle>
    <tableStyle name="OB_August_2025-style" pivot="0" count="3" xr9:uid="{00000000-0011-0000-FFFF-FFFF13000000}">
      <tableStyleElement type="headerRow" dxfId="47"/>
      <tableStyleElement type="firstRowStripe" dxfId="46"/>
      <tableStyleElement type="secondRowStripe" dxfId="45"/>
    </tableStyle>
    <tableStyle name="OB_Sept_2025-style" pivot="0" count="3" xr9:uid="{00000000-0011-0000-FFFF-FFFF14000000}">
      <tableStyleElement type="headerRow" dxfId="44"/>
      <tableStyleElement type="firstRowStripe" dxfId="43"/>
      <tableStyleElement type="secondRowStripe" dxfId="42"/>
    </tableStyle>
    <tableStyle name="OB_Oct_2025-style" pivot="0" count="3" xr9:uid="{00000000-0011-0000-FFFF-FFFF15000000}">
      <tableStyleElement type="headerRow" dxfId="41"/>
      <tableStyleElement type="firstRowStripe" dxfId="40"/>
      <tableStyleElement type="secondRowStripe" dxfId="39"/>
    </tableStyle>
    <tableStyle name="OB_Nov_2025-style" pivot="0" count="3" xr9:uid="{00000000-0011-0000-FFFF-FFFF16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Dashboard!$B$7:$B$19</c:f>
              <c:strCache>
                <c:ptCount val="13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  <c:pt idx="7">
                  <c:v>ရေလုံအိပ်</c:v>
                </c:pt>
                <c:pt idx="8">
                  <c:v>1L 24g Tube</c:v>
                </c:pt>
                <c:pt idx="9">
                  <c:v>0.6L Tube</c:v>
                </c:pt>
                <c:pt idx="10">
                  <c:v>0.3L Tube</c:v>
                </c:pt>
                <c:pt idx="11">
                  <c:v>ခါးပတ်တံဆိပ်</c:v>
                </c:pt>
                <c:pt idx="12">
                  <c:v>Plastic Roll</c:v>
                </c:pt>
              </c:strCache>
            </c:strRef>
          </c:cat>
          <c:val>
            <c:numRef>
              <c:f>Dashboard!$F$7:$F$19</c:f>
              <c:numCache>
                <c:formatCode>#,##0.00</c:formatCode>
                <c:ptCount val="13"/>
                <c:pt idx="0">
                  <c:v>1307800</c:v>
                </c:pt>
                <c:pt idx="1">
                  <c:v>2831493.99</c:v>
                </c:pt>
                <c:pt idx="2">
                  <c:v>3660588.4</c:v>
                </c:pt>
                <c:pt idx="3">
                  <c:v>4816451.1500000004</c:v>
                </c:pt>
                <c:pt idx="4">
                  <c:v>5029277.99</c:v>
                </c:pt>
                <c:pt idx="5">
                  <c:v>287130.02</c:v>
                </c:pt>
                <c:pt idx="6">
                  <c:v>8804826.5999999996</c:v>
                </c:pt>
                <c:pt idx="12">
                  <c:v>8804826.5999999996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C-43E6-BBB3-0B5CB36AA79F}"/>
            </c:ext>
          </c:extLst>
        </c:ser>
        <c:ser>
          <c:idx val="1"/>
          <c:order val="1"/>
          <c:invertIfNegative val="1"/>
          <c:cat>
            <c:strRef>
              <c:f>Dashboard!$B$7:$B$19</c:f>
              <c:strCache>
                <c:ptCount val="13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  <c:pt idx="7">
                  <c:v>ရေလုံအိပ်</c:v>
                </c:pt>
                <c:pt idx="8">
                  <c:v>1L 24g Tube</c:v>
                </c:pt>
                <c:pt idx="9">
                  <c:v>0.6L Tube</c:v>
                </c:pt>
                <c:pt idx="10">
                  <c:v>0.3L Tube</c:v>
                </c:pt>
                <c:pt idx="11">
                  <c:v>ခါးပတ်တံဆိပ်</c:v>
                </c:pt>
                <c:pt idx="12">
                  <c:v>Plastic Roll</c:v>
                </c:pt>
              </c:strCache>
            </c:strRef>
          </c:cat>
          <c:val>
            <c:numRef>
              <c:f>Dashboard!$K$6:$K$19</c:f>
              <c:numCache>
                <c:formatCode>#,##0.00</c:formatCode>
                <c:ptCount val="14"/>
                <c:pt idx="0" formatCode="@">
                  <c:v>0</c:v>
                </c:pt>
                <c:pt idx="1">
                  <c:v>638091.43000000005</c:v>
                </c:pt>
                <c:pt idx="2">
                  <c:v>1983971.98</c:v>
                </c:pt>
                <c:pt idx="3">
                  <c:v>1915424.16</c:v>
                </c:pt>
                <c:pt idx="4">
                  <c:v>4758653.74</c:v>
                </c:pt>
                <c:pt idx="5">
                  <c:v>4468637.16</c:v>
                </c:pt>
                <c:pt idx="6">
                  <c:v>191420.01</c:v>
                </c:pt>
                <c:pt idx="7">
                  <c:v>3970804.15</c:v>
                </c:pt>
                <c:pt idx="13">
                  <c:v>3970804.15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C-43E6-BBB3-0B5CB36AA79F}"/>
            </c:ext>
          </c:extLst>
        </c:ser>
        <c:ser>
          <c:idx val="2"/>
          <c:order val="2"/>
          <c:invertIfNegative val="1"/>
          <c:cat>
            <c:strRef>
              <c:f>Dashboard!$B$7:$B$19</c:f>
              <c:strCache>
                <c:ptCount val="13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  <c:pt idx="7">
                  <c:v>ရေလုံအိပ်</c:v>
                </c:pt>
                <c:pt idx="8">
                  <c:v>1L 24g Tube</c:v>
                </c:pt>
                <c:pt idx="9">
                  <c:v>0.6L Tube</c:v>
                </c:pt>
                <c:pt idx="10">
                  <c:v>0.3L Tube</c:v>
                </c:pt>
                <c:pt idx="11">
                  <c:v>ခါးပတ်တံဆိပ်</c:v>
                </c:pt>
                <c:pt idx="12">
                  <c:v>Plastic Roll</c:v>
                </c:pt>
              </c:strCache>
            </c:strRef>
          </c:cat>
          <c:val>
            <c:numRef>
              <c:f>Dashboard!$J$6:$J$19</c:f>
              <c:numCache>
                <c:formatCode>#,##0.00</c:formatCode>
                <c:ptCount val="14"/>
                <c:pt idx="0" formatCode="General">
                  <c:v>0</c:v>
                </c:pt>
                <c:pt idx="1">
                  <c:v>669708.56999999995</c:v>
                </c:pt>
                <c:pt idx="2">
                  <c:v>847522.01</c:v>
                </c:pt>
                <c:pt idx="3">
                  <c:v>1745164.24</c:v>
                </c:pt>
                <c:pt idx="4">
                  <c:v>57797.41</c:v>
                </c:pt>
                <c:pt idx="5">
                  <c:v>560640.81999999995</c:v>
                </c:pt>
                <c:pt idx="6">
                  <c:v>95710.01</c:v>
                </c:pt>
                <c:pt idx="7">
                  <c:v>4834022.45</c:v>
                </c:pt>
                <c:pt idx="13">
                  <c:v>4834022.45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C-43E6-BBB3-0B5CB36A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722425"/>
        <c:axId val="313118160"/>
      </c:barChart>
      <c:catAx>
        <c:axId val="535722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Raw Material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3118160"/>
        <c:crosses val="autoZero"/>
        <c:auto val="1"/>
        <c:lblAlgn val="ctr"/>
        <c:lblOffset val="100"/>
        <c:noMultiLvlLbl val="1"/>
      </c:catAx>
      <c:valAx>
        <c:axId val="313118160"/>
        <c:scaling>
          <c:orientation val="minMax"/>
        </c:scaling>
        <c:delete val="0"/>
        <c:axPos val="l"/>
        <c:numFmt formatCode="#,##0.00" sourceLinked="1"/>
        <c:majorTickMark val="cross"/>
        <c:minorTickMark val="cross"/>
        <c:tickLblPos val="nextTo"/>
        <c:spPr>
          <a:ln>
            <a:noFill/>
          </a:ln>
        </c:spPr>
        <c:crossAx val="5357224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6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Total Stock Value MMK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OB_Mar_2025!$F$3</c:f>
              <c:strCache>
                <c:ptCount val="1"/>
                <c:pt idx="0">
                  <c:v>Total Stock Value 
(MMK)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OB_Mar_2025!$B$4:$B$10</c:f>
              <c:strCache>
                <c:ptCount val="7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</c:strCache>
            </c:strRef>
          </c:cat>
          <c:val>
            <c:numRef>
              <c:f>OB_Mar_2025!$F$4:$F$10</c:f>
              <c:numCache>
                <c:formatCode>#,##0</c:formatCode>
                <c:ptCount val="7"/>
                <c:pt idx="0">
                  <c:v>527523</c:v>
                </c:pt>
                <c:pt idx="1">
                  <c:v>2091822</c:v>
                </c:pt>
                <c:pt idx="2">
                  <c:v>2682376</c:v>
                </c:pt>
                <c:pt idx="3">
                  <c:v>165487</c:v>
                </c:pt>
                <c:pt idx="4">
                  <c:v>3696792</c:v>
                </c:pt>
                <c:pt idx="5">
                  <c:v>92960</c:v>
                </c:pt>
                <c:pt idx="6">
                  <c:v>13544990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97C-4F21-B874-47CAA14AE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1796500"/>
        <c:axId val="1012786387"/>
      </c:barChart>
      <c:catAx>
        <c:axId val="901796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Raw Material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2786387"/>
        <c:crosses val="autoZero"/>
        <c:auto val="1"/>
        <c:lblAlgn val="ctr"/>
        <c:lblOffset val="100"/>
        <c:noMultiLvlLbl val="1"/>
      </c:catAx>
      <c:valAx>
        <c:axId val="1012786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17965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Total Stock Value MMK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OB_April_2025!$F$3</c:f>
              <c:strCache>
                <c:ptCount val="1"/>
                <c:pt idx="0">
                  <c:v>Total Stock Value 
(MMK)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OB_April_2025!$B$4:$B$10</c:f>
              <c:strCache>
                <c:ptCount val="7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</c:strCache>
            </c:strRef>
          </c:cat>
          <c:val>
            <c:numRef>
              <c:f>OB_April_2025!$F$4:$F$10</c:f>
              <c:numCache>
                <c:formatCode>#,##0</c:formatCode>
                <c:ptCount val="7"/>
                <c:pt idx="0">
                  <c:v>103386</c:v>
                </c:pt>
                <c:pt idx="1">
                  <c:v>5973976</c:v>
                </c:pt>
                <c:pt idx="2">
                  <c:v>3287737</c:v>
                </c:pt>
                <c:pt idx="3">
                  <c:v>3379176</c:v>
                </c:pt>
                <c:pt idx="4">
                  <c:v>3633123</c:v>
                </c:pt>
                <c:pt idx="5">
                  <c:v>0</c:v>
                </c:pt>
                <c:pt idx="6">
                  <c:v>8498973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D4-467B-BCE3-71F156A4C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0232090"/>
        <c:axId val="1410161526"/>
      </c:barChart>
      <c:catAx>
        <c:axId val="1650232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Raw Material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0161526"/>
        <c:crosses val="autoZero"/>
        <c:auto val="1"/>
        <c:lblAlgn val="ctr"/>
        <c:lblOffset val="100"/>
        <c:noMultiLvlLbl val="1"/>
      </c:catAx>
      <c:valAx>
        <c:axId val="1410161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02320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Total Stock Value MMK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OB_May_2025!$F$3</c:f>
              <c:strCache>
                <c:ptCount val="1"/>
                <c:pt idx="0">
                  <c:v>Total Stock Value 
(MMK)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OB_May_2025!$B$4:$B$10</c:f>
              <c:strCache>
                <c:ptCount val="7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</c:strCache>
            </c:strRef>
          </c:cat>
          <c:val>
            <c:numRef>
              <c:f>OB_May_2025!$F$4:$F$10</c:f>
              <c:numCache>
                <c:formatCode>#,##0</c:formatCode>
                <c:ptCount val="7"/>
                <c:pt idx="0">
                  <c:v>289482</c:v>
                </c:pt>
                <c:pt idx="1">
                  <c:v>6825331</c:v>
                </c:pt>
                <c:pt idx="2">
                  <c:v>6194487</c:v>
                </c:pt>
                <c:pt idx="3">
                  <c:v>2162673</c:v>
                </c:pt>
                <c:pt idx="4">
                  <c:v>3031355</c:v>
                </c:pt>
                <c:pt idx="5">
                  <c:v>107977</c:v>
                </c:pt>
                <c:pt idx="6">
                  <c:v>5244047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F0-4E19-821E-62B75BCE0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82398"/>
        <c:axId val="2074513989"/>
      </c:barChart>
      <c:catAx>
        <c:axId val="104782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Raw Material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4513989"/>
        <c:crosses val="autoZero"/>
        <c:auto val="1"/>
        <c:lblAlgn val="ctr"/>
        <c:lblOffset val="100"/>
        <c:noMultiLvlLbl val="1"/>
      </c:catAx>
      <c:valAx>
        <c:axId val="2074513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7823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Total Stock Value MMK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OB_June_2025!$F$3</c:f>
              <c:strCache>
                <c:ptCount val="1"/>
                <c:pt idx="0">
                  <c:v>Total Stock Value 
(MMK)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OB_June_2025!$B$4:$B$10</c:f>
              <c:strCache>
                <c:ptCount val="7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</c:strCache>
            </c:strRef>
          </c:cat>
          <c:val>
            <c:numRef>
              <c:f>OB_June_2025!$F$4:$F$10</c:f>
              <c:numCache>
                <c:formatCode>#,##0</c:formatCode>
                <c:ptCount val="7"/>
                <c:pt idx="0">
                  <c:v>105437</c:v>
                </c:pt>
                <c:pt idx="1">
                  <c:v>4914238</c:v>
                </c:pt>
                <c:pt idx="2">
                  <c:v>4561027</c:v>
                </c:pt>
                <c:pt idx="3">
                  <c:v>2121648</c:v>
                </c:pt>
                <c:pt idx="4">
                  <c:v>1055853</c:v>
                </c:pt>
                <c:pt idx="5">
                  <c:v>106517</c:v>
                </c:pt>
                <c:pt idx="6">
                  <c:v>9370747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3FE-49A0-A0D8-C22526162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3851752"/>
        <c:axId val="1282455242"/>
      </c:barChart>
      <c:catAx>
        <c:axId val="1923851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Raw Material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2455242"/>
        <c:crosses val="autoZero"/>
        <c:auto val="1"/>
        <c:lblAlgn val="ctr"/>
        <c:lblOffset val="100"/>
        <c:noMultiLvlLbl val="1"/>
      </c:catAx>
      <c:valAx>
        <c:axId val="1282455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38517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Total Stock Value MMK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OB_July_2025!$F$3</c:f>
              <c:strCache>
                <c:ptCount val="1"/>
                <c:pt idx="0">
                  <c:v>Total Stock Value 
(MMK)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OB_July_2025!$B$4:$B$10</c:f>
              <c:strCache>
                <c:ptCount val="7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</c:strCache>
            </c:strRef>
          </c:cat>
          <c:val>
            <c:numRef>
              <c:f>OB_July_2025!$F$4:$F$10</c:f>
              <c:numCache>
                <c:formatCode>#,##0</c:formatCode>
                <c:ptCount val="7"/>
                <c:pt idx="0">
                  <c:v>44157</c:v>
                </c:pt>
                <c:pt idx="1">
                  <c:v>3696179</c:v>
                </c:pt>
                <c:pt idx="2">
                  <c:v>975742</c:v>
                </c:pt>
                <c:pt idx="3">
                  <c:v>0</c:v>
                </c:pt>
                <c:pt idx="4">
                  <c:v>0</c:v>
                </c:pt>
                <c:pt idx="5">
                  <c:v>10160</c:v>
                </c:pt>
                <c:pt idx="6">
                  <c:v>4490150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EA2-4624-A2C6-1D4528CAC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52482"/>
        <c:axId val="739936942"/>
      </c:barChart>
      <c:catAx>
        <c:axId val="687552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Raw Material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9936942"/>
        <c:crosses val="autoZero"/>
        <c:auto val="1"/>
        <c:lblAlgn val="ctr"/>
        <c:lblOffset val="100"/>
        <c:noMultiLvlLbl val="1"/>
      </c:catAx>
      <c:valAx>
        <c:axId val="739936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75524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Total Stock Value MMK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OB_August_2025!$F$3</c:f>
              <c:strCache>
                <c:ptCount val="1"/>
                <c:pt idx="0">
                  <c:v>Total Stock Value 
(MMK)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OB_August_2025!$B$4:$B$10</c:f>
              <c:strCache>
                <c:ptCount val="7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</c:strCache>
            </c:strRef>
          </c:cat>
          <c:val>
            <c:numRef>
              <c:f>OB_August_2025!$F$4:$F$10</c:f>
              <c:numCache>
                <c:formatCode>#,##0</c:formatCode>
                <c:ptCount val="7"/>
                <c:pt idx="0">
                  <c:v>400753</c:v>
                </c:pt>
                <c:pt idx="1">
                  <c:v>2436118</c:v>
                </c:pt>
                <c:pt idx="2">
                  <c:v>2411285</c:v>
                </c:pt>
                <c:pt idx="3">
                  <c:v>841700</c:v>
                </c:pt>
                <c:pt idx="4">
                  <c:v>151226</c:v>
                </c:pt>
                <c:pt idx="5">
                  <c:v>39589</c:v>
                </c:pt>
                <c:pt idx="6">
                  <c:v>1171343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459-4B4D-B45F-216939837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374687"/>
        <c:axId val="1862999353"/>
      </c:barChart>
      <c:catAx>
        <c:axId val="83374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Raw Material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2999353"/>
        <c:crosses val="autoZero"/>
        <c:auto val="1"/>
        <c:lblAlgn val="ctr"/>
        <c:lblOffset val="100"/>
        <c:noMultiLvlLbl val="1"/>
      </c:catAx>
      <c:valAx>
        <c:axId val="1862999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3746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Total Stock Value MMK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OB_Sept_2025!$F$3</c:f>
              <c:strCache>
                <c:ptCount val="1"/>
                <c:pt idx="0">
                  <c:v>Total Stock Value 
(MMK)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OB_Sept_2025!$B$4:$B$10</c:f>
              <c:strCache>
                <c:ptCount val="7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</c:strCache>
            </c:strRef>
          </c:cat>
          <c:val>
            <c:numRef>
              <c:f>OB_Sept_2025!$F$4:$F$10</c:f>
              <c:numCache>
                <c:formatCode>#,##0</c:formatCode>
                <c:ptCount val="7"/>
                <c:pt idx="0">
                  <c:v>0</c:v>
                </c:pt>
                <c:pt idx="1">
                  <c:v>1071052</c:v>
                </c:pt>
                <c:pt idx="2">
                  <c:v>964514</c:v>
                </c:pt>
                <c:pt idx="3">
                  <c:v>0</c:v>
                </c:pt>
                <c:pt idx="4">
                  <c:v>604271</c:v>
                </c:pt>
                <c:pt idx="5">
                  <c:v>39589</c:v>
                </c:pt>
                <c:pt idx="6">
                  <c:v>10013332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0A-4F14-A59B-3CB7C526B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5144664"/>
        <c:axId val="910465491"/>
      </c:barChart>
      <c:catAx>
        <c:axId val="1775144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Raw Material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0465491"/>
        <c:crosses val="autoZero"/>
        <c:auto val="1"/>
        <c:lblAlgn val="ctr"/>
        <c:lblOffset val="100"/>
        <c:noMultiLvlLbl val="1"/>
      </c:catAx>
      <c:valAx>
        <c:axId val="910465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51446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Total Stock Value MMK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OB_Oct_2025!$F$3</c:f>
              <c:strCache>
                <c:ptCount val="1"/>
                <c:pt idx="0">
                  <c:v>Total Stock Value 
(MMK)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OB_Oct_2025!$B$4:$B$10</c:f>
              <c:strCache>
                <c:ptCount val="7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</c:strCache>
            </c:strRef>
          </c:cat>
          <c:val>
            <c:numRef>
              <c:f>OB_Oct_2025!$F$4:$F$10</c:f>
              <c:numCache>
                <c:formatCode>#,##0</c:formatCode>
                <c:ptCount val="7"/>
                <c:pt idx="0">
                  <c:v>301800</c:v>
                </c:pt>
                <c:pt idx="1">
                  <c:v>1417743.9889459871</c:v>
                </c:pt>
                <c:pt idx="2">
                  <c:v>1545588.4010210356</c:v>
                </c:pt>
                <c:pt idx="3">
                  <c:v>0</c:v>
                </c:pt>
                <c:pt idx="4">
                  <c:v>3141229.1352244681</c:v>
                </c:pt>
                <c:pt idx="5">
                  <c:v>132430.02211742545</c:v>
                </c:pt>
                <c:pt idx="6">
                  <c:v>8804826.6006603613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92-44BA-8F76-6AC8ABD4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1435469"/>
        <c:axId val="454521577"/>
      </c:barChart>
      <c:catAx>
        <c:axId val="2051435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Raw Material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4521577"/>
        <c:crosses val="autoZero"/>
        <c:auto val="1"/>
        <c:lblAlgn val="ctr"/>
        <c:lblOffset val="100"/>
        <c:noMultiLvlLbl val="1"/>
      </c:catAx>
      <c:valAx>
        <c:axId val="454521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14354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Total Stock Value MMK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OB_Nov_2025!$F$3</c:f>
              <c:strCache>
                <c:ptCount val="1"/>
                <c:pt idx="0">
                  <c:v>Total Stock Value 
(MMK)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OB_Nov_2025!$B$4:$B$10</c:f>
              <c:strCache>
                <c:ptCount val="7"/>
                <c:pt idx="0">
                  <c:v>ပိုက်အိပ်</c:v>
                </c:pt>
                <c:pt idx="1">
                  <c:v>ဂျပ်ဖာ သေး</c:v>
                </c:pt>
                <c:pt idx="2">
                  <c:v>ဂျပ်ဖာ ကြီး</c:v>
                </c:pt>
                <c:pt idx="3">
                  <c:v>ပလပ်စတစ်ခွက်(140 ml)</c:v>
                </c:pt>
                <c:pt idx="4">
                  <c:v>ပလပ်စတစ်ခွက်(175ml)</c:v>
                </c:pt>
                <c:pt idx="5">
                  <c:v>တိတ်</c:v>
                </c:pt>
                <c:pt idx="6">
                  <c:v>အဖုံ ပိတ်လိပ်</c:v>
                </c:pt>
              </c:strCache>
            </c:strRef>
          </c:cat>
          <c:val>
            <c:numRef>
              <c:f>OB_Nov_2025!$F$4:$F$10</c:f>
              <c:numCache>
                <c:formatCode>#,##0</c:formatCode>
                <c:ptCount val="7"/>
                <c:pt idx="0">
                  <c:v>669708.57142857136</c:v>
                </c:pt>
                <c:pt idx="1">
                  <c:v>847522.01029675803</c:v>
                </c:pt>
                <c:pt idx="2">
                  <c:v>1745164.2376960749</c:v>
                </c:pt>
                <c:pt idx="3">
                  <c:v>57797.413793103442</c:v>
                </c:pt>
                <c:pt idx="4">
                  <c:v>560640.82464646606</c:v>
                </c:pt>
                <c:pt idx="5">
                  <c:v>95710.007372475142</c:v>
                </c:pt>
                <c:pt idx="6">
                  <c:v>4834022.4474213747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F65-467C-8D01-D07979CBC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5717527"/>
        <c:axId val="3987526"/>
      </c:barChart>
      <c:catAx>
        <c:axId val="1815717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Raw Material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87526"/>
        <c:crosses val="autoZero"/>
        <c:auto val="1"/>
        <c:lblAlgn val="ctr"/>
        <c:lblOffset val="100"/>
        <c:noMultiLvlLbl val="1"/>
      </c:catAx>
      <c:valAx>
        <c:axId val="3987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57175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47625</xdr:rowOff>
    </xdr:from>
    <xdr:ext cx="17354550" cy="6648450"/>
    <xdr:graphicFrame macro="">
      <xdr:nvGraphicFramePr>
        <xdr:cNvPr id="380840523" name="Chart 1" title="Chart">
          <a:extLst>
            <a:ext uri="{FF2B5EF4-FFF2-40B4-BE49-F238E27FC236}">
              <a16:creationId xmlns:a16="http://schemas.microsoft.com/office/drawing/2014/main" id="{00000000-0008-0000-0000-00004B2AB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114300</xdr:rowOff>
    </xdr:from>
    <xdr:ext cx="11791950" cy="3924300"/>
    <xdr:graphicFrame macro="">
      <xdr:nvGraphicFramePr>
        <xdr:cNvPr id="931664905" name="Chart 2" title="Chart">
          <a:extLst>
            <a:ext uri="{FF2B5EF4-FFF2-40B4-BE49-F238E27FC236}">
              <a16:creationId xmlns:a16="http://schemas.microsoft.com/office/drawing/2014/main" id="{00000000-0008-0000-0C00-000009148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114300</xdr:rowOff>
    </xdr:from>
    <xdr:ext cx="11791950" cy="3924300"/>
    <xdr:graphicFrame macro="">
      <xdr:nvGraphicFramePr>
        <xdr:cNvPr id="1494006161" name="Chart 3" title="Chart">
          <a:extLst>
            <a:ext uri="{FF2B5EF4-FFF2-40B4-BE49-F238E27FC236}">
              <a16:creationId xmlns:a16="http://schemas.microsoft.com/office/drawing/2014/main" id="{00000000-0008-0000-0D00-000091B90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114300</xdr:rowOff>
    </xdr:from>
    <xdr:ext cx="11791950" cy="3924300"/>
    <xdr:graphicFrame macro="">
      <xdr:nvGraphicFramePr>
        <xdr:cNvPr id="1574456758" name="Chart 4" title="Chart">
          <a:extLst>
            <a:ext uri="{FF2B5EF4-FFF2-40B4-BE49-F238E27FC236}">
              <a16:creationId xmlns:a16="http://schemas.microsoft.com/office/drawing/2014/main" id="{00000000-0008-0000-0E00-0000B64DD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114300</xdr:rowOff>
    </xdr:from>
    <xdr:ext cx="11791950" cy="3924300"/>
    <xdr:graphicFrame macro="">
      <xdr:nvGraphicFramePr>
        <xdr:cNvPr id="1283645340" name="Chart 5" title="Chart">
          <a:extLst>
            <a:ext uri="{FF2B5EF4-FFF2-40B4-BE49-F238E27FC236}">
              <a16:creationId xmlns:a16="http://schemas.microsoft.com/office/drawing/2014/main" id="{00000000-0008-0000-0F00-00009CDF8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114300</xdr:rowOff>
    </xdr:from>
    <xdr:ext cx="11791950" cy="3924300"/>
    <xdr:graphicFrame macro="">
      <xdr:nvGraphicFramePr>
        <xdr:cNvPr id="296563944" name="Chart 6" title="Chart">
          <a:extLst>
            <a:ext uri="{FF2B5EF4-FFF2-40B4-BE49-F238E27FC236}">
              <a16:creationId xmlns:a16="http://schemas.microsoft.com/office/drawing/2014/main" id="{00000000-0008-0000-1000-0000E834A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123825</xdr:rowOff>
    </xdr:from>
    <xdr:ext cx="11791950" cy="3924300"/>
    <xdr:graphicFrame macro="">
      <xdr:nvGraphicFramePr>
        <xdr:cNvPr id="431638728" name="Chart 7" title="Chart">
          <a:extLst>
            <a:ext uri="{FF2B5EF4-FFF2-40B4-BE49-F238E27FC236}">
              <a16:creationId xmlns:a16="http://schemas.microsoft.com/office/drawing/2014/main" id="{00000000-0008-0000-1100-0000C848B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123825</xdr:rowOff>
    </xdr:from>
    <xdr:ext cx="11791950" cy="3924300"/>
    <xdr:graphicFrame macro="">
      <xdr:nvGraphicFramePr>
        <xdr:cNvPr id="790246612" name="Chart 8" title="Chart">
          <a:extLst>
            <a:ext uri="{FF2B5EF4-FFF2-40B4-BE49-F238E27FC236}">
              <a16:creationId xmlns:a16="http://schemas.microsoft.com/office/drawing/2014/main" id="{00000000-0008-0000-1200-0000D4341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123825</xdr:rowOff>
    </xdr:from>
    <xdr:ext cx="11791950" cy="3924300"/>
    <xdr:graphicFrame macro="">
      <xdr:nvGraphicFramePr>
        <xdr:cNvPr id="1322709942" name="Chart 9" title="Chart">
          <a:extLst>
            <a:ext uri="{FF2B5EF4-FFF2-40B4-BE49-F238E27FC236}">
              <a16:creationId xmlns:a16="http://schemas.microsoft.com/office/drawing/2014/main" id="{00000000-0008-0000-1300-0000B6F3D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123825</xdr:rowOff>
    </xdr:from>
    <xdr:ext cx="11791950" cy="3924300"/>
    <xdr:graphicFrame macro="">
      <xdr:nvGraphicFramePr>
        <xdr:cNvPr id="110282532" name="Chart 10" title="Chart">
          <a:extLst>
            <a:ext uri="{FF2B5EF4-FFF2-40B4-BE49-F238E27FC236}">
              <a16:creationId xmlns:a16="http://schemas.microsoft.com/office/drawing/2014/main" id="{00000000-0008-0000-1400-000024C79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2:F3">
  <tableColumns count="1">
    <tableColumn id="1" xr3:uid="{00000000-0010-0000-0000-000001000000}" name="Total Stock Value Before Production"/>
  </tableColumns>
  <tableStyleInfo name="Dashboa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J2:K3">
  <tableColumns count="2">
    <tableColumn id="1" xr3:uid="{00000000-0010-0000-0100-000001000000}" name="Total Closing Stock"/>
    <tableColumn id="2" xr3:uid="{00000000-0010-0000-0100-000002000000}" name="Total Cost of Production"/>
  </tableColumns>
  <tableStyleInfo name="Dashboard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:L19">
  <tableColumns count="12">
    <tableColumn id="1" xr3:uid="{00000000-0010-0000-0200-000001000000}" name="Inventory Code"/>
    <tableColumn id="2" xr3:uid="{00000000-0010-0000-0200-000002000000}" name="Raw Material Name"/>
    <tableColumn id="3" xr3:uid="{00000000-0010-0000-0200-000003000000}" name="Unit Measure"/>
    <tableColumn id="4" xr3:uid="{00000000-0010-0000-0200-000004000000}" name="Latest Stock Date"/>
    <tableColumn id="5" xr3:uid="{00000000-0010-0000-0200-000005000000}" name="Total Stock Before Production"/>
    <tableColumn id="6" xr3:uid="{00000000-0010-0000-0200-000006000000}" name="Total Stock Value _x000a_Before Production (MMK)"/>
    <tableColumn id="7" xr3:uid="{00000000-0010-0000-0200-000007000000}" name="Ground Stock"/>
    <tableColumn id="8" xr3:uid="{00000000-0010-0000-0200-000008000000}" name="Weighted Average Cost Per Unit (MMK)"/>
    <tableColumn id="9" xr3:uid="{00000000-0010-0000-0200-000009000000}" name="Stock Used in Production"/>
    <tableColumn id="10" xr3:uid="{00000000-0010-0000-0200-00000A000000}" name="Closing Stock Value _x000a_(MMK)"/>
    <tableColumn id="11" xr3:uid="{00000000-0010-0000-0200-00000B000000}" name="Cost of Production"/>
    <tableColumn id="12" xr3:uid="{00000000-0010-0000-0200-00000C000000}" name="Status"/>
  </tableColumns>
  <tableStyleInfo name="Dashboard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:Z36" headerRowCount="0">
  <tableColumns count="2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</tableColumns>
  <tableStyleInfo name="COP &amp; Purchases Tracker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_6" displayName="Table_6" ref="AJ5:AR16" headerRowCount="0">
  <tableColumns count="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</tableColumns>
  <tableStyleInfo name="COP &amp; Purchases Tracker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L23">
  <tableColumns count="12">
    <tableColumn id="1" xr3:uid="{00000000-0010-0000-0600-000001000000}" name="Received Date"/>
    <tableColumn id="2" xr3:uid="{00000000-0010-0000-0600-000002000000}" name="Particular"/>
    <tableColumn id="3" xr3:uid="{00000000-0010-0000-0600-000003000000}" name="Opening Stock"/>
    <tableColumn id="4" xr3:uid="{00000000-0010-0000-0600-000004000000}" name="Purchase Quantity"/>
    <tableColumn id="5" xr3:uid="{00000000-0010-0000-0600-000005000000}" name="Unit Cost"/>
    <tableColumn id="6" xr3:uid="{00000000-0010-0000-0600-000006000000}" name="Total Cost (Purchase + Carriage Inward)"/>
    <tableColumn id="7" xr3:uid="{00000000-0010-0000-0600-000007000000}" name="Total Stock Before Production"/>
    <tableColumn id="8" xr3:uid="{00000000-0010-0000-0600-000008000000}" name="WAC per Unit"/>
    <tableColumn id="9" xr3:uid="{00000000-0010-0000-0600-000009000000}" name="Used in Production"/>
    <tableColumn id="10" xr3:uid="{00000000-0010-0000-0600-00000A000000}" name="Ground Stock"/>
    <tableColumn id="11" xr3:uid="{00000000-0010-0000-0600-00000B000000}" name="Closing Inventory Value"/>
    <tableColumn id="12" xr3:uid="{00000000-0010-0000-0600-00000C000000}" name="Cost of Production"/>
  </tableColumns>
  <tableStyleInfo name="12100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L21">
  <tableColumns count="12">
    <tableColumn id="1" xr3:uid="{00000000-0010-0000-0700-000001000000}" name="Received Date"/>
    <tableColumn id="2" xr3:uid="{00000000-0010-0000-0700-000002000000}" name="Particular"/>
    <tableColumn id="3" xr3:uid="{00000000-0010-0000-0700-000003000000}" name="Opening Stock"/>
    <tableColumn id="4" xr3:uid="{00000000-0010-0000-0700-000004000000}" name="Purchase Quantity"/>
    <tableColumn id="5" xr3:uid="{00000000-0010-0000-0700-000005000000}" name="Unit Cost"/>
    <tableColumn id="6" xr3:uid="{00000000-0010-0000-0700-000006000000}" name="Total Cost (Purchase + Carriage Inward)"/>
    <tableColumn id="7" xr3:uid="{00000000-0010-0000-0700-000007000000}" name="Total Stock Before Production"/>
    <tableColumn id="8" xr3:uid="{00000000-0010-0000-0700-000008000000}" name="WAC per Unit"/>
    <tableColumn id="9" xr3:uid="{00000000-0010-0000-0700-000009000000}" name="Used in Production"/>
    <tableColumn id="10" xr3:uid="{00000000-0010-0000-0700-00000A000000}" name="Ground Stock"/>
    <tableColumn id="11" xr3:uid="{00000000-0010-0000-0700-00000B000000}" name="Closing Inventory Value"/>
    <tableColumn id="12" xr3:uid="{00000000-0010-0000-0700-00000C000000}" name="Cost of Production"/>
  </tableColumns>
  <tableStyleInfo name="12101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L13">
  <tableColumns count="12">
    <tableColumn id="1" xr3:uid="{00000000-0010-0000-0800-000001000000}" name="Received Date"/>
    <tableColumn id="2" xr3:uid="{00000000-0010-0000-0800-000002000000}" name="Particular"/>
    <tableColumn id="3" xr3:uid="{00000000-0010-0000-0800-000003000000}" name="Opening Stock"/>
    <tableColumn id="4" xr3:uid="{00000000-0010-0000-0800-000004000000}" name="Purchase Quantity"/>
    <tableColumn id="5" xr3:uid="{00000000-0010-0000-0800-000005000000}" name="Unit Cost"/>
    <tableColumn id="6" xr3:uid="{00000000-0010-0000-0800-000006000000}" name="Total Cost (Purchase + Carriage Inward)"/>
    <tableColumn id="7" xr3:uid="{00000000-0010-0000-0800-000007000000}" name="Total Stock Before Production"/>
    <tableColumn id="8" xr3:uid="{00000000-0010-0000-0800-000008000000}" name="WAC per Unit"/>
    <tableColumn id="9" xr3:uid="{00000000-0010-0000-0800-000009000000}" name="Used in Production"/>
    <tableColumn id="10" xr3:uid="{00000000-0010-0000-0800-00000A000000}" name="Ground Stock"/>
    <tableColumn id="11" xr3:uid="{00000000-0010-0000-0800-00000B000000}" name="Closing Inventory Value"/>
    <tableColumn id="12" xr3:uid="{00000000-0010-0000-0800-00000C000000}" name="Cost of Production"/>
  </tableColumns>
  <tableStyleInfo name="12102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:L14">
  <tableColumns count="12">
    <tableColumn id="1" xr3:uid="{00000000-0010-0000-0900-000001000000}" name="Received Date"/>
    <tableColumn id="2" xr3:uid="{00000000-0010-0000-0900-000002000000}" name="Particular"/>
    <tableColumn id="3" xr3:uid="{00000000-0010-0000-0900-000003000000}" name="Opening Stock"/>
    <tableColumn id="4" xr3:uid="{00000000-0010-0000-0900-000004000000}" name="Purchase Quantity"/>
    <tableColumn id="5" xr3:uid="{00000000-0010-0000-0900-000005000000}" name="Unit Cost"/>
    <tableColumn id="6" xr3:uid="{00000000-0010-0000-0900-000006000000}" name="Total Cost (Purchase + Carriage Inward)"/>
    <tableColumn id="7" xr3:uid="{00000000-0010-0000-0900-000007000000}" name="Total Stock Before Production"/>
    <tableColumn id="8" xr3:uid="{00000000-0010-0000-0900-000008000000}" name="WAC per Unit"/>
    <tableColumn id="9" xr3:uid="{00000000-0010-0000-0900-000009000000}" name="Used in Production"/>
    <tableColumn id="10" xr3:uid="{00000000-0010-0000-0900-00000A000000}" name="Ground Stock"/>
    <tableColumn id="11" xr3:uid="{00000000-0010-0000-0900-00000B000000}" name="Closing Inventory Value"/>
    <tableColumn id="12" xr3:uid="{00000000-0010-0000-0900-00000C000000}" name="Cost of Production"/>
  </tableColumns>
  <tableStyleInfo name="12103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L18">
  <tableColumns count="12">
    <tableColumn id="1" xr3:uid="{00000000-0010-0000-0A00-000001000000}" name="Received Date"/>
    <tableColumn id="2" xr3:uid="{00000000-0010-0000-0A00-000002000000}" name="Particular"/>
    <tableColumn id="3" xr3:uid="{00000000-0010-0000-0A00-000003000000}" name="Opening Stock"/>
    <tableColumn id="4" xr3:uid="{00000000-0010-0000-0A00-000004000000}" name="Purchase Quantity"/>
    <tableColumn id="5" xr3:uid="{00000000-0010-0000-0A00-000005000000}" name="Unit Cost"/>
    <tableColumn id="6" xr3:uid="{00000000-0010-0000-0A00-000006000000}" name="Total Cost (Purchase + Carriage Inward)"/>
    <tableColumn id="7" xr3:uid="{00000000-0010-0000-0A00-000007000000}" name="Total Stock Before Production"/>
    <tableColumn id="8" xr3:uid="{00000000-0010-0000-0A00-000008000000}" name="WAC per Unit"/>
    <tableColumn id="9" xr3:uid="{00000000-0010-0000-0A00-000009000000}" name="Used in Production"/>
    <tableColumn id="10" xr3:uid="{00000000-0010-0000-0A00-00000A000000}" name="Ground Stock"/>
    <tableColumn id="11" xr3:uid="{00000000-0010-0000-0A00-00000B000000}" name="Closing Inventory Value"/>
    <tableColumn id="12" xr3:uid="{00000000-0010-0000-0A00-00000C000000}" name="Cost of Production"/>
  </tableColumns>
  <tableStyleInfo name="12104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:L25">
  <tableColumns count="12">
    <tableColumn id="1" xr3:uid="{00000000-0010-0000-0B00-000001000000}" name="Received Date"/>
    <tableColumn id="2" xr3:uid="{00000000-0010-0000-0B00-000002000000}" name="Particular"/>
    <tableColumn id="3" xr3:uid="{00000000-0010-0000-0B00-000003000000}" name="Opening Stock"/>
    <tableColumn id="4" xr3:uid="{00000000-0010-0000-0B00-000004000000}" name="Purchase Quantity"/>
    <tableColumn id="5" xr3:uid="{00000000-0010-0000-0B00-000005000000}" name="Unit Cost"/>
    <tableColumn id="6" xr3:uid="{00000000-0010-0000-0B00-000006000000}" name="Total Cost (Purchase + Carriage Inward)"/>
    <tableColumn id="7" xr3:uid="{00000000-0010-0000-0B00-000007000000}" name="Total Stock Before Production"/>
    <tableColumn id="8" xr3:uid="{00000000-0010-0000-0B00-000008000000}" name="WAC per Unit"/>
    <tableColumn id="9" xr3:uid="{00000000-0010-0000-0B00-000009000000}" name="Used in Production"/>
    <tableColumn id="10" xr3:uid="{00000000-0010-0000-0B00-00000A000000}" name="Ground Stock"/>
    <tableColumn id="11" xr3:uid="{00000000-0010-0000-0B00-00000B000000}" name="Closing Inventory Value"/>
    <tableColumn id="12" xr3:uid="{00000000-0010-0000-0B00-00000C000000}" name="Cost of Production"/>
  </tableColumns>
  <tableStyleInfo name="12105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:L16">
  <tableColumns count="12">
    <tableColumn id="1" xr3:uid="{00000000-0010-0000-0C00-000001000000}" name="Received Date"/>
    <tableColumn id="2" xr3:uid="{00000000-0010-0000-0C00-000002000000}" name="Particular"/>
    <tableColumn id="3" xr3:uid="{00000000-0010-0000-0C00-000003000000}" name="Opening Stock"/>
    <tableColumn id="4" xr3:uid="{00000000-0010-0000-0C00-000004000000}" name="Purchase Quantity"/>
    <tableColumn id="5" xr3:uid="{00000000-0010-0000-0C00-000005000000}" name="Unit Cost"/>
    <tableColumn id="6" xr3:uid="{00000000-0010-0000-0C00-000006000000}" name="Total Cost (Purchase + Carriage Inward)"/>
    <tableColumn id="7" xr3:uid="{00000000-0010-0000-0C00-000007000000}" name="Total Stock Before Production"/>
    <tableColumn id="8" xr3:uid="{00000000-0010-0000-0C00-000008000000}" name="WAC per Unit"/>
    <tableColumn id="9" xr3:uid="{00000000-0010-0000-0C00-000009000000}" name="Used in Production"/>
    <tableColumn id="10" xr3:uid="{00000000-0010-0000-0C00-00000A000000}" name="Ground Stock"/>
    <tableColumn id="11" xr3:uid="{00000000-0010-0000-0C00-00000B000000}" name="Closing Inventory Value"/>
    <tableColumn id="12" xr3:uid="{00000000-0010-0000-0C00-00000C000000}" name="Cost of Production"/>
  </tableColumns>
  <tableStyleInfo name="12106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AB88FE-E40C-4324-9130-A8EB9218573A}" name="Table_136" displayName="Table_136" ref="A1:L16">
  <tableColumns count="12">
    <tableColumn id="1" xr3:uid="{EDCD620D-49D5-47BB-B92B-1F85D73D5D42}" name="Received Date"/>
    <tableColumn id="2" xr3:uid="{B7DC648C-3FFB-4B15-BF90-E037FFBE390D}" name="Particular"/>
    <tableColumn id="3" xr3:uid="{CA955FE9-CE03-4111-853E-0F9E6AAA722F}" name="Opening Stock"/>
    <tableColumn id="4" xr3:uid="{7C53515A-0E2E-4F12-9440-87AC36B2F320}" name="Purchase Quantity"/>
    <tableColumn id="5" xr3:uid="{B890B65D-C4EC-4DB4-9E84-F2FC1EBBCEDB}" name="Unit Cost"/>
    <tableColumn id="6" xr3:uid="{8129D317-A16D-404C-9A28-A56BFBA08D42}" name="Total Cost (Purchase + Carriage Inward)"/>
    <tableColumn id="7" xr3:uid="{3ADD9637-F4A0-481E-BA7E-B7E22F242B8B}" name="Total Stock Before Production"/>
    <tableColumn id="8" xr3:uid="{4941654C-2397-4308-A9A0-CAFFF07F6A23}" name="WAC per Unit"/>
    <tableColumn id="9" xr3:uid="{65B096DB-0A08-46B0-97C4-52D0458A5EBC}" name="Used in Production"/>
    <tableColumn id="10" xr3:uid="{760587DF-2CEF-464C-B444-90E310097FC9}" name="Ground Stock"/>
    <tableColumn id="11" xr3:uid="{D9E34B10-DE8C-4EEE-98F9-29E9D6542F19}" name="Closing Inventory Value"/>
    <tableColumn id="12" xr3:uid="{4D6E06D5-623A-413A-B8C9-BCCEE94AD4A6}" name="Cost of Production"/>
  </tableColumns>
  <tableStyleInfo name="12106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5AF41EC-9B3D-4957-97C8-155A2F8E58A9}" name="Table_13625" displayName="Table_13625" ref="A1:L16">
  <tableColumns count="12">
    <tableColumn id="1" xr3:uid="{9F4DD413-2A83-4977-8A22-D86CB03ECD13}" name="Received Date"/>
    <tableColumn id="2" xr3:uid="{EAB45BBD-917E-4919-B96B-0759FFFD258B}" name="Particular"/>
    <tableColumn id="3" xr3:uid="{3C065D58-8F45-4A83-8F66-317B05863E08}" name="Opening Stock"/>
    <tableColumn id="4" xr3:uid="{3F264BE6-DD5E-4567-95AD-9DA377BAFF48}" name="Purchase Quantity"/>
    <tableColumn id="5" xr3:uid="{66880CC3-D98F-418B-A670-EF33C2391F6B}" name="Unit Cost"/>
    <tableColumn id="6" xr3:uid="{2D817710-D68C-4A4D-8D4D-513139A5FCCA}" name="Total Cost (Purchase + Carriage Inward)"/>
    <tableColumn id="7" xr3:uid="{43C2265D-F375-4929-84A3-606C7539CCFB}" name="Total Stock Before Production"/>
    <tableColumn id="8" xr3:uid="{C2E0C223-1A3B-436D-AE95-E4E4FA4E3AED}" name="WAC per Unit"/>
    <tableColumn id="9" xr3:uid="{5249B6C8-9B2F-452E-AAB4-6942B97C34BF}" name="Used in Production"/>
    <tableColumn id="10" xr3:uid="{73A884E3-B0A0-4D6B-9856-6B1B87E5D62A}" name="Ground Stock"/>
    <tableColumn id="11" xr3:uid="{09C46E61-43BC-4E40-BAC0-394EED23D0EF}" name="Closing Inventory Value"/>
    <tableColumn id="12" xr3:uid="{6235CD05-7106-4446-AA24-743F8CC2BC46}" name="Cost of Production"/>
  </tableColumns>
  <tableStyleInfo name="12106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A88A918-7387-47B0-AD1F-5000DEA92320}" name="Table_1362526" displayName="Table_1362526" ref="A1:L16">
  <tableColumns count="12">
    <tableColumn id="1" xr3:uid="{BD555AE6-C6C5-4D39-AE2B-EAF550536ADE}" name="Received Date"/>
    <tableColumn id="2" xr3:uid="{EDD4D679-AA35-4D89-B2DC-1CCA38DB07C7}" name="Particular"/>
    <tableColumn id="3" xr3:uid="{CB3EB34B-805C-4ABD-BA79-57AD247E32DF}" name="Opening Stock"/>
    <tableColumn id="4" xr3:uid="{D40E5C66-3DE8-4F02-98B4-5209A9B2EB90}" name="Purchase Quantity"/>
    <tableColumn id="5" xr3:uid="{F6EC12B3-621B-47A1-932F-AF6A092ACDE8}" name="Unit Cost"/>
    <tableColumn id="6" xr3:uid="{BDF7D3F6-0725-47A2-84BE-58A2341370C4}" name="Total Cost (Purchase + Carriage Inward)"/>
    <tableColumn id="7" xr3:uid="{FFBAB615-9A93-486D-9F5A-BD6B6623EBC0}" name="Total Stock Before Production"/>
    <tableColumn id="8" xr3:uid="{F754D67F-14B9-4AA2-9EA5-3BD731A24C57}" name="WAC per Unit"/>
    <tableColumn id="9" xr3:uid="{79D76A0E-56B5-4B53-9B29-6E8A6C76A95D}" name="Used in Production"/>
    <tableColumn id="10" xr3:uid="{5B737A7F-ECEE-4AB4-B8B3-3BC626DEEE14}" name="Ground Stock"/>
    <tableColumn id="11" xr3:uid="{B3C7B574-817B-4E0B-9728-16EC6CB0F2F5}" name="Closing Inventory Value"/>
    <tableColumn id="12" xr3:uid="{97C3694A-21D8-438B-81CC-D3FFC9038433}" name="Cost of Production"/>
  </tableColumns>
  <tableStyleInfo name="12106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4878436-2442-4657-B765-25670577DF61}" name="Table_136252627" displayName="Table_136252627" ref="A1:L16">
  <tableColumns count="12">
    <tableColumn id="1" xr3:uid="{04378CFB-ADA7-489A-93BC-1E6FDF25E953}" name="Received Date"/>
    <tableColumn id="2" xr3:uid="{C44E18B8-0551-45A2-A974-C29983BBEEF6}" name="Particular"/>
    <tableColumn id="3" xr3:uid="{40946949-C8AC-436D-B8F3-E86593A5D00E}" name="Opening Stock"/>
    <tableColumn id="4" xr3:uid="{2FACC1A7-7FAD-4928-88CA-AE2457A963AD}" name="Purchase Quantity"/>
    <tableColumn id="5" xr3:uid="{7555DA2E-A2FE-441D-9B66-57A9381153CF}" name="Unit Cost"/>
    <tableColumn id="6" xr3:uid="{55A33CF8-4507-44CD-B07D-52A02316C798}" name="Total Cost (Purchase + Carriage Inward)"/>
    <tableColumn id="7" xr3:uid="{86AD424D-80A9-4373-822C-72E4B6DB2DEB}" name="Total Stock Before Production"/>
    <tableColumn id="8" xr3:uid="{F4A52B9D-280E-4100-B168-EDFDC2749B1E}" name="WAC per Unit"/>
    <tableColumn id="9" xr3:uid="{A1CD66E0-771D-448C-B80B-336CAEB509A5}" name="Used in Production"/>
    <tableColumn id="10" xr3:uid="{1E8C08C4-A7E6-41C0-9765-CAD99A03769D}" name="Ground Stock"/>
    <tableColumn id="11" xr3:uid="{EEA3FF3F-9072-473D-9705-E8D7B71124EA}" name="Closing Inventory Value"/>
    <tableColumn id="12" xr3:uid="{2BF1B060-7751-4454-BA93-561379592D7D}" name="Cost of Production"/>
  </tableColumns>
  <tableStyleInfo name="12106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09A9D9C-F9CA-4256-A337-C19BB879183E}" name="Table_13625262728" displayName="Table_13625262728" ref="A1:L16">
  <tableColumns count="12">
    <tableColumn id="1" xr3:uid="{84E84F67-960C-49D1-B4C1-54F36C62590A}" name="Received Date"/>
    <tableColumn id="2" xr3:uid="{BFF4F63D-FD61-4F1B-B706-F31491A5FC1B}" name="Particular"/>
    <tableColumn id="3" xr3:uid="{2A992429-0011-44D9-AD4E-DBC0889B6883}" name="Opening Stock"/>
    <tableColumn id="4" xr3:uid="{85C85D0E-2019-46BF-BE41-F8CDAC65F571}" name="Purchase Quantity"/>
    <tableColumn id="5" xr3:uid="{23CEC458-063E-49DC-9BA4-B2E7F97EACB6}" name="Unit Cost"/>
    <tableColumn id="6" xr3:uid="{00092A03-A828-4D25-9D0D-63BCDCD79117}" name="Total Cost (Purchase + Carriage Inward)"/>
    <tableColumn id="7" xr3:uid="{44D90345-9316-43CA-AB01-A8243E63E778}" name="Total Stock Before Production"/>
    <tableColumn id="8" xr3:uid="{B324ECA3-1F59-444E-9BC3-384E92209673}" name="WAC per Unit"/>
    <tableColumn id="9" xr3:uid="{85E1A713-388F-402C-A16B-D6CF82D042BB}" name="Used in Production"/>
    <tableColumn id="10" xr3:uid="{713BF1E9-EF31-4A19-BD24-6893D15468F2}" name="Ground Stock"/>
    <tableColumn id="11" xr3:uid="{0B0EE1AA-E958-48DB-ACFF-59C800744A2F}" name="Closing Inventory Value"/>
    <tableColumn id="12" xr3:uid="{60010779-A553-4289-8A86-D216D70ADC88}" name="Cost of Production"/>
  </tableColumns>
  <tableStyleInfo name="12106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705BB07-D374-4076-B78D-F7A8AEC520E4}" name="Table_1362526272829" displayName="Table_1362526272829" ref="A1:L16">
  <tableColumns count="12">
    <tableColumn id="1" xr3:uid="{D1116EDA-02A0-4E56-BB87-2ED2F25FCB94}" name="Received Date"/>
    <tableColumn id="2" xr3:uid="{D375A8B7-EFDA-426D-90EA-E9E9A0D76530}" name="Particular"/>
    <tableColumn id="3" xr3:uid="{3C41048B-09CF-4A2B-9582-008EC3BFBA29}" name="Opening Stock"/>
    <tableColumn id="4" xr3:uid="{299A3FAA-903B-4C72-B66D-59558BEB48B0}" name="Purchase Quantity"/>
    <tableColumn id="5" xr3:uid="{F42F7267-72CB-4983-A524-15CA8BFFC931}" name="Unit Cost"/>
    <tableColumn id="6" xr3:uid="{11F9DEBF-58B0-4288-AFE0-4CC5DE50BD11}" name="Total Cost (Purchase + Carriage Inward)"/>
    <tableColumn id="7" xr3:uid="{4198259A-0225-4030-BBCD-50487B825ED5}" name="Total Stock Before Production"/>
    <tableColumn id="8" xr3:uid="{2C4DB637-243B-4273-B32D-701E1C36078E}" name="WAC per Unit"/>
    <tableColumn id="9" xr3:uid="{01D8C225-9F21-461E-BDB7-FFC66357796A}" name="Used in Production"/>
    <tableColumn id="10" xr3:uid="{DD94A828-6A15-4175-9779-B5AE8986C941}" name="Ground Stock"/>
    <tableColumn id="11" xr3:uid="{CC3758F1-0683-4DC1-8B7A-FABCCF4CCB05}" name="Closing Inventory Value"/>
    <tableColumn id="12" xr3:uid="{2FEB4C56-DBBB-4B3D-9010-F45CFCB16389}" name="Cost of Production"/>
  </tableColumns>
  <tableStyleInfo name="12106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1:H8">
  <tableColumns count="8">
    <tableColumn id="1" xr3:uid="{00000000-0010-0000-0D00-000001000000}" name="Inventory Code"/>
    <tableColumn id="2" xr3:uid="{00000000-0010-0000-0D00-000002000000}" name="Raw Material Name"/>
    <tableColumn id="3" xr3:uid="{00000000-0010-0000-0D00-000003000000}" name="Unit Measure"/>
    <tableColumn id="4" xr3:uid="{00000000-0010-0000-0D00-000004000000}" name="Opening Stock"/>
    <tableColumn id="5" xr3:uid="{00000000-0010-0000-0D00-000005000000}" name="Weighted Average Cost Per Unit (MMK)"/>
    <tableColumn id="6" xr3:uid="{00000000-0010-0000-0D00-000006000000}" name="Total Stock Value _x000a_(MMK)"/>
    <tableColumn id="7" xr3:uid="{00000000-0010-0000-0D00-000007000000}" name="As of Date"/>
    <tableColumn id="8" xr3:uid="{00000000-0010-0000-0D00-000008000000}" name="Status"/>
  </tableColumns>
  <tableStyleInfo name="OB_Feb_2025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3:J10">
  <tableColumns count="10">
    <tableColumn id="1" xr3:uid="{00000000-0010-0000-0E00-000001000000}" name="Inventory Code"/>
    <tableColumn id="2" xr3:uid="{00000000-0010-0000-0E00-000002000000}" name="Raw Material Name"/>
    <tableColumn id="3" xr3:uid="{00000000-0010-0000-0E00-000003000000}" name="Unit Measure"/>
    <tableColumn id="4" xr3:uid="{00000000-0010-0000-0E00-000004000000}" name="Opening Stock"/>
    <tableColumn id="5" xr3:uid="{00000000-0010-0000-0E00-000005000000}" name="Weighted Average Cost Per Unit (MMK)"/>
    <tableColumn id="6" xr3:uid="{00000000-0010-0000-0E00-000006000000}" name="Total Stock Value _x000a_(MMK)"/>
    <tableColumn id="7" xr3:uid="{00000000-0010-0000-0E00-000007000000}" name="As of Date"/>
    <tableColumn id="8" xr3:uid="{00000000-0010-0000-0E00-000008000000}" name="Changes in Stock"/>
    <tableColumn id="9" xr3:uid="{00000000-0010-0000-0E00-000009000000}" name="Changes in Unit Price"/>
    <tableColumn id="10" xr3:uid="{00000000-0010-0000-0E00-00000A000000}" name="Status"/>
  </tableColumns>
  <tableStyleInfo name="OB_Mar_2025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3:J10">
  <tableColumns count="10">
    <tableColumn id="1" xr3:uid="{00000000-0010-0000-0F00-000001000000}" name="Inventory Code"/>
    <tableColumn id="2" xr3:uid="{00000000-0010-0000-0F00-000002000000}" name="Raw Material Name"/>
    <tableColumn id="3" xr3:uid="{00000000-0010-0000-0F00-000003000000}" name="Unit Measure"/>
    <tableColumn id="4" xr3:uid="{00000000-0010-0000-0F00-000004000000}" name="Opening Stock"/>
    <tableColumn id="5" xr3:uid="{00000000-0010-0000-0F00-000005000000}" name="Weighted Average Cost Per Unit (MMK)"/>
    <tableColumn id="6" xr3:uid="{00000000-0010-0000-0F00-000006000000}" name="Total Stock Value _x000a_(MMK)"/>
    <tableColumn id="7" xr3:uid="{00000000-0010-0000-0F00-000007000000}" name="As of Date"/>
    <tableColumn id="8" xr3:uid="{00000000-0010-0000-0F00-000008000000}" name="Changes in Stock"/>
    <tableColumn id="9" xr3:uid="{00000000-0010-0000-0F00-000009000000}" name="Changes in Unit Price"/>
    <tableColumn id="10" xr3:uid="{00000000-0010-0000-0F00-00000A000000}" name="Status"/>
  </tableColumns>
  <tableStyleInfo name="OB_April_2025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3:J10">
  <tableColumns count="10">
    <tableColumn id="1" xr3:uid="{00000000-0010-0000-1000-000001000000}" name="Inventory Code"/>
    <tableColumn id="2" xr3:uid="{00000000-0010-0000-1000-000002000000}" name="Raw Material Name"/>
    <tableColumn id="3" xr3:uid="{00000000-0010-0000-1000-000003000000}" name="Unit Measure"/>
    <tableColumn id="4" xr3:uid="{00000000-0010-0000-1000-000004000000}" name="Opening Stock"/>
    <tableColumn id="5" xr3:uid="{00000000-0010-0000-1000-000005000000}" name="Weighted Average Cost Per Unit (MMK)"/>
    <tableColumn id="6" xr3:uid="{00000000-0010-0000-1000-000006000000}" name="Total Stock Value _x000a_(MMK)"/>
    <tableColumn id="7" xr3:uid="{00000000-0010-0000-1000-000007000000}" name="As of Date"/>
    <tableColumn id="8" xr3:uid="{00000000-0010-0000-1000-000008000000}" name="Changes in Stock"/>
    <tableColumn id="9" xr3:uid="{00000000-0010-0000-1000-000009000000}" name="Changes in Unit Price"/>
    <tableColumn id="10" xr3:uid="{00000000-0010-0000-1000-00000A000000}" name="Status"/>
  </tableColumns>
  <tableStyleInfo name="OB_May_2025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3:J10">
  <tableColumns count="10">
    <tableColumn id="1" xr3:uid="{00000000-0010-0000-1100-000001000000}" name="Inventory Code"/>
    <tableColumn id="2" xr3:uid="{00000000-0010-0000-1100-000002000000}" name="Raw Material Name"/>
    <tableColumn id="3" xr3:uid="{00000000-0010-0000-1100-000003000000}" name="Unit Measure"/>
    <tableColumn id="4" xr3:uid="{00000000-0010-0000-1100-000004000000}" name="Opening Stock"/>
    <tableColumn id="5" xr3:uid="{00000000-0010-0000-1100-000005000000}" name="Weighted Average Cost Per Unit (MMK)"/>
    <tableColumn id="6" xr3:uid="{00000000-0010-0000-1100-000006000000}" name="Total Stock Value _x000a_(MMK)"/>
    <tableColumn id="7" xr3:uid="{00000000-0010-0000-1100-000007000000}" name="As of Date"/>
    <tableColumn id="8" xr3:uid="{00000000-0010-0000-1100-000008000000}" name="Changes in Stock"/>
    <tableColumn id="9" xr3:uid="{00000000-0010-0000-1100-000009000000}" name="Changes in Unit Price"/>
    <tableColumn id="10" xr3:uid="{00000000-0010-0000-1100-00000A000000}" name="Status"/>
  </tableColumns>
  <tableStyleInfo name="OB_June_2025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3:J10">
  <tableColumns count="10">
    <tableColumn id="1" xr3:uid="{00000000-0010-0000-1200-000001000000}" name="Inventory Code"/>
    <tableColumn id="2" xr3:uid="{00000000-0010-0000-1200-000002000000}" name="Raw Material Name"/>
    <tableColumn id="3" xr3:uid="{00000000-0010-0000-1200-000003000000}" name="Unit Measure"/>
    <tableColumn id="4" xr3:uid="{00000000-0010-0000-1200-000004000000}" name="Opening Stock"/>
    <tableColumn id="5" xr3:uid="{00000000-0010-0000-1200-000005000000}" name="Weighted Average Cost Per Unit (MMK)"/>
    <tableColumn id="6" xr3:uid="{00000000-0010-0000-1200-000006000000}" name="Total Stock Value _x000a_(MMK)"/>
    <tableColumn id="7" xr3:uid="{00000000-0010-0000-1200-000007000000}" name="As of Date"/>
    <tableColumn id="8" xr3:uid="{00000000-0010-0000-1200-000008000000}" name="Changes in Stock"/>
    <tableColumn id="9" xr3:uid="{00000000-0010-0000-1200-000009000000}" name="Changes in Unit Price"/>
    <tableColumn id="10" xr3:uid="{00000000-0010-0000-1200-00000A000000}" name="Status"/>
  </tableColumns>
  <tableStyleInfo name="OB_July_2025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3:J10">
  <tableColumns count="10">
    <tableColumn id="1" xr3:uid="{00000000-0010-0000-1300-000001000000}" name="Inventory Code"/>
    <tableColumn id="2" xr3:uid="{00000000-0010-0000-1300-000002000000}" name="Raw Material Name"/>
    <tableColumn id="3" xr3:uid="{00000000-0010-0000-1300-000003000000}" name="Unit Measure"/>
    <tableColumn id="4" xr3:uid="{00000000-0010-0000-1300-000004000000}" name="Opening Stock"/>
    <tableColumn id="5" xr3:uid="{00000000-0010-0000-1300-000005000000}" name="Weighted Average Cost Per Unit (MMK)"/>
    <tableColumn id="6" xr3:uid="{00000000-0010-0000-1300-000006000000}" name="Total Stock Value _x000a_(MMK)"/>
    <tableColumn id="7" xr3:uid="{00000000-0010-0000-1300-000007000000}" name="As of Date"/>
    <tableColumn id="8" xr3:uid="{00000000-0010-0000-1300-000008000000}" name="Changes in Stock"/>
    <tableColumn id="9" xr3:uid="{00000000-0010-0000-1300-000009000000}" name="Changes in Unit Price"/>
    <tableColumn id="10" xr3:uid="{00000000-0010-0000-1300-00000A000000}" name="Status"/>
  </tableColumns>
  <tableStyleInfo name="OB_August_2025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3:J10">
  <tableColumns count="10">
    <tableColumn id="1" xr3:uid="{00000000-0010-0000-1400-000001000000}" name="Inventory Code"/>
    <tableColumn id="2" xr3:uid="{00000000-0010-0000-1400-000002000000}" name="Raw Material Name"/>
    <tableColumn id="3" xr3:uid="{00000000-0010-0000-1400-000003000000}" name="Unit Measure"/>
    <tableColumn id="4" xr3:uid="{00000000-0010-0000-1400-000004000000}" name="Opening Stock"/>
    <tableColumn id="5" xr3:uid="{00000000-0010-0000-1400-000005000000}" name="Weighted Average Cost Per Unit (MMK)"/>
    <tableColumn id="6" xr3:uid="{00000000-0010-0000-1400-000006000000}" name="Total Stock Value _x000a_(MMK)"/>
    <tableColumn id="7" xr3:uid="{00000000-0010-0000-1400-000007000000}" name="As of Date"/>
    <tableColumn id="8" xr3:uid="{00000000-0010-0000-1400-000008000000}" name="Changes in Stock"/>
    <tableColumn id="9" xr3:uid="{00000000-0010-0000-1400-000009000000}" name="Changes in Unit Price"/>
    <tableColumn id="10" xr3:uid="{00000000-0010-0000-1400-00000A000000}" name="Status"/>
  </tableColumns>
  <tableStyleInfo name="OB_Sept_2025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3:J10">
  <tableColumns count="10">
    <tableColumn id="1" xr3:uid="{00000000-0010-0000-1500-000001000000}" name="Inventory Code"/>
    <tableColumn id="2" xr3:uid="{00000000-0010-0000-1500-000002000000}" name="Raw Material Name"/>
    <tableColumn id="3" xr3:uid="{00000000-0010-0000-1500-000003000000}" name="Unit Measure"/>
    <tableColumn id="4" xr3:uid="{00000000-0010-0000-1500-000004000000}" name="Opening Stock"/>
    <tableColumn id="5" xr3:uid="{00000000-0010-0000-1500-000005000000}" name="Weighted Average Cost Per Unit (MMK)"/>
    <tableColumn id="6" xr3:uid="{00000000-0010-0000-1500-000006000000}" name="Total Stock Value _x000a_(MMK)"/>
    <tableColumn id="7" xr3:uid="{00000000-0010-0000-1500-000007000000}" name="As of Date"/>
    <tableColumn id="8" xr3:uid="{00000000-0010-0000-1500-000008000000}" name="Changes in Stock"/>
    <tableColumn id="9" xr3:uid="{00000000-0010-0000-1500-000009000000}" name="Changes in Unit Price"/>
    <tableColumn id="10" xr3:uid="{00000000-0010-0000-1500-00000A000000}" name="Status"/>
  </tableColumns>
  <tableStyleInfo name="OB_Oct_2025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3:J10">
  <tableColumns count="10">
    <tableColumn id="1" xr3:uid="{00000000-0010-0000-1600-000001000000}" name="Inventory Code"/>
    <tableColumn id="2" xr3:uid="{00000000-0010-0000-1600-000002000000}" name="Raw Material Name"/>
    <tableColumn id="3" xr3:uid="{00000000-0010-0000-1600-000003000000}" name="Unit Measure"/>
    <tableColumn id="4" xr3:uid="{00000000-0010-0000-1600-000004000000}" name="Opening Stock"/>
    <tableColumn id="5" xr3:uid="{00000000-0010-0000-1600-000005000000}" name="Weighted Average Cost Per Unit (MMK)"/>
    <tableColumn id="6" xr3:uid="{00000000-0010-0000-1600-000006000000}" name="Total Stock Value _x000a_(MMK)"/>
    <tableColumn id="7" xr3:uid="{00000000-0010-0000-1600-000007000000}" name="As of Date"/>
    <tableColumn id="8" xr3:uid="{00000000-0010-0000-1600-000008000000}" name="Changes in Stock"/>
    <tableColumn id="9" xr3:uid="{00000000-0010-0000-1600-000009000000}" name="Changes in Unit Price"/>
    <tableColumn id="10" xr3:uid="{00000000-0010-0000-1600-00000A000000}" name="Status"/>
  </tableColumns>
  <tableStyleInfo name="OB_Nov_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8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9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outlinePr summaryBelow="0" summaryRight="0"/>
  </sheetPr>
  <dimension ref="A1:P1005"/>
  <sheetViews>
    <sheetView showGridLines="0" tabSelected="1" workbookViewId="0">
      <selection activeCell="B17" sqref="B17"/>
    </sheetView>
  </sheetViews>
  <sheetFormatPr defaultColWidth="12.5703125" defaultRowHeight="15" customHeight="1" x14ac:dyDescent="0.2"/>
  <cols>
    <col min="1" max="1" width="12.5703125" customWidth="1"/>
    <col min="2" max="2" width="29.7109375" customWidth="1"/>
    <col min="3" max="3" width="14.5703125" customWidth="1"/>
    <col min="4" max="4" width="16.85546875" customWidth="1"/>
    <col min="5" max="5" width="21.140625" customWidth="1"/>
    <col min="6" max="6" width="31.7109375" customWidth="1"/>
    <col min="8" max="8" width="20.140625" customWidth="1"/>
    <col min="9" max="9" width="16.85546875" customWidth="1"/>
    <col min="10" max="11" width="19.140625" customWidth="1"/>
    <col min="12" max="12" width="13.42578125" customWidth="1"/>
  </cols>
  <sheetData>
    <row r="1" spans="1:15" ht="15.75" customHeight="1" x14ac:dyDescent="0.2">
      <c r="D1" s="1">
        <v>0</v>
      </c>
    </row>
    <row r="2" spans="1:15" ht="15.75" customHeight="1" x14ac:dyDescent="0.2">
      <c r="A2" s="1" t="s">
        <v>0</v>
      </c>
      <c r="B2" s="86">
        <v>46320</v>
      </c>
      <c r="F2" s="2" t="s">
        <v>1</v>
      </c>
      <c r="J2" s="3" t="s">
        <v>2</v>
      </c>
      <c r="K2" s="3" t="s">
        <v>3</v>
      </c>
      <c r="N2" s="4"/>
    </row>
    <row r="3" spans="1:15" ht="15.75" customHeight="1" x14ac:dyDescent="0.25">
      <c r="F3" s="5">
        <f>SUM(Dashboard!$F$7:$F$19)</f>
        <v>35542394.75</v>
      </c>
      <c r="H3" s="4"/>
      <c r="J3" s="6">
        <f>SUM(Dashboard!$J$7:$J$19)</f>
        <v>13644587.960000001</v>
      </c>
      <c r="K3" s="7">
        <f>SUM(Dashboard!$K$7:$K$19)</f>
        <v>21897806.779999997</v>
      </c>
    </row>
    <row r="4" spans="1:15" ht="15.75" customHeight="1" x14ac:dyDescent="0.2">
      <c r="H4" s="8"/>
    </row>
    <row r="5" spans="1:15" ht="15.75" customHeight="1" x14ac:dyDescent="0.2"/>
    <row r="6" spans="1:15" ht="22.5" customHeight="1" x14ac:dyDescent="0.2">
      <c r="A6" s="9" t="s">
        <v>4</v>
      </c>
      <c r="B6" s="10" t="s">
        <v>5</v>
      </c>
      <c r="C6" s="11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2" t="s">
        <v>14</v>
      </c>
      <c r="L6" s="13" t="s">
        <v>15</v>
      </c>
    </row>
    <row r="7" spans="1:15" ht="22.5" customHeight="1" x14ac:dyDescent="0.2">
      <c r="A7" s="14">
        <v>12100</v>
      </c>
      <c r="B7" s="15" t="s">
        <v>40</v>
      </c>
      <c r="C7" s="14" t="s">
        <v>16</v>
      </c>
      <c r="D7" s="16" t="s">
        <v>52</v>
      </c>
      <c r="E7" s="17">
        <v>91</v>
      </c>
      <c r="F7" s="17">
        <v>1307800</v>
      </c>
      <c r="G7" s="18">
        <v>47</v>
      </c>
      <c r="H7" s="17">
        <v>14371.43</v>
      </c>
      <c r="I7" s="19">
        <v>44.4</v>
      </c>
      <c r="J7" s="17">
        <v>669708.56999999995</v>
      </c>
      <c r="K7" s="17">
        <v>638091.43000000005</v>
      </c>
      <c r="L7" s="20" t="s">
        <v>17</v>
      </c>
      <c r="N7" s="1"/>
      <c r="O7" s="1"/>
    </row>
    <row r="8" spans="1:15" ht="22.5" customHeight="1" x14ac:dyDescent="0.2">
      <c r="A8" s="14">
        <v>12101</v>
      </c>
      <c r="B8" s="15" t="s">
        <v>41</v>
      </c>
      <c r="C8" s="14" t="s">
        <v>18</v>
      </c>
      <c r="D8" s="16" t="s">
        <v>53</v>
      </c>
      <c r="E8" s="17">
        <v>2940</v>
      </c>
      <c r="F8" s="17">
        <v>2831493.99</v>
      </c>
      <c r="G8" s="18">
        <v>880</v>
      </c>
      <c r="H8" s="17">
        <v>963.09</v>
      </c>
      <c r="I8" s="17">
        <v>2060</v>
      </c>
      <c r="J8" s="17">
        <v>847522.01</v>
      </c>
      <c r="K8" s="17">
        <v>1983971.98</v>
      </c>
      <c r="L8" s="21" t="s">
        <v>17</v>
      </c>
      <c r="N8" s="1"/>
      <c r="O8" s="1"/>
    </row>
    <row r="9" spans="1:15" ht="22.5" customHeight="1" x14ac:dyDescent="0.2">
      <c r="A9" s="14">
        <v>12102</v>
      </c>
      <c r="B9" s="15" t="s">
        <v>42</v>
      </c>
      <c r="C9" s="14" t="s">
        <v>18</v>
      </c>
      <c r="D9" s="16" t="s">
        <v>52</v>
      </c>
      <c r="E9" s="17">
        <v>3440</v>
      </c>
      <c r="F9" s="17">
        <v>3660588.4</v>
      </c>
      <c r="G9" s="18">
        <v>1640</v>
      </c>
      <c r="H9" s="17">
        <v>1064.1199999999999</v>
      </c>
      <c r="I9" s="17">
        <v>1800</v>
      </c>
      <c r="J9" s="17">
        <v>1745164.24</v>
      </c>
      <c r="K9" s="17">
        <v>1915424.16</v>
      </c>
      <c r="L9" s="14" t="s">
        <v>17</v>
      </c>
      <c r="N9" s="1"/>
      <c r="O9" s="1"/>
    </row>
    <row r="10" spans="1:15" ht="22.5" customHeight="1" x14ac:dyDescent="0.2">
      <c r="A10" s="14">
        <v>12103</v>
      </c>
      <c r="B10" s="15" t="s">
        <v>43</v>
      </c>
      <c r="C10" s="14" t="s">
        <v>19</v>
      </c>
      <c r="D10" s="16">
        <v>45667</v>
      </c>
      <c r="E10" s="17">
        <v>125000</v>
      </c>
      <c r="F10" s="17">
        <v>4816451.1500000004</v>
      </c>
      <c r="G10" s="18">
        <v>1500</v>
      </c>
      <c r="H10" s="17">
        <v>38.53</v>
      </c>
      <c r="I10" s="17">
        <v>123500</v>
      </c>
      <c r="J10" s="17">
        <v>57797.41</v>
      </c>
      <c r="K10" s="17">
        <v>4758653.74</v>
      </c>
      <c r="L10" s="14" t="s">
        <v>17</v>
      </c>
      <c r="N10" s="1"/>
      <c r="O10" s="1"/>
    </row>
    <row r="11" spans="1:15" ht="22.5" customHeight="1" x14ac:dyDescent="0.2">
      <c r="A11" s="14">
        <v>12104</v>
      </c>
      <c r="B11" s="15" t="s">
        <v>44</v>
      </c>
      <c r="C11" s="14" t="s">
        <v>19</v>
      </c>
      <c r="D11" s="16">
        <v>45667</v>
      </c>
      <c r="E11" s="17">
        <v>122000</v>
      </c>
      <c r="F11" s="17">
        <v>5029277.99</v>
      </c>
      <c r="G11" s="18">
        <v>13600</v>
      </c>
      <c r="H11" s="17">
        <v>41.22</v>
      </c>
      <c r="I11" s="17">
        <v>108400</v>
      </c>
      <c r="J11" s="17">
        <v>560640.81999999995</v>
      </c>
      <c r="K11" s="17">
        <v>4468637.16</v>
      </c>
      <c r="L11" s="14" t="s">
        <v>17</v>
      </c>
      <c r="N11" s="1"/>
      <c r="O11" s="1"/>
    </row>
    <row r="12" spans="1:15" ht="22.5" customHeight="1" x14ac:dyDescent="0.2">
      <c r="A12" s="14">
        <v>12105</v>
      </c>
      <c r="B12" s="15" t="s">
        <v>45</v>
      </c>
      <c r="C12" s="14" t="s">
        <v>20</v>
      </c>
      <c r="D12" s="16" t="s">
        <v>54</v>
      </c>
      <c r="E12" s="17">
        <v>21</v>
      </c>
      <c r="F12" s="17">
        <v>287130.02</v>
      </c>
      <c r="G12" s="18">
        <v>7</v>
      </c>
      <c r="H12" s="17">
        <v>13672.86</v>
      </c>
      <c r="I12" s="17">
        <v>14</v>
      </c>
      <c r="J12" s="17">
        <v>95710.01</v>
      </c>
      <c r="K12" s="17">
        <v>191420.01</v>
      </c>
      <c r="L12" s="14" t="s">
        <v>21</v>
      </c>
      <c r="N12" s="1"/>
      <c r="O12" s="1"/>
    </row>
    <row r="13" spans="1:15" ht="22.5" customHeight="1" x14ac:dyDescent="0.2">
      <c r="A13" s="14">
        <v>12106</v>
      </c>
      <c r="B13" s="15" t="s">
        <v>46</v>
      </c>
      <c r="C13" s="14" t="s">
        <v>20</v>
      </c>
      <c r="D13" s="16" t="s">
        <v>55</v>
      </c>
      <c r="E13" s="17">
        <v>51</v>
      </c>
      <c r="F13" s="17">
        <v>8804826.5999999996</v>
      </c>
      <c r="G13" s="18">
        <v>28</v>
      </c>
      <c r="H13" s="17">
        <v>172643.66</v>
      </c>
      <c r="I13" s="17">
        <v>23</v>
      </c>
      <c r="J13" s="17">
        <v>4834022.45</v>
      </c>
      <c r="K13" s="17">
        <v>3970804.15</v>
      </c>
      <c r="L13" s="14" t="s">
        <v>17</v>
      </c>
      <c r="N13" s="1"/>
      <c r="O13" s="1"/>
    </row>
    <row r="14" spans="1:15" ht="22.5" customHeight="1" x14ac:dyDescent="0.2">
      <c r="A14" s="14">
        <v>12107</v>
      </c>
      <c r="B14" s="15" t="s">
        <v>191</v>
      </c>
      <c r="C14" s="14" t="s">
        <v>192</v>
      </c>
      <c r="D14" s="16"/>
      <c r="E14" s="17"/>
      <c r="F14" s="17"/>
      <c r="G14" s="18"/>
      <c r="H14" s="17"/>
      <c r="I14" s="17"/>
      <c r="J14" s="17"/>
      <c r="K14" s="17"/>
      <c r="L14" s="14"/>
      <c r="N14" s="1"/>
      <c r="O14" s="1"/>
    </row>
    <row r="15" spans="1:15" ht="22.5" customHeight="1" x14ac:dyDescent="0.2">
      <c r="A15" s="14">
        <v>12108</v>
      </c>
      <c r="B15" s="15" t="s">
        <v>196</v>
      </c>
      <c r="C15" s="14" t="s">
        <v>192</v>
      </c>
      <c r="D15" s="16"/>
      <c r="E15" s="17"/>
      <c r="F15" s="17"/>
      <c r="G15" s="18"/>
      <c r="H15" s="17"/>
      <c r="I15" s="17"/>
      <c r="J15" s="17"/>
      <c r="K15" s="17"/>
      <c r="L15" s="14"/>
      <c r="N15" s="1"/>
      <c r="O15" s="1"/>
    </row>
    <row r="16" spans="1:15" ht="22.5" customHeight="1" x14ac:dyDescent="0.2">
      <c r="A16" s="14">
        <f>A15+1</f>
        <v>12109</v>
      </c>
      <c r="B16" s="15" t="s">
        <v>195</v>
      </c>
      <c r="C16" s="14" t="s">
        <v>192</v>
      </c>
      <c r="D16" s="16"/>
      <c r="E16" s="17"/>
      <c r="F16" s="17"/>
      <c r="G16" s="18"/>
      <c r="H16" s="17"/>
      <c r="I16" s="17"/>
      <c r="J16" s="17"/>
      <c r="K16" s="17"/>
      <c r="L16" s="14"/>
      <c r="N16" s="1"/>
      <c r="O16" s="1"/>
    </row>
    <row r="17" spans="1:16" ht="22.5" customHeight="1" x14ac:dyDescent="0.2">
      <c r="A17" s="14">
        <f t="shared" ref="A17:A19" si="0">A16+1</f>
        <v>12110</v>
      </c>
      <c r="B17" s="15" t="s">
        <v>197</v>
      </c>
      <c r="C17" s="14" t="s">
        <v>192</v>
      </c>
      <c r="D17" s="16"/>
      <c r="E17" s="17"/>
      <c r="F17" s="17"/>
      <c r="G17" s="18"/>
      <c r="H17" s="17"/>
      <c r="I17" s="17"/>
      <c r="J17" s="17"/>
      <c r="K17" s="17"/>
      <c r="L17" s="14"/>
      <c r="N17" s="1"/>
      <c r="O17" s="1"/>
    </row>
    <row r="18" spans="1:16" ht="22.5" customHeight="1" x14ac:dyDescent="0.2">
      <c r="A18" s="14">
        <f t="shared" si="0"/>
        <v>12111</v>
      </c>
      <c r="B18" s="15" t="s">
        <v>194</v>
      </c>
      <c r="C18" s="14" t="s">
        <v>16</v>
      </c>
      <c r="D18" s="16"/>
      <c r="E18" s="17"/>
      <c r="F18" s="17"/>
      <c r="G18" s="18"/>
      <c r="H18" s="17"/>
      <c r="I18" s="17"/>
      <c r="J18" s="17"/>
      <c r="K18" s="17"/>
      <c r="L18" s="14"/>
      <c r="N18" s="1"/>
      <c r="O18" s="1"/>
      <c r="P18" s="22"/>
    </row>
    <row r="19" spans="1:16" ht="15.75" customHeight="1" x14ac:dyDescent="0.2">
      <c r="A19" s="14">
        <f t="shared" si="0"/>
        <v>12112</v>
      </c>
      <c r="B19" s="15" t="s">
        <v>193</v>
      </c>
      <c r="C19" s="14" t="s">
        <v>20</v>
      </c>
      <c r="D19" s="16" t="s">
        <v>55</v>
      </c>
      <c r="E19" s="17">
        <v>51</v>
      </c>
      <c r="F19" s="17">
        <v>8804826.5999999996</v>
      </c>
      <c r="G19" s="18">
        <v>28</v>
      </c>
      <c r="H19" s="17">
        <v>172643.66</v>
      </c>
      <c r="I19" s="17">
        <v>23</v>
      </c>
      <c r="J19" s="17">
        <v>4834022.45</v>
      </c>
      <c r="K19" s="17">
        <v>3970804.15</v>
      </c>
      <c r="L19" s="14" t="s">
        <v>17</v>
      </c>
    </row>
    <row r="20" spans="1:16" ht="15.75" customHeight="1" x14ac:dyDescent="0.2"/>
    <row r="21" spans="1:16" ht="15.75" customHeight="1" x14ac:dyDescent="0.2"/>
    <row r="22" spans="1:16" ht="15.75" customHeight="1" x14ac:dyDescent="0.2"/>
    <row r="23" spans="1:16" ht="15.75" customHeight="1" x14ac:dyDescent="0.2"/>
    <row r="24" spans="1:16" ht="15.75" customHeight="1" x14ac:dyDescent="0.2"/>
    <row r="25" spans="1:16" ht="15.75" customHeight="1" x14ac:dyDescent="0.2"/>
    <row r="26" spans="1:16" ht="15.75" customHeight="1" x14ac:dyDescent="0.2"/>
    <row r="27" spans="1:16" ht="15.75" customHeight="1" x14ac:dyDescent="0.2"/>
    <row r="28" spans="1:16" ht="15.75" customHeight="1" x14ac:dyDescent="0.2"/>
    <row r="29" spans="1:16" ht="15.75" customHeight="1" x14ac:dyDescent="0.2"/>
    <row r="30" spans="1:16" ht="15.75" customHeight="1" x14ac:dyDescent="0.2"/>
    <row r="31" spans="1:16" ht="15.75" customHeight="1" x14ac:dyDescent="0.2"/>
    <row r="32" spans="1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dataValidations count="4">
    <dataValidation type="list" allowBlank="1" sqref="C7:C13 C19" xr:uid="{00000000-0002-0000-0000-000000000000}">
      <formula1>"Kg,Box,Pack,Cup,Roll"</formula1>
    </dataValidation>
    <dataValidation type="list" allowBlank="1" sqref="C14:C18" xr:uid="{FD224A1A-AC81-4843-8DA6-11C3A1CD8835}">
      <formula1>"Kg,Box,Pack,Cup,Roll,Unit"</formula1>
    </dataValidation>
    <dataValidation type="custom" allowBlank="1" showDropDown="1" sqref="E7:K19" xr:uid="{00000000-0002-0000-0000-000001000000}">
      <formula1>AND(ISNUMBER(E7),(NOT(OR(NOT(ISERROR(DATEVALUE(E7))), AND(ISNUMBER(E7), LEFT(CELL("format", E7))="D")))))</formula1>
    </dataValidation>
    <dataValidation type="list" allowBlank="1" sqref="L7:L19" xr:uid="{00000000-0002-0000-0000-000002000000}">
      <formula1>"In stock,Sold out"</formula1>
    </dataValidation>
  </dataValidations>
  <pageMargins left="0.7" right="0.7" top="0.75" bottom="0.75" header="0.3" footer="0.3"/>
  <drawing r:id="rId1"/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outlinePr summaryBelow="0" summaryRight="0"/>
  </sheetPr>
  <dimension ref="B1:AR1000"/>
  <sheetViews>
    <sheetView showGridLines="0" topLeftCell="AE1" workbookViewId="0">
      <selection activeCell="AY6" sqref="AY6"/>
    </sheetView>
  </sheetViews>
  <sheetFormatPr defaultColWidth="12.5703125" defaultRowHeight="15" customHeight="1" outlineLevelCol="1" x14ac:dyDescent="0.2"/>
  <cols>
    <col min="1" max="1" width="12.5703125" customWidth="1"/>
    <col min="2" max="18" width="17.140625" customWidth="1"/>
    <col min="19" max="27" width="10.140625" customWidth="1"/>
    <col min="28" max="34" width="10.140625" customWidth="1" outlineLevel="1"/>
    <col min="35" max="42" width="10.140625" customWidth="1"/>
  </cols>
  <sheetData>
    <row r="1" spans="2:44" ht="15.75" customHeight="1" x14ac:dyDescent="0.2">
      <c r="B1" s="1" t="s">
        <v>22</v>
      </c>
      <c r="C1" s="23"/>
      <c r="D1" s="4">
        <v>70</v>
      </c>
      <c r="E1" s="4">
        <v>6000</v>
      </c>
      <c r="F1" s="4">
        <v>2000</v>
      </c>
      <c r="G1" s="4">
        <v>325000</v>
      </c>
      <c r="H1" s="4">
        <v>91700</v>
      </c>
      <c r="I1" s="4">
        <v>15</v>
      </c>
      <c r="J1" s="4">
        <v>65</v>
      </c>
      <c r="K1" s="24"/>
      <c r="L1" s="4">
        <v>998015.78481543344</v>
      </c>
      <c r="M1" s="4">
        <v>6152417.1746411473</v>
      </c>
      <c r="N1" s="4">
        <v>2335075.8253588518</v>
      </c>
      <c r="O1" s="4">
        <v>10756675.231747974</v>
      </c>
      <c r="P1" s="4">
        <v>3548658.983436591</v>
      </c>
      <c r="Q1" s="4">
        <v>199200</v>
      </c>
      <c r="R1" s="4">
        <v>11547386</v>
      </c>
      <c r="S1" s="24"/>
      <c r="T1" s="4">
        <v>33</v>
      </c>
      <c r="U1" s="4">
        <v>3960</v>
      </c>
      <c r="V1" s="4">
        <v>0</v>
      </c>
      <c r="W1" s="4">
        <v>320000</v>
      </c>
      <c r="X1" s="4">
        <v>100</v>
      </c>
      <c r="Y1" s="4">
        <v>8</v>
      </c>
      <c r="Z1" s="4">
        <v>30</v>
      </c>
      <c r="AA1" s="24"/>
      <c r="AB1" s="4">
        <v>14257.368354506192</v>
      </c>
      <c r="AC1" s="4">
        <v>1025.4028624401913</v>
      </c>
      <c r="AD1" s="4">
        <v>1165.2371091915081</v>
      </c>
      <c r="AE1" s="4">
        <v>33.097462251532235</v>
      </c>
      <c r="AF1" s="4">
        <v>38.669372867675975</v>
      </c>
      <c r="AG1" s="4">
        <v>13280</v>
      </c>
      <c r="AH1" s="4">
        <v>180451.29523809525</v>
      </c>
      <c r="AI1" s="24"/>
      <c r="AJ1" s="4">
        <v>470493.15569870436</v>
      </c>
      <c r="AK1" s="4">
        <v>4060595.3352631573</v>
      </c>
      <c r="AL1" s="4">
        <v>0</v>
      </c>
      <c r="AM1" s="4">
        <v>10591187.920490313</v>
      </c>
      <c r="AN1" s="4">
        <v>3866.9372867675975</v>
      </c>
      <c r="AO1" s="4">
        <v>106240</v>
      </c>
      <c r="AP1" s="4">
        <v>5413538.8571428573</v>
      </c>
      <c r="AQ1" s="25"/>
    </row>
    <row r="2" spans="2:44" ht="15.75" customHeight="1" x14ac:dyDescent="0.2">
      <c r="C2" s="23"/>
      <c r="K2" s="23"/>
      <c r="S2" s="23"/>
      <c r="AA2" s="23"/>
      <c r="AI2" s="23"/>
      <c r="AQ2" s="25"/>
    </row>
    <row r="3" spans="2:44" ht="15.75" customHeight="1" x14ac:dyDescent="0.2">
      <c r="C3" s="23"/>
      <c r="K3" s="23"/>
      <c r="S3" s="23"/>
      <c r="AA3" s="23"/>
      <c r="AI3" s="23"/>
      <c r="AQ3" s="25"/>
    </row>
    <row r="4" spans="2:44" ht="15.75" customHeight="1" x14ac:dyDescent="0.2">
      <c r="C4" s="23"/>
      <c r="D4" s="87" t="s">
        <v>23</v>
      </c>
      <c r="E4" s="88"/>
      <c r="F4" s="88"/>
      <c r="G4" s="88"/>
      <c r="H4" s="88"/>
      <c r="I4" s="88"/>
      <c r="J4" s="88"/>
      <c r="K4" s="23"/>
      <c r="L4" s="87" t="s">
        <v>24</v>
      </c>
      <c r="M4" s="88"/>
      <c r="N4" s="88"/>
      <c r="O4" s="88"/>
      <c r="P4" s="88"/>
      <c r="Q4" s="88"/>
      <c r="R4" s="88"/>
      <c r="S4" s="26"/>
      <c r="T4" s="89" t="s">
        <v>25</v>
      </c>
      <c r="U4" s="88"/>
      <c r="V4" s="88"/>
      <c r="W4" s="88"/>
      <c r="X4" s="88"/>
      <c r="Y4" s="88"/>
      <c r="Z4" s="88"/>
      <c r="AA4" s="23"/>
      <c r="AB4" s="90" t="s">
        <v>26</v>
      </c>
      <c r="AC4" s="88"/>
      <c r="AD4" s="88"/>
      <c r="AE4" s="88"/>
      <c r="AF4" s="88"/>
      <c r="AG4" s="88"/>
      <c r="AH4" s="88"/>
      <c r="AI4" s="23"/>
      <c r="AJ4" s="91" t="s">
        <v>14</v>
      </c>
      <c r="AK4" s="88"/>
      <c r="AL4" s="88"/>
      <c r="AM4" s="88"/>
      <c r="AN4" s="88"/>
      <c r="AO4" s="88"/>
      <c r="AP4" s="88"/>
      <c r="AQ4" s="25"/>
    </row>
    <row r="5" spans="2:44" ht="24.75" customHeight="1" x14ac:dyDescent="0.2">
      <c r="B5" s="1" t="s">
        <v>27</v>
      </c>
      <c r="C5" s="23"/>
      <c r="D5" s="27">
        <v>12100</v>
      </c>
      <c r="E5" s="28">
        <v>12101</v>
      </c>
      <c r="F5" s="28">
        <v>12102</v>
      </c>
      <c r="G5" s="28">
        <v>12103</v>
      </c>
      <c r="H5" s="28">
        <v>12104</v>
      </c>
      <c r="I5" s="28">
        <v>12105</v>
      </c>
      <c r="J5" s="28">
        <v>12106</v>
      </c>
      <c r="K5" s="29"/>
      <c r="L5" s="27">
        <v>12100</v>
      </c>
      <c r="M5" s="28">
        <v>12101</v>
      </c>
      <c r="N5" s="28">
        <v>12102</v>
      </c>
      <c r="O5" s="28">
        <v>12103</v>
      </c>
      <c r="P5" s="28">
        <v>12104</v>
      </c>
      <c r="Q5" s="28">
        <v>12105</v>
      </c>
      <c r="R5" s="28">
        <v>12106</v>
      </c>
      <c r="S5" s="29"/>
      <c r="T5" s="30">
        <v>12100</v>
      </c>
      <c r="U5" s="31">
        <v>12101</v>
      </c>
      <c r="V5" s="31">
        <v>12102</v>
      </c>
      <c r="W5" s="31">
        <v>12103</v>
      </c>
      <c r="X5" s="31">
        <v>12104</v>
      </c>
      <c r="Y5" s="31">
        <v>12105</v>
      </c>
      <c r="Z5" s="31">
        <v>12106</v>
      </c>
      <c r="AA5" s="29"/>
      <c r="AB5" s="32">
        <v>12100</v>
      </c>
      <c r="AC5" s="33">
        <v>12101</v>
      </c>
      <c r="AD5" s="33">
        <v>12102</v>
      </c>
      <c r="AE5" s="33">
        <v>12103</v>
      </c>
      <c r="AF5" s="33">
        <v>12104</v>
      </c>
      <c r="AG5" s="33">
        <v>12105</v>
      </c>
      <c r="AH5" s="33">
        <v>12106</v>
      </c>
      <c r="AI5" s="29"/>
      <c r="AJ5" s="30">
        <v>12100</v>
      </c>
      <c r="AK5" s="31">
        <v>12101</v>
      </c>
      <c r="AL5" s="31">
        <v>12102</v>
      </c>
      <c r="AM5" s="31">
        <v>12103</v>
      </c>
      <c r="AN5" s="31">
        <v>12104</v>
      </c>
      <c r="AO5" s="31">
        <v>12105</v>
      </c>
      <c r="AP5" s="31">
        <v>12106</v>
      </c>
      <c r="AQ5" s="25"/>
      <c r="AR5" s="1" t="s">
        <v>28</v>
      </c>
    </row>
    <row r="6" spans="2:44" ht="15.75" customHeight="1" x14ac:dyDescent="0.2">
      <c r="B6" s="34" t="s">
        <v>56</v>
      </c>
      <c r="C6" s="23"/>
      <c r="D6" s="4">
        <v>70</v>
      </c>
      <c r="E6" s="4">
        <v>6000</v>
      </c>
      <c r="F6" s="4">
        <v>2000</v>
      </c>
      <c r="G6" s="4">
        <v>325000</v>
      </c>
      <c r="H6" s="4">
        <v>91700</v>
      </c>
      <c r="I6" s="4">
        <v>15</v>
      </c>
      <c r="J6" s="4">
        <v>65</v>
      </c>
      <c r="K6" s="24"/>
      <c r="L6" s="4">
        <v>998016</v>
      </c>
      <c r="M6" s="4">
        <v>6152417</v>
      </c>
      <c r="N6" s="4">
        <v>2335076</v>
      </c>
      <c r="O6" s="4">
        <v>10756675</v>
      </c>
      <c r="P6" s="4">
        <v>3548659</v>
      </c>
      <c r="Q6" s="4">
        <v>199200</v>
      </c>
      <c r="R6" s="4">
        <v>11562986</v>
      </c>
      <c r="S6" s="24"/>
      <c r="T6" s="4">
        <v>33</v>
      </c>
      <c r="U6" s="4">
        <v>3960</v>
      </c>
      <c r="V6" s="4">
        <v>0</v>
      </c>
      <c r="W6" s="4">
        <v>320000</v>
      </c>
      <c r="X6" s="4">
        <v>100</v>
      </c>
      <c r="Y6" s="4">
        <v>8</v>
      </c>
      <c r="Z6" s="4">
        <v>30</v>
      </c>
      <c r="AA6" s="24"/>
      <c r="AB6" s="4">
        <v>14257</v>
      </c>
      <c r="AC6" s="4">
        <v>1025</v>
      </c>
      <c r="AD6" s="4">
        <v>1165</v>
      </c>
      <c r="AE6" s="4">
        <v>33</v>
      </c>
      <c r="AF6" s="4">
        <v>39</v>
      </c>
      <c r="AG6" s="4">
        <v>13280</v>
      </c>
      <c r="AH6" s="4">
        <v>180600</v>
      </c>
      <c r="AI6" s="24"/>
      <c r="AJ6" s="4">
        <v>470493</v>
      </c>
      <c r="AK6" s="4">
        <v>4060595</v>
      </c>
      <c r="AL6" s="4">
        <v>0</v>
      </c>
      <c r="AM6" s="4">
        <v>10591188</v>
      </c>
      <c r="AN6" s="4">
        <v>3867</v>
      </c>
      <c r="AO6" s="4">
        <v>106240</v>
      </c>
      <c r="AP6" s="4">
        <v>5417996</v>
      </c>
      <c r="AQ6" s="25"/>
      <c r="AR6" s="4">
        <v>20650379</v>
      </c>
    </row>
    <row r="7" spans="2:44" ht="15.75" customHeight="1" x14ac:dyDescent="0.2">
      <c r="B7" s="34" t="s">
        <v>57</v>
      </c>
      <c r="C7" s="23"/>
      <c r="D7" s="4">
        <v>100</v>
      </c>
      <c r="E7" s="4">
        <v>7290</v>
      </c>
      <c r="F7" s="4">
        <v>2872</v>
      </c>
      <c r="G7" s="4">
        <v>350000</v>
      </c>
      <c r="H7" s="4">
        <v>147000</v>
      </c>
      <c r="I7" s="4">
        <v>12</v>
      </c>
      <c r="J7" s="4">
        <v>8</v>
      </c>
      <c r="K7" s="24"/>
      <c r="L7" s="4">
        <v>1361000</v>
      </c>
      <c r="M7" s="4">
        <v>7721065</v>
      </c>
      <c r="N7" s="4">
        <v>3330615</v>
      </c>
      <c r="O7" s="4">
        <v>11830587</v>
      </c>
      <c r="P7" s="4">
        <v>5699750</v>
      </c>
      <c r="Q7" s="4">
        <v>159600</v>
      </c>
      <c r="R7" s="4">
        <v>1521700</v>
      </c>
      <c r="S7" s="24"/>
      <c r="T7" s="4">
        <v>130</v>
      </c>
      <c r="U7" s="4">
        <v>3650</v>
      </c>
      <c r="V7" s="4">
        <v>2345</v>
      </c>
      <c r="W7" s="4">
        <v>255000</v>
      </c>
      <c r="X7" s="4">
        <v>148800</v>
      </c>
      <c r="Y7" s="4">
        <v>19</v>
      </c>
      <c r="Z7" s="4">
        <v>36</v>
      </c>
      <c r="AA7" s="23"/>
      <c r="AB7" s="4">
        <v>13785</v>
      </c>
      <c r="AC7" s="4">
        <v>1052</v>
      </c>
      <c r="AD7" s="4">
        <v>1162</v>
      </c>
      <c r="AE7" s="4">
        <v>34</v>
      </c>
      <c r="AF7" s="4">
        <v>39</v>
      </c>
      <c r="AG7" s="4">
        <v>13293</v>
      </c>
      <c r="AH7" s="4">
        <v>180829</v>
      </c>
      <c r="AI7" s="23"/>
      <c r="AJ7" s="4">
        <v>1785136</v>
      </c>
      <c r="AK7" s="4">
        <v>3838911</v>
      </c>
      <c r="AL7" s="4">
        <v>2725254</v>
      </c>
      <c r="AM7" s="4">
        <v>8616898</v>
      </c>
      <c r="AN7" s="4">
        <v>5763419</v>
      </c>
      <c r="AO7" s="4">
        <v>252560</v>
      </c>
      <c r="AP7" s="4">
        <v>6567717</v>
      </c>
      <c r="AQ7" s="25"/>
      <c r="AR7" s="4">
        <v>29549895</v>
      </c>
    </row>
    <row r="8" spans="2:44" ht="15.75" customHeight="1" x14ac:dyDescent="0.2">
      <c r="B8" s="34" t="s">
        <v>58</v>
      </c>
      <c r="C8" s="23"/>
      <c r="D8" s="4">
        <v>0</v>
      </c>
      <c r="E8" s="4">
        <v>1313</v>
      </c>
      <c r="F8" s="4">
        <v>5691</v>
      </c>
      <c r="G8" s="4">
        <v>0</v>
      </c>
      <c r="H8" s="4">
        <v>147000</v>
      </c>
      <c r="I8" s="4">
        <v>35</v>
      </c>
      <c r="J8" s="4">
        <v>0</v>
      </c>
      <c r="K8" s="24"/>
      <c r="L8" s="4">
        <v>0</v>
      </c>
      <c r="M8" s="4">
        <v>1369030</v>
      </c>
      <c r="N8" s="4">
        <v>6522120</v>
      </c>
      <c r="O8" s="4">
        <v>0</v>
      </c>
      <c r="P8" s="4">
        <v>5846750</v>
      </c>
      <c r="Q8" s="4">
        <v>472400</v>
      </c>
      <c r="R8" s="4">
        <v>0</v>
      </c>
      <c r="S8" s="24"/>
      <c r="T8" s="4">
        <v>-14</v>
      </c>
      <c r="U8" s="4">
        <v>493</v>
      </c>
      <c r="V8" s="4">
        <v>3140</v>
      </c>
      <c r="W8" s="4">
        <v>36000</v>
      </c>
      <c r="X8" s="4">
        <v>163800</v>
      </c>
      <c r="Y8" s="4">
        <v>27</v>
      </c>
      <c r="Z8" s="4">
        <v>18</v>
      </c>
      <c r="AA8" s="23"/>
      <c r="AB8" s="4">
        <v>13785</v>
      </c>
      <c r="AC8" s="4">
        <v>1050</v>
      </c>
      <c r="AD8" s="4">
        <v>1151</v>
      </c>
      <c r="AE8" s="4">
        <v>34</v>
      </c>
      <c r="AF8" s="4">
        <v>39</v>
      </c>
      <c r="AG8" s="4">
        <v>13497</v>
      </c>
      <c r="AH8" s="4">
        <v>180829</v>
      </c>
      <c r="AI8" s="23"/>
      <c r="AJ8" s="4">
        <v>-186095</v>
      </c>
      <c r="AK8" s="4">
        <v>517675</v>
      </c>
      <c r="AL8" s="4">
        <v>3615370</v>
      </c>
      <c r="AM8" s="4">
        <v>1216503</v>
      </c>
      <c r="AN8" s="4">
        <v>6448518</v>
      </c>
      <c r="AO8" s="4">
        <v>364423</v>
      </c>
      <c r="AP8" s="4">
        <v>3254926</v>
      </c>
      <c r="AQ8" s="25"/>
      <c r="AR8" s="4">
        <v>15231320</v>
      </c>
    </row>
    <row r="9" spans="2:44" ht="15.75" customHeight="1" x14ac:dyDescent="0.2">
      <c r="B9" s="34" t="s">
        <v>59</v>
      </c>
      <c r="C9" s="23"/>
      <c r="D9" s="4">
        <v>70</v>
      </c>
      <c r="E9" s="4">
        <v>0</v>
      </c>
      <c r="F9" s="4">
        <v>4875</v>
      </c>
      <c r="G9" s="4">
        <v>100000</v>
      </c>
      <c r="H9" s="4">
        <v>357000</v>
      </c>
      <c r="I9" s="4">
        <v>38</v>
      </c>
      <c r="J9" s="4">
        <v>65</v>
      </c>
      <c r="K9" s="24"/>
      <c r="L9" s="4">
        <v>1081200</v>
      </c>
      <c r="M9" s="4">
        <v>0</v>
      </c>
      <c r="N9" s="4">
        <v>5440670</v>
      </c>
      <c r="O9" s="4">
        <v>3636500</v>
      </c>
      <c r="P9" s="4">
        <v>13972000</v>
      </c>
      <c r="Q9" s="4">
        <v>382000</v>
      </c>
      <c r="R9" s="4">
        <v>13107000</v>
      </c>
      <c r="S9" s="24"/>
      <c r="T9" s="4">
        <v>84</v>
      </c>
      <c r="U9" s="4">
        <v>1820</v>
      </c>
      <c r="V9" s="4">
        <v>6235</v>
      </c>
      <c r="W9" s="4">
        <v>104000</v>
      </c>
      <c r="X9" s="4">
        <v>407050</v>
      </c>
      <c r="Y9" s="4">
        <v>36</v>
      </c>
      <c r="Z9" s="4">
        <v>46</v>
      </c>
      <c r="AA9" s="23"/>
      <c r="AB9" s="4">
        <v>15062</v>
      </c>
      <c r="AC9" s="4">
        <v>1050</v>
      </c>
      <c r="AD9" s="4">
        <v>1135</v>
      </c>
      <c r="AE9" s="4">
        <v>35</v>
      </c>
      <c r="AF9" s="4">
        <v>39</v>
      </c>
      <c r="AG9" s="4">
        <v>10652</v>
      </c>
      <c r="AH9" s="4">
        <v>195224</v>
      </c>
      <c r="AI9" s="23"/>
      <c r="AJ9" s="4">
        <v>1265245</v>
      </c>
      <c r="AK9" s="4">
        <v>1911093</v>
      </c>
      <c r="AL9" s="4">
        <v>7074130</v>
      </c>
      <c r="AM9" s="4">
        <v>3677524</v>
      </c>
      <c r="AN9" s="4">
        <v>15947501</v>
      </c>
      <c r="AO9" s="4">
        <v>383460</v>
      </c>
      <c r="AP9" s="4">
        <v>8980300</v>
      </c>
      <c r="AQ9" s="25"/>
      <c r="AR9" s="4">
        <v>39239253</v>
      </c>
    </row>
    <row r="10" spans="2:44" ht="15.75" customHeight="1" x14ac:dyDescent="0.2">
      <c r="B10" s="34" t="s">
        <v>60</v>
      </c>
      <c r="C10" s="23"/>
      <c r="D10" s="4">
        <v>70</v>
      </c>
      <c r="E10" s="4">
        <v>0</v>
      </c>
      <c r="F10" s="4">
        <v>0</v>
      </c>
      <c r="G10" s="4">
        <v>0</v>
      </c>
      <c r="H10" s="4">
        <v>168000</v>
      </c>
      <c r="I10" s="4">
        <v>12</v>
      </c>
      <c r="J10" s="4">
        <v>0</v>
      </c>
      <c r="K10" s="24"/>
      <c r="L10" s="4">
        <v>1027934</v>
      </c>
      <c r="M10" s="4">
        <v>0</v>
      </c>
      <c r="N10" s="4">
        <v>0</v>
      </c>
      <c r="O10" s="4">
        <v>0</v>
      </c>
      <c r="P10" s="4">
        <v>6548866</v>
      </c>
      <c r="Q10" s="4">
        <v>117000</v>
      </c>
      <c r="R10" s="4">
        <v>0</v>
      </c>
      <c r="S10" s="24"/>
      <c r="T10" s="4">
        <v>74</v>
      </c>
      <c r="U10" s="4">
        <v>1160</v>
      </c>
      <c r="V10" s="4">
        <v>3160</v>
      </c>
      <c r="W10" s="4">
        <v>60000</v>
      </c>
      <c r="X10" s="4">
        <v>194950</v>
      </c>
      <c r="Y10" s="4">
        <v>21</v>
      </c>
      <c r="Z10" s="4">
        <v>25</v>
      </c>
      <c r="AA10" s="23"/>
      <c r="AB10" s="4">
        <v>14719</v>
      </c>
      <c r="AC10" s="4">
        <v>1050</v>
      </c>
      <c r="AD10" s="4">
        <v>1135</v>
      </c>
      <c r="AE10" s="4">
        <v>35</v>
      </c>
      <c r="AF10" s="4">
        <v>39</v>
      </c>
      <c r="AG10" s="4">
        <v>10160</v>
      </c>
      <c r="AH10" s="4">
        <v>195224</v>
      </c>
      <c r="AI10" s="23"/>
      <c r="AJ10" s="4">
        <v>1089213</v>
      </c>
      <c r="AK10" s="4">
        <v>1218059</v>
      </c>
      <c r="AL10" s="4">
        <v>3585285</v>
      </c>
      <c r="AM10" s="4">
        <v>2121648</v>
      </c>
      <c r="AN10" s="4">
        <v>7604720</v>
      </c>
      <c r="AO10" s="4">
        <v>213357</v>
      </c>
      <c r="AP10" s="4">
        <v>4880598</v>
      </c>
      <c r="AQ10" s="25"/>
      <c r="AR10" s="4">
        <v>20712880</v>
      </c>
    </row>
    <row r="11" spans="2:44" ht="15.75" customHeight="1" x14ac:dyDescent="0.2">
      <c r="B11" s="34" t="s">
        <v>61</v>
      </c>
      <c r="C11" s="23"/>
      <c r="D11" s="4">
        <v>35</v>
      </c>
      <c r="E11" s="4">
        <v>0</v>
      </c>
      <c r="F11" s="4">
        <v>3315</v>
      </c>
      <c r="G11" s="4">
        <v>100000</v>
      </c>
      <c r="H11" s="4">
        <v>126000</v>
      </c>
      <c r="I11" s="4">
        <v>10</v>
      </c>
      <c r="J11" s="4">
        <v>0</v>
      </c>
      <c r="K11" s="24"/>
      <c r="L11" s="4">
        <v>499721</v>
      </c>
      <c r="M11" s="4">
        <v>0</v>
      </c>
      <c r="N11" s="4">
        <v>3600220</v>
      </c>
      <c r="O11" s="4">
        <v>3366802</v>
      </c>
      <c r="P11" s="4">
        <v>4949198</v>
      </c>
      <c r="Q11" s="4">
        <v>135000</v>
      </c>
      <c r="R11" s="4">
        <v>0</v>
      </c>
      <c r="S11" s="24"/>
      <c r="T11" s="4">
        <v>10</v>
      </c>
      <c r="U11" s="4">
        <v>1200</v>
      </c>
      <c r="V11" s="4">
        <v>1975</v>
      </c>
      <c r="W11" s="4">
        <v>75000</v>
      </c>
      <c r="X11" s="4">
        <v>122150</v>
      </c>
      <c r="Y11" s="4">
        <v>8</v>
      </c>
      <c r="Z11" s="4">
        <v>17</v>
      </c>
      <c r="AA11" s="23"/>
      <c r="AB11" s="4">
        <v>14313</v>
      </c>
      <c r="AC11" s="4">
        <v>1050</v>
      </c>
      <c r="AD11" s="4">
        <v>1096</v>
      </c>
      <c r="AE11" s="4">
        <v>34</v>
      </c>
      <c r="AF11" s="4">
        <v>39</v>
      </c>
      <c r="AG11" s="4">
        <v>13196</v>
      </c>
      <c r="AH11" s="4">
        <v>195224</v>
      </c>
      <c r="AI11" s="23"/>
      <c r="AJ11" s="4">
        <v>143126</v>
      </c>
      <c r="AK11" s="4">
        <v>1260061</v>
      </c>
      <c r="AL11" s="4">
        <v>2164677</v>
      </c>
      <c r="AM11" s="4">
        <v>2525101</v>
      </c>
      <c r="AN11" s="4">
        <v>4797973</v>
      </c>
      <c r="AO11" s="4">
        <v>105571</v>
      </c>
      <c r="AP11" s="4">
        <v>3318806</v>
      </c>
      <c r="AQ11" s="25"/>
      <c r="AR11" s="4">
        <v>14315315</v>
      </c>
    </row>
    <row r="12" spans="2:44" ht="15.75" customHeight="1" x14ac:dyDescent="0.2">
      <c r="B12" s="34" t="s">
        <v>62</v>
      </c>
      <c r="C12" s="23"/>
      <c r="D12" s="4">
        <v>0</v>
      </c>
      <c r="E12" s="4">
        <v>0</v>
      </c>
      <c r="F12" s="4">
        <v>0</v>
      </c>
      <c r="G12" s="4">
        <v>50000</v>
      </c>
      <c r="H12" s="4">
        <v>84000</v>
      </c>
      <c r="I12" s="4">
        <v>0</v>
      </c>
      <c r="J12" s="4">
        <v>66</v>
      </c>
      <c r="K12" s="24"/>
      <c r="L12" s="4">
        <v>0</v>
      </c>
      <c r="M12" s="4">
        <v>0</v>
      </c>
      <c r="N12" s="4">
        <v>0</v>
      </c>
      <c r="O12" s="4">
        <v>1681564</v>
      </c>
      <c r="P12" s="4">
        <v>3295865</v>
      </c>
      <c r="Q12" s="4">
        <v>0</v>
      </c>
      <c r="R12" s="4">
        <v>11259000</v>
      </c>
      <c r="S12" s="24"/>
      <c r="T12" s="4">
        <v>28</v>
      </c>
      <c r="U12" s="4">
        <v>1300</v>
      </c>
      <c r="V12" s="4">
        <v>1320</v>
      </c>
      <c r="W12" s="4">
        <v>75000</v>
      </c>
      <c r="X12" s="4">
        <v>72450</v>
      </c>
      <c r="Y12" s="4">
        <v>0</v>
      </c>
      <c r="Z12" s="4">
        <v>14</v>
      </c>
      <c r="AA12" s="23"/>
      <c r="AB12" s="4">
        <v>14313</v>
      </c>
      <c r="AC12" s="4">
        <v>1050</v>
      </c>
      <c r="AD12" s="4">
        <v>1096</v>
      </c>
      <c r="AE12" s="4">
        <v>34</v>
      </c>
      <c r="AF12" s="4">
        <v>39</v>
      </c>
      <c r="AG12" s="4">
        <v>13196</v>
      </c>
      <c r="AH12" s="4">
        <v>195224</v>
      </c>
      <c r="AI12" s="23"/>
      <c r="AJ12" s="4">
        <v>400753</v>
      </c>
      <c r="AK12" s="4">
        <v>1365066</v>
      </c>
      <c r="AL12" s="4">
        <v>1446771</v>
      </c>
      <c r="AM12" s="4">
        <v>2523264</v>
      </c>
      <c r="AN12" s="4">
        <v>2842820</v>
      </c>
      <c r="AO12" s="4">
        <v>0</v>
      </c>
      <c r="AP12" s="4">
        <v>2417011</v>
      </c>
      <c r="AQ12" s="25"/>
      <c r="AR12" s="4">
        <v>10995685</v>
      </c>
    </row>
    <row r="13" spans="2:44" ht="15.75" customHeight="1" x14ac:dyDescent="0.2">
      <c r="B13" s="34" t="s">
        <v>63</v>
      </c>
      <c r="C13" s="23"/>
      <c r="D13" s="4">
        <v>35</v>
      </c>
      <c r="E13" s="4">
        <v>1500</v>
      </c>
      <c r="F13" s="4">
        <v>1500</v>
      </c>
      <c r="G13" s="4">
        <v>50000</v>
      </c>
      <c r="H13" s="4">
        <v>105000</v>
      </c>
      <c r="I13" s="4">
        <v>20</v>
      </c>
      <c r="J13" s="4">
        <v>0</v>
      </c>
      <c r="K13" s="24"/>
      <c r="L13" s="4">
        <v>503000</v>
      </c>
      <c r="M13" s="4">
        <v>1410000</v>
      </c>
      <c r="N13" s="4">
        <v>1590000</v>
      </c>
      <c r="O13" s="4">
        <v>1682971</v>
      </c>
      <c r="P13" s="4">
        <v>4123279</v>
      </c>
      <c r="Q13" s="4">
        <v>265000</v>
      </c>
      <c r="R13" s="4">
        <v>0</v>
      </c>
      <c r="S13" s="24"/>
      <c r="T13" s="4">
        <v>14</v>
      </c>
      <c r="U13" s="4">
        <v>1080</v>
      </c>
      <c r="V13" s="4">
        <v>940</v>
      </c>
      <c r="W13" s="4">
        <v>50000</v>
      </c>
      <c r="X13" s="4">
        <v>40400</v>
      </c>
      <c r="Y13" s="4">
        <v>13</v>
      </c>
      <c r="Z13" s="4">
        <v>7</v>
      </c>
      <c r="AA13" s="23"/>
      <c r="AB13" s="4">
        <v>14313</v>
      </c>
      <c r="AC13" s="4">
        <v>1050</v>
      </c>
      <c r="AD13" s="4">
        <v>1096</v>
      </c>
      <c r="AE13" s="4">
        <v>34</v>
      </c>
      <c r="AF13" s="4">
        <v>39</v>
      </c>
      <c r="AG13" s="4">
        <v>13196</v>
      </c>
      <c r="AH13" s="4">
        <v>195224</v>
      </c>
      <c r="AI13" s="23"/>
      <c r="AJ13" s="4">
        <v>201200</v>
      </c>
      <c r="AK13" s="4">
        <v>1063308</v>
      </c>
      <c r="AL13" s="4">
        <v>1008926</v>
      </c>
      <c r="AM13" s="4">
        <v>1682971</v>
      </c>
      <c r="AN13" s="4">
        <v>1586321</v>
      </c>
      <c r="AO13" s="4">
        <v>172159</v>
      </c>
      <c r="AP13" s="4">
        <v>1208506</v>
      </c>
      <c r="AQ13" s="25"/>
      <c r="AR13" s="4">
        <v>6923390</v>
      </c>
    </row>
    <row r="14" spans="2:44" ht="15.75" customHeight="1" x14ac:dyDescent="0.2">
      <c r="B14" s="34" t="s">
        <v>55</v>
      </c>
      <c r="C14" s="23"/>
      <c r="D14" s="4">
        <v>70</v>
      </c>
      <c r="E14" s="4">
        <v>1500</v>
      </c>
      <c r="F14" s="4">
        <v>2000</v>
      </c>
      <c r="G14" s="4">
        <v>125000</v>
      </c>
      <c r="H14" s="4">
        <v>42000</v>
      </c>
      <c r="I14" s="4">
        <v>11</v>
      </c>
      <c r="J14" s="4">
        <v>0</v>
      </c>
      <c r="K14" s="24"/>
      <c r="L14" s="4">
        <v>1006000</v>
      </c>
      <c r="M14" s="4">
        <v>1413750</v>
      </c>
      <c r="N14" s="4">
        <v>2115000</v>
      </c>
      <c r="O14" s="4">
        <v>4816451</v>
      </c>
      <c r="P14" s="4">
        <v>1888049</v>
      </c>
      <c r="Q14" s="4">
        <v>154700</v>
      </c>
      <c r="R14" s="4">
        <v>0</v>
      </c>
      <c r="S14" s="24"/>
      <c r="T14" s="4">
        <v>44</v>
      </c>
      <c r="U14" s="4">
        <v>2060</v>
      </c>
      <c r="V14" s="4">
        <v>1800</v>
      </c>
      <c r="W14" s="4">
        <v>123500</v>
      </c>
      <c r="X14" s="4">
        <v>108400</v>
      </c>
      <c r="Y14" s="4">
        <v>14</v>
      </c>
      <c r="Z14" s="4">
        <v>23</v>
      </c>
      <c r="AA14" s="23"/>
      <c r="AB14" s="4">
        <v>14313</v>
      </c>
      <c r="AC14" s="4">
        <v>1050</v>
      </c>
      <c r="AD14" s="4">
        <v>1096</v>
      </c>
      <c r="AE14" s="4">
        <v>34</v>
      </c>
      <c r="AF14" s="4">
        <v>39</v>
      </c>
      <c r="AG14" s="4">
        <v>13196</v>
      </c>
      <c r="AH14" s="4">
        <v>195224</v>
      </c>
      <c r="AI14" s="23"/>
      <c r="AJ14" s="4">
        <v>638091</v>
      </c>
      <c r="AK14" s="4">
        <v>1983972</v>
      </c>
      <c r="AL14" s="4">
        <v>1915424</v>
      </c>
      <c r="AM14" s="4">
        <v>4758654</v>
      </c>
      <c r="AN14" s="4">
        <v>4468637</v>
      </c>
      <c r="AO14" s="4">
        <v>191420</v>
      </c>
      <c r="AP14" s="4">
        <v>3970804</v>
      </c>
      <c r="AQ14" s="25"/>
      <c r="AR14" s="4">
        <v>17927003</v>
      </c>
    </row>
    <row r="15" spans="2:44" ht="15.75" customHeight="1" x14ac:dyDescent="0.2">
      <c r="B15" s="1"/>
      <c r="C15" s="23"/>
      <c r="D15" s="1"/>
      <c r="E15" s="1"/>
      <c r="F15" s="1"/>
      <c r="G15" s="1"/>
      <c r="H15" s="1"/>
      <c r="I15" s="1"/>
      <c r="J15" s="1"/>
      <c r="K15" s="24"/>
      <c r="L15" s="1"/>
      <c r="M15" s="1"/>
      <c r="N15" s="1"/>
      <c r="O15" s="1"/>
      <c r="P15" s="1"/>
      <c r="Q15" s="1"/>
      <c r="R15" s="1"/>
      <c r="S15" s="24"/>
      <c r="T15" s="1"/>
      <c r="U15" s="1"/>
      <c r="V15" s="1"/>
      <c r="W15" s="1"/>
      <c r="X15" s="1"/>
      <c r="Y15" s="1"/>
      <c r="Z15" s="1"/>
      <c r="AA15" s="23"/>
      <c r="AB15" s="8"/>
      <c r="AI15" s="23"/>
      <c r="AJ15" s="1"/>
      <c r="AK15" s="1"/>
      <c r="AL15" s="1"/>
      <c r="AM15" s="1"/>
      <c r="AN15" s="1"/>
      <c r="AO15" s="1"/>
      <c r="AP15" s="1"/>
      <c r="AQ15" s="25"/>
      <c r="AR15" s="1"/>
    </row>
    <row r="16" spans="2:44" ht="15.75" customHeight="1" x14ac:dyDescent="0.2">
      <c r="B16" s="1"/>
      <c r="C16" s="23"/>
      <c r="D16" s="1"/>
      <c r="E16" s="1"/>
      <c r="F16" s="1"/>
      <c r="G16" s="1"/>
      <c r="H16" s="1"/>
      <c r="I16" s="1"/>
      <c r="J16" s="1"/>
      <c r="K16" s="24"/>
      <c r="L16" s="1"/>
      <c r="M16" s="1"/>
      <c r="N16" s="1"/>
      <c r="O16" s="1"/>
      <c r="P16" s="1"/>
      <c r="Q16" s="1"/>
      <c r="R16" s="1"/>
      <c r="S16" s="24"/>
      <c r="T16" s="1"/>
      <c r="U16" s="1"/>
      <c r="V16" s="1"/>
      <c r="W16" s="1"/>
      <c r="X16" s="1"/>
      <c r="Y16" s="1"/>
      <c r="Z16" s="1"/>
      <c r="AA16" s="23"/>
      <c r="AB16" s="8"/>
      <c r="AI16" s="23"/>
      <c r="AJ16" s="1"/>
      <c r="AK16" s="1"/>
      <c r="AL16" s="1"/>
      <c r="AM16" s="1"/>
      <c r="AN16" s="1"/>
      <c r="AO16" s="1"/>
      <c r="AP16" s="1"/>
      <c r="AQ16" s="25"/>
      <c r="AR16" s="1"/>
    </row>
    <row r="17" spans="2:43" ht="15.75" customHeight="1" x14ac:dyDescent="0.2">
      <c r="B17" s="1"/>
      <c r="C17" s="23"/>
      <c r="D17" s="1"/>
      <c r="E17" s="1"/>
      <c r="F17" s="1"/>
      <c r="G17" s="1"/>
      <c r="H17" s="1"/>
      <c r="I17" s="1"/>
      <c r="J17" s="1"/>
      <c r="K17" s="24"/>
      <c r="L17" s="1"/>
      <c r="M17" s="1"/>
      <c r="N17" s="1"/>
      <c r="O17" s="1"/>
      <c r="P17" s="1"/>
      <c r="Q17" s="1"/>
      <c r="R17" s="1"/>
      <c r="S17" s="24"/>
      <c r="T17" s="1"/>
      <c r="U17" s="1"/>
      <c r="V17" s="1"/>
      <c r="W17" s="1"/>
      <c r="X17" s="1"/>
      <c r="Y17" s="1"/>
      <c r="Z17" s="1"/>
      <c r="AA17" s="23"/>
      <c r="AB17" s="8"/>
      <c r="AI17" s="23"/>
      <c r="AQ17" s="25"/>
    </row>
    <row r="18" spans="2:43" ht="15.75" customHeight="1" x14ac:dyDescent="0.2">
      <c r="B18" s="1"/>
      <c r="C18" s="23"/>
      <c r="D18" s="1"/>
      <c r="E18" s="1"/>
      <c r="F18" s="1"/>
      <c r="G18" s="1"/>
      <c r="H18" s="1"/>
      <c r="I18" s="1"/>
      <c r="J18" s="1"/>
      <c r="K18" s="24"/>
      <c r="L18" s="1"/>
      <c r="M18" s="1"/>
      <c r="N18" s="1"/>
      <c r="O18" s="1"/>
      <c r="P18" s="1"/>
      <c r="Q18" s="1"/>
      <c r="R18" s="1"/>
      <c r="S18" s="24"/>
      <c r="T18" s="1"/>
      <c r="U18" s="1"/>
      <c r="V18" s="1"/>
      <c r="W18" s="1"/>
      <c r="X18" s="1"/>
      <c r="Y18" s="1"/>
      <c r="Z18" s="1"/>
      <c r="AA18" s="23"/>
      <c r="AI18" s="23"/>
      <c r="AQ18" s="25"/>
    </row>
    <row r="19" spans="2:43" ht="15.75" customHeight="1" x14ac:dyDescent="0.2">
      <c r="B19" s="1"/>
      <c r="C19" s="23"/>
      <c r="D19" s="1"/>
      <c r="E19" s="1"/>
      <c r="F19" s="1"/>
      <c r="G19" s="1"/>
      <c r="H19" s="1"/>
      <c r="I19" s="1"/>
      <c r="J19" s="1"/>
      <c r="K19" s="24"/>
      <c r="L19" s="1"/>
      <c r="M19" s="1"/>
      <c r="N19" s="1"/>
      <c r="O19" s="1"/>
      <c r="P19" s="1"/>
      <c r="Q19" s="1"/>
      <c r="R19" s="1"/>
      <c r="S19" s="24"/>
      <c r="T19" s="1"/>
      <c r="U19" s="1"/>
      <c r="V19" s="1"/>
      <c r="W19" s="1"/>
      <c r="X19" s="1"/>
      <c r="Y19" s="1"/>
      <c r="Z19" s="1"/>
      <c r="AA19" s="23"/>
      <c r="AI19" s="23"/>
      <c r="AQ19" s="25"/>
    </row>
    <row r="20" spans="2:43" ht="15.75" customHeight="1" x14ac:dyDescent="0.2">
      <c r="B20" s="1"/>
      <c r="C20" s="23"/>
      <c r="D20" s="1"/>
      <c r="E20" s="1"/>
      <c r="F20" s="1"/>
      <c r="G20" s="1"/>
      <c r="H20" s="1"/>
      <c r="I20" s="1"/>
      <c r="J20" s="1"/>
      <c r="K20" s="24"/>
      <c r="L20" s="1"/>
      <c r="M20" s="1"/>
      <c r="N20" s="1"/>
      <c r="O20" s="1"/>
      <c r="P20" s="1"/>
      <c r="Q20" s="1"/>
      <c r="R20" s="1"/>
      <c r="S20" s="24"/>
      <c r="T20" s="1"/>
      <c r="U20" s="1"/>
      <c r="V20" s="1"/>
      <c r="W20" s="1"/>
      <c r="X20" s="1"/>
      <c r="Y20" s="1"/>
      <c r="Z20" s="1"/>
      <c r="AA20" s="23"/>
      <c r="AI20" s="23"/>
      <c r="AQ20" s="25"/>
    </row>
    <row r="21" spans="2:43" ht="15.75" customHeight="1" x14ac:dyDescent="0.2">
      <c r="B21" s="1"/>
      <c r="C21" s="23"/>
      <c r="D21" s="1"/>
      <c r="E21" s="1"/>
      <c r="F21" s="1"/>
      <c r="G21" s="1"/>
      <c r="H21" s="1"/>
      <c r="I21" s="1"/>
      <c r="J21" s="1"/>
      <c r="K21" s="24"/>
      <c r="L21" s="1"/>
      <c r="M21" s="1"/>
      <c r="N21" s="1"/>
      <c r="O21" s="1"/>
      <c r="P21" s="1"/>
      <c r="Q21" s="1"/>
      <c r="R21" s="1"/>
      <c r="S21" s="24"/>
      <c r="T21" s="1"/>
      <c r="U21" s="1"/>
      <c r="V21" s="1"/>
      <c r="W21" s="1"/>
      <c r="X21" s="1"/>
      <c r="Y21" s="1"/>
      <c r="Z21" s="1"/>
      <c r="AA21" s="23"/>
      <c r="AI21" s="23"/>
      <c r="AQ21" s="25"/>
    </row>
    <row r="22" spans="2:43" ht="15.75" customHeight="1" x14ac:dyDescent="0.2">
      <c r="B22" s="1"/>
      <c r="C22" s="23"/>
      <c r="D22" s="1"/>
      <c r="E22" s="1"/>
      <c r="F22" s="1"/>
      <c r="G22" s="1"/>
      <c r="H22" s="1"/>
      <c r="I22" s="1"/>
      <c r="J22" s="1"/>
      <c r="K22" s="24"/>
      <c r="L22" s="1"/>
      <c r="M22" s="1"/>
      <c r="N22" s="1"/>
      <c r="O22" s="1"/>
      <c r="P22" s="1"/>
      <c r="Q22" s="1"/>
      <c r="R22" s="1"/>
      <c r="S22" s="24"/>
      <c r="T22" s="1"/>
      <c r="U22" s="1"/>
      <c r="V22" s="1"/>
      <c r="W22" s="1"/>
      <c r="X22" s="1"/>
      <c r="Y22" s="1"/>
      <c r="Z22" s="1"/>
      <c r="AA22" s="23"/>
      <c r="AI22" s="23"/>
      <c r="AQ22" s="25"/>
    </row>
    <row r="23" spans="2:43" ht="15.75" customHeight="1" x14ac:dyDescent="0.2">
      <c r="B23" s="1"/>
      <c r="C23" s="23"/>
      <c r="D23" s="1"/>
      <c r="E23" s="1"/>
      <c r="F23" s="1"/>
      <c r="G23" s="1"/>
      <c r="H23" s="1"/>
      <c r="I23" s="1"/>
      <c r="J23" s="1"/>
      <c r="K23" s="24"/>
      <c r="L23" s="1"/>
      <c r="M23" s="1"/>
      <c r="N23" s="1"/>
      <c r="O23" s="1"/>
      <c r="P23" s="1"/>
      <c r="Q23" s="1"/>
      <c r="R23" s="1"/>
      <c r="S23" s="24"/>
      <c r="T23" s="1"/>
      <c r="U23" s="1"/>
      <c r="V23" s="1"/>
      <c r="W23" s="1"/>
      <c r="X23" s="1"/>
      <c r="Y23" s="1"/>
      <c r="Z23" s="1"/>
      <c r="AA23" s="23"/>
      <c r="AI23" s="23"/>
      <c r="AQ23" s="25"/>
    </row>
    <row r="24" spans="2:43" ht="15.75" customHeight="1" x14ac:dyDescent="0.2">
      <c r="B24" s="1"/>
      <c r="C24" s="23"/>
      <c r="D24" s="1"/>
      <c r="E24" s="1"/>
      <c r="F24" s="1"/>
      <c r="G24" s="1"/>
      <c r="H24" s="1"/>
      <c r="I24" s="1"/>
      <c r="J24" s="1"/>
      <c r="K24" s="24"/>
      <c r="L24" s="1"/>
      <c r="M24" s="1"/>
      <c r="N24" s="1"/>
      <c r="O24" s="1"/>
      <c r="P24" s="1"/>
      <c r="Q24" s="1"/>
      <c r="R24" s="1"/>
      <c r="S24" s="24"/>
      <c r="T24" s="1"/>
      <c r="U24" s="1"/>
      <c r="V24" s="1"/>
      <c r="W24" s="1"/>
      <c r="X24" s="1"/>
      <c r="Y24" s="1"/>
      <c r="Z24" s="1"/>
      <c r="AA24" s="23"/>
      <c r="AI24" s="23"/>
      <c r="AQ24" s="25"/>
    </row>
    <row r="25" spans="2:43" ht="15.75" customHeight="1" x14ac:dyDescent="0.2">
      <c r="B25" s="1"/>
      <c r="C25" s="23"/>
      <c r="D25" s="1"/>
      <c r="E25" s="1"/>
      <c r="F25" s="1"/>
      <c r="G25" s="1"/>
      <c r="H25" s="1"/>
      <c r="I25" s="1"/>
      <c r="J25" s="1"/>
      <c r="K25" s="24"/>
      <c r="L25" s="1"/>
      <c r="M25" s="1"/>
      <c r="N25" s="1"/>
      <c r="O25" s="1"/>
      <c r="P25" s="1"/>
      <c r="Q25" s="1"/>
      <c r="R25" s="1"/>
      <c r="S25" s="24"/>
      <c r="T25" s="1"/>
      <c r="U25" s="1"/>
      <c r="V25" s="1"/>
      <c r="W25" s="1"/>
      <c r="X25" s="1"/>
      <c r="Y25" s="1"/>
      <c r="Z25" s="1"/>
      <c r="AA25" s="23"/>
      <c r="AI25" s="23"/>
      <c r="AQ25" s="25"/>
    </row>
    <row r="26" spans="2:43" ht="15.75" customHeight="1" x14ac:dyDescent="0.2">
      <c r="B26" s="1"/>
      <c r="C26" s="23"/>
      <c r="D26" s="1"/>
      <c r="E26" s="1"/>
      <c r="F26" s="1"/>
      <c r="G26" s="1"/>
      <c r="H26" s="1"/>
      <c r="I26" s="1"/>
      <c r="J26" s="1"/>
      <c r="K26" s="24"/>
      <c r="L26" s="1"/>
      <c r="M26" s="1"/>
      <c r="N26" s="1"/>
      <c r="O26" s="1"/>
      <c r="P26" s="1"/>
      <c r="Q26" s="1"/>
      <c r="R26" s="1"/>
      <c r="S26" s="24"/>
      <c r="T26" s="1"/>
      <c r="U26" s="1"/>
      <c r="V26" s="1"/>
      <c r="W26" s="1"/>
      <c r="X26" s="1"/>
      <c r="Y26" s="1"/>
      <c r="Z26" s="1"/>
      <c r="AA26" s="23"/>
      <c r="AI26" s="23"/>
      <c r="AQ26" s="25"/>
    </row>
    <row r="27" spans="2:43" ht="15.75" customHeight="1" x14ac:dyDescent="0.2">
      <c r="B27" s="1"/>
      <c r="C27" s="23"/>
      <c r="D27" s="1"/>
      <c r="E27" s="1"/>
      <c r="F27" s="1"/>
      <c r="G27" s="1"/>
      <c r="H27" s="1"/>
      <c r="I27" s="1"/>
      <c r="J27" s="1"/>
      <c r="K27" s="24"/>
      <c r="L27" s="1"/>
      <c r="M27" s="1"/>
      <c r="N27" s="1"/>
      <c r="O27" s="1"/>
      <c r="P27" s="1"/>
      <c r="Q27" s="1"/>
      <c r="R27" s="1"/>
      <c r="S27" s="24"/>
      <c r="T27" s="1"/>
      <c r="U27" s="1"/>
      <c r="V27" s="1"/>
      <c r="W27" s="1"/>
      <c r="X27" s="1"/>
      <c r="Y27" s="1"/>
      <c r="Z27" s="1"/>
      <c r="AA27" s="23"/>
      <c r="AI27" s="23"/>
      <c r="AQ27" s="25"/>
    </row>
    <row r="28" spans="2:43" ht="15.75" customHeight="1" x14ac:dyDescent="0.2">
      <c r="B28" s="1"/>
      <c r="C28" s="23"/>
      <c r="D28" s="1"/>
      <c r="E28" s="1"/>
      <c r="F28" s="1"/>
      <c r="G28" s="1"/>
      <c r="H28" s="1"/>
      <c r="I28" s="1"/>
      <c r="J28" s="1"/>
      <c r="K28" s="24"/>
      <c r="L28" s="1"/>
      <c r="M28" s="1"/>
      <c r="N28" s="1"/>
      <c r="O28" s="1"/>
      <c r="P28" s="1"/>
      <c r="Q28" s="1"/>
      <c r="R28" s="1"/>
      <c r="S28" s="24"/>
      <c r="T28" s="1"/>
      <c r="U28" s="1"/>
      <c r="V28" s="1"/>
      <c r="W28" s="1"/>
      <c r="X28" s="1"/>
      <c r="Y28" s="1"/>
      <c r="Z28" s="1"/>
      <c r="AA28" s="23"/>
      <c r="AI28" s="23"/>
      <c r="AQ28" s="25"/>
    </row>
    <row r="29" spans="2:43" ht="15.75" customHeight="1" x14ac:dyDescent="0.2">
      <c r="B29" s="1"/>
      <c r="C29" s="23"/>
      <c r="D29" s="1"/>
      <c r="E29" s="1"/>
      <c r="F29" s="1"/>
      <c r="G29" s="1"/>
      <c r="H29" s="1"/>
      <c r="I29" s="1"/>
      <c r="J29" s="1"/>
      <c r="K29" s="24"/>
      <c r="L29" s="1"/>
      <c r="M29" s="1"/>
      <c r="N29" s="1"/>
      <c r="O29" s="1"/>
      <c r="P29" s="1"/>
      <c r="Q29" s="1"/>
      <c r="R29" s="1"/>
      <c r="S29" s="24"/>
      <c r="T29" s="1"/>
      <c r="U29" s="1"/>
      <c r="V29" s="1"/>
      <c r="W29" s="1"/>
      <c r="X29" s="1"/>
      <c r="Y29" s="1"/>
      <c r="Z29" s="1"/>
      <c r="AA29" s="23"/>
      <c r="AI29" s="23"/>
      <c r="AQ29" s="25"/>
    </row>
    <row r="30" spans="2:43" ht="15.75" customHeight="1" x14ac:dyDescent="0.2">
      <c r="B30" s="1"/>
      <c r="C30" s="23"/>
      <c r="D30" s="1"/>
      <c r="E30" s="1"/>
      <c r="F30" s="1"/>
      <c r="G30" s="1"/>
      <c r="H30" s="1"/>
      <c r="I30" s="1"/>
      <c r="J30" s="1"/>
      <c r="K30" s="24"/>
      <c r="L30" s="1"/>
      <c r="M30" s="1"/>
      <c r="N30" s="1"/>
      <c r="O30" s="1"/>
      <c r="P30" s="1"/>
      <c r="Q30" s="1"/>
      <c r="R30" s="1"/>
      <c r="S30" s="24"/>
      <c r="T30" s="1"/>
      <c r="U30" s="1"/>
      <c r="V30" s="1"/>
      <c r="W30" s="1"/>
      <c r="X30" s="1"/>
      <c r="Y30" s="1"/>
      <c r="Z30" s="1"/>
      <c r="AA30" s="23"/>
      <c r="AI30" s="23"/>
      <c r="AQ30" s="25"/>
    </row>
    <row r="31" spans="2:43" ht="15.75" customHeight="1" x14ac:dyDescent="0.2">
      <c r="B31" s="1"/>
      <c r="C31" s="23"/>
      <c r="D31" s="1"/>
      <c r="E31" s="1"/>
      <c r="F31" s="1"/>
      <c r="G31" s="1"/>
      <c r="H31" s="1"/>
      <c r="I31" s="1"/>
      <c r="J31" s="1"/>
      <c r="K31" s="24"/>
      <c r="L31" s="1"/>
      <c r="M31" s="1"/>
      <c r="N31" s="1"/>
      <c r="O31" s="1"/>
      <c r="P31" s="1"/>
      <c r="Q31" s="1"/>
      <c r="R31" s="1"/>
      <c r="S31" s="24"/>
      <c r="T31" s="1"/>
      <c r="U31" s="1"/>
      <c r="V31" s="1"/>
      <c r="W31" s="1"/>
      <c r="X31" s="1"/>
      <c r="Y31" s="1"/>
      <c r="Z31" s="1"/>
      <c r="AA31" s="23"/>
      <c r="AI31" s="23"/>
      <c r="AQ31" s="25"/>
    </row>
    <row r="32" spans="2:43" ht="15.75" customHeight="1" x14ac:dyDescent="0.2">
      <c r="B32" s="1"/>
      <c r="C32" s="23"/>
      <c r="D32" s="1"/>
      <c r="E32" s="1"/>
      <c r="F32" s="1"/>
      <c r="G32" s="1"/>
      <c r="H32" s="1"/>
      <c r="I32" s="1"/>
      <c r="J32" s="1"/>
      <c r="K32" s="24"/>
      <c r="L32" s="1"/>
      <c r="M32" s="1"/>
      <c r="N32" s="1"/>
      <c r="O32" s="1"/>
      <c r="P32" s="1"/>
      <c r="Q32" s="1"/>
      <c r="R32" s="1"/>
      <c r="S32" s="24"/>
      <c r="T32" s="1"/>
      <c r="U32" s="1"/>
      <c r="V32" s="1"/>
      <c r="W32" s="1"/>
      <c r="X32" s="1"/>
      <c r="Y32" s="1"/>
      <c r="Z32" s="1"/>
      <c r="AA32" s="23"/>
      <c r="AI32" s="23"/>
      <c r="AQ32" s="25"/>
    </row>
    <row r="33" spans="2:43" ht="15.75" customHeight="1" x14ac:dyDescent="0.2">
      <c r="B33" s="1"/>
      <c r="C33" s="23"/>
      <c r="D33" s="1"/>
      <c r="E33" s="1"/>
      <c r="F33" s="1"/>
      <c r="G33" s="1"/>
      <c r="H33" s="1"/>
      <c r="I33" s="1"/>
      <c r="J33" s="1"/>
      <c r="K33" s="24"/>
      <c r="L33" s="1"/>
      <c r="M33" s="1"/>
      <c r="N33" s="1"/>
      <c r="O33" s="1"/>
      <c r="P33" s="1"/>
      <c r="Q33" s="1"/>
      <c r="R33" s="1"/>
      <c r="S33" s="24"/>
      <c r="T33" s="1"/>
      <c r="U33" s="1"/>
      <c r="V33" s="1"/>
      <c r="W33" s="1"/>
      <c r="X33" s="1"/>
      <c r="Y33" s="1"/>
      <c r="Z33" s="1"/>
      <c r="AA33" s="23"/>
      <c r="AI33" s="23"/>
      <c r="AQ33" s="25"/>
    </row>
    <row r="34" spans="2:43" ht="15.75" customHeight="1" x14ac:dyDescent="0.2">
      <c r="B34" s="1"/>
      <c r="C34" s="23"/>
      <c r="D34" s="1"/>
      <c r="E34" s="1"/>
      <c r="F34" s="1"/>
      <c r="G34" s="1"/>
      <c r="H34" s="1"/>
      <c r="I34" s="1"/>
      <c r="J34" s="1"/>
      <c r="K34" s="24"/>
      <c r="L34" s="1"/>
      <c r="M34" s="1"/>
      <c r="N34" s="1"/>
      <c r="O34" s="1"/>
      <c r="P34" s="1"/>
      <c r="Q34" s="1"/>
      <c r="R34" s="1"/>
      <c r="S34" s="24"/>
      <c r="T34" s="1"/>
      <c r="U34" s="1"/>
      <c r="V34" s="1"/>
      <c r="W34" s="1"/>
      <c r="X34" s="1"/>
      <c r="Y34" s="1"/>
      <c r="Z34" s="1"/>
      <c r="AA34" s="23"/>
      <c r="AI34" s="23"/>
      <c r="AQ34" s="25"/>
    </row>
    <row r="35" spans="2:43" ht="15.75" customHeight="1" x14ac:dyDescent="0.2">
      <c r="B35" s="1"/>
      <c r="C35" s="23"/>
      <c r="D35" s="1"/>
      <c r="E35" s="1"/>
      <c r="F35" s="1"/>
      <c r="G35" s="1"/>
      <c r="H35" s="1"/>
      <c r="I35" s="1"/>
      <c r="J35" s="1"/>
      <c r="K35" s="24"/>
      <c r="L35" s="1"/>
      <c r="M35" s="1"/>
      <c r="N35" s="1"/>
      <c r="O35" s="1"/>
      <c r="P35" s="1"/>
      <c r="Q35" s="1"/>
      <c r="R35" s="1"/>
      <c r="S35" s="24"/>
      <c r="T35" s="1"/>
      <c r="U35" s="1"/>
      <c r="V35" s="1"/>
      <c r="W35" s="1"/>
      <c r="X35" s="1"/>
      <c r="Y35" s="1"/>
      <c r="Z35" s="1"/>
      <c r="AA35" s="23"/>
      <c r="AI35" s="23"/>
      <c r="AQ35" s="25"/>
    </row>
    <row r="36" spans="2:43" ht="15.75" customHeight="1" x14ac:dyDescent="0.2">
      <c r="B36" s="1"/>
      <c r="C36" s="23"/>
      <c r="D36" s="1"/>
      <c r="E36" s="1"/>
      <c r="F36" s="1"/>
      <c r="G36" s="1"/>
      <c r="H36" s="1"/>
      <c r="I36" s="1"/>
      <c r="J36" s="1"/>
      <c r="K36" s="24"/>
      <c r="L36" s="1"/>
      <c r="M36" s="1"/>
      <c r="N36" s="1"/>
      <c r="O36" s="1"/>
      <c r="P36" s="1"/>
      <c r="Q36" s="1"/>
      <c r="R36" s="1"/>
      <c r="S36" s="23"/>
      <c r="T36" s="1"/>
      <c r="U36" s="1"/>
      <c r="V36" s="1"/>
      <c r="W36" s="1"/>
      <c r="X36" s="1"/>
      <c r="Y36" s="1"/>
      <c r="Z36" s="1"/>
      <c r="AA36" s="23"/>
      <c r="AI36" s="23"/>
      <c r="AQ36" s="25"/>
    </row>
    <row r="37" spans="2:43" ht="15.75" customHeight="1" x14ac:dyDescent="0.2">
      <c r="C37" s="23"/>
      <c r="K37" s="23"/>
      <c r="S37" s="23"/>
      <c r="AA37" s="23"/>
      <c r="AI37" s="23"/>
      <c r="AQ37" s="25"/>
    </row>
    <row r="38" spans="2:43" ht="15.75" customHeight="1" x14ac:dyDescent="0.2">
      <c r="C38" s="23"/>
      <c r="K38" s="23"/>
      <c r="S38" s="23"/>
      <c r="AA38" s="23"/>
      <c r="AI38" s="23"/>
      <c r="AQ38" s="25"/>
    </row>
    <row r="39" spans="2:43" ht="15.75" customHeight="1" x14ac:dyDescent="0.2">
      <c r="C39" s="23"/>
      <c r="K39" s="23"/>
      <c r="S39" s="23"/>
      <c r="AA39" s="23"/>
      <c r="AI39" s="23"/>
      <c r="AQ39" s="25"/>
    </row>
    <row r="40" spans="2:43" ht="15.75" customHeight="1" x14ac:dyDescent="0.2">
      <c r="C40" s="23"/>
      <c r="K40" s="23"/>
      <c r="S40" s="23"/>
      <c r="AA40" s="23"/>
      <c r="AI40" s="23"/>
      <c r="AQ40" s="25"/>
    </row>
    <row r="41" spans="2:43" ht="15.75" customHeight="1" x14ac:dyDescent="0.2">
      <c r="C41" s="23"/>
      <c r="K41" s="23"/>
      <c r="S41" s="23"/>
      <c r="AA41" s="23"/>
      <c r="AI41" s="23"/>
      <c r="AQ41" s="25"/>
    </row>
    <row r="42" spans="2:43" ht="15.75" customHeight="1" x14ac:dyDescent="0.2">
      <c r="C42" s="23"/>
      <c r="K42" s="23"/>
      <c r="S42" s="23"/>
      <c r="AA42" s="23"/>
      <c r="AI42" s="23"/>
      <c r="AQ42" s="25"/>
    </row>
    <row r="43" spans="2:43" ht="15.75" customHeight="1" x14ac:dyDescent="0.2">
      <c r="C43" s="23"/>
      <c r="K43" s="23"/>
      <c r="S43" s="23"/>
      <c r="AA43" s="23"/>
      <c r="AI43" s="23"/>
      <c r="AQ43" s="25"/>
    </row>
    <row r="44" spans="2:43" ht="15.75" customHeight="1" x14ac:dyDescent="0.2">
      <c r="C44" s="23"/>
      <c r="K44" s="23"/>
      <c r="S44" s="23"/>
      <c r="AA44" s="23"/>
      <c r="AI44" s="23"/>
      <c r="AQ44" s="25"/>
    </row>
    <row r="45" spans="2:43" ht="15.75" customHeight="1" x14ac:dyDescent="0.2">
      <c r="C45" s="23"/>
      <c r="K45" s="23"/>
      <c r="S45" s="23"/>
      <c r="AA45" s="23"/>
      <c r="AI45" s="23"/>
      <c r="AQ45" s="25"/>
    </row>
    <row r="46" spans="2:43" ht="15.75" customHeight="1" x14ac:dyDescent="0.2">
      <c r="C46" s="23"/>
      <c r="K46" s="23"/>
      <c r="S46" s="23"/>
      <c r="AA46" s="23"/>
      <c r="AI46" s="23"/>
      <c r="AQ46" s="25"/>
    </row>
    <row r="47" spans="2:43" ht="15.75" customHeight="1" x14ac:dyDescent="0.2">
      <c r="C47" s="23"/>
      <c r="K47" s="23"/>
      <c r="S47" s="23"/>
      <c r="AA47" s="23"/>
      <c r="AI47" s="23"/>
      <c r="AQ47" s="25"/>
    </row>
    <row r="48" spans="2:43" ht="15.75" customHeight="1" x14ac:dyDescent="0.2">
      <c r="C48" s="23"/>
      <c r="K48" s="23"/>
      <c r="S48" s="23"/>
      <c r="AA48" s="23"/>
      <c r="AI48" s="23"/>
      <c r="AQ48" s="25"/>
    </row>
    <row r="49" spans="3:43" ht="15.75" customHeight="1" x14ac:dyDescent="0.2">
      <c r="C49" s="23"/>
      <c r="K49" s="23"/>
      <c r="S49" s="23"/>
      <c r="AA49" s="23"/>
      <c r="AI49" s="23"/>
      <c r="AQ49" s="25"/>
    </row>
    <row r="50" spans="3:43" ht="15.75" customHeight="1" x14ac:dyDescent="0.2">
      <c r="C50" s="23"/>
      <c r="K50" s="23"/>
      <c r="S50" s="23"/>
      <c r="AA50" s="23"/>
      <c r="AI50" s="23"/>
      <c r="AQ50" s="25"/>
    </row>
    <row r="51" spans="3:43" ht="15.75" customHeight="1" x14ac:dyDescent="0.2">
      <c r="C51" s="23"/>
      <c r="K51" s="23"/>
      <c r="S51" s="23"/>
      <c r="AA51" s="23"/>
      <c r="AI51" s="23"/>
      <c r="AQ51" s="25"/>
    </row>
    <row r="52" spans="3:43" ht="15.75" customHeight="1" x14ac:dyDescent="0.2">
      <c r="C52" s="23"/>
      <c r="K52" s="23"/>
      <c r="S52" s="23"/>
      <c r="AA52" s="23"/>
      <c r="AI52" s="23"/>
      <c r="AQ52" s="25"/>
    </row>
    <row r="53" spans="3:43" ht="15.75" customHeight="1" x14ac:dyDescent="0.2">
      <c r="C53" s="23"/>
      <c r="K53" s="23"/>
      <c r="S53" s="23"/>
      <c r="AA53" s="23"/>
      <c r="AI53" s="23"/>
      <c r="AQ53" s="25"/>
    </row>
    <row r="54" spans="3:43" ht="15.75" customHeight="1" x14ac:dyDescent="0.2">
      <c r="C54" s="23"/>
      <c r="K54" s="23"/>
      <c r="S54" s="23"/>
      <c r="AA54" s="23"/>
      <c r="AI54" s="23"/>
      <c r="AQ54" s="25"/>
    </row>
    <row r="55" spans="3:43" ht="15.75" customHeight="1" x14ac:dyDescent="0.2">
      <c r="C55" s="23"/>
      <c r="K55" s="23"/>
      <c r="S55" s="23"/>
      <c r="AA55" s="23"/>
      <c r="AI55" s="23"/>
      <c r="AQ55" s="25"/>
    </row>
    <row r="56" spans="3:43" ht="15.75" customHeight="1" x14ac:dyDescent="0.2">
      <c r="C56" s="23"/>
      <c r="K56" s="23"/>
      <c r="S56" s="23"/>
      <c r="AA56" s="23"/>
      <c r="AI56" s="23"/>
      <c r="AQ56" s="25"/>
    </row>
    <row r="57" spans="3:43" ht="15.75" customHeight="1" x14ac:dyDescent="0.2">
      <c r="C57" s="23"/>
      <c r="K57" s="23"/>
      <c r="S57" s="23"/>
      <c r="AA57" s="23"/>
      <c r="AI57" s="23"/>
      <c r="AQ57" s="25"/>
    </row>
    <row r="58" spans="3:43" ht="15.75" customHeight="1" x14ac:dyDescent="0.2">
      <c r="C58" s="23"/>
      <c r="K58" s="23"/>
      <c r="S58" s="23"/>
      <c r="AA58" s="23"/>
      <c r="AI58" s="23"/>
      <c r="AQ58" s="25"/>
    </row>
    <row r="59" spans="3:43" ht="15.75" customHeight="1" x14ac:dyDescent="0.2">
      <c r="C59" s="23"/>
      <c r="K59" s="23"/>
      <c r="S59" s="23"/>
      <c r="AA59" s="23"/>
      <c r="AI59" s="23"/>
      <c r="AQ59" s="25"/>
    </row>
    <row r="60" spans="3:43" ht="15.75" customHeight="1" x14ac:dyDescent="0.2">
      <c r="C60" s="23"/>
      <c r="K60" s="23"/>
      <c r="S60" s="23"/>
      <c r="AA60" s="23"/>
      <c r="AI60" s="23"/>
      <c r="AQ60" s="25"/>
    </row>
    <row r="61" spans="3:43" ht="15.75" customHeight="1" x14ac:dyDescent="0.2">
      <c r="C61" s="23"/>
      <c r="K61" s="23"/>
      <c r="S61" s="23"/>
      <c r="AA61" s="23"/>
      <c r="AI61" s="23"/>
      <c r="AQ61" s="25"/>
    </row>
    <row r="62" spans="3:43" ht="15.75" customHeight="1" x14ac:dyDescent="0.2">
      <c r="C62" s="23"/>
      <c r="K62" s="23"/>
      <c r="S62" s="23"/>
      <c r="AA62" s="23"/>
      <c r="AI62" s="23"/>
      <c r="AQ62" s="25"/>
    </row>
    <row r="63" spans="3:43" ht="15.75" customHeight="1" x14ac:dyDescent="0.2">
      <c r="C63" s="23"/>
      <c r="K63" s="23"/>
      <c r="S63" s="23"/>
      <c r="AA63" s="23"/>
      <c r="AI63" s="23"/>
      <c r="AQ63" s="25"/>
    </row>
    <row r="64" spans="3:43" ht="15.75" customHeight="1" x14ac:dyDescent="0.2">
      <c r="C64" s="23"/>
      <c r="K64" s="23"/>
      <c r="S64" s="23"/>
      <c r="AA64" s="23"/>
      <c r="AI64" s="23"/>
      <c r="AQ64" s="25"/>
    </row>
    <row r="65" spans="3:43" ht="15.75" customHeight="1" x14ac:dyDescent="0.2">
      <c r="C65" s="23"/>
      <c r="K65" s="23"/>
      <c r="S65" s="23"/>
      <c r="AA65" s="23"/>
      <c r="AI65" s="23"/>
      <c r="AQ65" s="25"/>
    </row>
    <row r="66" spans="3:43" ht="15.75" customHeight="1" x14ac:dyDescent="0.2">
      <c r="C66" s="23"/>
      <c r="K66" s="23"/>
      <c r="S66" s="23"/>
      <c r="AA66" s="23"/>
      <c r="AI66" s="23"/>
      <c r="AQ66" s="25"/>
    </row>
    <row r="67" spans="3:43" ht="15.75" customHeight="1" x14ac:dyDescent="0.2">
      <c r="C67" s="23"/>
      <c r="K67" s="23"/>
      <c r="S67" s="23"/>
      <c r="AA67" s="23"/>
      <c r="AI67" s="23"/>
      <c r="AQ67" s="25"/>
    </row>
    <row r="68" spans="3:43" ht="15.75" customHeight="1" x14ac:dyDescent="0.2">
      <c r="C68" s="23"/>
      <c r="K68" s="23"/>
      <c r="S68" s="23"/>
      <c r="AA68" s="23"/>
      <c r="AI68" s="23"/>
      <c r="AQ68" s="25"/>
    </row>
    <row r="69" spans="3:43" ht="15.75" customHeight="1" x14ac:dyDescent="0.2">
      <c r="C69" s="23"/>
      <c r="K69" s="23"/>
      <c r="S69" s="23"/>
      <c r="AA69" s="23"/>
      <c r="AI69" s="23"/>
      <c r="AQ69" s="25"/>
    </row>
    <row r="70" spans="3:43" ht="15.75" customHeight="1" x14ac:dyDescent="0.2">
      <c r="C70" s="23"/>
      <c r="K70" s="23"/>
      <c r="S70" s="23"/>
      <c r="AA70" s="23"/>
      <c r="AI70" s="23"/>
      <c r="AQ70" s="25"/>
    </row>
    <row r="71" spans="3:43" ht="15.75" customHeight="1" x14ac:dyDescent="0.2">
      <c r="C71" s="23"/>
      <c r="K71" s="23"/>
      <c r="S71" s="23"/>
      <c r="AA71" s="23"/>
      <c r="AI71" s="23"/>
      <c r="AQ71" s="25"/>
    </row>
    <row r="72" spans="3:43" ht="15.75" customHeight="1" x14ac:dyDescent="0.2">
      <c r="C72" s="23"/>
      <c r="K72" s="23"/>
      <c r="S72" s="23"/>
      <c r="AA72" s="23"/>
      <c r="AI72" s="23"/>
      <c r="AQ72" s="25"/>
    </row>
    <row r="73" spans="3:43" ht="15.75" customHeight="1" x14ac:dyDescent="0.2">
      <c r="C73" s="23"/>
      <c r="K73" s="23"/>
      <c r="S73" s="23"/>
      <c r="AA73" s="23"/>
      <c r="AI73" s="23"/>
      <c r="AQ73" s="25"/>
    </row>
    <row r="74" spans="3:43" ht="15.75" customHeight="1" x14ac:dyDescent="0.2">
      <c r="C74" s="23"/>
      <c r="K74" s="23"/>
      <c r="S74" s="23"/>
      <c r="AA74" s="23"/>
      <c r="AI74" s="23"/>
      <c r="AQ74" s="25"/>
    </row>
    <row r="75" spans="3:43" ht="15.75" customHeight="1" x14ac:dyDescent="0.2">
      <c r="C75" s="23"/>
      <c r="K75" s="23"/>
      <c r="S75" s="23"/>
      <c r="AA75" s="23"/>
      <c r="AI75" s="23"/>
      <c r="AQ75" s="25"/>
    </row>
    <row r="76" spans="3:43" ht="15.75" customHeight="1" x14ac:dyDescent="0.2">
      <c r="C76" s="23"/>
      <c r="K76" s="23"/>
      <c r="S76" s="23"/>
      <c r="AA76" s="23"/>
      <c r="AI76" s="23"/>
      <c r="AQ76" s="25"/>
    </row>
    <row r="77" spans="3:43" ht="15.75" customHeight="1" x14ac:dyDescent="0.2">
      <c r="C77" s="23"/>
      <c r="K77" s="23"/>
      <c r="S77" s="23"/>
      <c r="AA77" s="23"/>
      <c r="AI77" s="23"/>
      <c r="AQ77" s="25"/>
    </row>
    <row r="78" spans="3:43" ht="15.75" customHeight="1" x14ac:dyDescent="0.2">
      <c r="C78" s="23"/>
      <c r="K78" s="23"/>
      <c r="S78" s="23"/>
      <c r="AA78" s="23"/>
      <c r="AI78" s="23"/>
      <c r="AQ78" s="25"/>
    </row>
    <row r="79" spans="3:43" ht="15.75" customHeight="1" x14ac:dyDescent="0.2">
      <c r="C79" s="23"/>
      <c r="K79" s="23"/>
      <c r="S79" s="23"/>
      <c r="AA79" s="23"/>
      <c r="AI79" s="23"/>
      <c r="AQ79" s="25"/>
    </row>
    <row r="80" spans="3:43" ht="15.75" customHeight="1" x14ac:dyDescent="0.2">
      <c r="C80" s="23"/>
      <c r="K80" s="23"/>
      <c r="S80" s="23"/>
      <c r="AA80" s="23"/>
      <c r="AI80" s="23"/>
      <c r="AQ80" s="25"/>
    </row>
    <row r="81" spans="3:43" ht="15.75" customHeight="1" x14ac:dyDescent="0.2">
      <c r="C81" s="23"/>
      <c r="K81" s="23"/>
      <c r="S81" s="23"/>
      <c r="AA81" s="23"/>
      <c r="AI81" s="23"/>
      <c r="AQ81" s="25"/>
    </row>
    <row r="82" spans="3:43" ht="15.75" customHeight="1" x14ac:dyDescent="0.2">
      <c r="C82" s="23"/>
      <c r="K82" s="23"/>
      <c r="S82" s="23"/>
      <c r="AA82" s="23"/>
      <c r="AI82" s="23"/>
      <c r="AQ82" s="25"/>
    </row>
    <row r="83" spans="3:43" ht="15.75" customHeight="1" x14ac:dyDescent="0.2">
      <c r="C83" s="23"/>
      <c r="K83" s="23"/>
      <c r="S83" s="23"/>
      <c r="AA83" s="23"/>
      <c r="AI83" s="23"/>
      <c r="AQ83" s="25"/>
    </row>
    <row r="84" spans="3:43" ht="15.75" customHeight="1" x14ac:dyDescent="0.2">
      <c r="C84" s="23"/>
      <c r="K84" s="23"/>
      <c r="S84" s="23"/>
      <c r="AA84" s="23"/>
      <c r="AI84" s="23"/>
      <c r="AQ84" s="25"/>
    </row>
    <row r="85" spans="3:43" ht="15.75" customHeight="1" x14ac:dyDescent="0.2">
      <c r="C85" s="23"/>
      <c r="K85" s="23"/>
      <c r="S85" s="23"/>
      <c r="AA85" s="23"/>
      <c r="AI85" s="23"/>
      <c r="AQ85" s="25"/>
    </row>
    <row r="86" spans="3:43" ht="15.75" customHeight="1" x14ac:dyDescent="0.2">
      <c r="C86" s="23"/>
      <c r="K86" s="23"/>
      <c r="S86" s="23"/>
      <c r="AA86" s="23"/>
      <c r="AI86" s="23"/>
      <c r="AQ86" s="25"/>
    </row>
    <row r="87" spans="3:43" ht="15.75" customHeight="1" x14ac:dyDescent="0.2">
      <c r="C87" s="23"/>
      <c r="K87" s="23"/>
      <c r="S87" s="23"/>
      <c r="AA87" s="23"/>
      <c r="AI87" s="23"/>
      <c r="AQ87" s="25"/>
    </row>
    <row r="88" spans="3:43" ht="15.75" customHeight="1" x14ac:dyDescent="0.2">
      <c r="C88" s="23"/>
      <c r="K88" s="23"/>
      <c r="S88" s="23"/>
      <c r="AA88" s="23"/>
      <c r="AI88" s="23"/>
      <c r="AQ88" s="25"/>
    </row>
    <row r="89" spans="3:43" ht="15.75" customHeight="1" x14ac:dyDescent="0.2">
      <c r="C89" s="23"/>
      <c r="K89" s="23"/>
      <c r="S89" s="23"/>
      <c r="AA89" s="23"/>
      <c r="AI89" s="23"/>
      <c r="AQ89" s="25"/>
    </row>
    <row r="90" spans="3:43" ht="15.75" customHeight="1" x14ac:dyDescent="0.2">
      <c r="C90" s="23"/>
      <c r="K90" s="23"/>
      <c r="S90" s="23"/>
      <c r="AA90" s="23"/>
      <c r="AI90" s="23"/>
      <c r="AQ90" s="25"/>
    </row>
    <row r="91" spans="3:43" ht="15.75" customHeight="1" x14ac:dyDescent="0.2">
      <c r="C91" s="23"/>
      <c r="K91" s="23"/>
      <c r="S91" s="23"/>
      <c r="AA91" s="23"/>
      <c r="AI91" s="23"/>
      <c r="AQ91" s="25"/>
    </row>
    <row r="92" spans="3:43" ht="15.75" customHeight="1" x14ac:dyDescent="0.2">
      <c r="C92" s="23"/>
      <c r="K92" s="23"/>
      <c r="S92" s="23"/>
      <c r="AA92" s="23"/>
      <c r="AI92" s="23"/>
      <c r="AQ92" s="25"/>
    </row>
    <row r="93" spans="3:43" ht="15.75" customHeight="1" x14ac:dyDescent="0.2">
      <c r="C93" s="23"/>
      <c r="K93" s="23"/>
      <c r="S93" s="23"/>
      <c r="AA93" s="23"/>
      <c r="AI93" s="23"/>
      <c r="AQ93" s="25"/>
    </row>
    <row r="94" spans="3:43" ht="15.75" customHeight="1" x14ac:dyDescent="0.2">
      <c r="C94" s="23"/>
      <c r="K94" s="23"/>
      <c r="S94" s="23"/>
      <c r="AA94" s="23"/>
      <c r="AI94" s="23"/>
      <c r="AQ94" s="25"/>
    </row>
    <row r="95" spans="3:43" ht="15.75" customHeight="1" x14ac:dyDescent="0.2">
      <c r="C95" s="23"/>
      <c r="K95" s="23"/>
      <c r="S95" s="23"/>
      <c r="AA95" s="23"/>
      <c r="AI95" s="23"/>
      <c r="AQ95" s="25"/>
    </row>
    <row r="96" spans="3:43" ht="15.75" customHeight="1" x14ac:dyDescent="0.2">
      <c r="C96" s="23"/>
      <c r="K96" s="23"/>
      <c r="S96" s="23"/>
      <c r="AA96" s="23"/>
      <c r="AI96" s="23"/>
      <c r="AQ96" s="25"/>
    </row>
    <row r="97" spans="3:43" ht="15.75" customHeight="1" x14ac:dyDescent="0.2">
      <c r="C97" s="23"/>
      <c r="K97" s="23"/>
      <c r="S97" s="23"/>
      <c r="AA97" s="23"/>
      <c r="AI97" s="23"/>
      <c r="AQ97" s="25"/>
    </row>
    <row r="98" spans="3:43" ht="15.75" customHeight="1" x14ac:dyDescent="0.2">
      <c r="C98" s="23"/>
      <c r="K98" s="23"/>
      <c r="S98" s="23"/>
      <c r="AA98" s="23"/>
      <c r="AI98" s="23"/>
      <c r="AQ98" s="25"/>
    </row>
    <row r="99" spans="3:43" ht="15.75" customHeight="1" x14ac:dyDescent="0.2">
      <c r="C99" s="23"/>
      <c r="K99" s="23"/>
      <c r="S99" s="23"/>
      <c r="AA99" s="23"/>
      <c r="AI99" s="23"/>
      <c r="AQ99" s="25"/>
    </row>
    <row r="100" spans="3:43" ht="15.75" customHeight="1" x14ac:dyDescent="0.2">
      <c r="C100" s="23"/>
      <c r="K100" s="23"/>
      <c r="S100" s="23"/>
      <c r="AA100" s="23"/>
      <c r="AI100" s="23"/>
      <c r="AQ100" s="25"/>
    </row>
    <row r="101" spans="3:43" ht="15.75" customHeight="1" x14ac:dyDescent="0.2">
      <c r="C101" s="23"/>
      <c r="K101" s="23"/>
      <c r="S101" s="23"/>
      <c r="AA101" s="23"/>
      <c r="AI101" s="23"/>
      <c r="AQ101" s="25"/>
    </row>
    <row r="102" spans="3:43" ht="15.75" customHeight="1" x14ac:dyDescent="0.2">
      <c r="C102" s="23"/>
      <c r="K102" s="23"/>
      <c r="S102" s="23"/>
      <c r="AA102" s="23"/>
      <c r="AI102" s="23"/>
      <c r="AQ102" s="25"/>
    </row>
    <row r="103" spans="3:43" ht="15.75" customHeight="1" x14ac:dyDescent="0.2">
      <c r="C103" s="23"/>
      <c r="K103" s="23"/>
      <c r="S103" s="23"/>
      <c r="AA103" s="23"/>
      <c r="AI103" s="23"/>
      <c r="AQ103" s="25"/>
    </row>
    <row r="104" spans="3:43" ht="15.75" customHeight="1" x14ac:dyDescent="0.2">
      <c r="C104" s="23"/>
      <c r="K104" s="23"/>
      <c r="S104" s="23"/>
      <c r="AA104" s="23"/>
      <c r="AI104" s="23"/>
      <c r="AQ104" s="25"/>
    </row>
    <row r="105" spans="3:43" ht="15.75" customHeight="1" x14ac:dyDescent="0.2">
      <c r="C105" s="23"/>
      <c r="K105" s="23"/>
      <c r="S105" s="23"/>
      <c r="AA105" s="23"/>
      <c r="AI105" s="23"/>
      <c r="AQ105" s="25"/>
    </row>
    <row r="106" spans="3:43" ht="15.75" customHeight="1" x14ac:dyDescent="0.2">
      <c r="C106" s="23"/>
      <c r="K106" s="23"/>
      <c r="S106" s="23"/>
      <c r="AA106" s="23"/>
      <c r="AI106" s="23"/>
      <c r="AQ106" s="25"/>
    </row>
    <row r="107" spans="3:43" ht="15.75" customHeight="1" x14ac:dyDescent="0.2">
      <c r="C107" s="23"/>
      <c r="K107" s="23"/>
      <c r="S107" s="23"/>
      <c r="AA107" s="23"/>
      <c r="AI107" s="23"/>
      <c r="AQ107" s="25"/>
    </row>
    <row r="108" spans="3:43" ht="15.75" customHeight="1" x14ac:dyDescent="0.2">
      <c r="C108" s="23"/>
      <c r="K108" s="23"/>
      <c r="S108" s="23"/>
      <c r="AA108" s="23"/>
      <c r="AI108" s="23"/>
      <c r="AQ108" s="25"/>
    </row>
    <row r="109" spans="3:43" ht="15.75" customHeight="1" x14ac:dyDescent="0.2">
      <c r="C109" s="23"/>
      <c r="K109" s="23"/>
      <c r="S109" s="23"/>
      <c r="AA109" s="23"/>
      <c r="AI109" s="23"/>
      <c r="AQ109" s="25"/>
    </row>
    <row r="110" spans="3:43" ht="15.75" customHeight="1" x14ac:dyDescent="0.2">
      <c r="C110" s="23"/>
      <c r="K110" s="23"/>
      <c r="S110" s="23"/>
      <c r="AA110" s="23"/>
      <c r="AI110" s="23"/>
      <c r="AQ110" s="25"/>
    </row>
    <row r="111" spans="3:43" ht="15.75" customHeight="1" x14ac:dyDescent="0.2">
      <c r="C111" s="23"/>
      <c r="K111" s="23"/>
      <c r="S111" s="23"/>
      <c r="AA111" s="23"/>
      <c r="AI111" s="23"/>
      <c r="AQ111" s="25"/>
    </row>
    <row r="112" spans="3:43" ht="15.75" customHeight="1" x14ac:dyDescent="0.2">
      <c r="C112" s="23"/>
      <c r="K112" s="23"/>
      <c r="S112" s="23"/>
      <c r="AA112" s="23"/>
      <c r="AI112" s="23"/>
      <c r="AQ112" s="25"/>
    </row>
    <row r="113" spans="3:43" ht="15.75" customHeight="1" x14ac:dyDescent="0.2">
      <c r="C113" s="23"/>
      <c r="K113" s="23"/>
      <c r="S113" s="23"/>
      <c r="AA113" s="23"/>
      <c r="AI113" s="23"/>
      <c r="AQ113" s="25"/>
    </row>
    <row r="114" spans="3:43" ht="15.75" customHeight="1" x14ac:dyDescent="0.2">
      <c r="C114" s="23"/>
      <c r="K114" s="23"/>
      <c r="S114" s="23"/>
      <c r="AA114" s="23"/>
      <c r="AI114" s="23"/>
      <c r="AQ114" s="25"/>
    </row>
    <row r="115" spans="3:43" ht="15.75" customHeight="1" x14ac:dyDescent="0.2">
      <c r="C115" s="23"/>
      <c r="K115" s="23"/>
      <c r="S115" s="23"/>
      <c r="AA115" s="23"/>
      <c r="AI115" s="23"/>
      <c r="AQ115" s="25"/>
    </row>
    <row r="116" spans="3:43" ht="15.75" customHeight="1" x14ac:dyDescent="0.2">
      <c r="C116" s="23"/>
      <c r="K116" s="23"/>
      <c r="S116" s="23"/>
      <c r="AA116" s="23"/>
      <c r="AI116" s="23"/>
      <c r="AQ116" s="25"/>
    </row>
    <row r="117" spans="3:43" ht="15.75" customHeight="1" x14ac:dyDescent="0.2">
      <c r="C117" s="23"/>
      <c r="K117" s="23"/>
      <c r="S117" s="23"/>
      <c r="AA117" s="23"/>
      <c r="AI117" s="23"/>
      <c r="AQ117" s="25"/>
    </row>
    <row r="118" spans="3:43" ht="15.75" customHeight="1" x14ac:dyDescent="0.2">
      <c r="C118" s="23"/>
      <c r="K118" s="23"/>
      <c r="S118" s="23"/>
      <c r="AA118" s="23"/>
      <c r="AI118" s="23"/>
      <c r="AQ118" s="25"/>
    </row>
    <row r="119" spans="3:43" ht="15.75" customHeight="1" x14ac:dyDescent="0.2">
      <c r="C119" s="23"/>
      <c r="K119" s="23"/>
      <c r="S119" s="23"/>
      <c r="AA119" s="23"/>
      <c r="AI119" s="23"/>
      <c r="AQ119" s="25"/>
    </row>
    <row r="120" spans="3:43" ht="15.75" customHeight="1" x14ac:dyDescent="0.2">
      <c r="C120" s="23"/>
      <c r="K120" s="23"/>
      <c r="S120" s="23"/>
      <c r="AA120" s="23"/>
      <c r="AI120" s="23"/>
      <c r="AQ120" s="25"/>
    </row>
    <row r="121" spans="3:43" ht="15.75" customHeight="1" x14ac:dyDescent="0.2">
      <c r="C121" s="23"/>
      <c r="K121" s="23"/>
      <c r="S121" s="23"/>
      <c r="AA121" s="23"/>
      <c r="AI121" s="23"/>
      <c r="AQ121" s="25"/>
    </row>
    <row r="122" spans="3:43" ht="15.75" customHeight="1" x14ac:dyDescent="0.2">
      <c r="C122" s="23"/>
      <c r="K122" s="23"/>
      <c r="S122" s="23"/>
      <c r="AA122" s="23"/>
      <c r="AI122" s="23"/>
      <c r="AQ122" s="25"/>
    </row>
    <row r="123" spans="3:43" ht="15.75" customHeight="1" x14ac:dyDescent="0.2">
      <c r="C123" s="23"/>
      <c r="K123" s="23"/>
      <c r="S123" s="23"/>
      <c r="AA123" s="23"/>
      <c r="AI123" s="23"/>
      <c r="AQ123" s="25"/>
    </row>
    <row r="124" spans="3:43" ht="15.75" customHeight="1" x14ac:dyDescent="0.2">
      <c r="C124" s="23"/>
      <c r="K124" s="23"/>
      <c r="S124" s="23"/>
      <c r="AA124" s="23"/>
      <c r="AI124" s="23"/>
      <c r="AQ124" s="25"/>
    </row>
    <row r="125" spans="3:43" ht="15.75" customHeight="1" x14ac:dyDescent="0.2">
      <c r="C125" s="23"/>
      <c r="K125" s="23"/>
      <c r="S125" s="23"/>
      <c r="AA125" s="23"/>
      <c r="AI125" s="23"/>
      <c r="AQ125" s="25"/>
    </row>
    <row r="126" spans="3:43" ht="15.75" customHeight="1" x14ac:dyDescent="0.2">
      <c r="C126" s="23"/>
      <c r="K126" s="23"/>
      <c r="S126" s="23"/>
      <c r="AA126" s="23"/>
      <c r="AI126" s="23"/>
      <c r="AQ126" s="25"/>
    </row>
    <row r="127" spans="3:43" ht="15.75" customHeight="1" x14ac:dyDescent="0.2">
      <c r="C127" s="23"/>
      <c r="K127" s="23"/>
      <c r="S127" s="23"/>
      <c r="AA127" s="23"/>
      <c r="AI127" s="23"/>
      <c r="AQ127" s="25"/>
    </row>
    <row r="128" spans="3:43" ht="15.75" customHeight="1" x14ac:dyDescent="0.2">
      <c r="C128" s="23"/>
      <c r="K128" s="23"/>
      <c r="S128" s="23"/>
      <c r="AA128" s="23"/>
      <c r="AI128" s="23"/>
      <c r="AQ128" s="25"/>
    </row>
    <row r="129" spans="3:43" ht="15.75" customHeight="1" x14ac:dyDescent="0.2">
      <c r="C129" s="23"/>
      <c r="K129" s="23"/>
      <c r="S129" s="23"/>
      <c r="AA129" s="23"/>
      <c r="AI129" s="23"/>
      <c r="AQ129" s="25"/>
    </row>
    <row r="130" spans="3:43" ht="15.75" customHeight="1" x14ac:dyDescent="0.2">
      <c r="C130" s="23"/>
      <c r="K130" s="23"/>
      <c r="S130" s="23"/>
      <c r="AA130" s="23"/>
      <c r="AI130" s="23"/>
      <c r="AQ130" s="25"/>
    </row>
    <row r="131" spans="3:43" ht="15.75" customHeight="1" x14ac:dyDescent="0.2">
      <c r="C131" s="23"/>
      <c r="K131" s="23"/>
      <c r="S131" s="23"/>
      <c r="AA131" s="23"/>
      <c r="AI131" s="23"/>
      <c r="AQ131" s="25"/>
    </row>
    <row r="132" spans="3:43" ht="15.75" customHeight="1" x14ac:dyDescent="0.2">
      <c r="C132" s="23"/>
      <c r="K132" s="23"/>
      <c r="S132" s="23"/>
      <c r="AA132" s="23"/>
      <c r="AI132" s="23"/>
      <c r="AQ132" s="25"/>
    </row>
    <row r="133" spans="3:43" ht="15.75" customHeight="1" x14ac:dyDescent="0.2">
      <c r="C133" s="23"/>
      <c r="K133" s="23"/>
      <c r="S133" s="23"/>
      <c r="AA133" s="23"/>
      <c r="AI133" s="23"/>
      <c r="AQ133" s="25"/>
    </row>
    <row r="134" spans="3:43" ht="15.75" customHeight="1" x14ac:dyDescent="0.2">
      <c r="C134" s="23"/>
      <c r="K134" s="23"/>
      <c r="S134" s="23"/>
      <c r="AA134" s="23"/>
      <c r="AI134" s="23"/>
      <c r="AQ134" s="25"/>
    </row>
    <row r="135" spans="3:43" ht="15.75" customHeight="1" x14ac:dyDescent="0.2">
      <c r="C135" s="23"/>
      <c r="K135" s="23"/>
      <c r="S135" s="23"/>
      <c r="AA135" s="23"/>
      <c r="AI135" s="23"/>
      <c r="AQ135" s="25"/>
    </row>
    <row r="136" spans="3:43" ht="15.75" customHeight="1" x14ac:dyDescent="0.2">
      <c r="C136" s="23"/>
      <c r="K136" s="23"/>
      <c r="S136" s="23"/>
      <c r="AA136" s="23"/>
      <c r="AI136" s="23"/>
      <c r="AQ136" s="25"/>
    </row>
    <row r="137" spans="3:43" ht="15.75" customHeight="1" x14ac:dyDescent="0.2">
      <c r="C137" s="23"/>
      <c r="K137" s="23"/>
      <c r="S137" s="23"/>
      <c r="AA137" s="23"/>
      <c r="AI137" s="23"/>
      <c r="AQ137" s="25"/>
    </row>
    <row r="138" spans="3:43" ht="15.75" customHeight="1" x14ac:dyDescent="0.2">
      <c r="C138" s="23"/>
      <c r="K138" s="23"/>
      <c r="S138" s="23"/>
      <c r="AA138" s="23"/>
      <c r="AI138" s="23"/>
      <c r="AQ138" s="25"/>
    </row>
    <row r="139" spans="3:43" ht="15.75" customHeight="1" x14ac:dyDescent="0.2">
      <c r="C139" s="23"/>
      <c r="K139" s="23"/>
      <c r="S139" s="23"/>
      <c r="AA139" s="23"/>
      <c r="AI139" s="23"/>
      <c r="AQ139" s="25"/>
    </row>
    <row r="140" spans="3:43" ht="15.75" customHeight="1" x14ac:dyDescent="0.2">
      <c r="C140" s="23"/>
      <c r="K140" s="23"/>
      <c r="S140" s="23"/>
      <c r="AA140" s="23"/>
      <c r="AI140" s="23"/>
      <c r="AQ140" s="25"/>
    </row>
    <row r="141" spans="3:43" ht="15.75" customHeight="1" x14ac:dyDescent="0.2">
      <c r="C141" s="23"/>
      <c r="K141" s="23"/>
      <c r="S141" s="23"/>
      <c r="AA141" s="23"/>
      <c r="AI141" s="23"/>
      <c r="AQ141" s="25"/>
    </row>
    <row r="142" spans="3:43" ht="15.75" customHeight="1" x14ac:dyDescent="0.2">
      <c r="C142" s="23"/>
      <c r="K142" s="23"/>
      <c r="S142" s="23"/>
      <c r="AA142" s="23"/>
      <c r="AI142" s="23"/>
      <c r="AQ142" s="25"/>
    </row>
    <row r="143" spans="3:43" ht="15.75" customHeight="1" x14ac:dyDescent="0.2">
      <c r="C143" s="23"/>
      <c r="K143" s="23"/>
      <c r="S143" s="23"/>
      <c r="AA143" s="23"/>
      <c r="AI143" s="23"/>
      <c r="AQ143" s="25"/>
    </row>
    <row r="144" spans="3:43" ht="15.75" customHeight="1" x14ac:dyDescent="0.2">
      <c r="C144" s="23"/>
      <c r="K144" s="23"/>
      <c r="S144" s="23"/>
      <c r="AA144" s="23"/>
      <c r="AI144" s="23"/>
      <c r="AQ144" s="25"/>
    </row>
    <row r="145" spans="3:43" ht="15.75" customHeight="1" x14ac:dyDescent="0.2">
      <c r="C145" s="23"/>
      <c r="K145" s="23"/>
      <c r="S145" s="23"/>
      <c r="AA145" s="23"/>
      <c r="AI145" s="23"/>
      <c r="AQ145" s="25"/>
    </row>
    <row r="146" spans="3:43" ht="15.75" customHeight="1" x14ac:dyDescent="0.2">
      <c r="C146" s="23"/>
      <c r="K146" s="23"/>
      <c r="S146" s="23"/>
      <c r="AA146" s="23"/>
      <c r="AI146" s="23"/>
      <c r="AQ146" s="25"/>
    </row>
    <row r="147" spans="3:43" ht="15.75" customHeight="1" x14ac:dyDescent="0.2">
      <c r="C147" s="23"/>
      <c r="K147" s="23"/>
      <c r="S147" s="23"/>
      <c r="AA147" s="23"/>
      <c r="AI147" s="23"/>
      <c r="AQ147" s="25"/>
    </row>
    <row r="148" spans="3:43" ht="15.75" customHeight="1" x14ac:dyDescent="0.2">
      <c r="C148" s="23"/>
      <c r="K148" s="23"/>
      <c r="S148" s="23"/>
      <c r="AA148" s="23"/>
      <c r="AI148" s="23"/>
      <c r="AQ148" s="25"/>
    </row>
    <row r="149" spans="3:43" ht="15.75" customHeight="1" x14ac:dyDescent="0.2">
      <c r="C149" s="23"/>
      <c r="K149" s="23"/>
      <c r="S149" s="23"/>
      <c r="AA149" s="23"/>
      <c r="AI149" s="23"/>
      <c r="AQ149" s="25"/>
    </row>
    <row r="150" spans="3:43" ht="15.75" customHeight="1" x14ac:dyDescent="0.2">
      <c r="C150" s="23"/>
      <c r="K150" s="23"/>
      <c r="S150" s="23"/>
      <c r="AA150" s="23"/>
      <c r="AI150" s="23"/>
      <c r="AQ150" s="25"/>
    </row>
    <row r="151" spans="3:43" ht="15.75" customHeight="1" x14ac:dyDescent="0.2">
      <c r="C151" s="23"/>
      <c r="K151" s="23"/>
      <c r="S151" s="23"/>
      <c r="AA151" s="23"/>
      <c r="AI151" s="23"/>
      <c r="AQ151" s="25"/>
    </row>
    <row r="152" spans="3:43" ht="15.75" customHeight="1" x14ac:dyDescent="0.2">
      <c r="C152" s="23"/>
      <c r="K152" s="23"/>
      <c r="S152" s="23"/>
      <c r="AA152" s="23"/>
      <c r="AI152" s="23"/>
      <c r="AQ152" s="25"/>
    </row>
    <row r="153" spans="3:43" ht="15.75" customHeight="1" x14ac:dyDescent="0.2">
      <c r="C153" s="23"/>
      <c r="K153" s="23"/>
      <c r="S153" s="23"/>
      <c r="AA153" s="23"/>
      <c r="AI153" s="23"/>
      <c r="AQ153" s="25"/>
    </row>
    <row r="154" spans="3:43" ht="15.75" customHeight="1" x14ac:dyDescent="0.2">
      <c r="C154" s="23"/>
      <c r="K154" s="23"/>
      <c r="S154" s="23"/>
      <c r="AA154" s="23"/>
      <c r="AI154" s="23"/>
      <c r="AQ154" s="25"/>
    </row>
    <row r="155" spans="3:43" ht="15.75" customHeight="1" x14ac:dyDescent="0.2">
      <c r="C155" s="23"/>
      <c r="K155" s="23"/>
      <c r="S155" s="23"/>
      <c r="AA155" s="23"/>
      <c r="AI155" s="23"/>
      <c r="AQ155" s="25"/>
    </row>
    <row r="156" spans="3:43" ht="15.75" customHeight="1" x14ac:dyDescent="0.2">
      <c r="C156" s="23"/>
      <c r="K156" s="23"/>
      <c r="S156" s="23"/>
      <c r="AA156" s="23"/>
      <c r="AI156" s="23"/>
      <c r="AQ156" s="25"/>
    </row>
    <row r="157" spans="3:43" ht="15.75" customHeight="1" x14ac:dyDescent="0.2">
      <c r="C157" s="23"/>
      <c r="K157" s="23"/>
      <c r="S157" s="23"/>
      <c r="AA157" s="23"/>
      <c r="AI157" s="23"/>
      <c r="AQ157" s="25"/>
    </row>
    <row r="158" spans="3:43" ht="15.75" customHeight="1" x14ac:dyDescent="0.2">
      <c r="C158" s="23"/>
      <c r="K158" s="23"/>
      <c r="S158" s="23"/>
      <c r="AA158" s="23"/>
      <c r="AI158" s="23"/>
      <c r="AQ158" s="25"/>
    </row>
    <row r="159" spans="3:43" ht="15.75" customHeight="1" x14ac:dyDescent="0.2">
      <c r="C159" s="23"/>
      <c r="K159" s="23"/>
      <c r="S159" s="23"/>
      <c r="AA159" s="23"/>
      <c r="AI159" s="23"/>
      <c r="AQ159" s="25"/>
    </row>
    <row r="160" spans="3:43" ht="15.75" customHeight="1" x14ac:dyDescent="0.2">
      <c r="C160" s="23"/>
      <c r="K160" s="23"/>
      <c r="S160" s="23"/>
      <c r="AA160" s="23"/>
      <c r="AI160" s="23"/>
      <c r="AQ160" s="25"/>
    </row>
    <row r="161" spans="3:43" ht="15.75" customHeight="1" x14ac:dyDescent="0.2">
      <c r="C161" s="23"/>
      <c r="K161" s="23"/>
      <c r="S161" s="23"/>
      <c r="AA161" s="23"/>
      <c r="AI161" s="23"/>
      <c r="AQ161" s="25"/>
    </row>
    <row r="162" spans="3:43" ht="15.75" customHeight="1" x14ac:dyDescent="0.2">
      <c r="C162" s="23"/>
      <c r="K162" s="23"/>
      <c r="S162" s="23"/>
      <c r="AA162" s="23"/>
      <c r="AI162" s="23"/>
      <c r="AQ162" s="25"/>
    </row>
    <row r="163" spans="3:43" ht="15.75" customHeight="1" x14ac:dyDescent="0.2">
      <c r="C163" s="23"/>
      <c r="K163" s="23"/>
      <c r="S163" s="23"/>
      <c r="AA163" s="23"/>
      <c r="AI163" s="23"/>
      <c r="AQ163" s="25"/>
    </row>
    <row r="164" spans="3:43" ht="15.75" customHeight="1" x14ac:dyDescent="0.2">
      <c r="C164" s="23"/>
      <c r="K164" s="23"/>
      <c r="S164" s="23"/>
      <c r="AA164" s="23"/>
      <c r="AI164" s="23"/>
      <c r="AQ164" s="25"/>
    </row>
    <row r="165" spans="3:43" ht="15.75" customHeight="1" x14ac:dyDescent="0.2">
      <c r="C165" s="23"/>
      <c r="K165" s="23"/>
      <c r="S165" s="23"/>
      <c r="AA165" s="23"/>
      <c r="AI165" s="23"/>
      <c r="AQ165" s="25"/>
    </row>
    <row r="166" spans="3:43" ht="15.75" customHeight="1" x14ac:dyDescent="0.2">
      <c r="C166" s="23"/>
      <c r="K166" s="23"/>
      <c r="S166" s="23"/>
      <c r="AA166" s="23"/>
      <c r="AI166" s="23"/>
      <c r="AQ166" s="25"/>
    </row>
    <row r="167" spans="3:43" ht="15.75" customHeight="1" x14ac:dyDescent="0.2">
      <c r="C167" s="23"/>
      <c r="K167" s="23"/>
      <c r="S167" s="23"/>
      <c r="AA167" s="23"/>
      <c r="AI167" s="23"/>
      <c r="AQ167" s="25"/>
    </row>
    <row r="168" spans="3:43" ht="15.75" customHeight="1" x14ac:dyDescent="0.2">
      <c r="C168" s="23"/>
      <c r="K168" s="23"/>
      <c r="S168" s="23"/>
      <c r="AA168" s="23"/>
      <c r="AI168" s="23"/>
      <c r="AQ168" s="25"/>
    </row>
    <row r="169" spans="3:43" ht="15.75" customHeight="1" x14ac:dyDescent="0.2">
      <c r="C169" s="23"/>
      <c r="K169" s="23"/>
      <c r="S169" s="23"/>
      <c r="AA169" s="23"/>
      <c r="AI169" s="23"/>
      <c r="AQ169" s="25"/>
    </row>
    <row r="170" spans="3:43" ht="15.75" customHeight="1" x14ac:dyDescent="0.2">
      <c r="C170" s="23"/>
      <c r="K170" s="23"/>
      <c r="S170" s="23"/>
      <c r="AA170" s="23"/>
      <c r="AI170" s="23"/>
      <c r="AQ170" s="25"/>
    </row>
    <row r="171" spans="3:43" ht="15.75" customHeight="1" x14ac:dyDescent="0.2">
      <c r="C171" s="23"/>
      <c r="K171" s="23"/>
      <c r="S171" s="23"/>
      <c r="AA171" s="23"/>
      <c r="AI171" s="23"/>
      <c r="AQ171" s="25"/>
    </row>
    <row r="172" spans="3:43" ht="15.75" customHeight="1" x14ac:dyDescent="0.2">
      <c r="C172" s="23"/>
      <c r="K172" s="23"/>
      <c r="S172" s="23"/>
      <c r="AA172" s="23"/>
      <c r="AI172" s="23"/>
      <c r="AQ172" s="25"/>
    </row>
    <row r="173" spans="3:43" ht="15.75" customHeight="1" x14ac:dyDescent="0.2">
      <c r="C173" s="23"/>
      <c r="K173" s="23"/>
      <c r="S173" s="23"/>
      <c r="AA173" s="23"/>
      <c r="AI173" s="23"/>
      <c r="AQ173" s="25"/>
    </row>
    <row r="174" spans="3:43" ht="15.75" customHeight="1" x14ac:dyDescent="0.2">
      <c r="C174" s="23"/>
      <c r="K174" s="23"/>
      <c r="S174" s="23"/>
      <c r="AA174" s="23"/>
      <c r="AI174" s="23"/>
      <c r="AQ174" s="25"/>
    </row>
    <row r="175" spans="3:43" ht="15.75" customHeight="1" x14ac:dyDescent="0.2">
      <c r="C175" s="23"/>
      <c r="K175" s="23"/>
      <c r="S175" s="23"/>
      <c r="AA175" s="23"/>
      <c r="AI175" s="23"/>
      <c r="AQ175" s="25"/>
    </row>
    <row r="176" spans="3:43" ht="15.75" customHeight="1" x14ac:dyDescent="0.2">
      <c r="C176" s="23"/>
      <c r="K176" s="23"/>
      <c r="S176" s="23"/>
      <c r="AA176" s="23"/>
      <c r="AI176" s="23"/>
      <c r="AQ176" s="25"/>
    </row>
    <row r="177" spans="3:43" ht="15.75" customHeight="1" x14ac:dyDescent="0.2">
      <c r="C177" s="23"/>
      <c r="K177" s="23"/>
      <c r="S177" s="23"/>
      <c r="AA177" s="23"/>
      <c r="AI177" s="23"/>
      <c r="AQ177" s="25"/>
    </row>
    <row r="178" spans="3:43" ht="15.75" customHeight="1" x14ac:dyDescent="0.2">
      <c r="C178" s="23"/>
      <c r="K178" s="23"/>
      <c r="S178" s="23"/>
      <c r="AA178" s="23"/>
      <c r="AI178" s="23"/>
      <c r="AQ178" s="25"/>
    </row>
    <row r="179" spans="3:43" ht="15.75" customHeight="1" x14ac:dyDescent="0.2">
      <c r="C179" s="23"/>
      <c r="K179" s="23"/>
      <c r="S179" s="23"/>
      <c r="AA179" s="23"/>
      <c r="AI179" s="23"/>
      <c r="AQ179" s="25"/>
    </row>
    <row r="180" spans="3:43" ht="15.75" customHeight="1" x14ac:dyDescent="0.2">
      <c r="C180" s="23"/>
      <c r="K180" s="23"/>
      <c r="S180" s="23"/>
      <c r="AA180" s="23"/>
      <c r="AI180" s="23"/>
      <c r="AQ180" s="25"/>
    </row>
    <row r="181" spans="3:43" ht="15.75" customHeight="1" x14ac:dyDescent="0.2">
      <c r="C181" s="23"/>
      <c r="K181" s="23"/>
      <c r="S181" s="23"/>
      <c r="AA181" s="23"/>
      <c r="AI181" s="23"/>
      <c r="AQ181" s="25"/>
    </row>
    <row r="182" spans="3:43" ht="15.75" customHeight="1" x14ac:dyDescent="0.2">
      <c r="C182" s="23"/>
      <c r="K182" s="23"/>
      <c r="S182" s="23"/>
      <c r="AA182" s="23"/>
      <c r="AI182" s="23"/>
      <c r="AQ182" s="25"/>
    </row>
    <row r="183" spans="3:43" ht="15.75" customHeight="1" x14ac:dyDescent="0.2">
      <c r="C183" s="23"/>
      <c r="K183" s="23"/>
      <c r="S183" s="23"/>
      <c r="AA183" s="23"/>
      <c r="AI183" s="23"/>
      <c r="AQ183" s="25"/>
    </row>
    <row r="184" spans="3:43" ht="15.75" customHeight="1" x14ac:dyDescent="0.2">
      <c r="C184" s="23"/>
      <c r="K184" s="23"/>
      <c r="S184" s="23"/>
      <c r="AA184" s="23"/>
      <c r="AI184" s="23"/>
      <c r="AQ184" s="25"/>
    </row>
    <row r="185" spans="3:43" ht="15.75" customHeight="1" x14ac:dyDescent="0.2">
      <c r="C185" s="23"/>
      <c r="K185" s="23"/>
      <c r="S185" s="23"/>
      <c r="AA185" s="23"/>
      <c r="AI185" s="23"/>
      <c r="AQ185" s="25"/>
    </row>
    <row r="186" spans="3:43" ht="15.75" customHeight="1" x14ac:dyDescent="0.2">
      <c r="C186" s="23"/>
      <c r="K186" s="23"/>
      <c r="S186" s="23"/>
      <c r="AA186" s="23"/>
      <c r="AI186" s="23"/>
      <c r="AQ186" s="25"/>
    </row>
    <row r="187" spans="3:43" ht="15.75" customHeight="1" x14ac:dyDescent="0.2">
      <c r="C187" s="23"/>
      <c r="K187" s="23"/>
      <c r="S187" s="23"/>
      <c r="AA187" s="23"/>
      <c r="AI187" s="23"/>
      <c r="AQ187" s="25"/>
    </row>
    <row r="188" spans="3:43" ht="15.75" customHeight="1" x14ac:dyDescent="0.2">
      <c r="C188" s="23"/>
      <c r="K188" s="23"/>
      <c r="S188" s="23"/>
      <c r="AA188" s="23"/>
      <c r="AI188" s="23"/>
      <c r="AQ188" s="25"/>
    </row>
    <row r="189" spans="3:43" ht="15.75" customHeight="1" x14ac:dyDescent="0.2">
      <c r="C189" s="23"/>
      <c r="K189" s="23"/>
      <c r="S189" s="23"/>
      <c r="AA189" s="23"/>
      <c r="AI189" s="23"/>
      <c r="AQ189" s="25"/>
    </row>
    <row r="190" spans="3:43" ht="15.75" customHeight="1" x14ac:dyDescent="0.2">
      <c r="C190" s="23"/>
      <c r="K190" s="23"/>
      <c r="S190" s="23"/>
      <c r="AA190" s="23"/>
      <c r="AI190" s="23"/>
      <c r="AQ190" s="25"/>
    </row>
    <row r="191" spans="3:43" ht="15.75" customHeight="1" x14ac:dyDescent="0.2">
      <c r="C191" s="23"/>
      <c r="K191" s="23"/>
      <c r="S191" s="23"/>
      <c r="AA191" s="23"/>
      <c r="AI191" s="23"/>
      <c r="AQ191" s="25"/>
    </row>
    <row r="192" spans="3:43" ht="15.75" customHeight="1" x14ac:dyDescent="0.2">
      <c r="C192" s="23"/>
      <c r="K192" s="23"/>
      <c r="S192" s="23"/>
      <c r="AA192" s="23"/>
      <c r="AI192" s="23"/>
      <c r="AQ192" s="25"/>
    </row>
    <row r="193" spans="3:43" ht="15.75" customHeight="1" x14ac:dyDescent="0.2">
      <c r="C193" s="23"/>
      <c r="K193" s="23"/>
      <c r="S193" s="23"/>
      <c r="AA193" s="23"/>
      <c r="AI193" s="23"/>
      <c r="AQ193" s="25"/>
    </row>
    <row r="194" spans="3:43" ht="15.75" customHeight="1" x14ac:dyDescent="0.2">
      <c r="C194" s="23"/>
      <c r="K194" s="23"/>
      <c r="S194" s="23"/>
      <c r="AA194" s="23"/>
      <c r="AI194" s="23"/>
      <c r="AQ194" s="25"/>
    </row>
    <row r="195" spans="3:43" ht="15.75" customHeight="1" x14ac:dyDescent="0.2">
      <c r="C195" s="23"/>
      <c r="K195" s="23"/>
      <c r="S195" s="23"/>
      <c r="AA195" s="23"/>
      <c r="AI195" s="23"/>
      <c r="AQ195" s="25"/>
    </row>
    <row r="196" spans="3:43" ht="15.75" customHeight="1" x14ac:dyDescent="0.2">
      <c r="C196" s="23"/>
      <c r="K196" s="23"/>
      <c r="S196" s="23"/>
      <c r="AA196" s="23"/>
      <c r="AI196" s="23"/>
      <c r="AQ196" s="25"/>
    </row>
    <row r="197" spans="3:43" ht="15.75" customHeight="1" x14ac:dyDescent="0.2">
      <c r="C197" s="23"/>
      <c r="K197" s="23"/>
      <c r="S197" s="23"/>
      <c r="AA197" s="23"/>
      <c r="AI197" s="23"/>
      <c r="AQ197" s="25"/>
    </row>
    <row r="198" spans="3:43" ht="15.75" customHeight="1" x14ac:dyDescent="0.2">
      <c r="C198" s="23"/>
      <c r="K198" s="23"/>
      <c r="S198" s="23"/>
      <c r="AA198" s="23"/>
      <c r="AI198" s="23"/>
      <c r="AQ198" s="25"/>
    </row>
    <row r="199" spans="3:43" ht="15.75" customHeight="1" x14ac:dyDescent="0.2">
      <c r="C199" s="23"/>
      <c r="K199" s="23"/>
      <c r="S199" s="23"/>
      <c r="AA199" s="23"/>
      <c r="AI199" s="23"/>
      <c r="AQ199" s="25"/>
    </row>
    <row r="200" spans="3:43" ht="15.75" customHeight="1" x14ac:dyDescent="0.2">
      <c r="C200" s="23"/>
      <c r="K200" s="23"/>
      <c r="S200" s="23"/>
      <c r="AA200" s="23"/>
      <c r="AI200" s="23"/>
      <c r="AQ200" s="25"/>
    </row>
    <row r="201" spans="3:43" ht="15.75" customHeight="1" x14ac:dyDescent="0.2">
      <c r="C201" s="23"/>
      <c r="K201" s="23"/>
      <c r="S201" s="23"/>
      <c r="AA201" s="23"/>
      <c r="AI201" s="23"/>
      <c r="AQ201" s="25"/>
    </row>
    <row r="202" spans="3:43" ht="15.75" customHeight="1" x14ac:dyDescent="0.2">
      <c r="C202" s="23"/>
      <c r="K202" s="23"/>
      <c r="S202" s="23"/>
      <c r="AA202" s="23"/>
      <c r="AI202" s="23"/>
      <c r="AQ202" s="25"/>
    </row>
    <row r="203" spans="3:43" ht="15.75" customHeight="1" x14ac:dyDescent="0.2">
      <c r="C203" s="23"/>
      <c r="K203" s="23"/>
      <c r="S203" s="23"/>
      <c r="AA203" s="23"/>
      <c r="AI203" s="23"/>
      <c r="AQ203" s="25"/>
    </row>
    <row r="204" spans="3:43" ht="15.75" customHeight="1" x14ac:dyDescent="0.2">
      <c r="C204" s="23"/>
      <c r="K204" s="23"/>
      <c r="S204" s="23"/>
      <c r="AA204" s="23"/>
      <c r="AI204" s="23"/>
      <c r="AQ204" s="25"/>
    </row>
    <row r="205" spans="3:43" ht="15.75" customHeight="1" x14ac:dyDescent="0.2">
      <c r="C205" s="23"/>
      <c r="K205" s="23"/>
      <c r="S205" s="23"/>
      <c r="AA205" s="23"/>
      <c r="AI205" s="23"/>
      <c r="AQ205" s="25"/>
    </row>
    <row r="206" spans="3:43" ht="15.75" customHeight="1" x14ac:dyDescent="0.2">
      <c r="C206" s="23"/>
      <c r="K206" s="23"/>
      <c r="S206" s="23"/>
      <c r="AA206" s="23"/>
      <c r="AI206" s="23"/>
      <c r="AQ206" s="25"/>
    </row>
    <row r="207" spans="3:43" ht="15.75" customHeight="1" x14ac:dyDescent="0.2">
      <c r="C207" s="23"/>
      <c r="K207" s="23"/>
      <c r="S207" s="23"/>
      <c r="AA207" s="23"/>
      <c r="AI207" s="23"/>
      <c r="AQ207" s="25"/>
    </row>
    <row r="208" spans="3:43" ht="15.75" customHeight="1" x14ac:dyDescent="0.2">
      <c r="C208" s="23"/>
      <c r="K208" s="23"/>
      <c r="S208" s="23"/>
      <c r="AA208" s="23"/>
      <c r="AI208" s="23"/>
      <c r="AQ208" s="25"/>
    </row>
    <row r="209" spans="3:43" ht="15.75" customHeight="1" x14ac:dyDescent="0.2">
      <c r="C209" s="23"/>
      <c r="K209" s="23"/>
      <c r="S209" s="23"/>
      <c r="AA209" s="23"/>
      <c r="AI209" s="23"/>
      <c r="AQ209" s="25"/>
    </row>
    <row r="210" spans="3:43" ht="15.75" customHeight="1" x14ac:dyDescent="0.2">
      <c r="C210" s="23"/>
      <c r="K210" s="23"/>
      <c r="S210" s="23"/>
      <c r="AA210" s="23"/>
      <c r="AI210" s="23"/>
      <c r="AQ210" s="25"/>
    </row>
    <row r="211" spans="3:43" ht="15.75" customHeight="1" x14ac:dyDescent="0.2">
      <c r="C211" s="23"/>
      <c r="K211" s="23"/>
      <c r="S211" s="23"/>
      <c r="AA211" s="23"/>
      <c r="AI211" s="23"/>
      <c r="AQ211" s="25"/>
    </row>
    <row r="212" spans="3:43" ht="15.75" customHeight="1" x14ac:dyDescent="0.2">
      <c r="C212" s="23"/>
      <c r="K212" s="23"/>
      <c r="S212" s="23"/>
      <c r="AA212" s="23"/>
      <c r="AI212" s="23"/>
      <c r="AQ212" s="25"/>
    </row>
    <row r="213" spans="3:43" ht="15.75" customHeight="1" x14ac:dyDescent="0.2">
      <c r="C213" s="23"/>
      <c r="K213" s="23"/>
      <c r="S213" s="23"/>
      <c r="AA213" s="23"/>
      <c r="AI213" s="23"/>
      <c r="AQ213" s="25"/>
    </row>
    <row r="214" spans="3:43" ht="15.75" customHeight="1" x14ac:dyDescent="0.2">
      <c r="C214" s="23"/>
      <c r="K214" s="23"/>
      <c r="S214" s="23"/>
      <c r="AA214" s="23"/>
      <c r="AI214" s="23"/>
      <c r="AQ214" s="25"/>
    </row>
    <row r="215" spans="3:43" ht="15.75" customHeight="1" x14ac:dyDescent="0.2">
      <c r="C215" s="23"/>
      <c r="K215" s="23"/>
      <c r="S215" s="23"/>
      <c r="AA215" s="23"/>
      <c r="AI215" s="23"/>
      <c r="AQ215" s="25"/>
    </row>
    <row r="216" spans="3:43" ht="15.75" customHeight="1" x14ac:dyDescent="0.2">
      <c r="C216" s="23"/>
      <c r="K216" s="23"/>
      <c r="S216" s="23"/>
      <c r="AA216" s="23"/>
      <c r="AI216" s="23"/>
      <c r="AQ216" s="25"/>
    </row>
    <row r="217" spans="3:43" ht="15.75" customHeight="1" x14ac:dyDescent="0.2">
      <c r="C217" s="23"/>
      <c r="K217" s="23"/>
      <c r="S217" s="23"/>
      <c r="AA217" s="23"/>
      <c r="AI217" s="23"/>
      <c r="AQ217" s="25"/>
    </row>
    <row r="218" spans="3:43" ht="15.75" customHeight="1" x14ac:dyDescent="0.2">
      <c r="C218" s="23"/>
      <c r="K218" s="23"/>
      <c r="S218" s="23"/>
      <c r="AA218" s="23"/>
      <c r="AI218" s="23"/>
      <c r="AQ218" s="25"/>
    </row>
    <row r="219" spans="3:43" ht="15.75" customHeight="1" x14ac:dyDescent="0.2">
      <c r="C219" s="23"/>
      <c r="K219" s="23"/>
      <c r="S219" s="23"/>
      <c r="AA219" s="23"/>
      <c r="AI219" s="23"/>
      <c r="AQ219" s="25"/>
    </row>
    <row r="220" spans="3:43" ht="15.75" customHeight="1" x14ac:dyDescent="0.2">
      <c r="C220" s="23"/>
      <c r="K220" s="23"/>
      <c r="S220" s="23"/>
      <c r="AA220" s="23"/>
      <c r="AI220" s="23"/>
      <c r="AQ220" s="25"/>
    </row>
    <row r="221" spans="3:43" ht="15.75" customHeight="1" x14ac:dyDescent="0.2"/>
    <row r="222" spans="3:43" ht="15.75" customHeight="1" x14ac:dyDescent="0.2"/>
    <row r="223" spans="3:43" ht="15.75" customHeight="1" x14ac:dyDescent="0.2"/>
    <row r="224" spans="3:4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D4:J4"/>
    <mergeCell ref="L4:R4"/>
    <mergeCell ref="T4:Z4"/>
    <mergeCell ref="AB4:AH4"/>
    <mergeCell ref="AJ4:AP4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  <outlinePr summaryBelow="0" summaryRight="0"/>
  </sheetPr>
  <dimension ref="B1:B1000"/>
  <sheetViews>
    <sheetView showGridLines="0" workbookViewId="0"/>
  </sheetViews>
  <sheetFormatPr defaultColWidth="12.5703125" defaultRowHeight="15" customHeight="1" x14ac:dyDescent="0.2"/>
  <cols>
    <col min="1" max="6" width="12.5703125" customWidth="1"/>
  </cols>
  <sheetData>
    <row r="1" spans="2:2" ht="15.75" customHeight="1" x14ac:dyDescent="0.2"/>
    <row r="2" spans="2:2" ht="15.75" customHeight="1" x14ac:dyDescent="0.2"/>
    <row r="3" spans="2:2" ht="15.75" customHeight="1" x14ac:dyDescent="0.55000000000000004">
      <c r="B3" s="35" t="s">
        <v>29</v>
      </c>
    </row>
    <row r="4" spans="2:2" ht="15.75" customHeight="1" x14ac:dyDescent="0.2"/>
    <row r="5" spans="2:2" ht="15.75" customHeight="1" x14ac:dyDescent="0.2"/>
    <row r="6" spans="2:2" ht="15.75" customHeight="1" x14ac:dyDescent="0.2"/>
    <row r="7" spans="2:2" ht="15.75" customHeight="1" x14ac:dyDescent="0.2"/>
    <row r="8" spans="2:2" ht="15.75" customHeight="1" x14ac:dyDescent="0.2"/>
    <row r="9" spans="2:2" ht="15.75" customHeight="1" x14ac:dyDescent="0.2"/>
    <row r="10" spans="2:2" ht="15.75" customHeight="1" x14ac:dyDescent="0.2"/>
    <row r="11" spans="2:2" ht="15.75" customHeight="1" x14ac:dyDescent="0.2"/>
    <row r="12" spans="2:2" ht="15.75" customHeight="1" x14ac:dyDescent="0.2"/>
    <row r="13" spans="2:2" ht="15.75" customHeight="1" x14ac:dyDescent="0.2"/>
    <row r="14" spans="2:2" ht="15.75" customHeight="1" x14ac:dyDescent="0.2"/>
    <row r="15" spans="2:2" ht="15.75" customHeight="1" x14ac:dyDescent="0.2"/>
    <row r="16" spans="2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F13" sqref="F13"/>
    </sheetView>
  </sheetViews>
  <sheetFormatPr defaultColWidth="12.5703125" defaultRowHeight="15" customHeight="1" x14ac:dyDescent="0.2"/>
  <cols>
    <col min="1" max="1" width="12.5703125" customWidth="1"/>
    <col min="2" max="2" width="27.85546875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 t="str">
        <f>OB_Feb_2025!B2</f>
        <v>ပိုက်အိပ်</v>
      </c>
      <c r="O1" s="37">
        <f>OB_Feb_2025!A2</f>
        <v>12100</v>
      </c>
    </row>
    <row r="2" spans="1:15" ht="22.5" customHeight="1" x14ac:dyDescent="0.2">
      <c r="A2" s="38" t="s">
        <v>64</v>
      </c>
      <c r="B2" s="39" t="s">
        <v>65</v>
      </c>
      <c r="C2" s="40">
        <v>0</v>
      </c>
      <c r="D2" s="41">
        <v>70</v>
      </c>
      <c r="E2" s="42">
        <v>14257.4</v>
      </c>
      <c r="F2" s="42">
        <v>998015.8</v>
      </c>
      <c r="G2" s="43">
        <v>70</v>
      </c>
      <c r="H2" s="44">
        <v>14257.37</v>
      </c>
      <c r="I2" s="45">
        <v>33</v>
      </c>
      <c r="J2" s="46">
        <v>37</v>
      </c>
      <c r="K2" s="47">
        <v>527522.63</v>
      </c>
      <c r="L2" s="48">
        <v>470493.16</v>
      </c>
    </row>
    <row r="3" spans="1:15" ht="22.5" customHeight="1" x14ac:dyDescent="0.2">
      <c r="A3" s="49">
        <v>45811</v>
      </c>
      <c r="B3" s="50" t="s">
        <v>66</v>
      </c>
      <c r="C3" s="51">
        <v>37</v>
      </c>
      <c r="D3" s="52">
        <v>100</v>
      </c>
      <c r="E3" s="53">
        <v>13610</v>
      </c>
      <c r="F3" s="42">
        <v>1361000</v>
      </c>
      <c r="G3" s="43">
        <v>137</v>
      </c>
      <c r="H3" s="17">
        <v>13784.84</v>
      </c>
      <c r="I3" s="45">
        <v>129.5</v>
      </c>
      <c r="J3" s="54">
        <v>7.5</v>
      </c>
      <c r="K3" s="47">
        <v>103386.28</v>
      </c>
      <c r="L3" s="48">
        <v>1785136.35</v>
      </c>
    </row>
    <row r="4" spans="1:15" ht="22.5" customHeight="1" x14ac:dyDescent="0.2">
      <c r="A4" s="49" t="s">
        <v>58</v>
      </c>
      <c r="B4" s="50" t="s">
        <v>67</v>
      </c>
      <c r="C4" s="14">
        <v>7.5</v>
      </c>
      <c r="D4" s="52">
        <v>0</v>
      </c>
      <c r="E4" s="53"/>
      <c r="F4" s="42">
        <v>0</v>
      </c>
      <c r="G4" s="43">
        <v>7.5</v>
      </c>
      <c r="H4" s="17">
        <v>13784.84</v>
      </c>
      <c r="I4" s="45">
        <v>-13.5</v>
      </c>
      <c r="J4" s="54">
        <v>21</v>
      </c>
      <c r="K4" s="47">
        <v>289481.57</v>
      </c>
      <c r="L4" s="48">
        <v>-186095.3</v>
      </c>
      <c r="N4" s="1" t="s">
        <v>37</v>
      </c>
    </row>
    <row r="5" spans="1:15" ht="22.5" customHeight="1" x14ac:dyDescent="0.2">
      <c r="A5" s="49">
        <v>45782</v>
      </c>
      <c r="B5" s="50" t="s">
        <v>68</v>
      </c>
      <c r="C5" s="14">
        <v>21</v>
      </c>
      <c r="D5" s="52">
        <v>35</v>
      </c>
      <c r="E5" s="53">
        <v>15148.6</v>
      </c>
      <c r="F5" s="53">
        <v>530200</v>
      </c>
      <c r="G5" s="55">
        <v>56</v>
      </c>
      <c r="H5" s="17">
        <v>14637.17</v>
      </c>
      <c r="I5" s="56"/>
      <c r="J5" s="57"/>
      <c r="K5" s="58"/>
      <c r="L5" s="58"/>
    </row>
    <row r="6" spans="1:15" ht="22.5" customHeight="1" x14ac:dyDescent="0.2">
      <c r="A6" s="49" t="s">
        <v>69</v>
      </c>
      <c r="B6" s="50" t="s">
        <v>68</v>
      </c>
      <c r="C6" s="14">
        <v>56</v>
      </c>
      <c r="D6" s="52">
        <v>35</v>
      </c>
      <c r="E6" s="53">
        <v>15742.9</v>
      </c>
      <c r="F6" s="53">
        <v>551000</v>
      </c>
      <c r="G6" s="55">
        <v>91</v>
      </c>
      <c r="H6" s="17">
        <v>15062.43</v>
      </c>
      <c r="I6" s="45">
        <v>84</v>
      </c>
      <c r="J6" s="54">
        <v>7</v>
      </c>
      <c r="K6" s="47">
        <v>105437.04</v>
      </c>
      <c r="L6" s="48">
        <v>1265244.53</v>
      </c>
    </row>
    <row r="7" spans="1:15" ht="22.5" customHeight="1" x14ac:dyDescent="0.2">
      <c r="A7" s="49">
        <v>45814</v>
      </c>
      <c r="B7" s="50" t="s">
        <v>68</v>
      </c>
      <c r="C7" s="51">
        <v>7</v>
      </c>
      <c r="D7" s="52">
        <v>35</v>
      </c>
      <c r="E7" s="53">
        <v>15291.9</v>
      </c>
      <c r="F7" s="53">
        <v>535216.6</v>
      </c>
      <c r="G7" s="55">
        <v>42</v>
      </c>
      <c r="H7" s="17">
        <v>15253.66</v>
      </c>
      <c r="I7" s="56"/>
      <c r="J7" s="57"/>
      <c r="K7" s="58"/>
      <c r="L7" s="58"/>
    </row>
    <row r="8" spans="1:15" ht="22.5" customHeight="1" x14ac:dyDescent="0.2">
      <c r="A8" s="49" t="s">
        <v>70</v>
      </c>
      <c r="B8" s="50" t="s">
        <v>71</v>
      </c>
      <c r="C8" s="51">
        <v>42</v>
      </c>
      <c r="D8" s="52">
        <v>35</v>
      </c>
      <c r="E8" s="53">
        <v>14077.6</v>
      </c>
      <c r="F8" s="53">
        <v>492717</v>
      </c>
      <c r="G8" s="55">
        <v>77</v>
      </c>
      <c r="H8" s="17">
        <v>14719.1</v>
      </c>
      <c r="I8" s="56">
        <v>74</v>
      </c>
      <c r="J8" s="57">
        <v>3</v>
      </c>
      <c r="K8" s="58">
        <v>44157.3</v>
      </c>
      <c r="L8" s="58">
        <v>1089213.33</v>
      </c>
    </row>
    <row r="9" spans="1:15" ht="22.5" customHeight="1" x14ac:dyDescent="0.2">
      <c r="A9" s="49" t="s">
        <v>72</v>
      </c>
      <c r="B9" s="50" t="s">
        <v>73</v>
      </c>
      <c r="C9" s="51">
        <v>3</v>
      </c>
      <c r="D9" s="52">
        <v>35</v>
      </c>
      <c r="E9" s="53">
        <v>14277.8</v>
      </c>
      <c r="F9" s="53">
        <v>499721.4</v>
      </c>
      <c r="G9" s="55">
        <v>38</v>
      </c>
      <c r="H9" s="17">
        <v>14312.6</v>
      </c>
      <c r="I9" s="56">
        <v>10</v>
      </c>
      <c r="J9" s="57">
        <v>28</v>
      </c>
      <c r="K9" s="58">
        <v>400752.76</v>
      </c>
      <c r="L9" s="58">
        <v>143125.98000000001</v>
      </c>
    </row>
    <row r="10" spans="1:15" ht="22.5" customHeight="1" x14ac:dyDescent="0.2">
      <c r="A10" s="49" t="s">
        <v>74</v>
      </c>
      <c r="B10" s="50" t="s">
        <v>67</v>
      </c>
      <c r="C10" s="51">
        <v>28</v>
      </c>
      <c r="D10" s="52">
        <v>0</v>
      </c>
      <c r="E10" s="53"/>
      <c r="F10" s="53">
        <v>0</v>
      </c>
      <c r="G10" s="55">
        <v>28</v>
      </c>
      <c r="H10" s="17">
        <v>14312.6</v>
      </c>
      <c r="I10" s="56">
        <v>28</v>
      </c>
      <c r="J10" s="57">
        <v>0</v>
      </c>
      <c r="K10" s="58">
        <v>0</v>
      </c>
      <c r="L10" s="58">
        <v>400752.76</v>
      </c>
    </row>
    <row r="11" spans="1:15" ht="22.5" customHeight="1" x14ac:dyDescent="0.2">
      <c r="A11" s="49">
        <v>45939</v>
      </c>
      <c r="B11" s="50" t="s">
        <v>75</v>
      </c>
      <c r="C11" s="51">
        <v>0</v>
      </c>
      <c r="D11" s="52">
        <v>35</v>
      </c>
      <c r="E11" s="53">
        <v>14371.4</v>
      </c>
      <c r="F11" s="53">
        <v>503000</v>
      </c>
      <c r="G11" s="55">
        <v>35</v>
      </c>
      <c r="H11" s="17">
        <v>14371.43</v>
      </c>
      <c r="I11" s="56">
        <v>14</v>
      </c>
      <c r="J11" s="57">
        <v>21</v>
      </c>
      <c r="K11" s="58">
        <v>301800</v>
      </c>
      <c r="L11" s="58">
        <v>201200</v>
      </c>
    </row>
    <row r="12" spans="1:15" ht="22.5" customHeight="1" x14ac:dyDescent="0.2">
      <c r="A12" s="49" t="s">
        <v>52</v>
      </c>
      <c r="B12" s="50" t="s">
        <v>76</v>
      </c>
      <c r="C12" s="51">
        <v>21</v>
      </c>
      <c r="D12" s="52">
        <v>70</v>
      </c>
      <c r="E12" s="53">
        <v>14371.4</v>
      </c>
      <c r="F12" s="53">
        <v>1006000</v>
      </c>
      <c r="G12" s="55">
        <v>91</v>
      </c>
      <c r="H12" s="17">
        <v>14371.43</v>
      </c>
      <c r="I12" s="56">
        <v>44.4</v>
      </c>
      <c r="J12" s="57">
        <v>46.6</v>
      </c>
      <c r="K12" s="58">
        <v>669708.56999999995</v>
      </c>
      <c r="L12" s="58">
        <v>638091.43000000005</v>
      </c>
    </row>
    <row r="13" spans="1:15" ht="22.5" customHeight="1" x14ac:dyDescent="0.2">
      <c r="A13" s="49"/>
      <c r="B13" s="50"/>
      <c r="C13" s="51"/>
      <c r="D13" s="52"/>
      <c r="E13" s="53"/>
      <c r="F13" s="53">
        <f t="shared" ref="F13:F23" si="0">D13*E13</f>
        <v>0</v>
      </c>
      <c r="G13" s="52">
        <f t="shared" ref="G13:G23" si="1">C13+D13</f>
        <v>0</v>
      </c>
      <c r="H13" s="17">
        <f t="shared" ref="H13:H23" si="2">IF(G13=0,0,((C13*H12)+(D13*E13))/G13)</f>
        <v>0</v>
      </c>
      <c r="I13" s="56" t="str">
        <f t="shared" ref="I13:I23" si="3">IF(ISBLANK(J13),"",G13-J13)</f>
        <v/>
      </c>
      <c r="J13" s="57"/>
      <c r="K13" s="58" t="str">
        <f t="shared" ref="K13:K23" si="4">IF(ISBLANK(J13),"",J13*H13)</f>
        <v/>
      </c>
      <c r="L13" s="58" t="str">
        <f t="shared" ref="L13:L23" si="5">IF(ISBLANK(J13),"",I13*H13)</f>
        <v/>
      </c>
    </row>
    <row r="14" spans="1:15" ht="22.5" customHeight="1" x14ac:dyDescent="0.2">
      <c r="A14" s="49"/>
      <c r="B14" s="50"/>
      <c r="C14" s="51"/>
      <c r="D14" s="52"/>
      <c r="E14" s="53"/>
      <c r="F14" s="53">
        <f t="shared" si="0"/>
        <v>0</v>
      </c>
      <c r="G14" s="52">
        <f t="shared" si="1"/>
        <v>0</v>
      </c>
      <c r="H14" s="17">
        <f t="shared" si="2"/>
        <v>0</v>
      </c>
      <c r="I14" s="56" t="str">
        <f t="shared" si="3"/>
        <v/>
      </c>
      <c r="J14" s="57"/>
      <c r="K14" s="58" t="str">
        <f t="shared" si="4"/>
        <v/>
      </c>
      <c r="L14" s="58" t="str">
        <f t="shared" si="5"/>
        <v/>
      </c>
    </row>
    <row r="15" spans="1:15" ht="22.5" customHeight="1" x14ac:dyDescent="0.2">
      <c r="A15" s="49"/>
      <c r="B15" s="50"/>
      <c r="C15" s="51"/>
      <c r="D15" s="52"/>
      <c r="E15" s="53"/>
      <c r="F15" s="53">
        <f t="shared" si="0"/>
        <v>0</v>
      </c>
      <c r="G15" s="52">
        <f t="shared" si="1"/>
        <v>0</v>
      </c>
      <c r="H15" s="17">
        <f t="shared" si="2"/>
        <v>0</v>
      </c>
      <c r="I15" s="56" t="str">
        <f t="shared" si="3"/>
        <v/>
      </c>
      <c r="J15" s="57"/>
      <c r="K15" s="58" t="str">
        <f t="shared" si="4"/>
        <v/>
      </c>
      <c r="L15" s="58" t="str">
        <f t="shared" si="5"/>
        <v/>
      </c>
    </row>
    <row r="16" spans="1:15" ht="22.5" customHeight="1" x14ac:dyDescent="0.2">
      <c r="A16" s="49"/>
      <c r="B16" s="50"/>
      <c r="C16" s="51"/>
      <c r="D16" s="52"/>
      <c r="E16" s="53"/>
      <c r="F16" s="53">
        <f t="shared" si="0"/>
        <v>0</v>
      </c>
      <c r="G16" s="52">
        <f t="shared" si="1"/>
        <v>0</v>
      </c>
      <c r="H16" s="17">
        <f t="shared" si="2"/>
        <v>0</v>
      </c>
      <c r="I16" s="56" t="str">
        <f t="shared" si="3"/>
        <v/>
      </c>
      <c r="J16" s="57"/>
      <c r="K16" s="58" t="str">
        <f t="shared" si="4"/>
        <v/>
      </c>
      <c r="L16" s="58" t="str">
        <f t="shared" si="5"/>
        <v/>
      </c>
    </row>
    <row r="17" spans="1:12" ht="22.5" customHeight="1" x14ac:dyDescent="0.2">
      <c r="A17" s="49"/>
      <c r="B17" s="50"/>
      <c r="C17" s="51"/>
      <c r="D17" s="52"/>
      <c r="E17" s="53"/>
      <c r="F17" s="53">
        <f t="shared" si="0"/>
        <v>0</v>
      </c>
      <c r="G17" s="52">
        <f t="shared" si="1"/>
        <v>0</v>
      </c>
      <c r="H17" s="17">
        <f t="shared" si="2"/>
        <v>0</v>
      </c>
      <c r="I17" s="56" t="str">
        <f t="shared" si="3"/>
        <v/>
      </c>
      <c r="J17" s="57"/>
      <c r="K17" s="58" t="str">
        <f t="shared" si="4"/>
        <v/>
      </c>
      <c r="L17" s="58" t="str">
        <f t="shared" si="5"/>
        <v/>
      </c>
    </row>
    <row r="18" spans="1:12" ht="22.5" customHeight="1" x14ac:dyDescent="0.2">
      <c r="A18" s="49"/>
      <c r="B18" s="50"/>
      <c r="C18" s="51"/>
      <c r="D18" s="52"/>
      <c r="E18" s="53"/>
      <c r="F18" s="53">
        <f t="shared" si="0"/>
        <v>0</v>
      </c>
      <c r="G18" s="52">
        <f t="shared" si="1"/>
        <v>0</v>
      </c>
      <c r="H18" s="17">
        <f t="shared" si="2"/>
        <v>0</v>
      </c>
      <c r="I18" s="56" t="str">
        <f t="shared" si="3"/>
        <v/>
      </c>
      <c r="J18" s="57"/>
      <c r="K18" s="58" t="str">
        <f t="shared" si="4"/>
        <v/>
      </c>
      <c r="L18" s="58" t="str">
        <f t="shared" si="5"/>
        <v/>
      </c>
    </row>
    <row r="19" spans="1:12" ht="22.5" customHeight="1" x14ac:dyDescent="0.2">
      <c r="A19" s="49"/>
      <c r="B19" s="50"/>
      <c r="C19" s="51"/>
      <c r="D19" s="52"/>
      <c r="E19" s="53"/>
      <c r="F19" s="53">
        <f t="shared" si="0"/>
        <v>0</v>
      </c>
      <c r="G19" s="52">
        <f t="shared" si="1"/>
        <v>0</v>
      </c>
      <c r="H19" s="17">
        <f t="shared" si="2"/>
        <v>0</v>
      </c>
      <c r="I19" s="56" t="str">
        <f t="shared" si="3"/>
        <v/>
      </c>
      <c r="J19" s="57"/>
      <c r="K19" s="58" t="str">
        <f t="shared" si="4"/>
        <v/>
      </c>
      <c r="L19" s="58" t="str">
        <f t="shared" si="5"/>
        <v/>
      </c>
    </row>
    <row r="20" spans="1:12" ht="22.5" customHeight="1" x14ac:dyDescent="0.2">
      <c r="A20" s="49"/>
      <c r="B20" s="50"/>
      <c r="C20" s="51"/>
      <c r="D20" s="52"/>
      <c r="E20" s="53"/>
      <c r="F20" s="53">
        <f t="shared" si="0"/>
        <v>0</v>
      </c>
      <c r="G20" s="52">
        <f t="shared" si="1"/>
        <v>0</v>
      </c>
      <c r="H20" s="17">
        <f t="shared" si="2"/>
        <v>0</v>
      </c>
      <c r="I20" s="56" t="str">
        <f t="shared" si="3"/>
        <v/>
      </c>
      <c r="J20" s="57"/>
      <c r="K20" s="58" t="str">
        <f t="shared" si="4"/>
        <v/>
      </c>
      <c r="L20" s="58" t="str">
        <f t="shared" si="5"/>
        <v/>
      </c>
    </row>
    <row r="21" spans="1:12" ht="22.5" customHeight="1" x14ac:dyDescent="0.2">
      <c r="A21" s="49"/>
      <c r="B21" s="50"/>
      <c r="C21" s="51"/>
      <c r="D21" s="52"/>
      <c r="E21" s="53"/>
      <c r="F21" s="53">
        <f t="shared" si="0"/>
        <v>0</v>
      </c>
      <c r="G21" s="52">
        <f t="shared" si="1"/>
        <v>0</v>
      </c>
      <c r="H21" s="17">
        <f t="shared" si="2"/>
        <v>0</v>
      </c>
      <c r="I21" s="56" t="str">
        <f t="shared" si="3"/>
        <v/>
      </c>
      <c r="J21" s="57"/>
      <c r="K21" s="58" t="str">
        <f t="shared" si="4"/>
        <v/>
      </c>
      <c r="L21" s="58" t="str">
        <f t="shared" si="5"/>
        <v/>
      </c>
    </row>
    <row r="22" spans="1:12" ht="22.5" customHeight="1" x14ac:dyDescent="0.2">
      <c r="A22" s="49"/>
      <c r="B22" s="50"/>
      <c r="C22" s="51"/>
      <c r="D22" s="52"/>
      <c r="E22" s="53"/>
      <c r="F22" s="53">
        <f t="shared" si="0"/>
        <v>0</v>
      </c>
      <c r="G22" s="52">
        <f t="shared" si="1"/>
        <v>0</v>
      </c>
      <c r="H22" s="17">
        <f t="shared" si="2"/>
        <v>0</v>
      </c>
      <c r="I22" s="56" t="str">
        <f t="shared" si="3"/>
        <v/>
      </c>
      <c r="J22" s="57"/>
      <c r="K22" s="58" t="str">
        <f t="shared" si="4"/>
        <v/>
      </c>
      <c r="L22" s="58" t="str">
        <f t="shared" si="5"/>
        <v/>
      </c>
    </row>
    <row r="23" spans="1:12" ht="22.5" customHeight="1" x14ac:dyDescent="0.2">
      <c r="A23" s="49"/>
      <c r="B23" s="50"/>
      <c r="C23" s="51"/>
      <c r="D23" s="52"/>
      <c r="E23" s="53"/>
      <c r="F23" s="53">
        <f t="shared" si="0"/>
        <v>0</v>
      </c>
      <c r="G23" s="52">
        <f t="shared" si="1"/>
        <v>0</v>
      </c>
      <c r="H23" s="17">
        <f t="shared" si="2"/>
        <v>0</v>
      </c>
      <c r="I23" s="56" t="str">
        <f t="shared" si="3"/>
        <v/>
      </c>
      <c r="J23" s="57"/>
      <c r="K23" s="58" t="str">
        <f t="shared" si="4"/>
        <v/>
      </c>
      <c r="L23" s="58" t="str">
        <f t="shared" si="5"/>
        <v/>
      </c>
    </row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A23" xr:uid="{00000000-0002-0000-0300-000000000000}">
      <formula1>OR(NOT(ISERROR(DATEVALUE(A2))), AND(ISNUMBER(A2), LEFT(CELL("format", A2))="D"))</formula1>
    </dataValidation>
    <dataValidation type="custom" allowBlank="1" showDropDown="1" sqref="C2:L23" xr:uid="{00000000-0002-0000-0300-000001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F12" sqref="F12"/>
    </sheetView>
  </sheetViews>
  <sheetFormatPr defaultColWidth="12.5703125" defaultRowHeight="15" customHeight="1" x14ac:dyDescent="0.2"/>
  <cols>
    <col min="1" max="1" width="12.5703125" customWidth="1"/>
    <col min="2" max="2" width="24.85546875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 t="str">
        <f>OB_Feb_2025!B3</f>
        <v>ဂျပ်ဖာ သေး</v>
      </c>
      <c r="O1" s="37">
        <f>OB_Feb_2025!A3</f>
        <v>12101</v>
      </c>
    </row>
    <row r="2" spans="1:15" ht="22.5" customHeight="1" x14ac:dyDescent="0.2">
      <c r="A2" s="38" t="s">
        <v>77</v>
      </c>
      <c r="B2" s="39" t="s">
        <v>78</v>
      </c>
      <c r="C2" s="40">
        <v>0</v>
      </c>
      <c r="D2" s="59">
        <v>6000</v>
      </c>
      <c r="E2" s="42">
        <v>1025.4000000000001</v>
      </c>
      <c r="F2" s="42">
        <v>6152417.2000000002</v>
      </c>
      <c r="G2" s="43">
        <v>6000</v>
      </c>
      <c r="H2" s="44">
        <v>1025.4000000000001</v>
      </c>
      <c r="I2" s="47">
        <v>3960</v>
      </c>
      <c r="J2" s="60">
        <v>2040</v>
      </c>
      <c r="K2" s="47">
        <v>2091821.84</v>
      </c>
      <c r="L2" s="48">
        <v>4060595.34</v>
      </c>
    </row>
    <row r="3" spans="1:15" ht="22.5" customHeight="1" x14ac:dyDescent="0.2">
      <c r="A3" s="16" t="s">
        <v>79</v>
      </c>
      <c r="B3" s="15" t="s">
        <v>80</v>
      </c>
      <c r="C3" s="14">
        <v>2040</v>
      </c>
      <c r="D3" s="17">
        <v>6000</v>
      </c>
      <c r="E3" s="14" t="s">
        <v>81</v>
      </c>
      <c r="F3" s="61">
        <v>6372000</v>
      </c>
      <c r="G3" s="43">
        <v>8040</v>
      </c>
      <c r="H3" s="62">
        <v>1052.71</v>
      </c>
      <c r="I3" s="47"/>
      <c r="J3" s="63"/>
      <c r="K3" s="47"/>
      <c r="L3" s="48"/>
    </row>
    <row r="4" spans="1:15" ht="22.5" customHeight="1" x14ac:dyDescent="0.2">
      <c r="A4" s="16" t="s">
        <v>82</v>
      </c>
      <c r="B4" s="15" t="s">
        <v>83</v>
      </c>
      <c r="C4" s="14">
        <v>8040</v>
      </c>
      <c r="D4" s="17">
        <v>1290</v>
      </c>
      <c r="E4" s="14" t="s">
        <v>84</v>
      </c>
      <c r="F4" s="61">
        <v>1349065.4</v>
      </c>
      <c r="G4" s="55">
        <v>9330</v>
      </c>
      <c r="H4" s="62">
        <v>1051.76</v>
      </c>
      <c r="I4" s="47">
        <v>3650</v>
      </c>
      <c r="J4" s="63">
        <v>5680</v>
      </c>
      <c r="K4" s="47">
        <v>5973976.3700000001</v>
      </c>
      <c r="L4" s="48">
        <v>3838910.87</v>
      </c>
    </row>
    <row r="5" spans="1:15" ht="22.5" customHeight="1" x14ac:dyDescent="0.2">
      <c r="A5" s="16" t="s">
        <v>85</v>
      </c>
      <c r="B5" s="15" t="s">
        <v>86</v>
      </c>
      <c r="C5" s="14">
        <v>5680</v>
      </c>
      <c r="D5" s="17">
        <v>1313</v>
      </c>
      <c r="E5" s="14" t="s">
        <v>87</v>
      </c>
      <c r="F5" s="61">
        <v>1369030</v>
      </c>
      <c r="G5" s="55">
        <v>6993</v>
      </c>
      <c r="H5" s="62">
        <v>1050.05</v>
      </c>
      <c r="I5" s="47">
        <v>493</v>
      </c>
      <c r="J5" s="63">
        <v>6500</v>
      </c>
      <c r="K5" s="47">
        <v>6825331.25</v>
      </c>
      <c r="L5" s="48">
        <v>517675.12</v>
      </c>
    </row>
    <row r="6" spans="1:15" ht="22.5" customHeight="1" x14ac:dyDescent="0.2">
      <c r="A6" s="16" t="s">
        <v>59</v>
      </c>
      <c r="B6" s="15" t="s">
        <v>67</v>
      </c>
      <c r="C6" s="14">
        <v>6500</v>
      </c>
      <c r="D6" s="17">
        <v>0</v>
      </c>
      <c r="E6" s="14"/>
      <c r="F6" s="61">
        <v>0</v>
      </c>
      <c r="G6" s="55">
        <v>6500</v>
      </c>
      <c r="H6" s="62">
        <v>1050.05</v>
      </c>
      <c r="I6" s="47">
        <v>1820</v>
      </c>
      <c r="J6" s="63">
        <v>4680</v>
      </c>
      <c r="K6" s="47">
        <v>4914238.5</v>
      </c>
      <c r="L6" s="48">
        <v>1911092.75</v>
      </c>
    </row>
    <row r="7" spans="1:15" ht="22.5" customHeight="1" x14ac:dyDescent="0.2">
      <c r="A7" s="16" t="s">
        <v>60</v>
      </c>
      <c r="B7" s="15" t="s">
        <v>67</v>
      </c>
      <c r="C7" s="14">
        <v>4680</v>
      </c>
      <c r="D7" s="17">
        <v>0</v>
      </c>
      <c r="E7" s="14"/>
      <c r="F7" s="61">
        <v>0</v>
      </c>
      <c r="G7" s="55">
        <v>4680</v>
      </c>
      <c r="H7" s="62">
        <v>1050.05</v>
      </c>
      <c r="I7" s="58">
        <v>1160</v>
      </c>
      <c r="J7" s="64">
        <v>3520</v>
      </c>
      <c r="K7" s="58">
        <v>3696179.38</v>
      </c>
      <c r="L7" s="58">
        <v>1218059.1200000001</v>
      </c>
    </row>
    <row r="8" spans="1:15" ht="22.5" customHeight="1" x14ac:dyDescent="0.2">
      <c r="A8" s="16" t="s">
        <v>61</v>
      </c>
      <c r="B8" s="15" t="s">
        <v>67</v>
      </c>
      <c r="C8" s="14">
        <v>3520</v>
      </c>
      <c r="D8" s="17">
        <v>0</v>
      </c>
      <c r="E8" s="14"/>
      <c r="F8" s="61">
        <v>0</v>
      </c>
      <c r="G8" s="55">
        <v>3520</v>
      </c>
      <c r="H8" s="62">
        <v>1050.05</v>
      </c>
      <c r="I8" s="58">
        <v>1200</v>
      </c>
      <c r="J8" s="64">
        <v>2320</v>
      </c>
      <c r="K8" s="58">
        <v>2436118.23</v>
      </c>
      <c r="L8" s="58">
        <v>1260061.1499999999</v>
      </c>
    </row>
    <row r="9" spans="1:15" ht="22.5" customHeight="1" x14ac:dyDescent="0.2">
      <c r="A9" s="16" t="s">
        <v>74</v>
      </c>
      <c r="B9" s="15" t="s">
        <v>67</v>
      </c>
      <c r="C9" s="14">
        <v>2320</v>
      </c>
      <c r="D9" s="17">
        <v>0</v>
      </c>
      <c r="E9" s="14"/>
      <c r="F9" s="61">
        <v>0</v>
      </c>
      <c r="G9" s="55">
        <v>2320</v>
      </c>
      <c r="H9" s="62">
        <v>1050.05</v>
      </c>
      <c r="I9" s="58">
        <v>1300</v>
      </c>
      <c r="J9" s="64">
        <v>1020</v>
      </c>
      <c r="K9" s="58">
        <v>1071051.98</v>
      </c>
      <c r="L9" s="58">
        <v>1365066.25</v>
      </c>
    </row>
    <row r="10" spans="1:15" ht="22.5" customHeight="1" x14ac:dyDescent="0.2">
      <c r="A10" s="16" t="s">
        <v>88</v>
      </c>
      <c r="B10" s="15" t="s">
        <v>89</v>
      </c>
      <c r="C10" s="14">
        <v>1020</v>
      </c>
      <c r="D10" s="17">
        <v>1500</v>
      </c>
      <c r="E10" s="14" t="s">
        <v>90</v>
      </c>
      <c r="F10" s="61">
        <v>1410000</v>
      </c>
      <c r="G10" s="55">
        <v>2520</v>
      </c>
      <c r="H10" s="62">
        <v>984.54</v>
      </c>
      <c r="I10" s="58">
        <v>1080</v>
      </c>
      <c r="J10" s="64">
        <v>1440</v>
      </c>
      <c r="K10" s="58">
        <v>1417743.99</v>
      </c>
      <c r="L10" s="58">
        <v>1063307.99</v>
      </c>
    </row>
    <row r="11" spans="1:15" ht="22.5" customHeight="1" x14ac:dyDescent="0.2">
      <c r="A11" s="16" t="s">
        <v>53</v>
      </c>
      <c r="B11" s="15" t="s">
        <v>91</v>
      </c>
      <c r="C11" s="14">
        <v>1440</v>
      </c>
      <c r="D11" s="17">
        <v>1500</v>
      </c>
      <c r="E11" s="14" t="s">
        <v>92</v>
      </c>
      <c r="F11" s="61">
        <v>1413750</v>
      </c>
      <c r="G11" s="55">
        <v>2940</v>
      </c>
      <c r="H11" s="62">
        <v>963.09</v>
      </c>
      <c r="I11" s="58">
        <v>2060</v>
      </c>
      <c r="J11" s="64">
        <v>880</v>
      </c>
      <c r="K11" s="58">
        <v>847522.01</v>
      </c>
      <c r="L11" s="58">
        <v>1983971.98</v>
      </c>
    </row>
    <row r="12" spans="1:15" ht="22.5" customHeight="1" x14ac:dyDescent="0.2">
      <c r="A12" s="16"/>
      <c r="B12" s="15"/>
      <c r="C12" s="14"/>
      <c r="D12" s="17"/>
      <c r="E12" s="14"/>
      <c r="F12" s="61"/>
      <c r="G12" s="65"/>
      <c r="H12" s="62"/>
      <c r="I12" s="58"/>
      <c r="J12" s="64"/>
      <c r="K12" s="58" t="str">
        <f t="shared" ref="K12:K21" si="0">IF(ISBLANK(J12),"",J12*H12)</f>
        <v/>
      </c>
      <c r="L12" s="58" t="str">
        <f t="shared" ref="L12:L21" si="1">IF(ISBLANK(J12),"",I12*H12)</f>
        <v/>
      </c>
    </row>
    <row r="13" spans="1:15" ht="22.5" customHeight="1" x14ac:dyDescent="0.2">
      <c r="A13" s="16"/>
      <c r="B13" s="15"/>
      <c r="C13" s="14"/>
      <c r="D13" s="17"/>
      <c r="E13" s="14"/>
      <c r="F13" s="61"/>
      <c r="G13" s="65"/>
      <c r="H13" s="62"/>
      <c r="I13" s="58"/>
      <c r="J13" s="64"/>
      <c r="K13" s="58" t="str">
        <f t="shared" si="0"/>
        <v/>
      </c>
      <c r="L13" s="58" t="str">
        <f t="shared" si="1"/>
        <v/>
      </c>
    </row>
    <row r="14" spans="1:15" ht="22.5" customHeight="1" x14ac:dyDescent="0.2">
      <c r="A14" s="16"/>
      <c r="B14" s="15"/>
      <c r="C14" s="14"/>
      <c r="D14" s="17"/>
      <c r="E14" s="14"/>
      <c r="F14" s="61"/>
      <c r="G14" s="65"/>
      <c r="H14" s="62"/>
      <c r="I14" s="58"/>
      <c r="J14" s="64"/>
      <c r="K14" s="58" t="str">
        <f t="shared" si="0"/>
        <v/>
      </c>
      <c r="L14" s="58" t="str">
        <f t="shared" si="1"/>
        <v/>
      </c>
    </row>
    <row r="15" spans="1:15" ht="22.5" customHeight="1" x14ac:dyDescent="0.2">
      <c r="A15" s="16"/>
      <c r="B15" s="15"/>
      <c r="C15" s="14"/>
      <c r="D15" s="17"/>
      <c r="E15" s="14"/>
      <c r="F15" s="61"/>
      <c r="G15" s="65"/>
      <c r="H15" s="62"/>
      <c r="I15" s="58"/>
      <c r="J15" s="64"/>
      <c r="K15" s="58" t="str">
        <f t="shared" si="0"/>
        <v/>
      </c>
      <c r="L15" s="58" t="str">
        <f t="shared" si="1"/>
        <v/>
      </c>
    </row>
    <row r="16" spans="1:15" ht="22.5" customHeight="1" x14ac:dyDescent="0.2">
      <c r="A16" s="16"/>
      <c r="B16" s="15"/>
      <c r="C16" s="14"/>
      <c r="D16" s="17"/>
      <c r="E16" s="14"/>
      <c r="F16" s="61"/>
      <c r="G16" s="65"/>
      <c r="H16" s="62"/>
      <c r="I16" s="58"/>
      <c r="J16" s="64"/>
      <c r="K16" s="58" t="str">
        <f t="shared" si="0"/>
        <v/>
      </c>
      <c r="L16" s="58" t="str">
        <f t="shared" si="1"/>
        <v/>
      </c>
    </row>
    <row r="17" spans="1:12" ht="22.5" customHeight="1" x14ac:dyDescent="0.2">
      <c r="A17" s="16"/>
      <c r="B17" s="15"/>
      <c r="C17" s="14"/>
      <c r="D17" s="17"/>
      <c r="E17" s="14"/>
      <c r="F17" s="61"/>
      <c r="G17" s="65"/>
      <c r="H17" s="62"/>
      <c r="I17" s="58"/>
      <c r="J17" s="64"/>
      <c r="K17" s="58" t="str">
        <f t="shared" si="0"/>
        <v/>
      </c>
      <c r="L17" s="58" t="str">
        <f t="shared" si="1"/>
        <v/>
      </c>
    </row>
    <row r="18" spans="1:12" ht="22.5" customHeight="1" x14ac:dyDescent="0.2">
      <c r="A18" s="16"/>
      <c r="B18" s="15"/>
      <c r="C18" s="14"/>
      <c r="D18" s="17"/>
      <c r="E18" s="14"/>
      <c r="F18" s="61"/>
      <c r="G18" s="65"/>
      <c r="H18" s="62"/>
      <c r="I18" s="58"/>
      <c r="J18" s="64"/>
      <c r="K18" s="58" t="str">
        <f t="shared" si="0"/>
        <v/>
      </c>
      <c r="L18" s="58" t="str">
        <f t="shared" si="1"/>
        <v/>
      </c>
    </row>
    <row r="19" spans="1:12" ht="22.5" customHeight="1" x14ac:dyDescent="0.2">
      <c r="A19" s="16"/>
      <c r="B19" s="15"/>
      <c r="C19" s="14"/>
      <c r="D19" s="17"/>
      <c r="E19" s="14"/>
      <c r="F19" s="61"/>
      <c r="G19" s="65"/>
      <c r="H19" s="62"/>
      <c r="I19" s="58"/>
      <c r="J19" s="64"/>
      <c r="K19" s="58" t="str">
        <f t="shared" si="0"/>
        <v/>
      </c>
      <c r="L19" s="58" t="str">
        <f t="shared" si="1"/>
        <v/>
      </c>
    </row>
    <row r="20" spans="1:12" ht="22.5" customHeight="1" x14ac:dyDescent="0.2">
      <c r="A20" s="16"/>
      <c r="B20" s="15"/>
      <c r="C20" s="14"/>
      <c r="D20" s="17"/>
      <c r="E20" s="14"/>
      <c r="F20" s="61"/>
      <c r="G20" s="65"/>
      <c r="H20" s="62"/>
      <c r="I20" s="58"/>
      <c r="J20" s="64"/>
      <c r="K20" s="58" t="str">
        <f t="shared" si="0"/>
        <v/>
      </c>
      <c r="L20" s="58" t="str">
        <f t="shared" si="1"/>
        <v/>
      </c>
    </row>
    <row r="21" spans="1:12" ht="22.5" customHeight="1" x14ac:dyDescent="0.2">
      <c r="A21" s="16"/>
      <c r="B21" s="15"/>
      <c r="C21" s="14"/>
      <c r="D21" s="17"/>
      <c r="E21" s="14"/>
      <c r="F21" s="61"/>
      <c r="G21" s="65"/>
      <c r="H21" s="62"/>
      <c r="I21" s="58"/>
      <c r="J21" s="64"/>
      <c r="K21" s="58" t="str">
        <f t="shared" si="0"/>
        <v/>
      </c>
      <c r="L21" s="58" t="str">
        <f t="shared" si="1"/>
        <v/>
      </c>
    </row>
    <row r="22" spans="1:12" ht="15.75" customHeight="1" x14ac:dyDescent="0.2"/>
    <row r="23" spans="1:12" ht="15.75" customHeight="1" x14ac:dyDescent="0.2"/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A21" xr:uid="{00000000-0002-0000-0400-000000000000}">
      <formula1>OR(NOT(ISERROR(DATEVALUE(A2))), AND(ISNUMBER(A2), LEFT(CELL("format", A2))="D"))</formula1>
    </dataValidation>
    <dataValidation type="custom" allowBlank="1" showDropDown="1" sqref="C2:L21" xr:uid="{00000000-0002-0000-0400-000001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F11" sqref="F11:H13"/>
    </sheetView>
  </sheetViews>
  <sheetFormatPr defaultColWidth="12.5703125" defaultRowHeight="15" customHeight="1" x14ac:dyDescent="0.2"/>
  <cols>
    <col min="1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 t="str">
        <f>OB_Feb_2025!B4</f>
        <v>ဂျပ်ဖာ ကြီး</v>
      </c>
      <c r="O1" s="37">
        <f>OB_Feb_2025!A4</f>
        <v>12102</v>
      </c>
    </row>
    <row r="2" spans="1:15" ht="22.5" customHeight="1" x14ac:dyDescent="0.2">
      <c r="A2" s="38" t="s">
        <v>93</v>
      </c>
      <c r="B2" s="39" t="s">
        <v>78</v>
      </c>
      <c r="C2" s="40">
        <v>302</v>
      </c>
      <c r="D2" s="43">
        <v>2000</v>
      </c>
      <c r="E2" s="43" t="s">
        <v>94</v>
      </c>
      <c r="F2" s="42">
        <v>2335075.7999999998</v>
      </c>
      <c r="G2" s="43">
        <v>2302</v>
      </c>
      <c r="H2" s="44">
        <v>1165.24</v>
      </c>
      <c r="I2" s="45">
        <v>0</v>
      </c>
      <c r="J2" s="66">
        <v>2302</v>
      </c>
      <c r="K2" s="47">
        <v>2682375.83</v>
      </c>
      <c r="L2" s="48">
        <v>0</v>
      </c>
    </row>
    <row r="3" spans="1:15" ht="22.5" customHeight="1" x14ac:dyDescent="0.2">
      <c r="A3" s="16" t="s">
        <v>82</v>
      </c>
      <c r="B3" s="15" t="s">
        <v>95</v>
      </c>
      <c r="C3" s="14">
        <v>2302</v>
      </c>
      <c r="D3" s="14">
        <v>2872</v>
      </c>
      <c r="E3" s="14" t="s">
        <v>96</v>
      </c>
      <c r="F3" s="42">
        <v>3330614.6</v>
      </c>
      <c r="G3" s="43">
        <v>5174</v>
      </c>
      <c r="H3" s="62">
        <v>1162.1600000000001</v>
      </c>
      <c r="I3" s="45">
        <v>2345</v>
      </c>
      <c r="J3" s="66">
        <v>2829</v>
      </c>
      <c r="K3" s="47">
        <v>3287736.74</v>
      </c>
      <c r="L3" s="48">
        <v>2725253.68</v>
      </c>
    </row>
    <row r="4" spans="1:15" ht="22.5" customHeight="1" x14ac:dyDescent="0.2">
      <c r="A4" s="16" t="s">
        <v>97</v>
      </c>
      <c r="B4" s="15" t="s">
        <v>98</v>
      </c>
      <c r="C4" s="14">
        <v>2829</v>
      </c>
      <c r="D4" s="14">
        <v>5691</v>
      </c>
      <c r="E4" s="14" t="s">
        <v>99</v>
      </c>
      <c r="F4" s="53">
        <v>6522120</v>
      </c>
      <c r="G4" s="55">
        <v>8520</v>
      </c>
      <c r="H4" s="62">
        <v>1151.3900000000001</v>
      </c>
      <c r="I4" s="45">
        <v>3140</v>
      </c>
      <c r="J4" s="66">
        <v>5380</v>
      </c>
      <c r="K4" s="47">
        <v>6194487</v>
      </c>
      <c r="L4" s="48">
        <v>3615369.74</v>
      </c>
      <c r="N4" s="4"/>
    </row>
    <row r="5" spans="1:15" ht="22.5" customHeight="1" x14ac:dyDescent="0.2">
      <c r="A5" s="16" t="s">
        <v>100</v>
      </c>
      <c r="B5" s="15" t="s">
        <v>101</v>
      </c>
      <c r="C5" s="14">
        <v>5380</v>
      </c>
      <c r="D5" s="14">
        <v>4875</v>
      </c>
      <c r="E5" s="14" t="s">
        <v>102</v>
      </c>
      <c r="F5" s="53">
        <v>5440670</v>
      </c>
      <c r="G5" s="55">
        <v>10255</v>
      </c>
      <c r="H5" s="62">
        <v>1134.58</v>
      </c>
      <c r="I5" s="45">
        <v>6235</v>
      </c>
      <c r="J5" s="66">
        <v>4020</v>
      </c>
      <c r="K5" s="47">
        <v>4561026.93</v>
      </c>
      <c r="L5" s="48">
        <v>7074130.0700000003</v>
      </c>
    </row>
    <row r="6" spans="1:15" ht="22.5" customHeight="1" x14ac:dyDescent="0.2">
      <c r="A6" s="16" t="s">
        <v>60</v>
      </c>
      <c r="B6" s="15" t="s">
        <v>67</v>
      </c>
      <c r="C6" s="14">
        <v>4020</v>
      </c>
      <c r="D6" s="14">
        <v>0</v>
      </c>
      <c r="E6" s="14"/>
      <c r="F6" s="53">
        <v>0</v>
      </c>
      <c r="G6" s="55">
        <v>4020</v>
      </c>
      <c r="H6" s="62">
        <v>1134.58</v>
      </c>
      <c r="I6" s="56">
        <v>3160</v>
      </c>
      <c r="J6" s="67">
        <v>860</v>
      </c>
      <c r="K6" s="58">
        <v>975742.08</v>
      </c>
      <c r="L6" s="58">
        <v>3585284.85</v>
      </c>
    </row>
    <row r="7" spans="1:15" ht="22.5" customHeight="1" x14ac:dyDescent="0.2">
      <c r="A7" s="16">
        <v>45664</v>
      </c>
      <c r="B7" s="15" t="s">
        <v>103</v>
      </c>
      <c r="C7" s="14">
        <v>860</v>
      </c>
      <c r="D7" s="14">
        <v>3315</v>
      </c>
      <c r="E7" s="14" t="s">
        <v>104</v>
      </c>
      <c r="F7" s="53">
        <v>3600220</v>
      </c>
      <c r="G7" s="55">
        <v>4175</v>
      </c>
      <c r="H7" s="62">
        <v>1096.04</v>
      </c>
      <c r="I7" s="56">
        <v>1975</v>
      </c>
      <c r="J7" s="67">
        <v>2200</v>
      </c>
      <c r="K7" s="58">
        <v>2411285.41</v>
      </c>
      <c r="L7" s="58">
        <v>2164676.67</v>
      </c>
    </row>
    <row r="8" spans="1:15" ht="22.5" customHeight="1" x14ac:dyDescent="0.2">
      <c r="A8" s="16" t="s">
        <v>74</v>
      </c>
      <c r="B8" s="15" t="s">
        <v>67</v>
      </c>
      <c r="C8" s="14">
        <v>2200</v>
      </c>
      <c r="D8" s="14">
        <v>0</v>
      </c>
      <c r="E8" s="14"/>
      <c r="F8" s="53">
        <v>0</v>
      </c>
      <c r="G8" s="55">
        <v>2200</v>
      </c>
      <c r="H8" s="62">
        <v>1096.04</v>
      </c>
      <c r="I8" s="56">
        <v>1320</v>
      </c>
      <c r="J8" s="67">
        <v>880</v>
      </c>
      <c r="K8" s="58">
        <v>964514.16</v>
      </c>
      <c r="L8" s="58">
        <v>1446771.24</v>
      </c>
    </row>
    <row r="9" spans="1:15" ht="22.5" customHeight="1" x14ac:dyDescent="0.2">
      <c r="A9" s="16" t="s">
        <v>105</v>
      </c>
      <c r="B9" s="15" t="s">
        <v>106</v>
      </c>
      <c r="C9" s="14">
        <v>880</v>
      </c>
      <c r="D9" s="14">
        <v>1500</v>
      </c>
      <c r="E9" s="14" t="s">
        <v>107</v>
      </c>
      <c r="F9" s="53">
        <v>1590000</v>
      </c>
      <c r="G9" s="55">
        <v>2380</v>
      </c>
      <c r="H9" s="62">
        <v>1073.33</v>
      </c>
      <c r="I9" s="56">
        <v>940</v>
      </c>
      <c r="J9" s="67">
        <v>1440</v>
      </c>
      <c r="K9" s="58">
        <v>1545588.4</v>
      </c>
      <c r="L9" s="58">
        <v>1008925.76</v>
      </c>
    </row>
    <row r="10" spans="1:15" ht="22.5" customHeight="1" x14ac:dyDescent="0.2">
      <c r="A10" s="16" t="s">
        <v>52</v>
      </c>
      <c r="B10" s="15" t="s">
        <v>108</v>
      </c>
      <c r="C10" s="14">
        <v>1440</v>
      </c>
      <c r="D10" s="14">
        <v>2000</v>
      </c>
      <c r="E10" s="14" t="s">
        <v>109</v>
      </c>
      <c r="F10" s="53">
        <v>2115000</v>
      </c>
      <c r="G10" s="55">
        <v>3440</v>
      </c>
      <c r="H10" s="62">
        <v>1064.1199999999999</v>
      </c>
      <c r="I10" s="56">
        <v>1800</v>
      </c>
      <c r="J10" s="67">
        <v>1640</v>
      </c>
      <c r="K10" s="58">
        <v>1745164.24</v>
      </c>
      <c r="L10" s="58">
        <v>1915424.16</v>
      </c>
    </row>
    <row r="11" spans="1:15" ht="22.5" customHeight="1" x14ac:dyDescent="0.2">
      <c r="A11" s="16"/>
      <c r="B11" s="15"/>
      <c r="C11" s="14"/>
      <c r="D11" s="14"/>
      <c r="E11" s="14"/>
      <c r="F11" s="53"/>
      <c r="G11" s="55"/>
      <c r="H11" s="62"/>
      <c r="I11" s="56" t="str">
        <f t="shared" ref="I11:I13" si="0">IF(ISBLANK(J11),"",G11-J11)</f>
        <v/>
      </c>
      <c r="J11" s="67"/>
      <c r="K11" s="58" t="str">
        <f t="shared" ref="K11:K13" si="1">IF(ISBLANK(J11),"",J11*H11)</f>
        <v/>
      </c>
      <c r="L11" s="58" t="str">
        <f t="shared" ref="L11:L13" si="2">IF(ISBLANK(J11),"",I11*H11)</f>
        <v/>
      </c>
    </row>
    <row r="12" spans="1:15" ht="22.5" customHeight="1" x14ac:dyDescent="0.2">
      <c r="A12" s="16"/>
      <c r="B12" s="15"/>
      <c r="C12" s="14"/>
      <c r="D12" s="14"/>
      <c r="E12" s="14"/>
      <c r="F12" s="53"/>
      <c r="G12" s="55"/>
      <c r="H12" s="62"/>
      <c r="I12" s="56" t="str">
        <f t="shared" si="0"/>
        <v/>
      </c>
      <c r="J12" s="67"/>
      <c r="K12" s="58" t="str">
        <f t="shared" si="1"/>
        <v/>
      </c>
      <c r="L12" s="58" t="str">
        <f t="shared" si="2"/>
        <v/>
      </c>
    </row>
    <row r="13" spans="1:15" ht="22.5" customHeight="1" x14ac:dyDescent="0.2">
      <c r="A13" s="16"/>
      <c r="B13" s="15"/>
      <c r="C13" s="14"/>
      <c r="D13" s="14"/>
      <c r="E13" s="14"/>
      <c r="F13" s="53"/>
      <c r="G13" s="55"/>
      <c r="H13" s="62"/>
      <c r="I13" s="56" t="str">
        <f t="shared" si="0"/>
        <v/>
      </c>
      <c r="J13" s="67"/>
      <c r="K13" s="58" t="str">
        <f t="shared" si="1"/>
        <v/>
      </c>
      <c r="L13" s="58" t="str">
        <f t="shared" si="2"/>
        <v/>
      </c>
    </row>
    <row r="14" spans="1:15" ht="15.75" customHeight="1" x14ac:dyDescent="0.2"/>
    <row r="15" spans="1:15" ht="15.75" customHeight="1" x14ac:dyDescent="0.2"/>
    <row r="16" spans="1:1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A13" xr:uid="{00000000-0002-0000-0500-000000000000}">
      <formula1>OR(NOT(ISERROR(DATEVALUE(A2))), AND(ISNUMBER(A2), LEFT(CELL("format", A2))="D"))</formula1>
    </dataValidation>
    <dataValidation type="custom" allowBlank="1" showDropDown="1" sqref="C2:L13" xr:uid="{00000000-0002-0000-0500-000001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F12" sqref="F12:H14"/>
    </sheetView>
  </sheetViews>
  <sheetFormatPr defaultColWidth="12.5703125" defaultRowHeight="15" customHeight="1" x14ac:dyDescent="0.2"/>
  <cols>
    <col min="1" max="1" width="12.5703125" customWidth="1"/>
    <col min="2" max="2" width="33.42578125" customWidth="1"/>
    <col min="3" max="6" width="12.5703125" customWidth="1"/>
    <col min="11" max="11" width="15.5703125" customWidth="1"/>
    <col min="14" max="14" width="21.42578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 t="str">
        <f>OB_Feb_2025!B5</f>
        <v>ပလပ်စတစ်ခွက်(140 ml)</v>
      </c>
      <c r="O1" s="37">
        <f>OB_Feb_2025!A5</f>
        <v>12103</v>
      </c>
    </row>
    <row r="2" spans="1:15" ht="22.5" customHeight="1" x14ac:dyDescent="0.2">
      <c r="A2" s="38" t="s">
        <v>64</v>
      </c>
      <c r="B2" s="39" t="s">
        <v>110</v>
      </c>
      <c r="C2" s="68">
        <v>0</v>
      </c>
      <c r="D2" s="69">
        <v>75000</v>
      </c>
      <c r="E2" s="43" t="s">
        <v>111</v>
      </c>
      <c r="F2" s="42">
        <v>2482309.7000000002</v>
      </c>
      <c r="G2" s="70">
        <v>75000</v>
      </c>
      <c r="H2" s="44">
        <v>33.1</v>
      </c>
      <c r="I2" s="47"/>
      <c r="J2" s="66"/>
      <c r="K2" s="47"/>
      <c r="L2" s="48"/>
    </row>
    <row r="3" spans="1:15" ht="22.5" customHeight="1" x14ac:dyDescent="0.2">
      <c r="A3" s="16" t="s">
        <v>112</v>
      </c>
      <c r="B3" s="15" t="s">
        <v>113</v>
      </c>
      <c r="C3" s="71">
        <v>75000</v>
      </c>
      <c r="D3" s="71">
        <v>250000</v>
      </c>
      <c r="E3" s="14" t="s">
        <v>111</v>
      </c>
      <c r="F3" s="42">
        <v>8274365.5999999996</v>
      </c>
      <c r="G3" s="70">
        <v>325000</v>
      </c>
      <c r="H3" s="17">
        <v>33.1</v>
      </c>
      <c r="I3" s="47">
        <v>320000</v>
      </c>
      <c r="J3" s="66">
        <v>5000</v>
      </c>
      <c r="K3" s="47">
        <v>165487.31</v>
      </c>
      <c r="L3" s="48">
        <v>10591187.92</v>
      </c>
    </row>
    <row r="4" spans="1:15" ht="22.5" customHeight="1" x14ac:dyDescent="0.2">
      <c r="A4" s="16">
        <v>45811</v>
      </c>
      <c r="B4" s="15" t="s">
        <v>114</v>
      </c>
      <c r="C4" s="71">
        <v>5000</v>
      </c>
      <c r="D4" s="71">
        <v>350000</v>
      </c>
      <c r="E4" s="14" t="s">
        <v>115</v>
      </c>
      <c r="F4" s="53">
        <v>11830587</v>
      </c>
      <c r="G4" s="72">
        <v>355000</v>
      </c>
      <c r="H4" s="17">
        <v>33.79</v>
      </c>
      <c r="I4" s="58">
        <v>255000</v>
      </c>
      <c r="J4" s="66">
        <v>100000</v>
      </c>
      <c r="K4" s="58">
        <v>3379175.86</v>
      </c>
      <c r="L4" s="58">
        <v>8616898.4499999993</v>
      </c>
    </row>
    <row r="5" spans="1:15" ht="22.5" customHeight="1" x14ac:dyDescent="0.2">
      <c r="A5" s="16" t="s">
        <v>58</v>
      </c>
      <c r="B5" s="15" t="s">
        <v>67</v>
      </c>
      <c r="C5" s="71">
        <v>100000</v>
      </c>
      <c r="D5" s="71">
        <v>0</v>
      </c>
      <c r="E5" s="14"/>
      <c r="F5" s="53">
        <v>0</v>
      </c>
      <c r="G5" s="72">
        <v>100000</v>
      </c>
      <c r="H5" s="17">
        <v>33.79</v>
      </c>
      <c r="I5" s="58">
        <v>36000</v>
      </c>
      <c r="J5" s="66">
        <v>64000</v>
      </c>
      <c r="K5" s="58">
        <v>2162672.5499999998</v>
      </c>
      <c r="L5" s="58">
        <v>1216503.31</v>
      </c>
    </row>
    <row r="6" spans="1:15" ht="22.5" customHeight="1" x14ac:dyDescent="0.2">
      <c r="A6" s="16" t="s">
        <v>69</v>
      </c>
      <c r="B6" s="15" t="s">
        <v>116</v>
      </c>
      <c r="C6" s="71">
        <v>64000</v>
      </c>
      <c r="D6" s="71">
        <v>100000</v>
      </c>
      <c r="E6" s="14" t="s">
        <v>117</v>
      </c>
      <c r="F6" s="53">
        <v>3636500</v>
      </c>
      <c r="G6" s="72">
        <v>164000</v>
      </c>
      <c r="H6" s="17">
        <v>35.36</v>
      </c>
      <c r="I6" s="58">
        <v>104000</v>
      </c>
      <c r="J6" s="66">
        <v>60000</v>
      </c>
      <c r="K6" s="58">
        <v>2121648.4900000002</v>
      </c>
      <c r="L6" s="58">
        <v>3677524.06</v>
      </c>
    </row>
    <row r="7" spans="1:15" ht="22.5" customHeight="1" x14ac:dyDescent="0.2">
      <c r="A7" s="16" t="s">
        <v>60</v>
      </c>
      <c r="B7" s="15" t="s">
        <v>67</v>
      </c>
      <c r="C7" s="71">
        <v>60000</v>
      </c>
      <c r="D7" s="71">
        <v>0</v>
      </c>
      <c r="E7" s="14"/>
      <c r="F7" s="53">
        <v>0</v>
      </c>
      <c r="G7" s="72">
        <v>60000</v>
      </c>
      <c r="H7" s="17">
        <v>35.36</v>
      </c>
      <c r="I7" s="58">
        <v>60000</v>
      </c>
      <c r="J7" s="67">
        <v>0</v>
      </c>
      <c r="K7" s="58">
        <v>0</v>
      </c>
      <c r="L7" s="58">
        <v>2121648.4900000002</v>
      </c>
    </row>
    <row r="8" spans="1:15" ht="22.5" customHeight="1" x14ac:dyDescent="0.2">
      <c r="A8" s="16">
        <v>45664</v>
      </c>
      <c r="B8" s="15" t="s">
        <v>118</v>
      </c>
      <c r="C8" s="71">
        <v>0</v>
      </c>
      <c r="D8" s="71">
        <v>100000</v>
      </c>
      <c r="E8" s="14" t="s">
        <v>119</v>
      </c>
      <c r="F8" s="53">
        <v>3366801.6</v>
      </c>
      <c r="G8" s="72">
        <v>100000</v>
      </c>
      <c r="H8" s="17">
        <v>33.67</v>
      </c>
      <c r="I8" s="58">
        <v>75000</v>
      </c>
      <c r="J8" s="67">
        <v>25000</v>
      </c>
      <c r="K8" s="58">
        <v>841700.4</v>
      </c>
      <c r="L8" s="58">
        <v>2525101.21</v>
      </c>
    </row>
    <row r="9" spans="1:15" ht="22.5" customHeight="1" x14ac:dyDescent="0.2">
      <c r="A9" s="16" t="s">
        <v>120</v>
      </c>
      <c r="B9" s="15" t="s">
        <v>121</v>
      </c>
      <c r="C9" s="71">
        <v>25000</v>
      </c>
      <c r="D9" s="71">
        <v>50000</v>
      </c>
      <c r="E9" s="14" t="s">
        <v>122</v>
      </c>
      <c r="F9" s="53">
        <v>1681563.8</v>
      </c>
      <c r="G9" s="72">
        <v>75000</v>
      </c>
      <c r="H9" s="17">
        <v>33.64</v>
      </c>
      <c r="I9" s="58">
        <v>75000</v>
      </c>
      <c r="J9" s="67">
        <v>0</v>
      </c>
      <c r="K9" s="58">
        <v>0</v>
      </c>
      <c r="L9" s="58">
        <v>2523264.23</v>
      </c>
    </row>
    <row r="10" spans="1:15" ht="22.5" customHeight="1" x14ac:dyDescent="0.2">
      <c r="A10" s="16">
        <v>46000</v>
      </c>
      <c r="B10" s="15" t="s">
        <v>123</v>
      </c>
      <c r="C10" s="71">
        <v>0</v>
      </c>
      <c r="D10" s="71">
        <v>50000</v>
      </c>
      <c r="E10" s="14" t="s">
        <v>124</v>
      </c>
      <c r="F10" s="53">
        <v>1682971</v>
      </c>
      <c r="G10" s="72">
        <v>50000</v>
      </c>
      <c r="H10" s="17">
        <v>33.659999999999997</v>
      </c>
      <c r="I10" s="58">
        <v>50000</v>
      </c>
      <c r="J10" s="67">
        <v>0</v>
      </c>
      <c r="K10" s="58">
        <v>0</v>
      </c>
      <c r="L10" s="58">
        <v>1682971.01</v>
      </c>
    </row>
    <row r="11" spans="1:15" ht="22.5" customHeight="1" x14ac:dyDescent="0.2">
      <c r="A11" s="16">
        <v>45667</v>
      </c>
      <c r="B11" s="15" t="s">
        <v>125</v>
      </c>
      <c r="C11" s="71">
        <v>0</v>
      </c>
      <c r="D11" s="71">
        <v>125000</v>
      </c>
      <c r="E11" s="14" t="s">
        <v>126</v>
      </c>
      <c r="F11" s="53">
        <v>4816451.0999999996</v>
      </c>
      <c r="G11" s="72">
        <v>125000</v>
      </c>
      <c r="H11" s="17">
        <v>38.53</v>
      </c>
      <c r="I11" s="58">
        <v>123500</v>
      </c>
      <c r="J11" s="67">
        <v>1500</v>
      </c>
      <c r="K11" s="58">
        <v>57797.41</v>
      </c>
      <c r="L11" s="58">
        <v>4758653.74</v>
      </c>
    </row>
    <row r="12" spans="1:15" ht="22.5" customHeight="1" x14ac:dyDescent="0.2">
      <c r="A12" s="16"/>
      <c r="B12" s="15"/>
      <c r="C12" s="71"/>
      <c r="D12" s="71"/>
      <c r="E12" s="14"/>
      <c r="F12" s="53"/>
      <c r="G12" s="72"/>
      <c r="H12" s="17"/>
      <c r="I12" s="58" t="str">
        <f t="shared" ref="I12:I14" si="0">IF(ISBLANK(J12),"",G12-J12)</f>
        <v/>
      </c>
      <c r="J12" s="67"/>
      <c r="K12" s="58" t="str">
        <f t="shared" ref="K12:K14" si="1">IF(ISBLANK(J12),"",J12*H12)</f>
        <v/>
      </c>
      <c r="L12" s="58" t="str">
        <f t="shared" ref="L12:L14" si="2">IF(ISBLANK(J12),"",I12*H12)</f>
        <v/>
      </c>
    </row>
    <row r="13" spans="1:15" ht="22.5" customHeight="1" x14ac:dyDescent="0.2">
      <c r="A13" s="16"/>
      <c r="B13" s="15"/>
      <c r="C13" s="71"/>
      <c r="D13" s="71"/>
      <c r="E13" s="14"/>
      <c r="F13" s="53"/>
      <c r="G13" s="72"/>
      <c r="H13" s="17"/>
      <c r="I13" s="58" t="str">
        <f t="shared" si="0"/>
        <v/>
      </c>
      <c r="J13" s="67"/>
      <c r="K13" s="58" t="str">
        <f t="shared" si="1"/>
        <v/>
      </c>
      <c r="L13" s="58" t="str">
        <f t="shared" si="2"/>
        <v/>
      </c>
    </row>
    <row r="14" spans="1:15" ht="22.5" customHeight="1" x14ac:dyDescent="0.2">
      <c r="A14" s="16"/>
      <c r="B14" s="15"/>
      <c r="C14" s="71"/>
      <c r="D14" s="71"/>
      <c r="E14" s="14"/>
      <c r="F14" s="53"/>
      <c r="G14" s="72"/>
      <c r="H14" s="17"/>
      <c r="I14" s="58" t="str">
        <f t="shared" si="0"/>
        <v/>
      </c>
      <c r="J14" s="67"/>
      <c r="K14" s="58" t="str">
        <f t="shared" si="1"/>
        <v/>
      </c>
      <c r="L14" s="58" t="str">
        <f t="shared" si="2"/>
        <v/>
      </c>
    </row>
    <row r="15" spans="1:15" ht="15.75" customHeight="1" x14ac:dyDescent="0.2"/>
    <row r="16" spans="1:1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A14" xr:uid="{00000000-0002-0000-0600-000000000000}">
      <formula1>OR(NOT(ISERROR(DATEVALUE(A2))), AND(ISNUMBER(A2), LEFT(CELL("format", A2))="D"))</formula1>
    </dataValidation>
    <dataValidation type="custom" allowBlank="1" showDropDown="1" sqref="C2:L14" xr:uid="{00000000-0002-0000-0600-000001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B2" sqref="B2"/>
    </sheetView>
  </sheetViews>
  <sheetFormatPr defaultColWidth="12.5703125" defaultRowHeight="15" customHeight="1" x14ac:dyDescent="0.2"/>
  <cols>
    <col min="1" max="1" width="12.5703125" customWidth="1"/>
    <col min="2" max="2" width="33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 t="str">
        <f>OB_Feb_2025!B6</f>
        <v>ပလပ်စတစ်ခွက်(175ml)</v>
      </c>
      <c r="O1" s="37">
        <f>OB_Feb_2025!A6</f>
        <v>12104</v>
      </c>
    </row>
    <row r="2" spans="1:15" ht="22.5" customHeight="1" x14ac:dyDescent="0.2">
      <c r="A2" s="38" t="s">
        <v>64</v>
      </c>
      <c r="B2" s="39" t="s">
        <v>127</v>
      </c>
      <c r="C2" s="73">
        <v>4000</v>
      </c>
      <c r="D2" s="74">
        <v>91700</v>
      </c>
      <c r="E2" s="43" t="s">
        <v>128</v>
      </c>
      <c r="F2" s="42">
        <v>3548659</v>
      </c>
      <c r="G2" s="59">
        <v>95700</v>
      </c>
      <c r="H2" s="44">
        <v>38.67</v>
      </c>
      <c r="I2" s="47">
        <v>100</v>
      </c>
      <c r="J2" s="66">
        <v>95600</v>
      </c>
      <c r="K2" s="47">
        <v>3696792.05</v>
      </c>
      <c r="L2" s="48">
        <v>3866.94</v>
      </c>
    </row>
    <row r="3" spans="1:15" ht="22.5" customHeight="1" x14ac:dyDescent="0.2">
      <c r="A3" s="16" t="s">
        <v>79</v>
      </c>
      <c r="B3" s="15" t="s">
        <v>129</v>
      </c>
      <c r="C3" s="17">
        <v>95600</v>
      </c>
      <c r="D3" s="14">
        <v>147000</v>
      </c>
      <c r="E3" s="14" t="s">
        <v>130</v>
      </c>
      <c r="F3" s="42">
        <v>5699750</v>
      </c>
      <c r="G3" s="59">
        <v>242600</v>
      </c>
      <c r="H3" s="17">
        <v>38.729999999999997</v>
      </c>
      <c r="I3" s="47">
        <v>148800</v>
      </c>
      <c r="J3" s="66">
        <v>93800</v>
      </c>
      <c r="K3" s="47">
        <v>3633123.02</v>
      </c>
      <c r="L3" s="48">
        <v>5763419.0300000003</v>
      </c>
    </row>
    <row r="4" spans="1:15" ht="22.5" customHeight="1" x14ac:dyDescent="0.2">
      <c r="A4" s="16" t="s">
        <v>85</v>
      </c>
      <c r="B4" s="15" t="s">
        <v>131</v>
      </c>
      <c r="C4" s="17">
        <v>93800</v>
      </c>
      <c r="D4" s="14">
        <v>147000</v>
      </c>
      <c r="E4" s="14" t="s">
        <v>132</v>
      </c>
      <c r="F4" s="53">
        <v>5846750</v>
      </c>
      <c r="G4" s="75">
        <v>240800</v>
      </c>
      <c r="H4" s="17">
        <v>39.369999999999997</v>
      </c>
      <c r="I4" s="47">
        <v>163800</v>
      </c>
      <c r="J4" s="66">
        <v>77000</v>
      </c>
      <c r="K4" s="47">
        <v>3031354.74</v>
      </c>
      <c r="L4" s="48">
        <v>6448518.2699999996</v>
      </c>
    </row>
    <row r="5" spans="1:15" ht="22.5" customHeight="1" x14ac:dyDescent="0.2">
      <c r="A5" s="16">
        <v>45782</v>
      </c>
      <c r="B5" s="15" t="s">
        <v>133</v>
      </c>
      <c r="C5" s="17">
        <v>77000</v>
      </c>
      <c r="D5" s="14">
        <v>147000</v>
      </c>
      <c r="E5" s="14" t="s">
        <v>134</v>
      </c>
      <c r="F5" s="53">
        <v>5750500</v>
      </c>
      <c r="G5" s="75">
        <v>224000</v>
      </c>
      <c r="H5" s="17">
        <v>39.200000000000003</v>
      </c>
      <c r="I5" s="58"/>
      <c r="J5" s="67"/>
      <c r="K5" s="58"/>
      <c r="L5" s="58"/>
    </row>
    <row r="6" spans="1:15" ht="22.5" customHeight="1" x14ac:dyDescent="0.2">
      <c r="A6" s="16" t="s">
        <v>69</v>
      </c>
      <c r="B6" s="15" t="s">
        <v>135</v>
      </c>
      <c r="C6" s="17">
        <v>224000</v>
      </c>
      <c r="D6" s="14">
        <v>210000</v>
      </c>
      <c r="E6" s="14" t="s">
        <v>136</v>
      </c>
      <c r="F6" s="53">
        <v>8221500</v>
      </c>
      <c r="G6" s="75">
        <v>434000</v>
      </c>
      <c r="H6" s="17">
        <v>39.18</v>
      </c>
      <c r="I6" s="47">
        <v>407050</v>
      </c>
      <c r="J6" s="66">
        <v>26950</v>
      </c>
      <c r="K6" s="47">
        <v>1055853.48</v>
      </c>
      <c r="L6" s="48">
        <v>15947501.26</v>
      </c>
    </row>
    <row r="7" spans="1:15" ht="22.5" customHeight="1" x14ac:dyDescent="0.2">
      <c r="A7" s="16">
        <v>45814</v>
      </c>
      <c r="B7" s="15" t="s">
        <v>137</v>
      </c>
      <c r="C7" s="17">
        <v>26950</v>
      </c>
      <c r="D7" s="14">
        <v>84000</v>
      </c>
      <c r="E7" s="14" t="s">
        <v>138</v>
      </c>
      <c r="F7" s="53">
        <v>3296934.3</v>
      </c>
      <c r="G7" s="75">
        <v>110950</v>
      </c>
      <c r="H7" s="17">
        <v>39.229999999999997</v>
      </c>
      <c r="I7" s="58"/>
      <c r="J7" s="67"/>
      <c r="K7" s="58"/>
      <c r="L7" s="58"/>
    </row>
    <row r="8" spans="1:15" ht="22.5" customHeight="1" x14ac:dyDescent="0.2">
      <c r="A8" s="16" t="s">
        <v>70</v>
      </c>
      <c r="B8" s="15" t="s">
        <v>139</v>
      </c>
      <c r="C8" s="17">
        <v>110950</v>
      </c>
      <c r="D8" s="14">
        <v>84000</v>
      </c>
      <c r="E8" s="14" t="s">
        <v>140</v>
      </c>
      <c r="F8" s="53">
        <v>3251932.1</v>
      </c>
      <c r="G8" s="75">
        <v>194950</v>
      </c>
      <c r="H8" s="17">
        <v>39.01</v>
      </c>
      <c r="I8" s="58">
        <v>194950</v>
      </c>
      <c r="J8" s="67">
        <v>0</v>
      </c>
      <c r="K8" s="58">
        <v>0</v>
      </c>
      <c r="L8" s="58">
        <v>7604719.8499999996</v>
      </c>
    </row>
    <row r="9" spans="1:15" ht="22.5" customHeight="1" x14ac:dyDescent="0.2">
      <c r="A9" s="16">
        <v>45664</v>
      </c>
      <c r="B9" s="15" t="s">
        <v>141</v>
      </c>
      <c r="C9" s="17">
        <v>0</v>
      </c>
      <c r="D9" s="14">
        <v>126000</v>
      </c>
      <c r="E9" s="14" t="s">
        <v>142</v>
      </c>
      <c r="F9" s="53">
        <v>4949198.4000000004</v>
      </c>
      <c r="G9" s="75">
        <v>126000</v>
      </c>
      <c r="H9" s="17">
        <v>39.28</v>
      </c>
      <c r="I9" s="58">
        <v>122150</v>
      </c>
      <c r="J9" s="67">
        <v>3850</v>
      </c>
      <c r="K9" s="58">
        <v>151225.51</v>
      </c>
      <c r="L9" s="58">
        <v>4797972.87</v>
      </c>
    </row>
    <row r="10" spans="1:15" ht="22.5" customHeight="1" x14ac:dyDescent="0.2">
      <c r="A10" s="16" t="s">
        <v>120</v>
      </c>
      <c r="B10" s="15" t="s">
        <v>143</v>
      </c>
      <c r="C10" s="17">
        <v>3850</v>
      </c>
      <c r="D10" s="14">
        <v>84000</v>
      </c>
      <c r="E10" s="14" t="s">
        <v>144</v>
      </c>
      <c r="F10" s="53">
        <v>3295865.1</v>
      </c>
      <c r="G10" s="75">
        <v>87850</v>
      </c>
      <c r="H10" s="17">
        <v>39.24</v>
      </c>
      <c r="I10" s="58">
        <v>72450</v>
      </c>
      <c r="J10" s="67">
        <v>15400</v>
      </c>
      <c r="K10" s="58">
        <v>604270.86</v>
      </c>
      <c r="L10" s="58">
        <v>2842819.74</v>
      </c>
    </row>
    <row r="11" spans="1:15" ht="22.5" customHeight="1" x14ac:dyDescent="0.2">
      <c r="A11" s="16">
        <v>46000</v>
      </c>
      <c r="B11" s="15" t="s">
        <v>145</v>
      </c>
      <c r="C11" s="17">
        <v>15400</v>
      </c>
      <c r="D11" s="14">
        <v>105000</v>
      </c>
      <c r="E11" s="14" t="s">
        <v>146</v>
      </c>
      <c r="F11" s="53">
        <v>4123279</v>
      </c>
      <c r="G11" s="75">
        <v>120400</v>
      </c>
      <c r="H11" s="17">
        <v>39.270000000000003</v>
      </c>
      <c r="I11" s="58">
        <v>40400</v>
      </c>
      <c r="J11" s="67">
        <v>80000</v>
      </c>
      <c r="K11" s="58">
        <v>3141229.14</v>
      </c>
      <c r="L11" s="58">
        <v>1586320.71</v>
      </c>
    </row>
    <row r="12" spans="1:15" ht="22.5" customHeight="1" x14ac:dyDescent="0.2">
      <c r="A12" s="16">
        <v>45667</v>
      </c>
      <c r="B12" s="15" t="s">
        <v>147</v>
      </c>
      <c r="C12" s="17">
        <v>80000</v>
      </c>
      <c r="D12" s="14">
        <v>42000</v>
      </c>
      <c r="E12" s="14" t="s">
        <v>148</v>
      </c>
      <c r="F12" s="53">
        <v>1888048.9</v>
      </c>
      <c r="G12" s="75">
        <v>122000</v>
      </c>
      <c r="H12" s="17">
        <v>41.22</v>
      </c>
      <c r="I12" s="58">
        <v>108400</v>
      </c>
      <c r="J12" s="67">
        <v>13600</v>
      </c>
      <c r="K12" s="58">
        <v>560640.81999999995</v>
      </c>
      <c r="L12" s="58">
        <v>4468637.16</v>
      </c>
    </row>
    <row r="13" spans="1:15" ht="22.5" customHeight="1" x14ac:dyDescent="0.2">
      <c r="A13" s="16"/>
      <c r="B13" s="15"/>
      <c r="C13" s="17"/>
      <c r="D13" s="14"/>
      <c r="E13" s="14"/>
      <c r="F13" s="53"/>
      <c r="G13" s="75"/>
      <c r="H13" s="17"/>
      <c r="I13" s="58"/>
      <c r="J13" s="67"/>
      <c r="K13" s="58"/>
      <c r="L13" s="58"/>
    </row>
    <row r="14" spans="1:15" ht="22.5" customHeight="1" x14ac:dyDescent="0.2">
      <c r="A14" s="16"/>
      <c r="B14" s="15"/>
      <c r="C14" s="17"/>
      <c r="D14" s="14"/>
      <c r="E14" s="14"/>
      <c r="F14" s="53"/>
      <c r="G14" s="75"/>
      <c r="H14" s="17"/>
      <c r="I14" s="58"/>
      <c r="J14" s="67"/>
      <c r="K14" s="58"/>
      <c r="L14" s="58"/>
    </row>
    <row r="15" spans="1:15" ht="22.5" customHeight="1" x14ac:dyDescent="0.2">
      <c r="A15" s="16"/>
      <c r="B15" s="15"/>
      <c r="C15" s="17"/>
      <c r="D15" s="14"/>
      <c r="E15" s="14"/>
      <c r="F15" s="53"/>
      <c r="G15" s="75"/>
      <c r="H15" s="17"/>
      <c r="I15" s="58"/>
      <c r="J15" s="67"/>
      <c r="K15" s="58"/>
      <c r="L15" s="58"/>
    </row>
    <row r="16" spans="1:15" ht="22.5" customHeight="1" x14ac:dyDescent="0.2">
      <c r="A16" s="16"/>
      <c r="B16" s="15"/>
      <c r="C16" s="17"/>
      <c r="D16" s="14"/>
      <c r="E16" s="14"/>
      <c r="F16" s="53"/>
      <c r="G16" s="75"/>
      <c r="H16" s="17"/>
      <c r="I16" s="58"/>
      <c r="J16" s="67"/>
      <c r="K16" s="58"/>
      <c r="L16" s="58"/>
    </row>
    <row r="17" spans="1:12" ht="22.5" customHeight="1" x14ac:dyDescent="0.2">
      <c r="A17" s="16"/>
      <c r="B17" s="15"/>
      <c r="C17" s="17"/>
      <c r="D17" s="14"/>
      <c r="E17" s="14"/>
      <c r="F17" s="53"/>
      <c r="G17" s="75"/>
      <c r="H17" s="17"/>
      <c r="I17" s="58"/>
      <c r="J17" s="67"/>
      <c r="K17" s="58"/>
      <c r="L17" s="58"/>
    </row>
    <row r="18" spans="1:12" ht="22.5" customHeight="1" x14ac:dyDescent="0.2">
      <c r="A18" s="16"/>
      <c r="B18" s="15"/>
      <c r="C18" s="17"/>
      <c r="D18" s="14"/>
      <c r="E18" s="14"/>
      <c r="F18" s="53"/>
      <c r="G18" s="75"/>
      <c r="H18" s="17"/>
      <c r="I18" s="58"/>
      <c r="J18" s="67"/>
      <c r="K18" s="58"/>
      <c r="L18" s="58"/>
    </row>
    <row r="19" spans="1:12" ht="15.75" customHeight="1" x14ac:dyDescent="0.2"/>
    <row r="20" spans="1:12" ht="15.75" customHeight="1" x14ac:dyDescent="0.2"/>
    <row r="21" spans="1:12" ht="15.75" customHeight="1" x14ac:dyDescent="0.2"/>
    <row r="22" spans="1:12" ht="15.75" customHeight="1" x14ac:dyDescent="0.2"/>
    <row r="23" spans="1:12" ht="15.75" customHeight="1" x14ac:dyDescent="0.2"/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A18" xr:uid="{00000000-0002-0000-0700-000000000000}">
      <formula1>OR(NOT(ISERROR(DATEVALUE(A2))), AND(ISNUMBER(A2), LEFT(CELL("format", A2))="D"))</formula1>
    </dataValidation>
    <dataValidation type="custom" allowBlank="1" showDropDown="1" sqref="C2:L18" xr:uid="{00000000-0002-0000-0700-000001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B2" sqref="B2"/>
    </sheetView>
  </sheetViews>
  <sheetFormatPr defaultColWidth="12.5703125" defaultRowHeight="15" customHeight="1" x14ac:dyDescent="0.2"/>
  <cols>
    <col min="1" max="1" width="12.5703125" customWidth="1"/>
    <col min="2" max="2" width="31.42578125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 t="str">
        <f>OB_Feb_2025!B7</f>
        <v>တိတ်</v>
      </c>
      <c r="O1" s="37">
        <f>OB_Feb_2025!A7</f>
        <v>12105</v>
      </c>
    </row>
    <row r="2" spans="1:15" ht="22.5" customHeight="1" x14ac:dyDescent="0.2">
      <c r="A2" s="38" t="s">
        <v>93</v>
      </c>
      <c r="B2" s="39" t="s">
        <v>149</v>
      </c>
      <c r="C2" s="68">
        <v>0</v>
      </c>
      <c r="D2" s="74">
        <v>15</v>
      </c>
      <c r="E2" s="43" t="s">
        <v>150</v>
      </c>
      <c r="F2" s="42">
        <v>199200</v>
      </c>
      <c r="G2" s="74">
        <v>15</v>
      </c>
      <c r="H2" s="44">
        <v>13280</v>
      </c>
      <c r="I2" s="45">
        <v>8</v>
      </c>
      <c r="J2" s="46">
        <v>7</v>
      </c>
      <c r="K2" s="47">
        <v>92960</v>
      </c>
      <c r="L2" s="48">
        <v>106240</v>
      </c>
    </row>
    <row r="3" spans="1:15" ht="22.5" customHeight="1" x14ac:dyDescent="0.2">
      <c r="A3" s="16">
        <v>45811</v>
      </c>
      <c r="B3" s="15" t="s">
        <v>151</v>
      </c>
      <c r="C3" s="14">
        <v>7</v>
      </c>
      <c r="D3" s="14">
        <v>12</v>
      </c>
      <c r="E3" s="14" t="s">
        <v>152</v>
      </c>
      <c r="F3" s="42">
        <v>159600</v>
      </c>
      <c r="G3" s="74">
        <v>19</v>
      </c>
      <c r="H3" s="17">
        <v>13292.63</v>
      </c>
      <c r="I3" s="45">
        <v>19</v>
      </c>
      <c r="J3" s="54">
        <v>0</v>
      </c>
      <c r="K3" s="47">
        <v>0</v>
      </c>
      <c r="L3" s="48">
        <v>252560</v>
      </c>
    </row>
    <row r="4" spans="1:15" ht="22.5" customHeight="1" x14ac:dyDescent="0.2">
      <c r="A4" s="16">
        <v>45661</v>
      </c>
      <c r="B4" s="15" t="s">
        <v>153</v>
      </c>
      <c r="C4" s="14">
        <v>0</v>
      </c>
      <c r="D4" s="14">
        <v>12</v>
      </c>
      <c r="E4" s="14" t="s">
        <v>154</v>
      </c>
      <c r="F4" s="53">
        <v>161800</v>
      </c>
      <c r="G4" s="76">
        <v>12</v>
      </c>
      <c r="H4" s="17">
        <v>13483.33</v>
      </c>
      <c r="I4" s="56"/>
      <c r="J4" s="57"/>
      <c r="K4" s="58"/>
      <c r="L4" s="58"/>
    </row>
    <row r="5" spans="1:15" ht="22.5" customHeight="1" x14ac:dyDescent="0.2">
      <c r="A5" s="16" t="s">
        <v>155</v>
      </c>
      <c r="B5" s="15" t="s">
        <v>156</v>
      </c>
      <c r="C5" s="14">
        <v>12</v>
      </c>
      <c r="D5" s="14">
        <v>11</v>
      </c>
      <c r="E5" s="14" t="s">
        <v>157</v>
      </c>
      <c r="F5" s="53">
        <v>147800</v>
      </c>
      <c r="G5" s="76">
        <v>23</v>
      </c>
      <c r="H5" s="17">
        <v>13460.87</v>
      </c>
      <c r="I5" s="56"/>
      <c r="J5" s="57"/>
      <c r="K5" s="58"/>
      <c r="L5" s="58"/>
    </row>
    <row r="6" spans="1:15" ht="22.5" customHeight="1" x14ac:dyDescent="0.2">
      <c r="A6" s="16" t="s">
        <v>158</v>
      </c>
      <c r="B6" s="15" t="s">
        <v>159</v>
      </c>
      <c r="C6" s="14">
        <v>23</v>
      </c>
      <c r="D6" s="14">
        <v>12</v>
      </c>
      <c r="E6" s="14" t="s">
        <v>160</v>
      </c>
      <c r="F6" s="53">
        <v>162800</v>
      </c>
      <c r="G6" s="76">
        <v>35</v>
      </c>
      <c r="H6" s="17">
        <v>13497.14</v>
      </c>
      <c r="I6" s="45">
        <v>27</v>
      </c>
      <c r="J6" s="54">
        <v>8</v>
      </c>
      <c r="K6" s="47">
        <v>107977.14</v>
      </c>
      <c r="L6" s="48">
        <v>364422.86</v>
      </c>
    </row>
    <row r="7" spans="1:15" ht="22.5" customHeight="1" x14ac:dyDescent="0.2">
      <c r="A7" s="16" t="s">
        <v>161</v>
      </c>
      <c r="B7" s="15" t="s">
        <v>162</v>
      </c>
      <c r="C7" s="14">
        <v>8</v>
      </c>
      <c r="D7" s="14">
        <v>4</v>
      </c>
      <c r="E7" s="14" t="s">
        <v>163</v>
      </c>
      <c r="F7" s="53">
        <v>64000</v>
      </c>
      <c r="G7" s="76">
        <v>12</v>
      </c>
      <c r="H7" s="17">
        <v>14331.43</v>
      </c>
      <c r="I7" s="56"/>
      <c r="J7" s="57"/>
      <c r="K7" s="58"/>
      <c r="L7" s="58"/>
    </row>
    <row r="8" spans="1:15" ht="22.5" customHeight="1" x14ac:dyDescent="0.2">
      <c r="A8" s="16" t="s">
        <v>164</v>
      </c>
      <c r="B8" s="15" t="s">
        <v>165</v>
      </c>
      <c r="C8" s="14">
        <v>12</v>
      </c>
      <c r="D8" s="14">
        <v>2</v>
      </c>
      <c r="E8" s="14" t="s">
        <v>166</v>
      </c>
      <c r="F8" s="53">
        <v>22000</v>
      </c>
      <c r="G8" s="76">
        <v>14</v>
      </c>
      <c r="H8" s="17">
        <v>13855.51</v>
      </c>
      <c r="I8" s="56"/>
      <c r="J8" s="57"/>
      <c r="K8" s="58"/>
      <c r="L8" s="58"/>
    </row>
    <row r="9" spans="1:15" ht="22.5" customHeight="1" x14ac:dyDescent="0.2">
      <c r="A9" s="16" t="s">
        <v>100</v>
      </c>
      <c r="B9" s="15" t="s">
        <v>167</v>
      </c>
      <c r="C9" s="14">
        <v>14</v>
      </c>
      <c r="D9" s="14">
        <v>8</v>
      </c>
      <c r="E9" s="14" t="s">
        <v>166</v>
      </c>
      <c r="F9" s="53">
        <v>88000</v>
      </c>
      <c r="G9" s="76">
        <v>22</v>
      </c>
      <c r="H9" s="17">
        <v>12817.14</v>
      </c>
      <c r="I9" s="56"/>
      <c r="J9" s="57"/>
      <c r="K9" s="58"/>
      <c r="L9" s="58"/>
    </row>
    <row r="10" spans="1:15" ht="22.5" customHeight="1" x14ac:dyDescent="0.2">
      <c r="A10" s="16" t="s">
        <v>168</v>
      </c>
      <c r="B10" s="15" t="s">
        <v>169</v>
      </c>
      <c r="C10" s="14">
        <v>22</v>
      </c>
      <c r="D10" s="14">
        <v>10</v>
      </c>
      <c r="E10" s="14" t="s">
        <v>170</v>
      </c>
      <c r="F10" s="53">
        <v>86000</v>
      </c>
      <c r="G10" s="76">
        <v>32</v>
      </c>
      <c r="H10" s="17">
        <v>11499.29</v>
      </c>
      <c r="I10" s="56"/>
      <c r="J10" s="57"/>
      <c r="K10" s="58"/>
      <c r="L10" s="58"/>
    </row>
    <row r="11" spans="1:15" ht="22.5" customHeight="1" x14ac:dyDescent="0.2">
      <c r="A11" s="16" t="s">
        <v>59</v>
      </c>
      <c r="B11" s="15" t="s">
        <v>171</v>
      </c>
      <c r="C11" s="14">
        <v>32</v>
      </c>
      <c r="D11" s="14">
        <v>14</v>
      </c>
      <c r="E11" s="14" t="s">
        <v>172</v>
      </c>
      <c r="F11" s="53">
        <v>122000</v>
      </c>
      <c r="G11" s="76">
        <v>46</v>
      </c>
      <c r="H11" s="17">
        <v>10651.68</v>
      </c>
      <c r="I11" s="45">
        <v>36</v>
      </c>
      <c r="J11" s="54">
        <v>10</v>
      </c>
      <c r="K11" s="47">
        <v>106516.77</v>
      </c>
      <c r="L11" s="48">
        <v>383460.37</v>
      </c>
    </row>
    <row r="12" spans="1:15" ht="22.5" customHeight="1" x14ac:dyDescent="0.2">
      <c r="A12" s="16" t="s">
        <v>173</v>
      </c>
      <c r="B12" s="15" t="s">
        <v>174</v>
      </c>
      <c r="C12" s="14">
        <v>10</v>
      </c>
      <c r="D12" s="14">
        <v>12</v>
      </c>
      <c r="E12" s="14" t="s">
        <v>175</v>
      </c>
      <c r="F12" s="53">
        <v>117000</v>
      </c>
      <c r="G12" s="76">
        <v>22</v>
      </c>
      <c r="H12" s="17">
        <v>10159.85</v>
      </c>
      <c r="I12" s="56">
        <v>21</v>
      </c>
      <c r="J12" s="57">
        <v>1</v>
      </c>
      <c r="K12" s="58">
        <v>10159.85</v>
      </c>
      <c r="L12" s="58">
        <v>213356.92</v>
      </c>
    </row>
    <row r="13" spans="1:15" ht="22.5" customHeight="1" x14ac:dyDescent="0.2">
      <c r="A13" s="16">
        <v>45876</v>
      </c>
      <c r="B13" s="15" t="s">
        <v>176</v>
      </c>
      <c r="C13" s="14">
        <v>1</v>
      </c>
      <c r="D13" s="14">
        <v>10</v>
      </c>
      <c r="E13" s="14" t="s">
        <v>177</v>
      </c>
      <c r="F13" s="53">
        <v>135000</v>
      </c>
      <c r="G13" s="76">
        <v>11</v>
      </c>
      <c r="H13" s="17">
        <v>13196.35</v>
      </c>
      <c r="I13" s="56">
        <v>8</v>
      </c>
      <c r="J13" s="57">
        <v>3</v>
      </c>
      <c r="K13" s="58">
        <v>39589.050000000003</v>
      </c>
      <c r="L13" s="58">
        <v>105570.8</v>
      </c>
    </row>
    <row r="14" spans="1:15" ht="22.5" customHeight="1" x14ac:dyDescent="0.2">
      <c r="A14" s="16" t="s">
        <v>74</v>
      </c>
      <c r="B14" s="15" t="s">
        <v>67</v>
      </c>
      <c r="C14" s="14">
        <v>3</v>
      </c>
      <c r="D14" s="14">
        <v>0</v>
      </c>
      <c r="E14" s="14"/>
      <c r="F14" s="53">
        <v>0</v>
      </c>
      <c r="G14" s="76">
        <v>3</v>
      </c>
      <c r="H14" s="17">
        <v>13196.35</v>
      </c>
      <c r="I14" s="56">
        <v>0</v>
      </c>
      <c r="J14" s="57">
        <v>3</v>
      </c>
      <c r="K14" s="58">
        <v>39589.050000000003</v>
      </c>
      <c r="L14" s="58">
        <v>0</v>
      </c>
    </row>
    <row r="15" spans="1:15" ht="22.5" customHeight="1" x14ac:dyDescent="0.2">
      <c r="A15" s="16" t="s">
        <v>105</v>
      </c>
      <c r="B15" s="15" t="s">
        <v>178</v>
      </c>
      <c r="C15" s="14">
        <v>3</v>
      </c>
      <c r="D15" s="14">
        <v>20</v>
      </c>
      <c r="E15" s="14" t="s">
        <v>179</v>
      </c>
      <c r="F15" s="53">
        <v>265000</v>
      </c>
      <c r="G15" s="76">
        <v>23</v>
      </c>
      <c r="H15" s="17">
        <v>13243</v>
      </c>
      <c r="I15" s="56">
        <v>13</v>
      </c>
      <c r="J15" s="57">
        <v>10</v>
      </c>
      <c r="K15" s="58">
        <v>132430.01999999999</v>
      </c>
      <c r="L15" s="58">
        <v>172159.03</v>
      </c>
    </row>
    <row r="16" spans="1:15" ht="22.5" customHeight="1" x14ac:dyDescent="0.2">
      <c r="A16" s="16" t="s">
        <v>54</v>
      </c>
      <c r="B16" s="15" t="s">
        <v>180</v>
      </c>
      <c r="C16" s="14">
        <v>10</v>
      </c>
      <c r="D16" s="14">
        <v>11</v>
      </c>
      <c r="E16" s="14" t="s">
        <v>181</v>
      </c>
      <c r="F16" s="53">
        <v>154700</v>
      </c>
      <c r="G16" s="76">
        <v>21</v>
      </c>
      <c r="H16" s="17">
        <v>13672.86</v>
      </c>
      <c r="I16" s="56">
        <v>14</v>
      </c>
      <c r="J16" s="57">
        <v>7</v>
      </c>
      <c r="K16" s="58">
        <v>95710.01</v>
      </c>
      <c r="L16" s="58">
        <v>191420.01</v>
      </c>
    </row>
    <row r="17" spans="1:12" ht="22.5" customHeight="1" x14ac:dyDescent="0.2">
      <c r="A17" s="16"/>
      <c r="B17" s="15"/>
      <c r="C17" s="14"/>
      <c r="D17" s="14"/>
      <c r="E17" s="14"/>
      <c r="F17" s="53"/>
      <c r="G17" s="76"/>
      <c r="H17" s="17"/>
      <c r="I17" s="56"/>
      <c r="J17" s="57"/>
      <c r="K17" s="58"/>
      <c r="L17" s="58"/>
    </row>
    <row r="18" spans="1:12" ht="22.5" customHeight="1" x14ac:dyDescent="0.2">
      <c r="A18" s="16"/>
      <c r="B18" s="15"/>
      <c r="C18" s="14"/>
      <c r="D18" s="14"/>
      <c r="E18" s="14"/>
      <c r="F18" s="53"/>
      <c r="G18" s="76"/>
      <c r="H18" s="17"/>
      <c r="I18" s="56"/>
      <c r="J18" s="57"/>
      <c r="K18" s="58"/>
      <c r="L18" s="58"/>
    </row>
    <row r="19" spans="1:12" ht="22.5" customHeight="1" x14ac:dyDescent="0.2">
      <c r="A19" s="16"/>
      <c r="B19" s="15"/>
      <c r="C19" s="14"/>
      <c r="D19" s="14"/>
      <c r="E19" s="14"/>
      <c r="F19" s="53"/>
      <c r="G19" s="76"/>
      <c r="H19" s="17"/>
      <c r="I19" s="56"/>
      <c r="J19" s="57"/>
      <c r="K19" s="58"/>
      <c r="L19" s="58"/>
    </row>
    <row r="20" spans="1:12" ht="22.5" customHeight="1" x14ac:dyDescent="0.2">
      <c r="A20" s="16"/>
      <c r="B20" s="15"/>
      <c r="C20" s="14"/>
      <c r="D20" s="14"/>
      <c r="E20" s="14"/>
      <c r="F20" s="53"/>
      <c r="G20" s="76"/>
      <c r="H20" s="17"/>
      <c r="I20" s="56"/>
      <c r="J20" s="57"/>
      <c r="K20" s="58"/>
      <c r="L20" s="58"/>
    </row>
    <row r="21" spans="1:12" ht="22.5" customHeight="1" x14ac:dyDescent="0.2">
      <c r="A21" s="16"/>
      <c r="B21" s="15"/>
      <c r="C21" s="14"/>
      <c r="D21" s="14"/>
      <c r="E21" s="14"/>
      <c r="F21" s="53"/>
      <c r="G21" s="76"/>
      <c r="H21" s="17"/>
      <c r="I21" s="56"/>
      <c r="J21" s="57"/>
      <c r="K21" s="58"/>
      <c r="L21" s="58"/>
    </row>
    <row r="22" spans="1:12" ht="22.5" customHeight="1" x14ac:dyDescent="0.2">
      <c r="A22" s="16"/>
      <c r="B22" s="15"/>
      <c r="C22" s="14"/>
      <c r="D22" s="14"/>
      <c r="E22" s="14"/>
      <c r="F22" s="53"/>
      <c r="G22" s="76"/>
      <c r="H22" s="17"/>
      <c r="I22" s="56"/>
      <c r="J22" s="57"/>
      <c r="K22" s="58"/>
      <c r="L22" s="58"/>
    </row>
    <row r="23" spans="1:12" ht="22.5" customHeight="1" x14ac:dyDescent="0.2">
      <c r="A23" s="16"/>
      <c r="B23" s="15"/>
      <c r="C23" s="14"/>
      <c r="D23" s="14"/>
      <c r="E23" s="14"/>
      <c r="F23" s="53"/>
      <c r="G23" s="76"/>
      <c r="H23" s="17"/>
      <c r="I23" s="56"/>
      <c r="J23" s="57"/>
      <c r="K23" s="58"/>
      <c r="L23" s="58"/>
    </row>
    <row r="24" spans="1:12" ht="22.5" customHeight="1" x14ac:dyDescent="0.2">
      <c r="A24" s="16"/>
      <c r="B24" s="15"/>
      <c r="C24" s="14"/>
      <c r="D24" s="14"/>
      <c r="E24" s="14"/>
      <c r="F24" s="53"/>
      <c r="G24" s="76"/>
      <c r="H24" s="17"/>
      <c r="I24" s="56"/>
      <c r="J24" s="57"/>
      <c r="K24" s="58"/>
      <c r="L24" s="58"/>
    </row>
    <row r="25" spans="1:12" ht="22.5" customHeight="1" x14ac:dyDescent="0.2">
      <c r="A25" s="16"/>
      <c r="B25" s="15"/>
      <c r="C25" s="14"/>
      <c r="D25" s="14"/>
      <c r="E25" s="14"/>
      <c r="F25" s="53"/>
      <c r="G25" s="76"/>
      <c r="H25" s="17"/>
      <c r="I25" s="56"/>
      <c r="J25" s="57"/>
      <c r="K25" s="58"/>
      <c r="L25" s="58"/>
    </row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A25" xr:uid="{00000000-0002-0000-0800-000000000000}">
      <formula1>OR(NOT(ISERROR(DATEVALUE(A2))), AND(ISNUMBER(A2), LEFT(CELL("format", A2))="D"))</formula1>
    </dataValidation>
    <dataValidation type="custom" allowBlank="1" showDropDown="1" sqref="C2:L25" xr:uid="{00000000-0002-0000-0800-000001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F2" sqref="F2"/>
    </sheetView>
  </sheetViews>
  <sheetFormatPr defaultColWidth="12.5703125" defaultRowHeight="15" customHeight="1" x14ac:dyDescent="0.2"/>
  <cols>
    <col min="1" max="1" width="12.5703125" customWidth="1"/>
    <col min="2" max="2" width="26.42578125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 t="str">
        <f>OB_Feb_2025!B8</f>
        <v>အဖုံ ပိတ်လိပ်</v>
      </c>
      <c r="O1" s="37">
        <f>OB_Feb_2025!A8</f>
        <v>12106</v>
      </c>
    </row>
    <row r="2" spans="1:15" ht="22.5" customHeight="1" x14ac:dyDescent="0.2">
      <c r="A2" s="38" t="s">
        <v>182</v>
      </c>
      <c r="B2" s="39" t="s">
        <v>183</v>
      </c>
      <c r="C2" s="68">
        <v>40</v>
      </c>
      <c r="D2" s="74">
        <v>65</v>
      </c>
      <c r="E2" s="43" t="s">
        <v>184</v>
      </c>
      <c r="F2" s="42">
        <v>11562986</v>
      </c>
      <c r="G2" s="74">
        <v>105</v>
      </c>
      <c r="H2" s="44">
        <v>180599.87</v>
      </c>
      <c r="I2" s="45">
        <v>30</v>
      </c>
      <c r="J2" s="60">
        <v>75</v>
      </c>
      <c r="K2" s="47">
        <v>13544990</v>
      </c>
      <c r="L2" s="48">
        <v>5417996</v>
      </c>
    </row>
    <row r="3" spans="1:15" ht="22.5" customHeight="1" x14ac:dyDescent="0.2">
      <c r="A3" s="16" t="s">
        <v>82</v>
      </c>
      <c r="B3" s="15" t="s">
        <v>185</v>
      </c>
      <c r="C3" s="14">
        <v>75</v>
      </c>
      <c r="D3" s="14">
        <v>8.32</v>
      </c>
      <c r="E3" s="14" t="s">
        <v>186</v>
      </c>
      <c r="F3" s="42">
        <v>1521700</v>
      </c>
      <c r="G3" s="74">
        <v>83.32</v>
      </c>
      <c r="H3" s="17">
        <v>180829.21</v>
      </c>
      <c r="I3" s="45">
        <v>36.32</v>
      </c>
      <c r="J3" s="63">
        <v>47</v>
      </c>
      <c r="K3" s="47">
        <v>8498973</v>
      </c>
      <c r="L3" s="48">
        <v>6567717</v>
      </c>
    </row>
    <row r="4" spans="1:15" ht="22.5" customHeight="1" x14ac:dyDescent="0.2">
      <c r="A4" s="16" t="s">
        <v>58</v>
      </c>
      <c r="B4" s="15" t="s">
        <v>67</v>
      </c>
      <c r="C4" s="14">
        <v>47</v>
      </c>
      <c r="D4" s="14">
        <v>0</v>
      </c>
      <c r="E4" s="14"/>
      <c r="F4" s="53">
        <v>0</v>
      </c>
      <c r="G4" s="76">
        <v>47</v>
      </c>
      <c r="H4" s="17">
        <v>180829.21</v>
      </c>
      <c r="I4" s="45">
        <v>18</v>
      </c>
      <c r="J4" s="63">
        <v>29</v>
      </c>
      <c r="K4" s="47">
        <v>5244047.17</v>
      </c>
      <c r="L4" s="48">
        <v>3254925.83</v>
      </c>
    </row>
    <row r="5" spans="1:15" ht="22.5" customHeight="1" x14ac:dyDescent="0.2">
      <c r="A5" s="16" t="s">
        <v>59</v>
      </c>
      <c r="B5" s="15" t="s">
        <v>187</v>
      </c>
      <c r="C5" s="14">
        <v>29</v>
      </c>
      <c r="D5" s="14">
        <v>65</v>
      </c>
      <c r="E5" s="14" t="s">
        <v>188</v>
      </c>
      <c r="F5" s="53">
        <v>13107000</v>
      </c>
      <c r="G5" s="76">
        <v>94</v>
      </c>
      <c r="H5" s="17">
        <v>195223.91</v>
      </c>
      <c r="I5" s="45">
        <v>46</v>
      </c>
      <c r="J5" s="63">
        <v>48</v>
      </c>
      <c r="K5" s="47">
        <v>9370747.4900000002</v>
      </c>
      <c r="L5" s="48">
        <v>8980299.6799999997</v>
      </c>
    </row>
    <row r="6" spans="1:15" ht="22.5" customHeight="1" x14ac:dyDescent="0.2">
      <c r="A6" s="16" t="s">
        <v>60</v>
      </c>
      <c r="B6" s="15" t="s">
        <v>67</v>
      </c>
      <c r="C6" s="14">
        <v>48</v>
      </c>
      <c r="D6" s="14">
        <v>0</v>
      </c>
      <c r="E6" s="14"/>
      <c r="F6" s="53">
        <v>0</v>
      </c>
      <c r="G6" s="76">
        <v>48</v>
      </c>
      <c r="H6" s="17">
        <v>195223.91</v>
      </c>
      <c r="I6" s="56">
        <v>25</v>
      </c>
      <c r="J6" s="64">
        <v>23</v>
      </c>
      <c r="K6" s="58">
        <v>4490149.84</v>
      </c>
      <c r="L6" s="58">
        <v>4880597.6500000004</v>
      </c>
    </row>
    <row r="7" spans="1:15" ht="22.5" customHeight="1" x14ac:dyDescent="0.2">
      <c r="A7" s="16" t="s">
        <v>61</v>
      </c>
      <c r="B7" s="15" t="s">
        <v>67</v>
      </c>
      <c r="C7" s="14">
        <v>23</v>
      </c>
      <c r="D7" s="14">
        <v>0</v>
      </c>
      <c r="E7" s="14"/>
      <c r="F7" s="53">
        <v>0</v>
      </c>
      <c r="G7" s="76">
        <v>23</v>
      </c>
      <c r="H7" s="17">
        <v>195223.91</v>
      </c>
      <c r="I7" s="56">
        <v>17</v>
      </c>
      <c r="J7" s="64">
        <v>6</v>
      </c>
      <c r="K7" s="58">
        <v>1171343.44</v>
      </c>
      <c r="L7" s="58">
        <v>3318806.4</v>
      </c>
    </row>
    <row r="8" spans="1:15" ht="22.5" customHeight="1" x14ac:dyDescent="0.2">
      <c r="A8" s="16" t="s">
        <v>74</v>
      </c>
      <c r="B8" s="15" t="s">
        <v>189</v>
      </c>
      <c r="C8" s="14">
        <v>6</v>
      </c>
      <c r="D8" s="14">
        <v>66</v>
      </c>
      <c r="E8" s="14" t="s">
        <v>190</v>
      </c>
      <c r="F8" s="53">
        <v>11259000</v>
      </c>
      <c r="G8" s="76">
        <v>72</v>
      </c>
      <c r="H8" s="17">
        <v>172643.66</v>
      </c>
      <c r="I8" s="56">
        <v>14</v>
      </c>
      <c r="J8" s="64">
        <v>58</v>
      </c>
      <c r="K8" s="58">
        <v>10013332.210000001</v>
      </c>
      <c r="L8" s="58">
        <v>2417011.2200000002</v>
      </c>
    </row>
    <row r="9" spans="1:15" ht="22.5" customHeight="1" x14ac:dyDescent="0.2">
      <c r="A9" s="16" t="s">
        <v>63</v>
      </c>
      <c r="B9" s="15" t="s">
        <v>67</v>
      </c>
      <c r="C9" s="14">
        <v>58</v>
      </c>
      <c r="D9" s="14">
        <v>0</v>
      </c>
      <c r="E9" s="14"/>
      <c r="F9" s="53">
        <v>0</v>
      </c>
      <c r="G9" s="76">
        <v>58</v>
      </c>
      <c r="H9" s="17">
        <v>172643.66</v>
      </c>
      <c r="I9" s="56">
        <v>7</v>
      </c>
      <c r="J9" s="64">
        <v>51</v>
      </c>
      <c r="K9" s="58">
        <v>8804826.5999999996</v>
      </c>
      <c r="L9" s="58">
        <v>1208505.6100000001</v>
      </c>
    </row>
    <row r="10" spans="1:15" ht="22.5" customHeight="1" x14ac:dyDescent="0.2">
      <c r="A10" s="16" t="s">
        <v>55</v>
      </c>
      <c r="B10" s="15" t="s">
        <v>67</v>
      </c>
      <c r="C10" s="14">
        <v>51</v>
      </c>
      <c r="D10" s="14">
        <v>0</v>
      </c>
      <c r="E10" s="14"/>
      <c r="F10" s="53">
        <v>0</v>
      </c>
      <c r="G10" s="76">
        <v>51</v>
      </c>
      <c r="H10" s="17">
        <v>172643.66</v>
      </c>
      <c r="I10" s="56">
        <v>23</v>
      </c>
      <c r="J10" s="64">
        <v>28</v>
      </c>
      <c r="K10" s="58">
        <v>4834022.45</v>
      </c>
      <c r="L10" s="58">
        <v>3970804.15</v>
      </c>
    </row>
    <row r="11" spans="1:15" ht="22.5" customHeight="1" x14ac:dyDescent="0.2">
      <c r="A11" s="16"/>
      <c r="B11" s="15"/>
      <c r="C11" s="14"/>
      <c r="D11" s="14"/>
      <c r="E11" s="14"/>
      <c r="F11" s="53"/>
      <c r="G11" s="76"/>
      <c r="H11" s="17"/>
      <c r="I11" s="56"/>
      <c r="J11" s="64"/>
      <c r="K11" s="58"/>
      <c r="L11" s="58"/>
    </row>
    <row r="12" spans="1:15" ht="22.5" customHeight="1" x14ac:dyDescent="0.2">
      <c r="A12" s="16"/>
      <c r="B12" s="15"/>
      <c r="C12" s="14"/>
      <c r="D12" s="14"/>
      <c r="E12" s="14"/>
      <c r="F12" s="53"/>
      <c r="G12" s="76"/>
      <c r="H12" s="17"/>
      <c r="I12" s="56"/>
      <c r="J12" s="64"/>
      <c r="K12" s="58"/>
      <c r="L12" s="58"/>
    </row>
    <row r="13" spans="1:15" ht="22.5" customHeight="1" x14ac:dyDescent="0.2">
      <c r="A13" s="16"/>
      <c r="B13" s="15"/>
      <c r="C13" s="14"/>
      <c r="D13" s="14"/>
      <c r="E13" s="14"/>
      <c r="F13" s="53"/>
      <c r="G13" s="76"/>
      <c r="H13" s="17"/>
      <c r="I13" s="56"/>
      <c r="J13" s="64"/>
      <c r="K13" s="58"/>
      <c r="L13" s="58"/>
    </row>
    <row r="14" spans="1:15" ht="22.5" customHeight="1" x14ac:dyDescent="0.2">
      <c r="A14" s="16"/>
      <c r="B14" s="15"/>
      <c r="C14" s="14"/>
      <c r="D14" s="14"/>
      <c r="E14" s="14"/>
      <c r="F14" s="53"/>
      <c r="G14" s="76"/>
      <c r="H14" s="17"/>
      <c r="I14" s="56"/>
      <c r="J14" s="64"/>
      <c r="K14" s="58"/>
      <c r="L14" s="58"/>
    </row>
    <row r="15" spans="1:15" ht="22.5" customHeight="1" x14ac:dyDescent="0.2">
      <c r="A15" s="16"/>
      <c r="B15" s="15"/>
      <c r="C15" s="14"/>
      <c r="D15" s="14"/>
      <c r="E15" s="14"/>
      <c r="F15" s="53"/>
      <c r="G15" s="76"/>
      <c r="H15" s="17"/>
      <c r="I15" s="56"/>
      <c r="J15" s="64"/>
      <c r="K15" s="58"/>
      <c r="L15" s="58"/>
    </row>
    <row r="16" spans="1:15" ht="22.5" customHeight="1" x14ac:dyDescent="0.2">
      <c r="A16" s="16"/>
      <c r="B16" s="15"/>
      <c r="C16" s="14"/>
      <c r="D16" s="14"/>
      <c r="E16" s="14"/>
      <c r="F16" s="53"/>
      <c r="G16" s="76"/>
      <c r="H16" s="17"/>
      <c r="I16" s="56"/>
      <c r="J16" s="64"/>
      <c r="K16" s="58"/>
      <c r="L16" s="58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A16" xr:uid="{00000000-0002-0000-0900-000000000000}">
      <formula1>OR(NOT(ISERROR(DATEVALUE(A2))), AND(ISNUMBER(A2), LEFT(CELL("format", A2))="D"))</formula1>
    </dataValidation>
    <dataValidation type="custom" allowBlank="1" showDropDown="1" sqref="C2:L16" xr:uid="{00000000-0002-0000-0900-000001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7D93-7721-40EC-AF3D-73CC2EA519A9}">
  <sheetPr codeName="Sheet22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/>
    </sheetView>
  </sheetViews>
  <sheetFormatPr defaultColWidth="12.5703125" defaultRowHeight="15" customHeight="1" x14ac:dyDescent="0.2"/>
  <cols>
    <col min="1" max="1" width="12.5703125" customWidth="1"/>
    <col min="2" max="2" width="26.42578125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/>
      <c r="O1" s="37"/>
    </row>
    <row r="2" spans="1:15" ht="22.5" customHeight="1" x14ac:dyDescent="0.2">
      <c r="A2" s="38"/>
      <c r="B2" s="39"/>
      <c r="C2" s="68"/>
      <c r="D2" s="74"/>
      <c r="E2" s="43"/>
      <c r="F2" s="42"/>
      <c r="G2" s="74"/>
      <c r="H2" s="44"/>
      <c r="I2" s="45"/>
      <c r="J2" s="60"/>
      <c r="K2" s="47"/>
      <c r="L2" s="48"/>
    </row>
    <row r="3" spans="1:15" ht="22.5" customHeight="1" x14ac:dyDescent="0.2">
      <c r="A3" s="16"/>
      <c r="B3" s="15"/>
      <c r="C3" s="14"/>
      <c r="D3" s="14"/>
      <c r="E3" s="14"/>
      <c r="F3" s="42"/>
      <c r="G3" s="74"/>
      <c r="H3" s="17"/>
      <c r="I3" s="45"/>
      <c r="J3" s="63"/>
      <c r="K3" s="47"/>
      <c r="L3" s="48"/>
    </row>
    <row r="4" spans="1:15" ht="22.5" customHeight="1" x14ac:dyDescent="0.2">
      <c r="A4" s="16"/>
      <c r="B4" s="15"/>
      <c r="C4" s="14"/>
      <c r="D4" s="14"/>
      <c r="E4" s="14"/>
      <c r="F4" s="53"/>
      <c r="G4" s="76"/>
      <c r="H4" s="17"/>
      <c r="I4" s="45"/>
      <c r="J4" s="63"/>
      <c r="K4" s="47"/>
      <c r="L4" s="48"/>
    </row>
    <row r="5" spans="1:15" ht="22.5" customHeight="1" x14ac:dyDescent="0.2">
      <c r="A5" s="16"/>
      <c r="B5" s="15"/>
      <c r="C5" s="14"/>
      <c r="D5" s="14"/>
      <c r="E5" s="14"/>
      <c r="F5" s="53"/>
      <c r="G5" s="76"/>
      <c r="H5" s="17"/>
      <c r="I5" s="45"/>
      <c r="J5" s="63"/>
      <c r="K5" s="47"/>
      <c r="L5" s="48"/>
    </row>
    <row r="6" spans="1:15" ht="22.5" customHeight="1" x14ac:dyDescent="0.2">
      <c r="A6" s="16"/>
      <c r="B6" s="15"/>
      <c r="C6" s="14"/>
      <c r="D6" s="14"/>
      <c r="E6" s="14"/>
      <c r="F6" s="53"/>
      <c r="G6" s="76"/>
      <c r="H6" s="17"/>
      <c r="I6" s="56"/>
      <c r="J6" s="64"/>
      <c r="K6" s="58"/>
      <c r="L6" s="58"/>
    </row>
    <row r="7" spans="1:15" ht="22.5" customHeight="1" x14ac:dyDescent="0.2">
      <c r="A7" s="16"/>
      <c r="B7" s="15"/>
      <c r="C7" s="14"/>
      <c r="D7" s="14"/>
      <c r="E7" s="14"/>
      <c r="F7" s="53"/>
      <c r="G7" s="76"/>
      <c r="H7" s="17"/>
      <c r="I7" s="56"/>
      <c r="J7" s="64"/>
      <c r="K7" s="58"/>
      <c r="L7" s="58"/>
    </row>
    <row r="8" spans="1:15" ht="22.5" customHeight="1" x14ac:dyDescent="0.2">
      <c r="A8" s="16"/>
      <c r="B8" s="15"/>
      <c r="C8" s="14"/>
      <c r="D8" s="14"/>
      <c r="E8" s="14"/>
      <c r="F8" s="53"/>
      <c r="G8" s="76"/>
      <c r="H8" s="17"/>
      <c r="I8" s="56"/>
      <c r="J8" s="64"/>
      <c r="K8" s="58"/>
      <c r="L8" s="58"/>
    </row>
    <row r="9" spans="1:15" ht="22.5" customHeight="1" x14ac:dyDescent="0.2">
      <c r="A9" s="16"/>
      <c r="B9" s="15"/>
      <c r="C9" s="14"/>
      <c r="D9" s="14"/>
      <c r="E9" s="14"/>
      <c r="F9" s="53"/>
      <c r="G9" s="76"/>
      <c r="H9" s="17"/>
      <c r="I9" s="56"/>
      <c r="J9" s="64"/>
      <c r="K9" s="58"/>
      <c r="L9" s="58"/>
    </row>
    <row r="10" spans="1:15" ht="22.5" customHeight="1" x14ac:dyDescent="0.2">
      <c r="A10" s="16"/>
      <c r="B10" s="15"/>
      <c r="C10" s="14"/>
      <c r="D10" s="14"/>
      <c r="E10" s="14"/>
      <c r="F10" s="53"/>
      <c r="G10" s="76"/>
      <c r="H10" s="17"/>
      <c r="I10" s="56"/>
      <c r="J10" s="64"/>
      <c r="K10" s="58"/>
      <c r="L10" s="58"/>
    </row>
    <row r="11" spans="1:15" ht="22.5" customHeight="1" x14ac:dyDescent="0.2">
      <c r="A11" s="16"/>
      <c r="B11" s="15"/>
      <c r="C11" s="14"/>
      <c r="D11" s="14"/>
      <c r="E11" s="14"/>
      <c r="F11" s="53"/>
      <c r="G11" s="76"/>
      <c r="H11" s="17"/>
      <c r="I11" s="56"/>
      <c r="J11" s="64"/>
      <c r="K11" s="58"/>
      <c r="L11" s="58"/>
    </row>
    <row r="12" spans="1:15" ht="22.5" customHeight="1" x14ac:dyDescent="0.2">
      <c r="A12" s="16"/>
      <c r="B12" s="15"/>
      <c r="C12" s="14"/>
      <c r="D12" s="14"/>
      <c r="E12" s="14"/>
      <c r="F12" s="53"/>
      <c r="G12" s="76"/>
      <c r="H12" s="17"/>
      <c r="I12" s="56"/>
      <c r="J12" s="64"/>
      <c r="K12" s="58"/>
      <c r="L12" s="58"/>
    </row>
    <row r="13" spans="1:15" ht="22.5" customHeight="1" x14ac:dyDescent="0.2">
      <c r="A13" s="16"/>
      <c r="B13" s="15"/>
      <c r="C13" s="14"/>
      <c r="D13" s="14"/>
      <c r="E13" s="14"/>
      <c r="F13" s="53"/>
      <c r="G13" s="76"/>
      <c r="H13" s="17"/>
      <c r="I13" s="56"/>
      <c r="J13" s="64"/>
      <c r="K13" s="58"/>
      <c r="L13" s="58"/>
    </row>
    <row r="14" spans="1:15" ht="22.5" customHeight="1" x14ac:dyDescent="0.2">
      <c r="A14" s="16"/>
      <c r="B14" s="15"/>
      <c r="C14" s="14"/>
      <c r="D14" s="14"/>
      <c r="E14" s="14"/>
      <c r="F14" s="53"/>
      <c r="G14" s="76"/>
      <c r="H14" s="17"/>
      <c r="I14" s="56"/>
      <c r="J14" s="64"/>
      <c r="K14" s="58"/>
      <c r="L14" s="58"/>
    </row>
    <row r="15" spans="1:15" ht="22.5" customHeight="1" x14ac:dyDescent="0.2">
      <c r="A15" s="16"/>
      <c r="B15" s="15"/>
      <c r="C15" s="14"/>
      <c r="D15" s="14"/>
      <c r="E15" s="14"/>
      <c r="F15" s="53"/>
      <c r="G15" s="76"/>
      <c r="H15" s="17"/>
      <c r="I15" s="56"/>
      <c r="J15" s="64"/>
      <c r="K15" s="58"/>
      <c r="L15" s="58"/>
    </row>
    <row r="16" spans="1:15" ht="22.5" customHeight="1" x14ac:dyDescent="0.2">
      <c r="A16" s="16"/>
      <c r="B16" s="15"/>
      <c r="C16" s="14"/>
      <c r="D16" s="14"/>
      <c r="E16" s="14"/>
      <c r="F16" s="53"/>
      <c r="G16" s="76"/>
      <c r="H16" s="17"/>
      <c r="I16" s="56"/>
      <c r="J16" s="64"/>
      <c r="K16" s="58"/>
      <c r="L16" s="58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C2:L16" xr:uid="{459DB586-D4D4-4929-94FC-38803ED5CC2B}">
      <formula1>AND(ISNUMBER(C2),(NOT(OR(NOT(ISERROR(DATEVALUE(C2))), AND(ISNUMBER(C2), LEFT(CELL("format", C2))="D")))))</formula1>
    </dataValidation>
    <dataValidation type="custom" allowBlank="1" showDropDown="1" sqref="A2:A16" xr:uid="{110BE7C3-DDCE-49D6-A6B8-02D39703529F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012F-51CD-425C-8FB1-05FEFB89EC96}">
  <sheetPr codeName="Sheet23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N1" sqref="N1:O1"/>
    </sheetView>
  </sheetViews>
  <sheetFormatPr defaultColWidth="12.5703125" defaultRowHeight="15" customHeight="1" x14ac:dyDescent="0.2"/>
  <cols>
    <col min="1" max="1" width="12.5703125" customWidth="1"/>
    <col min="2" max="2" width="26.42578125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/>
      <c r="O1" s="37"/>
    </row>
    <row r="2" spans="1:15" ht="22.5" customHeight="1" x14ac:dyDescent="0.2">
      <c r="A2" s="38"/>
      <c r="B2" s="39"/>
      <c r="C2" s="68"/>
      <c r="D2" s="74"/>
      <c r="E2" s="43"/>
      <c r="F2" s="42"/>
      <c r="G2" s="74"/>
      <c r="H2" s="44"/>
      <c r="I2" s="45"/>
      <c r="J2" s="60"/>
      <c r="K2" s="47"/>
      <c r="L2" s="48"/>
    </row>
    <row r="3" spans="1:15" ht="22.5" customHeight="1" x14ac:dyDescent="0.2">
      <c r="A3" s="16"/>
      <c r="B3" s="15"/>
      <c r="C3" s="14"/>
      <c r="D3" s="14"/>
      <c r="E3" s="14"/>
      <c r="F3" s="42"/>
      <c r="G3" s="74"/>
      <c r="H3" s="17"/>
      <c r="I3" s="45"/>
      <c r="J3" s="63"/>
      <c r="K3" s="47"/>
      <c r="L3" s="48"/>
    </row>
    <row r="4" spans="1:15" ht="22.5" customHeight="1" x14ac:dyDescent="0.2">
      <c r="A4" s="16"/>
      <c r="B4" s="15"/>
      <c r="C4" s="14"/>
      <c r="D4" s="14"/>
      <c r="E4" s="14"/>
      <c r="F4" s="53"/>
      <c r="G4" s="76"/>
      <c r="H4" s="17"/>
      <c r="I4" s="45"/>
      <c r="J4" s="63"/>
      <c r="K4" s="47"/>
      <c r="L4" s="48"/>
    </row>
    <row r="5" spans="1:15" ht="22.5" customHeight="1" x14ac:dyDescent="0.2">
      <c r="A5" s="16"/>
      <c r="B5" s="15"/>
      <c r="C5" s="14"/>
      <c r="D5" s="14"/>
      <c r="E5" s="14"/>
      <c r="F5" s="53"/>
      <c r="G5" s="76"/>
      <c r="H5" s="17"/>
      <c r="I5" s="45"/>
      <c r="J5" s="63"/>
      <c r="K5" s="47"/>
      <c r="L5" s="48"/>
    </row>
    <row r="6" spans="1:15" ht="22.5" customHeight="1" x14ac:dyDescent="0.2">
      <c r="A6" s="16"/>
      <c r="B6" s="15"/>
      <c r="C6" s="14"/>
      <c r="D6" s="14"/>
      <c r="E6" s="14"/>
      <c r="F6" s="53"/>
      <c r="G6" s="76"/>
      <c r="H6" s="17"/>
      <c r="I6" s="56"/>
      <c r="J6" s="64"/>
      <c r="K6" s="58"/>
      <c r="L6" s="58"/>
    </row>
    <row r="7" spans="1:15" ht="22.5" customHeight="1" x14ac:dyDescent="0.2">
      <c r="A7" s="16"/>
      <c r="B7" s="15"/>
      <c r="C7" s="14"/>
      <c r="D7" s="14"/>
      <c r="E7" s="14"/>
      <c r="F7" s="53"/>
      <c r="G7" s="76"/>
      <c r="H7" s="17"/>
      <c r="I7" s="56"/>
      <c r="J7" s="64"/>
      <c r="K7" s="58"/>
      <c r="L7" s="58"/>
    </row>
    <row r="8" spans="1:15" ht="22.5" customHeight="1" x14ac:dyDescent="0.2">
      <c r="A8" s="16"/>
      <c r="B8" s="15"/>
      <c r="C8" s="14"/>
      <c r="D8" s="14"/>
      <c r="E8" s="14"/>
      <c r="F8" s="53"/>
      <c r="G8" s="76"/>
      <c r="H8" s="17"/>
      <c r="I8" s="56"/>
      <c r="J8" s="64"/>
      <c r="K8" s="58"/>
      <c r="L8" s="58"/>
    </row>
    <row r="9" spans="1:15" ht="22.5" customHeight="1" x14ac:dyDescent="0.2">
      <c r="A9" s="16"/>
      <c r="B9" s="15"/>
      <c r="C9" s="14"/>
      <c r="D9" s="14"/>
      <c r="E9" s="14"/>
      <c r="F9" s="53"/>
      <c r="G9" s="76"/>
      <c r="H9" s="17"/>
      <c r="I9" s="56"/>
      <c r="J9" s="64"/>
      <c r="K9" s="58"/>
      <c r="L9" s="58"/>
    </row>
    <row r="10" spans="1:15" ht="22.5" customHeight="1" x14ac:dyDescent="0.2">
      <c r="A10" s="16"/>
      <c r="B10" s="15"/>
      <c r="C10" s="14"/>
      <c r="D10" s="14"/>
      <c r="E10" s="14"/>
      <c r="F10" s="53"/>
      <c r="G10" s="76"/>
      <c r="H10" s="17"/>
      <c r="I10" s="56"/>
      <c r="J10" s="64"/>
      <c r="K10" s="58"/>
      <c r="L10" s="58"/>
    </row>
    <row r="11" spans="1:15" ht="22.5" customHeight="1" x14ac:dyDescent="0.2">
      <c r="A11" s="16"/>
      <c r="B11" s="15"/>
      <c r="C11" s="14"/>
      <c r="D11" s="14"/>
      <c r="E11" s="14"/>
      <c r="F11" s="53"/>
      <c r="G11" s="76"/>
      <c r="H11" s="17"/>
      <c r="I11" s="56"/>
      <c r="J11" s="64"/>
      <c r="K11" s="58"/>
      <c r="L11" s="58"/>
    </row>
    <row r="12" spans="1:15" ht="22.5" customHeight="1" x14ac:dyDescent="0.2">
      <c r="A12" s="16"/>
      <c r="B12" s="15"/>
      <c r="C12" s="14"/>
      <c r="D12" s="14"/>
      <c r="E12" s="14"/>
      <c r="F12" s="53"/>
      <c r="G12" s="76"/>
      <c r="H12" s="17"/>
      <c r="I12" s="56"/>
      <c r="J12" s="64"/>
      <c r="K12" s="58"/>
      <c r="L12" s="58"/>
    </row>
    <row r="13" spans="1:15" ht="22.5" customHeight="1" x14ac:dyDescent="0.2">
      <c r="A13" s="16"/>
      <c r="B13" s="15"/>
      <c r="C13" s="14"/>
      <c r="D13" s="14"/>
      <c r="E13" s="14"/>
      <c r="F13" s="53"/>
      <c r="G13" s="76"/>
      <c r="H13" s="17"/>
      <c r="I13" s="56"/>
      <c r="J13" s="64"/>
      <c r="K13" s="58"/>
      <c r="L13" s="58"/>
    </row>
    <row r="14" spans="1:15" ht="22.5" customHeight="1" x14ac:dyDescent="0.2">
      <c r="A14" s="16"/>
      <c r="B14" s="15"/>
      <c r="C14" s="14"/>
      <c r="D14" s="14"/>
      <c r="E14" s="14"/>
      <c r="F14" s="53"/>
      <c r="G14" s="76"/>
      <c r="H14" s="17"/>
      <c r="I14" s="56"/>
      <c r="J14" s="64"/>
      <c r="K14" s="58"/>
      <c r="L14" s="58"/>
    </row>
    <row r="15" spans="1:15" ht="22.5" customHeight="1" x14ac:dyDescent="0.2">
      <c r="A15" s="16"/>
      <c r="B15" s="15"/>
      <c r="C15" s="14"/>
      <c r="D15" s="14"/>
      <c r="E15" s="14"/>
      <c r="F15" s="53"/>
      <c r="G15" s="76"/>
      <c r="H15" s="17"/>
      <c r="I15" s="56"/>
      <c r="J15" s="64"/>
      <c r="K15" s="58"/>
      <c r="L15" s="58"/>
    </row>
    <row r="16" spans="1:15" ht="22.5" customHeight="1" x14ac:dyDescent="0.2">
      <c r="A16" s="16"/>
      <c r="B16" s="15"/>
      <c r="C16" s="14"/>
      <c r="D16" s="14"/>
      <c r="E16" s="14"/>
      <c r="F16" s="53"/>
      <c r="G16" s="76"/>
      <c r="H16" s="17"/>
      <c r="I16" s="56"/>
      <c r="J16" s="64"/>
      <c r="K16" s="58"/>
      <c r="L16" s="58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A16" xr:uid="{27EF332D-73FD-4A65-BD89-1983649BC5C9}">
      <formula1>OR(NOT(ISERROR(DATEVALUE(A2))), AND(ISNUMBER(A2), LEFT(CELL("format", A2))="D"))</formula1>
    </dataValidation>
    <dataValidation type="custom" allowBlank="1" showDropDown="1" sqref="C2:L16" xr:uid="{4EE795C4-ED17-4E09-97BF-4FA8ADFCE089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93F0-562E-4A3E-AD67-40F89D3F2007}">
  <sheetPr codeName="Sheet24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N1" sqref="N1:O1"/>
    </sheetView>
  </sheetViews>
  <sheetFormatPr defaultColWidth="12.5703125" defaultRowHeight="15" customHeight="1" x14ac:dyDescent="0.2"/>
  <cols>
    <col min="1" max="1" width="12.5703125" customWidth="1"/>
    <col min="2" max="2" width="26.42578125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/>
      <c r="O1" s="37"/>
    </row>
    <row r="2" spans="1:15" ht="22.5" customHeight="1" x14ac:dyDescent="0.2">
      <c r="A2" s="38"/>
      <c r="B2" s="39"/>
      <c r="C2" s="68"/>
      <c r="D2" s="74"/>
      <c r="E2" s="43"/>
      <c r="F2" s="42"/>
      <c r="G2" s="74"/>
      <c r="H2" s="44"/>
      <c r="I2" s="45"/>
      <c r="J2" s="60"/>
      <c r="K2" s="47"/>
      <c r="L2" s="48"/>
    </row>
    <row r="3" spans="1:15" ht="22.5" customHeight="1" x14ac:dyDescent="0.2">
      <c r="A3" s="16"/>
      <c r="B3" s="15"/>
      <c r="C3" s="14"/>
      <c r="D3" s="14"/>
      <c r="E3" s="14"/>
      <c r="F3" s="42"/>
      <c r="G3" s="74"/>
      <c r="H3" s="17"/>
      <c r="I3" s="45"/>
      <c r="J3" s="63"/>
      <c r="K3" s="47"/>
      <c r="L3" s="48"/>
    </row>
    <row r="4" spans="1:15" ht="22.5" customHeight="1" x14ac:dyDescent="0.2">
      <c r="A4" s="16"/>
      <c r="B4" s="15"/>
      <c r="C4" s="14"/>
      <c r="D4" s="14"/>
      <c r="E4" s="14"/>
      <c r="F4" s="53"/>
      <c r="G4" s="76"/>
      <c r="H4" s="17"/>
      <c r="I4" s="45"/>
      <c r="J4" s="63"/>
      <c r="K4" s="47"/>
      <c r="L4" s="48"/>
    </row>
    <row r="5" spans="1:15" ht="22.5" customHeight="1" x14ac:dyDescent="0.2">
      <c r="A5" s="16"/>
      <c r="B5" s="15"/>
      <c r="C5" s="14"/>
      <c r="D5" s="14"/>
      <c r="E5" s="14"/>
      <c r="F5" s="53"/>
      <c r="G5" s="76"/>
      <c r="H5" s="17"/>
      <c r="I5" s="45"/>
      <c r="J5" s="63"/>
      <c r="K5" s="47"/>
      <c r="L5" s="48"/>
    </row>
    <row r="6" spans="1:15" ht="22.5" customHeight="1" x14ac:dyDescent="0.2">
      <c r="A6" s="16"/>
      <c r="B6" s="15"/>
      <c r="C6" s="14"/>
      <c r="D6" s="14"/>
      <c r="E6" s="14"/>
      <c r="F6" s="53"/>
      <c r="G6" s="76"/>
      <c r="H6" s="17"/>
      <c r="I6" s="56"/>
      <c r="J6" s="64"/>
      <c r="K6" s="58"/>
      <c r="L6" s="58"/>
    </row>
    <row r="7" spans="1:15" ht="22.5" customHeight="1" x14ac:dyDescent="0.2">
      <c r="A7" s="16"/>
      <c r="B7" s="15"/>
      <c r="C7" s="14"/>
      <c r="D7" s="14"/>
      <c r="E7" s="14"/>
      <c r="F7" s="53"/>
      <c r="G7" s="76"/>
      <c r="H7" s="17"/>
      <c r="I7" s="56"/>
      <c r="J7" s="64"/>
      <c r="K7" s="58"/>
      <c r="L7" s="58"/>
    </row>
    <row r="8" spans="1:15" ht="22.5" customHeight="1" x14ac:dyDescent="0.2">
      <c r="A8" s="16"/>
      <c r="B8" s="15"/>
      <c r="C8" s="14"/>
      <c r="D8" s="14"/>
      <c r="E8" s="14"/>
      <c r="F8" s="53"/>
      <c r="G8" s="76"/>
      <c r="H8" s="17"/>
      <c r="I8" s="56"/>
      <c r="J8" s="64"/>
      <c r="K8" s="58"/>
      <c r="L8" s="58"/>
    </row>
    <row r="9" spans="1:15" ht="22.5" customHeight="1" x14ac:dyDescent="0.2">
      <c r="A9" s="16"/>
      <c r="B9" s="15"/>
      <c r="C9" s="14"/>
      <c r="D9" s="14"/>
      <c r="E9" s="14"/>
      <c r="F9" s="53"/>
      <c r="G9" s="76"/>
      <c r="H9" s="17"/>
      <c r="I9" s="56"/>
      <c r="J9" s="64"/>
      <c r="K9" s="58"/>
      <c r="L9" s="58"/>
    </row>
    <row r="10" spans="1:15" ht="22.5" customHeight="1" x14ac:dyDescent="0.2">
      <c r="A10" s="16"/>
      <c r="B10" s="15"/>
      <c r="C10" s="14"/>
      <c r="D10" s="14"/>
      <c r="E10" s="14"/>
      <c r="F10" s="53"/>
      <c r="G10" s="76"/>
      <c r="H10" s="17"/>
      <c r="I10" s="56"/>
      <c r="J10" s="64"/>
      <c r="K10" s="58"/>
      <c r="L10" s="58"/>
    </row>
    <row r="11" spans="1:15" ht="22.5" customHeight="1" x14ac:dyDescent="0.2">
      <c r="A11" s="16"/>
      <c r="B11" s="15"/>
      <c r="C11" s="14"/>
      <c r="D11" s="14"/>
      <c r="E11" s="14"/>
      <c r="F11" s="53"/>
      <c r="G11" s="76"/>
      <c r="H11" s="17"/>
      <c r="I11" s="56"/>
      <c r="J11" s="64"/>
      <c r="K11" s="58"/>
      <c r="L11" s="58"/>
    </row>
    <row r="12" spans="1:15" ht="22.5" customHeight="1" x14ac:dyDescent="0.2">
      <c r="A12" s="16"/>
      <c r="B12" s="15"/>
      <c r="C12" s="14"/>
      <c r="D12" s="14"/>
      <c r="E12" s="14"/>
      <c r="F12" s="53"/>
      <c r="G12" s="76"/>
      <c r="H12" s="17"/>
      <c r="I12" s="56"/>
      <c r="J12" s="64"/>
      <c r="K12" s="58"/>
      <c r="L12" s="58"/>
    </row>
    <row r="13" spans="1:15" ht="22.5" customHeight="1" x14ac:dyDescent="0.2">
      <c r="A13" s="16"/>
      <c r="B13" s="15"/>
      <c r="C13" s="14"/>
      <c r="D13" s="14"/>
      <c r="E13" s="14"/>
      <c r="F13" s="53"/>
      <c r="G13" s="76"/>
      <c r="H13" s="17"/>
      <c r="I13" s="56"/>
      <c r="J13" s="64"/>
      <c r="K13" s="58"/>
      <c r="L13" s="58"/>
    </row>
    <row r="14" spans="1:15" ht="22.5" customHeight="1" x14ac:dyDescent="0.2">
      <c r="A14" s="16"/>
      <c r="B14" s="15"/>
      <c r="C14" s="14"/>
      <c r="D14" s="14"/>
      <c r="E14" s="14"/>
      <c r="F14" s="53"/>
      <c r="G14" s="76"/>
      <c r="H14" s="17"/>
      <c r="I14" s="56"/>
      <c r="J14" s="64"/>
      <c r="K14" s="58"/>
      <c r="L14" s="58"/>
    </row>
    <row r="15" spans="1:15" ht="22.5" customHeight="1" x14ac:dyDescent="0.2">
      <c r="A15" s="16"/>
      <c r="B15" s="15"/>
      <c r="C15" s="14"/>
      <c r="D15" s="14"/>
      <c r="E15" s="14"/>
      <c r="F15" s="53"/>
      <c r="G15" s="76"/>
      <c r="H15" s="17"/>
      <c r="I15" s="56"/>
      <c r="J15" s="64"/>
      <c r="K15" s="58"/>
      <c r="L15" s="58"/>
    </row>
    <row r="16" spans="1:15" ht="22.5" customHeight="1" x14ac:dyDescent="0.2">
      <c r="A16" s="16"/>
      <c r="B16" s="15"/>
      <c r="C16" s="14"/>
      <c r="D16" s="14"/>
      <c r="E16" s="14"/>
      <c r="F16" s="53"/>
      <c r="G16" s="76"/>
      <c r="H16" s="17"/>
      <c r="I16" s="56"/>
      <c r="J16" s="64"/>
      <c r="K16" s="58"/>
      <c r="L16" s="58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C2:L16" xr:uid="{FCF3203A-27FD-4C2E-83C8-228F91178C52}">
      <formula1>AND(ISNUMBER(C2),(NOT(OR(NOT(ISERROR(DATEVALUE(C2))), AND(ISNUMBER(C2), LEFT(CELL("format", C2))="D")))))</formula1>
    </dataValidation>
    <dataValidation type="custom" allowBlank="1" showDropDown="1" sqref="A2:A16" xr:uid="{9EF9062E-8165-4348-9B55-19D17865B99F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97F1-C4F1-4656-8996-4BEB0F243576}">
  <sheetPr codeName="Sheet25">
    <tabColor rgb="FFFFFF00"/>
    <outlinePr summaryBelow="0" summaryRight="0"/>
  </sheetPr>
  <dimension ref="A1:O1000"/>
  <sheetViews>
    <sheetView showGridLines="0" topLeftCell="L1" workbookViewId="0">
      <pane ySplit="1" topLeftCell="A2" activePane="bottomLeft" state="frozen"/>
      <selection pane="bottomLeft" activeCell="N1" sqref="N1:O1"/>
    </sheetView>
  </sheetViews>
  <sheetFormatPr defaultColWidth="12.5703125" defaultRowHeight="15" customHeight="1" x14ac:dyDescent="0.2"/>
  <cols>
    <col min="1" max="1" width="12.5703125" customWidth="1"/>
    <col min="2" max="2" width="26.42578125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/>
      <c r="O1" s="37"/>
    </row>
    <row r="2" spans="1:15" ht="22.5" customHeight="1" x14ac:dyDescent="0.2">
      <c r="A2" s="38"/>
      <c r="B2" s="39"/>
      <c r="C2" s="68"/>
      <c r="D2" s="74"/>
      <c r="E2" s="43"/>
      <c r="F2" s="42"/>
      <c r="G2" s="74"/>
      <c r="H2" s="44"/>
      <c r="I2" s="45"/>
      <c r="J2" s="60"/>
      <c r="K2" s="47"/>
      <c r="L2" s="48"/>
    </row>
    <row r="3" spans="1:15" ht="22.5" customHeight="1" x14ac:dyDescent="0.2">
      <c r="A3" s="16"/>
      <c r="B3" s="15"/>
      <c r="C3" s="14"/>
      <c r="D3" s="14"/>
      <c r="E3" s="14"/>
      <c r="F3" s="42"/>
      <c r="G3" s="74"/>
      <c r="H3" s="17"/>
      <c r="I3" s="45"/>
      <c r="J3" s="63"/>
      <c r="K3" s="47"/>
      <c r="L3" s="48"/>
    </row>
    <row r="4" spans="1:15" ht="22.5" customHeight="1" x14ac:dyDescent="0.2">
      <c r="A4" s="16"/>
      <c r="B4" s="15"/>
      <c r="C4" s="14"/>
      <c r="D4" s="14"/>
      <c r="E4" s="14"/>
      <c r="F4" s="53"/>
      <c r="G4" s="76"/>
      <c r="H4" s="17"/>
      <c r="I4" s="45"/>
      <c r="J4" s="63"/>
      <c r="K4" s="47"/>
      <c r="L4" s="48"/>
    </row>
    <row r="5" spans="1:15" ht="22.5" customHeight="1" x14ac:dyDescent="0.2">
      <c r="A5" s="16"/>
      <c r="B5" s="15"/>
      <c r="C5" s="14"/>
      <c r="D5" s="14"/>
      <c r="E5" s="14"/>
      <c r="F5" s="53"/>
      <c r="G5" s="76"/>
      <c r="H5" s="17"/>
      <c r="I5" s="45"/>
      <c r="J5" s="63"/>
      <c r="K5" s="47"/>
      <c r="L5" s="48"/>
    </row>
    <row r="6" spans="1:15" ht="22.5" customHeight="1" x14ac:dyDescent="0.2">
      <c r="A6" s="16"/>
      <c r="B6" s="15"/>
      <c r="C6" s="14"/>
      <c r="D6" s="14"/>
      <c r="E6" s="14"/>
      <c r="F6" s="53"/>
      <c r="G6" s="76"/>
      <c r="H6" s="17"/>
      <c r="I6" s="56"/>
      <c r="J6" s="64"/>
      <c r="K6" s="58"/>
      <c r="L6" s="58"/>
    </row>
    <row r="7" spans="1:15" ht="22.5" customHeight="1" x14ac:dyDescent="0.2">
      <c r="A7" s="16"/>
      <c r="B7" s="15"/>
      <c r="C7" s="14"/>
      <c r="D7" s="14"/>
      <c r="E7" s="14"/>
      <c r="F7" s="53"/>
      <c r="G7" s="76"/>
      <c r="H7" s="17"/>
      <c r="I7" s="56"/>
      <c r="J7" s="64"/>
      <c r="K7" s="58"/>
      <c r="L7" s="58"/>
    </row>
    <row r="8" spans="1:15" ht="22.5" customHeight="1" x14ac:dyDescent="0.2">
      <c r="A8" s="16"/>
      <c r="B8" s="15"/>
      <c r="C8" s="14"/>
      <c r="D8" s="14"/>
      <c r="E8" s="14"/>
      <c r="F8" s="53"/>
      <c r="G8" s="76"/>
      <c r="H8" s="17"/>
      <c r="I8" s="56"/>
      <c r="J8" s="64"/>
      <c r="K8" s="58"/>
      <c r="L8" s="58"/>
    </row>
    <row r="9" spans="1:15" ht="22.5" customHeight="1" x14ac:dyDescent="0.2">
      <c r="A9" s="16"/>
      <c r="B9" s="15"/>
      <c r="C9" s="14"/>
      <c r="D9" s="14"/>
      <c r="E9" s="14"/>
      <c r="F9" s="53"/>
      <c r="G9" s="76"/>
      <c r="H9" s="17"/>
      <c r="I9" s="56"/>
      <c r="J9" s="64"/>
      <c r="K9" s="58"/>
      <c r="L9" s="58"/>
    </row>
    <row r="10" spans="1:15" ht="22.5" customHeight="1" x14ac:dyDescent="0.2">
      <c r="A10" s="16"/>
      <c r="B10" s="15"/>
      <c r="C10" s="14"/>
      <c r="D10" s="14"/>
      <c r="E10" s="14"/>
      <c r="F10" s="53"/>
      <c r="G10" s="76"/>
      <c r="H10" s="17"/>
      <c r="I10" s="56"/>
      <c r="J10" s="64"/>
      <c r="K10" s="58"/>
      <c r="L10" s="58"/>
    </row>
    <row r="11" spans="1:15" ht="22.5" customHeight="1" x14ac:dyDescent="0.2">
      <c r="A11" s="16"/>
      <c r="B11" s="15"/>
      <c r="C11" s="14"/>
      <c r="D11" s="14"/>
      <c r="E11" s="14"/>
      <c r="F11" s="53"/>
      <c r="G11" s="76"/>
      <c r="H11" s="17"/>
      <c r="I11" s="56"/>
      <c r="J11" s="64"/>
      <c r="K11" s="58"/>
      <c r="L11" s="58"/>
    </row>
    <row r="12" spans="1:15" ht="22.5" customHeight="1" x14ac:dyDescent="0.2">
      <c r="A12" s="16"/>
      <c r="B12" s="15"/>
      <c r="C12" s="14"/>
      <c r="D12" s="14"/>
      <c r="E12" s="14"/>
      <c r="F12" s="53"/>
      <c r="G12" s="76"/>
      <c r="H12" s="17"/>
      <c r="I12" s="56"/>
      <c r="J12" s="64"/>
      <c r="K12" s="58"/>
      <c r="L12" s="58"/>
    </row>
    <row r="13" spans="1:15" ht="22.5" customHeight="1" x14ac:dyDescent="0.2">
      <c r="A13" s="16"/>
      <c r="B13" s="15"/>
      <c r="C13" s="14"/>
      <c r="D13" s="14"/>
      <c r="E13" s="14"/>
      <c r="F13" s="53"/>
      <c r="G13" s="76"/>
      <c r="H13" s="17"/>
      <c r="I13" s="56"/>
      <c r="J13" s="64"/>
      <c r="K13" s="58"/>
      <c r="L13" s="58"/>
    </row>
    <row r="14" spans="1:15" ht="22.5" customHeight="1" x14ac:dyDescent="0.2">
      <c r="A14" s="16"/>
      <c r="B14" s="15"/>
      <c r="C14" s="14"/>
      <c r="D14" s="14"/>
      <c r="E14" s="14"/>
      <c r="F14" s="53"/>
      <c r="G14" s="76"/>
      <c r="H14" s="17"/>
      <c r="I14" s="56"/>
      <c r="J14" s="64"/>
      <c r="K14" s="58"/>
      <c r="L14" s="58"/>
    </row>
    <row r="15" spans="1:15" ht="22.5" customHeight="1" x14ac:dyDescent="0.2">
      <c r="A15" s="16"/>
      <c r="B15" s="15"/>
      <c r="C15" s="14"/>
      <c r="D15" s="14"/>
      <c r="E15" s="14"/>
      <c r="F15" s="53"/>
      <c r="G15" s="76"/>
      <c r="H15" s="17"/>
      <c r="I15" s="56"/>
      <c r="J15" s="64"/>
      <c r="K15" s="58"/>
      <c r="L15" s="58"/>
    </row>
    <row r="16" spans="1:15" ht="22.5" customHeight="1" x14ac:dyDescent="0.2">
      <c r="A16" s="16"/>
      <c r="B16" s="15"/>
      <c r="C16" s="14"/>
      <c r="D16" s="14"/>
      <c r="E16" s="14"/>
      <c r="F16" s="53"/>
      <c r="G16" s="76"/>
      <c r="H16" s="17"/>
      <c r="I16" s="56"/>
      <c r="J16" s="64"/>
      <c r="K16" s="58"/>
      <c r="L16" s="58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A16" xr:uid="{85C0848A-FA15-44F9-854E-1616FEDA3BC3}">
      <formula1>OR(NOT(ISERROR(DATEVALUE(A2))), AND(ISNUMBER(A2), LEFT(CELL("format", A2))="D"))</formula1>
    </dataValidation>
    <dataValidation type="custom" allowBlank="1" showDropDown="1" sqref="C2:L16" xr:uid="{00780D26-2517-44B5-AD77-D5EF6D45A308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4957-B5C6-4C22-A61B-9B8D10F03D1E}">
  <sheetPr codeName="Sheet26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N1" sqref="N1:O1"/>
    </sheetView>
  </sheetViews>
  <sheetFormatPr defaultColWidth="12.5703125" defaultRowHeight="15" customHeight="1" x14ac:dyDescent="0.2"/>
  <cols>
    <col min="1" max="1" width="12.5703125" customWidth="1"/>
    <col min="2" max="2" width="26.42578125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/>
      <c r="O1" s="37"/>
    </row>
    <row r="2" spans="1:15" ht="22.5" customHeight="1" x14ac:dyDescent="0.2">
      <c r="A2" s="38"/>
      <c r="B2" s="39"/>
      <c r="C2" s="68"/>
      <c r="D2" s="74"/>
      <c r="E2" s="43"/>
      <c r="F2" s="42"/>
      <c r="G2" s="74"/>
      <c r="H2" s="44"/>
      <c r="I2" s="45"/>
      <c r="J2" s="60"/>
      <c r="K2" s="47"/>
      <c r="L2" s="48"/>
    </row>
    <row r="3" spans="1:15" ht="22.5" customHeight="1" x14ac:dyDescent="0.2">
      <c r="A3" s="16"/>
      <c r="B3" s="15"/>
      <c r="C3" s="14"/>
      <c r="D3" s="14"/>
      <c r="E3" s="14"/>
      <c r="F3" s="42"/>
      <c r="G3" s="74"/>
      <c r="H3" s="17"/>
      <c r="I3" s="45"/>
      <c r="J3" s="63"/>
      <c r="K3" s="47"/>
      <c r="L3" s="48"/>
    </row>
    <row r="4" spans="1:15" ht="22.5" customHeight="1" x14ac:dyDescent="0.2">
      <c r="A4" s="16"/>
      <c r="B4" s="15"/>
      <c r="C4" s="14"/>
      <c r="D4" s="14"/>
      <c r="E4" s="14"/>
      <c r="F4" s="53"/>
      <c r="G4" s="76"/>
      <c r="H4" s="17"/>
      <c r="I4" s="45"/>
      <c r="J4" s="63"/>
      <c r="K4" s="47"/>
      <c r="L4" s="48"/>
    </row>
    <row r="5" spans="1:15" ht="22.5" customHeight="1" x14ac:dyDescent="0.2">
      <c r="A5" s="16"/>
      <c r="B5" s="15"/>
      <c r="C5" s="14"/>
      <c r="D5" s="14"/>
      <c r="E5" s="14"/>
      <c r="F5" s="53"/>
      <c r="G5" s="76"/>
      <c r="H5" s="17"/>
      <c r="I5" s="45"/>
      <c r="J5" s="63"/>
      <c r="K5" s="47"/>
      <c r="L5" s="48"/>
    </row>
    <row r="6" spans="1:15" ht="22.5" customHeight="1" x14ac:dyDescent="0.2">
      <c r="A6" s="16"/>
      <c r="B6" s="15"/>
      <c r="C6" s="14"/>
      <c r="D6" s="14"/>
      <c r="E6" s="14"/>
      <c r="F6" s="53"/>
      <c r="G6" s="76"/>
      <c r="H6" s="17"/>
      <c r="I6" s="56"/>
      <c r="J6" s="64"/>
      <c r="K6" s="58"/>
      <c r="L6" s="58"/>
    </row>
    <row r="7" spans="1:15" ht="22.5" customHeight="1" x14ac:dyDescent="0.2">
      <c r="A7" s="16"/>
      <c r="B7" s="15"/>
      <c r="C7" s="14"/>
      <c r="D7" s="14"/>
      <c r="E7" s="14"/>
      <c r="F7" s="53"/>
      <c r="G7" s="76"/>
      <c r="H7" s="17"/>
      <c r="I7" s="56"/>
      <c r="J7" s="64"/>
      <c r="K7" s="58"/>
      <c r="L7" s="58"/>
    </row>
    <row r="8" spans="1:15" ht="22.5" customHeight="1" x14ac:dyDescent="0.2">
      <c r="A8" s="16"/>
      <c r="B8" s="15"/>
      <c r="C8" s="14"/>
      <c r="D8" s="14"/>
      <c r="E8" s="14"/>
      <c r="F8" s="53"/>
      <c r="G8" s="76"/>
      <c r="H8" s="17"/>
      <c r="I8" s="56"/>
      <c r="J8" s="64"/>
      <c r="K8" s="58"/>
      <c r="L8" s="58"/>
    </row>
    <row r="9" spans="1:15" ht="22.5" customHeight="1" x14ac:dyDescent="0.2">
      <c r="A9" s="16"/>
      <c r="B9" s="15"/>
      <c r="C9" s="14"/>
      <c r="D9" s="14"/>
      <c r="E9" s="14"/>
      <c r="F9" s="53"/>
      <c r="G9" s="76"/>
      <c r="H9" s="17"/>
      <c r="I9" s="56"/>
      <c r="J9" s="64"/>
      <c r="K9" s="58"/>
      <c r="L9" s="58"/>
    </row>
    <row r="10" spans="1:15" ht="22.5" customHeight="1" x14ac:dyDescent="0.2">
      <c r="A10" s="16"/>
      <c r="B10" s="15"/>
      <c r="C10" s="14"/>
      <c r="D10" s="14"/>
      <c r="E10" s="14"/>
      <c r="F10" s="53"/>
      <c r="G10" s="76"/>
      <c r="H10" s="17"/>
      <c r="I10" s="56"/>
      <c r="J10" s="64"/>
      <c r="K10" s="58"/>
      <c r="L10" s="58"/>
    </row>
    <row r="11" spans="1:15" ht="22.5" customHeight="1" x14ac:dyDescent="0.2">
      <c r="A11" s="16"/>
      <c r="B11" s="15"/>
      <c r="C11" s="14"/>
      <c r="D11" s="14"/>
      <c r="E11" s="14"/>
      <c r="F11" s="53"/>
      <c r="G11" s="76"/>
      <c r="H11" s="17"/>
      <c r="I11" s="56"/>
      <c r="J11" s="64"/>
      <c r="K11" s="58"/>
      <c r="L11" s="58"/>
    </row>
    <row r="12" spans="1:15" ht="22.5" customHeight="1" x14ac:dyDescent="0.2">
      <c r="A12" s="16"/>
      <c r="B12" s="15"/>
      <c r="C12" s="14"/>
      <c r="D12" s="14"/>
      <c r="E12" s="14"/>
      <c r="F12" s="53"/>
      <c r="G12" s="76"/>
      <c r="H12" s="17"/>
      <c r="I12" s="56"/>
      <c r="J12" s="64"/>
      <c r="K12" s="58"/>
      <c r="L12" s="58"/>
    </row>
    <row r="13" spans="1:15" ht="22.5" customHeight="1" x14ac:dyDescent="0.2">
      <c r="A13" s="16"/>
      <c r="B13" s="15"/>
      <c r="C13" s="14"/>
      <c r="D13" s="14"/>
      <c r="E13" s="14"/>
      <c r="F13" s="53"/>
      <c r="G13" s="76"/>
      <c r="H13" s="17"/>
      <c r="I13" s="56"/>
      <c r="J13" s="64"/>
      <c r="K13" s="58"/>
      <c r="L13" s="58"/>
    </row>
    <row r="14" spans="1:15" ht="22.5" customHeight="1" x14ac:dyDescent="0.2">
      <c r="A14" s="16"/>
      <c r="B14" s="15"/>
      <c r="C14" s="14"/>
      <c r="D14" s="14"/>
      <c r="E14" s="14"/>
      <c r="F14" s="53"/>
      <c r="G14" s="76"/>
      <c r="H14" s="17"/>
      <c r="I14" s="56"/>
      <c r="J14" s="64"/>
      <c r="K14" s="58"/>
      <c r="L14" s="58"/>
    </row>
    <row r="15" spans="1:15" ht="22.5" customHeight="1" x14ac:dyDescent="0.2">
      <c r="A15" s="16"/>
      <c r="B15" s="15"/>
      <c r="C15" s="14"/>
      <c r="D15" s="14"/>
      <c r="E15" s="14"/>
      <c r="F15" s="53"/>
      <c r="G15" s="76"/>
      <c r="H15" s="17"/>
      <c r="I15" s="56"/>
      <c r="J15" s="64"/>
      <c r="K15" s="58"/>
      <c r="L15" s="58"/>
    </row>
    <row r="16" spans="1:15" ht="22.5" customHeight="1" x14ac:dyDescent="0.2">
      <c r="A16" s="16"/>
      <c r="B16" s="15"/>
      <c r="C16" s="14"/>
      <c r="D16" s="14"/>
      <c r="E16" s="14"/>
      <c r="F16" s="53"/>
      <c r="G16" s="76"/>
      <c r="H16" s="17"/>
      <c r="I16" s="56"/>
      <c r="J16" s="64"/>
      <c r="K16" s="58"/>
      <c r="L16" s="58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C2:L16" xr:uid="{1D142B15-B860-4526-B886-0255AF8AF875}">
      <formula1>AND(ISNUMBER(C2),(NOT(OR(NOT(ISERROR(DATEVALUE(C2))), AND(ISNUMBER(C2), LEFT(CELL("format", C2))="D")))))</formula1>
    </dataValidation>
    <dataValidation type="custom" allowBlank="1" showDropDown="1" sqref="A2:A16" xr:uid="{5CED7B94-FA76-4108-A739-0D96EB565CD5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1A02-7DBB-4191-807A-3C6F988839D8}">
  <sheetPr codeName="Sheet27">
    <tabColor rgb="FFFFFF00"/>
    <outlinePr summaryBelow="0" summaryRight="0"/>
  </sheetPr>
  <dimension ref="A1:O1000"/>
  <sheetViews>
    <sheetView showGridLines="0" workbookViewId="0">
      <pane ySplit="1" topLeftCell="A2" activePane="bottomLeft" state="frozen"/>
      <selection pane="bottomLeft" activeCell="N1" sqref="N1:O1"/>
    </sheetView>
  </sheetViews>
  <sheetFormatPr defaultColWidth="12.5703125" defaultRowHeight="15" customHeight="1" x14ac:dyDescent="0.2"/>
  <cols>
    <col min="1" max="1" width="12.5703125" customWidth="1"/>
    <col min="2" max="2" width="26.42578125" customWidth="1"/>
    <col min="3" max="6" width="12.5703125" customWidth="1"/>
    <col min="11" max="11" width="15.5703125" customWidth="1"/>
  </cols>
  <sheetData>
    <row r="1" spans="1:15" ht="22.5" customHeight="1" x14ac:dyDescent="0.2">
      <c r="A1" s="36" t="s">
        <v>30</v>
      </c>
      <c r="B1" s="36" t="s">
        <v>31</v>
      </c>
      <c r="C1" s="36" t="s">
        <v>32</v>
      </c>
      <c r="D1" s="36" t="s">
        <v>23</v>
      </c>
      <c r="E1" s="36" t="s">
        <v>33</v>
      </c>
      <c r="F1" s="36" t="s">
        <v>24</v>
      </c>
      <c r="G1" s="36" t="s">
        <v>8</v>
      </c>
      <c r="H1" s="36" t="s">
        <v>34</v>
      </c>
      <c r="I1" s="36" t="s">
        <v>35</v>
      </c>
      <c r="J1" s="36" t="s">
        <v>10</v>
      </c>
      <c r="K1" s="36" t="s">
        <v>36</v>
      </c>
      <c r="L1" s="36" t="s">
        <v>14</v>
      </c>
      <c r="M1" s="1"/>
      <c r="N1" s="22"/>
      <c r="O1" s="37"/>
    </row>
    <row r="2" spans="1:15" ht="22.5" customHeight="1" x14ac:dyDescent="0.2">
      <c r="A2" s="38"/>
      <c r="B2" s="39"/>
      <c r="C2" s="68"/>
      <c r="D2" s="74"/>
      <c r="E2" s="43"/>
      <c r="F2" s="42"/>
      <c r="G2" s="74"/>
      <c r="H2" s="44"/>
      <c r="I2" s="45"/>
      <c r="J2" s="60"/>
      <c r="K2" s="47"/>
      <c r="L2" s="48"/>
    </row>
    <row r="3" spans="1:15" ht="22.5" customHeight="1" x14ac:dyDescent="0.2">
      <c r="A3" s="16"/>
      <c r="B3" s="15"/>
      <c r="C3" s="14"/>
      <c r="D3" s="14"/>
      <c r="E3" s="14"/>
      <c r="F3" s="42"/>
      <c r="G3" s="74"/>
      <c r="H3" s="17"/>
      <c r="I3" s="45"/>
      <c r="J3" s="63"/>
      <c r="K3" s="47"/>
      <c r="L3" s="48"/>
    </row>
    <row r="4" spans="1:15" ht="22.5" customHeight="1" x14ac:dyDescent="0.2">
      <c r="A4" s="16"/>
      <c r="B4" s="15"/>
      <c r="C4" s="14"/>
      <c r="D4" s="14"/>
      <c r="E4" s="14"/>
      <c r="F4" s="53"/>
      <c r="G4" s="76"/>
      <c r="H4" s="17"/>
      <c r="I4" s="45"/>
      <c r="J4" s="63"/>
      <c r="K4" s="47"/>
      <c r="L4" s="48"/>
    </row>
    <row r="5" spans="1:15" ht="22.5" customHeight="1" x14ac:dyDescent="0.2">
      <c r="A5" s="16"/>
      <c r="B5" s="15"/>
      <c r="C5" s="14"/>
      <c r="D5" s="14"/>
      <c r="E5" s="14"/>
      <c r="F5" s="53"/>
      <c r="G5" s="76"/>
      <c r="H5" s="17"/>
      <c r="I5" s="45"/>
      <c r="J5" s="63"/>
      <c r="K5" s="47"/>
      <c r="L5" s="48"/>
    </row>
    <row r="6" spans="1:15" ht="22.5" customHeight="1" x14ac:dyDescent="0.2">
      <c r="A6" s="16"/>
      <c r="B6" s="15"/>
      <c r="C6" s="14"/>
      <c r="D6" s="14"/>
      <c r="E6" s="14"/>
      <c r="F6" s="53"/>
      <c r="G6" s="76"/>
      <c r="H6" s="17"/>
      <c r="I6" s="56"/>
      <c r="J6" s="64"/>
      <c r="K6" s="58"/>
      <c r="L6" s="58"/>
    </row>
    <row r="7" spans="1:15" ht="22.5" customHeight="1" x14ac:dyDescent="0.2">
      <c r="A7" s="16"/>
      <c r="B7" s="15"/>
      <c r="C7" s="14"/>
      <c r="D7" s="14"/>
      <c r="E7" s="14"/>
      <c r="F7" s="53"/>
      <c r="G7" s="76"/>
      <c r="H7" s="17"/>
      <c r="I7" s="56"/>
      <c r="J7" s="64"/>
      <c r="K7" s="58"/>
      <c r="L7" s="58"/>
    </row>
    <row r="8" spans="1:15" ht="22.5" customHeight="1" x14ac:dyDescent="0.2">
      <c r="A8" s="16"/>
      <c r="B8" s="15"/>
      <c r="C8" s="14"/>
      <c r="D8" s="14"/>
      <c r="E8" s="14"/>
      <c r="F8" s="53"/>
      <c r="G8" s="76"/>
      <c r="H8" s="17"/>
      <c r="I8" s="56"/>
      <c r="J8" s="64"/>
      <c r="K8" s="58"/>
      <c r="L8" s="58"/>
    </row>
    <row r="9" spans="1:15" ht="22.5" customHeight="1" x14ac:dyDescent="0.2">
      <c r="A9" s="16"/>
      <c r="B9" s="15"/>
      <c r="C9" s="14"/>
      <c r="D9" s="14"/>
      <c r="E9" s="14"/>
      <c r="F9" s="53"/>
      <c r="G9" s="76"/>
      <c r="H9" s="17"/>
      <c r="I9" s="56"/>
      <c r="J9" s="64"/>
      <c r="K9" s="58"/>
      <c r="L9" s="58"/>
    </row>
    <row r="10" spans="1:15" ht="22.5" customHeight="1" x14ac:dyDescent="0.2">
      <c r="A10" s="16"/>
      <c r="B10" s="15"/>
      <c r="C10" s="14"/>
      <c r="D10" s="14"/>
      <c r="E10" s="14"/>
      <c r="F10" s="53"/>
      <c r="G10" s="76"/>
      <c r="H10" s="17"/>
      <c r="I10" s="56"/>
      <c r="J10" s="64"/>
      <c r="K10" s="58"/>
      <c r="L10" s="58"/>
    </row>
    <row r="11" spans="1:15" ht="22.5" customHeight="1" x14ac:dyDescent="0.2">
      <c r="A11" s="16"/>
      <c r="B11" s="15"/>
      <c r="C11" s="14"/>
      <c r="D11" s="14"/>
      <c r="E11" s="14"/>
      <c r="F11" s="53"/>
      <c r="G11" s="76"/>
      <c r="H11" s="17"/>
      <c r="I11" s="56"/>
      <c r="J11" s="64"/>
      <c r="K11" s="58"/>
      <c r="L11" s="58"/>
    </row>
    <row r="12" spans="1:15" ht="22.5" customHeight="1" x14ac:dyDescent="0.2">
      <c r="A12" s="16"/>
      <c r="B12" s="15"/>
      <c r="C12" s="14"/>
      <c r="D12" s="14"/>
      <c r="E12" s="14"/>
      <c r="F12" s="53"/>
      <c r="G12" s="76"/>
      <c r="H12" s="17"/>
      <c r="I12" s="56"/>
      <c r="J12" s="64"/>
      <c r="K12" s="58"/>
      <c r="L12" s="58"/>
    </row>
    <row r="13" spans="1:15" ht="22.5" customHeight="1" x14ac:dyDescent="0.2">
      <c r="A13" s="16"/>
      <c r="B13" s="15"/>
      <c r="C13" s="14"/>
      <c r="D13" s="14"/>
      <c r="E13" s="14"/>
      <c r="F13" s="53"/>
      <c r="G13" s="76"/>
      <c r="H13" s="17"/>
      <c r="I13" s="56"/>
      <c r="J13" s="64"/>
      <c r="K13" s="58"/>
      <c r="L13" s="58"/>
    </row>
    <row r="14" spans="1:15" ht="22.5" customHeight="1" x14ac:dyDescent="0.2">
      <c r="A14" s="16"/>
      <c r="B14" s="15"/>
      <c r="C14" s="14"/>
      <c r="D14" s="14"/>
      <c r="E14" s="14"/>
      <c r="F14" s="53"/>
      <c r="G14" s="76"/>
      <c r="H14" s="17"/>
      <c r="I14" s="56"/>
      <c r="J14" s="64"/>
      <c r="K14" s="58"/>
      <c r="L14" s="58"/>
    </row>
    <row r="15" spans="1:15" ht="22.5" customHeight="1" x14ac:dyDescent="0.2">
      <c r="A15" s="16"/>
      <c r="B15" s="15"/>
      <c r="C15" s="14"/>
      <c r="D15" s="14"/>
      <c r="E15" s="14"/>
      <c r="F15" s="53"/>
      <c r="G15" s="76"/>
      <c r="H15" s="17"/>
      <c r="I15" s="56"/>
      <c r="J15" s="64"/>
      <c r="K15" s="58"/>
      <c r="L15" s="58"/>
    </row>
    <row r="16" spans="1:15" ht="22.5" customHeight="1" x14ac:dyDescent="0.2">
      <c r="A16" s="16"/>
      <c r="B16" s="15"/>
      <c r="C16" s="14"/>
      <c r="D16" s="14"/>
      <c r="E16" s="14"/>
      <c r="F16" s="53"/>
      <c r="G16" s="76"/>
      <c r="H16" s="17"/>
      <c r="I16" s="56"/>
      <c r="J16" s="64"/>
      <c r="K16" s="58"/>
      <c r="L16" s="58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custom" allowBlank="1" showDropDown="1" sqref="A2:A16" xr:uid="{4DFDEF62-5596-41F9-AF43-E2CED9746A2B}">
      <formula1>OR(NOT(ISERROR(DATEVALUE(A2))), AND(ISNUMBER(A2), LEFT(CELL("format", A2))="D"))</formula1>
    </dataValidation>
    <dataValidation type="custom" allowBlank="1" showDropDown="1" sqref="C2:L16" xr:uid="{A6733B6C-B499-4BBC-A772-5417B461BB8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FF00"/>
    <outlinePr summaryBelow="0" summaryRight="0"/>
  </sheetPr>
  <dimension ref="A1:A1000"/>
  <sheetViews>
    <sheetView showGridLines="0" topLeftCell="A41" workbookViewId="0">
      <selection activeCell="A41" sqref="A41"/>
    </sheetView>
  </sheetViews>
  <sheetFormatPr defaultColWidth="12.5703125" defaultRowHeight="15" customHeight="1" x14ac:dyDescent="0.2"/>
  <cols>
    <col min="1" max="6" width="12.570312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FF00"/>
    <outlinePr summaryBelow="0" summaryRight="0"/>
  </sheetPr>
  <dimension ref="A1:L1000"/>
  <sheetViews>
    <sheetView showGridLines="0" workbookViewId="0">
      <pane ySplit="1" topLeftCell="A2" activePane="bottomLeft" state="frozen"/>
      <selection pane="bottomLeft" activeCell="B2" sqref="B2"/>
    </sheetView>
  </sheetViews>
  <sheetFormatPr defaultColWidth="12.5703125" defaultRowHeight="15" customHeight="1" x14ac:dyDescent="0.2"/>
  <cols>
    <col min="1" max="1" width="12.5703125" customWidth="1"/>
    <col min="2" max="2" width="23.140625" customWidth="1"/>
    <col min="3" max="3" width="18.5703125" customWidth="1"/>
    <col min="4" max="6" width="12.5703125" customWidth="1"/>
  </cols>
  <sheetData>
    <row r="1" spans="1:12" ht="22.5" customHeight="1" x14ac:dyDescent="0.2">
      <c r="A1" s="36" t="s">
        <v>4</v>
      </c>
      <c r="B1" s="36" t="s">
        <v>5</v>
      </c>
      <c r="C1" s="77" t="s">
        <v>6</v>
      </c>
      <c r="D1" s="36" t="s">
        <v>32</v>
      </c>
      <c r="E1" s="10" t="s">
        <v>11</v>
      </c>
      <c r="F1" s="36" t="s">
        <v>38</v>
      </c>
      <c r="G1" s="77" t="s">
        <v>39</v>
      </c>
      <c r="H1" s="36" t="s">
        <v>15</v>
      </c>
    </row>
    <row r="2" spans="1:12" ht="22.5" customHeight="1" x14ac:dyDescent="0.2">
      <c r="A2" s="14">
        <v>12100</v>
      </c>
      <c r="B2" s="15" t="s">
        <v>40</v>
      </c>
      <c r="C2" s="14" t="s">
        <v>16</v>
      </c>
      <c r="D2" s="71">
        <v>0</v>
      </c>
      <c r="E2" s="71">
        <v>14000</v>
      </c>
      <c r="F2" s="71">
        <v>0</v>
      </c>
      <c r="G2" s="78">
        <v>45902</v>
      </c>
      <c r="H2" s="14" t="s">
        <v>21</v>
      </c>
    </row>
    <row r="3" spans="1:12" ht="22.5" customHeight="1" x14ac:dyDescent="0.2">
      <c r="A3" s="14">
        <v>12101</v>
      </c>
      <c r="B3" s="15" t="s">
        <v>41</v>
      </c>
      <c r="C3" s="14" t="s">
        <v>18</v>
      </c>
      <c r="D3" s="71">
        <v>0</v>
      </c>
      <c r="E3" s="71">
        <v>1010</v>
      </c>
      <c r="F3" s="71">
        <v>0</v>
      </c>
      <c r="G3" s="79">
        <v>45902</v>
      </c>
      <c r="H3" s="14" t="s">
        <v>21</v>
      </c>
    </row>
    <row r="4" spans="1:12" ht="22.5" customHeight="1" x14ac:dyDescent="0.2">
      <c r="A4" s="14">
        <v>12102</v>
      </c>
      <c r="B4" s="15" t="s">
        <v>42</v>
      </c>
      <c r="C4" s="14" t="s">
        <v>18</v>
      </c>
      <c r="D4" s="71">
        <v>302</v>
      </c>
      <c r="E4" s="71">
        <v>1150</v>
      </c>
      <c r="F4" s="71">
        <v>347300</v>
      </c>
      <c r="G4" s="78">
        <v>45902</v>
      </c>
      <c r="H4" s="14" t="s">
        <v>21</v>
      </c>
      <c r="L4" s="8">
        <f>SUM(OB_Feb_2025!$F$2:$F$8)</f>
        <v>7899300</v>
      </c>
    </row>
    <row r="5" spans="1:12" ht="22.5" customHeight="1" x14ac:dyDescent="0.2">
      <c r="A5" s="14">
        <v>12103</v>
      </c>
      <c r="B5" s="15" t="s">
        <v>43</v>
      </c>
      <c r="C5" s="14" t="s">
        <v>19</v>
      </c>
      <c r="D5" s="71">
        <v>0</v>
      </c>
      <c r="E5" s="71">
        <v>33</v>
      </c>
      <c r="F5" s="71">
        <v>0</v>
      </c>
      <c r="G5" s="16">
        <v>45902</v>
      </c>
      <c r="H5" s="14" t="s">
        <v>21</v>
      </c>
      <c r="L5" s="8">
        <v>35537429</v>
      </c>
    </row>
    <row r="6" spans="1:12" ht="22.5" customHeight="1" x14ac:dyDescent="0.2">
      <c r="A6" s="14">
        <v>12104</v>
      </c>
      <c r="B6" s="15" t="s">
        <v>44</v>
      </c>
      <c r="C6" s="14" t="s">
        <v>19</v>
      </c>
      <c r="D6" s="71">
        <v>4000</v>
      </c>
      <c r="E6" s="71">
        <v>38</v>
      </c>
      <c r="F6" s="71">
        <v>152000</v>
      </c>
      <c r="G6" s="16">
        <v>45902</v>
      </c>
      <c r="H6" s="14" t="s">
        <v>21</v>
      </c>
      <c r="L6" s="8">
        <f>L4+L5</f>
        <v>43436729</v>
      </c>
    </row>
    <row r="7" spans="1:12" ht="22.5" customHeight="1" x14ac:dyDescent="0.2">
      <c r="A7" s="14">
        <v>12105</v>
      </c>
      <c r="B7" s="15" t="s">
        <v>45</v>
      </c>
      <c r="C7" s="14" t="s">
        <v>20</v>
      </c>
      <c r="D7" s="71">
        <v>0</v>
      </c>
      <c r="E7" s="71">
        <v>13200</v>
      </c>
      <c r="F7" s="71">
        <v>0</v>
      </c>
      <c r="G7" s="16">
        <v>45902</v>
      </c>
      <c r="H7" s="14" t="s">
        <v>21</v>
      </c>
    </row>
    <row r="8" spans="1:12" ht="22.5" customHeight="1" x14ac:dyDescent="0.2">
      <c r="A8" s="14">
        <v>12106</v>
      </c>
      <c r="B8" s="15" t="s">
        <v>46</v>
      </c>
      <c r="C8" s="14" t="s">
        <v>20</v>
      </c>
      <c r="D8" s="71">
        <v>40</v>
      </c>
      <c r="E8" s="71">
        <v>185000</v>
      </c>
      <c r="F8" s="71">
        <v>7400000</v>
      </c>
      <c r="G8" s="16">
        <v>45902</v>
      </c>
      <c r="H8" s="14" t="s">
        <v>17</v>
      </c>
    </row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spans="10:10" ht="15.75" customHeight="1" x14ac:dyDescent="0.2"/>
    <row r="18" spans="10:10" ht="15.75" customHeight="1" x14ac:dyDescent="0.2"/>
    <row r="19" spans="10:10" ht="15.75" customHeight="1" x14ac:dyDescent="0.2">
      <c r="J19" s="8"/>
    </row>
    <row r="20" spans="10:10" ht="15.75" customHeight="1" x14ac:dyDescent="0.2"/>
    <row r="21" spans="10:10" ht="15.75" customHeight="1" x14ac:dyDescent="0.2"/>
    <row r="22" spans="10:10" ht="15.75" customHeight="1" x14ac:dyDescent="0.2"/>
    <row r="23" spans="10:10" ht="15.75" customHeight="1" x14ac:dyDescent="0.2"/>
    <row r="24" spans="10:10" ht="15.75" customHeight="1" x14ac:dyDescent="0.2"/>
    <row r="25" spans="10:10" ht="15.75" customHeight="1" x14ac:dyDescent="0.2"/>
    <row r="26" spans="10:10" ht="15.75" customHeight="1" x14ac:dyDescent="0.2"/>
    <row r="27" spans="10:10" ht="15.75" customHeight="1" x14ac:dyDescent="0.2"/>
    <row r="28" spans="10:10" ht="15.75" customHeight="1" x14ac:dyDescent="0.2"/>
    <row r="29" spans="10:10" ht="15.75" customHeight="1" x14ac:dyDescent="0.2"/>
    <row r="30" spans="10:10" ht="15.75" customHeight="1" x14ac:dyDescent="0.2"/>
    <row r="31" spans="10:10" ht="15.75" customHeight="1" x14ac:dyDescent="0.2"/>
    <row r="32" spans="10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3">
    <dataValidation type="list" allowBlank="1" sqref="C2:C8" xr:uid="{00000000-0002-0000-0B00-000000000000}">
      <formula1>"Kg,Box,Pack,Cup,Roll,Bag"</formula1>
    </dataValidation>
    <dataValidation type="custom" allowBlank="1" showDropDown="1" sqref="D2:F8" xr:uid="{00000000-0002-0000-0B00-000001000000}">
      <formula1>AND(ISNUMBER(D2),(NOT(OR(NOT(ISERROR(DATEVALUE(D2))), AND(ISNUMBER(D2), LEFT(CELL("format", D2))="D")))))</formula1>
    </dataValidation>
    <dataValidation type="list" allowBlank="1" sqref="H2:H8" xr:uid="{00000000-0002-0000-0B00-000002000000}">
      <formula1>"In stock,Temporarily unavailable,Re-purchase needed,Sold out"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FF00"/>
    <outlinePr summaryBelow="0" summaryRight="0"/>
  </sheetPr>
  <dimension ref="A1:M1000"/>
  <sheetViews>
    <sheetView showGridLines="0" workbookViewId="0">
      <pane ySplit="3" topLeftCell="A4" activePane="bottomLeft" state="frozen"/>
      <selection pane="bottomLeft" activeCell="B4" sqref="B4"/>
    </sheetView>
  </sheetViews>
  <sheetFormatPr defaultColWidth="12.5703125" defaultRowHeight="15" customHeight="1" x14ac:dyDescent="0.2"/>
  <cols>
    <col min="1" max="1" width="12.5703125" customWidth="1"/>
    <col min="2" max="2" width="23.140625" customWidth="1"/>
    <col min="3" max="3" width="18.5703125" customWidth="1"/>
    <col min="4" max="6" width="12.5703125" customWidth="1"/>
    <col min="8" max="8" width="21.5703125" customWidth="1"/>
    <col min="9" max="9" width="17" customWidth="1"/>
  </cols>
  <sheetData>
    <row r="1" spans="1:13" ht="15.75" customHeight="1" x14ac:dyDescent="0.2">
      <c r="A1" s="30"/>
      <c r="B1" s="30"/>
      <c r="C1" s="1"/>
      <c r="D1" s="30"/>
      <c r="E1" s="30"/>
      <c r="F1" s="30"/>
      <c r="G1" s="1"/>
      <c r="H1" s="1"/>
      <c r="I1" s="30"/>
    </row>
    <row r="2" spans="1:13" ht="15.75" customHeight="1" x14ac:dyDescent="0.2">
      <c r="A2" s="30"/>
      <c r="B2" s="30"/>
      <c r="C2" s="1"/>
      <c r="D2" s="30"/>
      <c r="E2" s="80" t="s">
        <v>47</v>
      </c>
      <c r="F2" s="81">
        <f>SUM(OB_Mar_2025!$F$4:$F$10)</f>
        <v>22801950</v>
      </c>
      <c r="G2" s="1"/>
      <c r="H2" s="1"/>
      <c r="I2" s="30"/>
      <c r="J2" s="30"/>
    </row>
    <row r="3" spans="1:13" ht="22.5" customHeight="1" x14ac:dyDescent="0.2">
      <c r="A3" s="36" t="s">
        <v>4</v>
      </c>
      <c r="B3" s="36" t="s">
        <v>5</v>
      </c>
      <c r="C3" s="77" t="s">
        <v>6</v>
      </c>
      <c r="D3" s="36" t="s">
        <v>32</v>
      </c>
      <c r="E3" s="10" t="s">
        <v>11</v>
      </c>
      <c r="F3" s="36" t="s">
        <v>38</v>
      </c>
      <c r="G3" s="77" t="s">
        <v>39</v>
      </c>
      <c r="H3" s="77" t="s">
        <v>48</v>
      </c>
      <c r="I3" s="36" t="s">
        <v>49</v>
      </c>
      <c r="J3" s="36" t="s">
        <v>15</v>
      </c>
    </row>
    <row r="4" spans="1:13" ht="22.5" customHeight="1" x14ac:dyDescent="0.2">
      <c r="A4" s="14">
        <v>12100</v>
      </c>
      <c r="B4" s="15" t="s">
        <v>40</v>
      </c>
      <c r="C4" s="14" t="s">
        <v>16</v>
      </c>
      <c r="D4" s="71">
        <v>37</v>
      </c>
      <c r="E4" s="71">
        <v>14257</v>
      </c>
      <c r="F4" s="71">
        <v>527523</v>
      </c>
      <c r="G4" s="78">
        <v>45660</v>
      </c>
      <c r="H4" s="82">
        <v>37</v>
      </c>
      <c r="I4" s="83">
        <v>1.84E-2</v>
      </c>
      <c r="J4" s="14" t="s">
        <v>17</v>
      </c>
      <c r="L4" s="8"/>
      <c r="M4" s="4"/>
    </row>
    <row r="5" spans="1:13" ht="22.5" customHeight="1" x14ac:dyDescent="0.2">
      <c r="A5" s="14">
        <v>12101</v>
      </c>
      <c r="B5" s="15" t="s">
        <v>41</v>
      </c>
      <c r="C5" s="14" t="s">
        <v>18</v>
      </c>
      <c r="D5" s="71">
        <v>2040</v>
      </c>
      <c r="E5" s="71">
        <v>1025</v>
      </c>
      <c r="F5" s="71">
        <v>2091822</v>
      </c>
      <c r="G5" s="79">
        <v>45660</v>
      </c>
      <c r="H5" s="82">
        <v>2040</v>
      </c>
      <c r="I5" s="83">
        <v>1.5299999999999999E-2</v>
      </c>
      <c r="J5" s="14" t="s">
        <v>17</v>
      </c>
      <c r="L5" s="8"/>
      <c r="M5" s="4"/>
    </row>
    <row r="6" spans="1:13" ht="22.5" customHeight="1" x14ac:dyDescent="0.2">
      <c r="A6" s="14">
        <v>12102</v>
      </c>
      <c r="B6" s="15" t="s">
        <v>42</v>
      </c>
      <c r="C6" s="14" t="s">
        <v>18</v>
      </c>
      <c r="D6" s="71">
        <v>2302</v>
      </c>
      <c r="E6" s="71">
        <v>1165</v>
      </c>
      <c r="F6" s="71">
        <v>2682376</v>
      </c>
      <c r="G6" s="78">
        <v>45660</v>
      </c>
      <c r="H6" s="82">
        <v>2000</v>
      </c>
      <c r="I6" s="83">
        <v>1.32E-2</v>
      </c>
      <c r="J6" s="14" t="s">
        <v>17</v>
      </c>
      <c r="L6" s="8"/>
      <c r="M6" s="4"/>
    </row>
    <row r="7" spans="1:13" ht="22.5" customHeight="1" x14ac:dyDescent="0.2">
      <c r="A7" s="14">
        <v>12103</v>
      </c>
      <c r="B7" s="15" t="s">
        <v>43</v>
      </c>
      <c r="C7" s="14" t="s">
        <v>19</v>
      </c>
      <c r="D7" s="71">
        <v>5000</v>
      </c>
      <c r="E7" s="71">
        <v>33</v>
      </c>
      <c r="F7" s="71">
        <v>165487</v>
      </c>
      <c r="G7" s="16">
        <v>45660</v>
      </c>
      <c r="H7" s="82">
        <v>5000</v>
      </c>
      <c r="I7" s="83">
        <v>3.0000000000000001E-3</v>
      </c>
      <c r="J7" s="14" t="s">
        <v>17</v>
      </c>
      <c r="L7" s="8"/>
      <c r="M7" s="4"/>
    </row>
    <row r="8" spans="1:13" ht="22.5" customHeight="1" x14ac:dyDescent="0.2">
      <c r="A8" s="14">
        <v>12104</v>
      </c>
      <c r="B8" s="15" t="s">
        <v>44</v>
      </c>
      <c r="C8" s="14" t="s">
        <v>19</v>
      </c>
      <c r="D8" s="71">
        <v>95600</v>
      </c>
      <c r="E8" s="71">
        <v>39</v>
      </c>
      <c r="F8" s="71">
        <v>3696792</v>
      </c>
      <c r="G8" s="16">
        <v>45660</v>
      </c>
      <c r="H8" s="82">
        <v>91600</v>
      </c>
      <c r="I8" s="83">
        <v>1.7600000000000001E-2</v>
      </c>
      <c r="J8" s="14" t="s">
        <v>17</v>
      </c>
      <c r="L8" s="8"/>
      <c r="M8" s="4"/>
    </row>
    <row r="9" spans="1:13" ht="22.5" customHeight="1" x14ac:dyDescent="0.2">
      <c r="A9" s="14">
        <v>12105</v>
      </c>
      <c r="B9" s="15" t="s">
        <v>45</v>
      </c>
      <c r="C9" s="14" t="s">
        <v>20</v>
      </c>
      <c r="D9" s="71">
        <v>7</v>
      </c>
      <c r="E9" s="71">
        <v>13280</v>
      </c>
      <c r="F9" s="71">
        <v>92960</v>
      </c>
      <c r="G9" s="16">
        <v>45660</v>
      </c>
      <c r="H9" s="82">
        <v>7</v>
      </c>
      <c r="I9" s="83">
        <v>6.1000000000000004E-3</v>
      </c>
      <c r="J9" s="14" t="s">
        <v>17</v>
      </c>
      <c r="L9" s="8"/>
      <c r="M9" s="4"/>
    </row>
    <row r="10" spans="1:13" ht="22.5" customHeight="1" x14ac:dyDescent="0.2">
      <c r="A10" s="14">
        <v>12106</v>
      </c>
      <c r="B10" s="15" t="s">
        <v>46</v>
      </c>
      <c r="C10" s="14" t="s">
        <v>20</v>
      </c>
      <c r="D10" s="71">
        <v>75</v>
      </c>
      <c r="E10" s="71">
        <v>180600</v>
      </c>
      <c r="F10" s="71">
        <v>13544990</v>
      </c>
      <c r="G10" s="16">
        <v>45660</v>
      </c>
      <c r="H10" s="82">
        <v>35</v>
      </c>
      <c r="I10" s="83">
        <v>-2.3800000000000002E-2</v>
      </c>
      <c r="J10" s="14" t="s">
        <v>17</v>
      </c>
      <c r="L10" s="8"/>
      <c r="M10" s="4"/>
    </row>
    <row r="11" spans="1:13" ht="15.75" customHeight="1" x14ac:dyDescent="0.2"/>
    <row r="12" spans="1:13" ht="15.75" customHeight="1" x14ac:dyDescent="0.2">
      <c r="M12" s="30" t="s">
        <v>50</v>
      </c>
    </row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spans="12:12" ht="15.75" customHeight="1" x14ac:dyDescent="0.2"/>
    <row r="18" spans="12:12" ht="15.75" customHeight="1" x14ac:dyDescent="0.2"/>
    <row r="19" spans="12:12" ht="15.75" customHeight="1" x14ac:dyDescent="0.2"/>
    <row r="20" spans="12:12" ht="15.75" customHeight="1" x14ac:dyDescent="0.2"/>
    <row r="21" spans="12:12" ht="15.75" customHeight="1" x14ac:dyDescent="0.2">
      <c r="L21" s="8"/>
    </row>
    <row r="22" spans="12:12" ht="15.75" customHeight="1" x14ac:dyDescent="0.2"/>
    <row r="23" spans="12:12" ht="15.75" customHeight="1" x14ac:dyDescent="0.2"/>
    <row r="24" spans="12:12" ht="15.75" customHeight="1" x14ac:dyDescent="0.2"/>
    <row r="25" spans="12:12" ht="15.75" customHeight="1" x14ac:dyDescent="0.2"/>
    <row r="26" spans="12:12" ht="15.75" customHeight="1" x14ac:dyDescent="0.2"/>
    <row r="27" spans="12:12" ht="15.75" customHeight="1" x14ac:dyDescent="0.2"/>
    <row r="28" spans="12:12" ht="15.75" customHeight="1" x14ac:dyDescent="0.2"/>
    <row r="29" spans="12:12" ht="15.75" customHeight="1" x14ac:dyDescent="0.2"/>
    <row r="30" spans="12:12" ht="15.75" customHeight="1" x14ac:dyDescent="0.2"/>
    <row r="31" spans="12:12" ht="15.75" customHeight="1" x14ac:dyDescent="0.2"/>
    <row r="32" spans="1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4:H10">
    <cfRule type="cellIs" dxfId="35" priority="1" operator="greaterThan">
      <formula>0</formula>
    </cfRule>
    <cfRule type="cellIs" dxfId="34" priority="2" operator="lessThanOrEqual">
      <formula>0</formula>
    </cfRule>
  </conditionalFormatting>
  <conditionalFormatting sqref="I4:I10">
    <cfRule type="cellIs" dxfId="33" priority="3" operator="greaterThan">
      <formula>0</formula>
    </cfRule>
    <cfRule type="cellIs" dxfId="32" priority="4" operator="lessThan">
      <formula>0</formula>
    </cfRule>
  </conditionalFormatting>
  <dataValidations disablePrompts="1" count="3">
    <dataValidation type="list" allowBlank="1" sqref="C4:C10" xr:uid="{00000000-0002-0000-0C00-000000000000}">
      <formula1>"Kg,Box,Pack,Cup,Roll,Bag"</formula1>
    </dataValidation>
    <dataValidation type="custom" allowBlank="1" showDropDown="1" sqref="D4:F10 H4:I10" xr:uid="{00000000-0002-0000-0C00-000001000000}">
      <formula1>AND(ISNUMBER(D4),(NOT(OR(NOT(ISERROR(DATEVALUE(D4))), AND(ISNUMBER(D4), LEFT(CELL("format", D4))="D")))))</formula1>
    </dataValidation>
    <dataValidation type="list" allowBlank="1" sqref="J4:J10" xr:uid="{00000000-0002-0000-0C00-000002000000}">
      <formula1>"In stock,Temporarily unavailable,Re-purchase needed,Sold out"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FF00"/>
    <outlinePr summaryBelow="0" summaryRight="0"/>
  </sheetPr>
  <dimension ref="A1:M1000"/>
  <sheetViews>
    <sheetView showGridLines="0" workbookViewId="0">
      <pane ySplit="3" topLeftCell="A4" activePane="bottomLeft" state="frozen"/>
      <selection pane="bottomLeft" activeCell="B4" sqref="B4"/>
    </sheetView>
  </sheetViews>
  <sheetFormatPr defaultColWidth="12.5703125" defaultRowHeight="15" customHeight="1" x14ac:dyDescent="0.2"/>
  <cols>
    <col min="1" max="1" width="12.5703125" customWidth="1"/>
    <col min="2" max="2" width="23.140625" customWidth="1"/>
    <col min="3" max="3" width="18.5703125" customWidth="1"/>
    <col min="4" max="6" width="12.5703125" customWidth="1"/>
    <col min="8" max="8" width="21.5703125" customWidth="1"/>
    <col min="9" max="9" width="17" customWidth="1"/>
  </cols>
  <sheetData>
    <row r="1" spans="1:13" ht="15.75" customHeight="1" x14ac:dyDescent="0.2">
      <c r="A1" s="30"/>
      <c r="B1" s="30"/>
      <c r="C1" s="1"/>
      <c r="D1" s="30"/>
      <c r="E1" s="30"/>
      <c r="F1" s="30"/>
      <c r="G1" s="1"/>
      <c r="H1" s="1"/>
      <c r="I1" s="30"/>
    </row>
    <row r="2" spans="1:13" ht="15.75" customHeight="1" x14ac:dyDescent="0.2">
      <c r="A2" s="30"/>
      <c r="B2" s="30"/>
      <c r="C2" s="1"/>
      <c r="D2" s="30"/>
      <c r="E2" s="80" t="s">
        <v>47</v>
      </c>
      <c r="F2" s="81">
        <f>SUM(OB_April_2025!$F$4:$F$10)</f>
        <v>24876371</v>
      </c>
      <c r="G2" s="1"/>
      <c r="H2" s="1"/>
      <c r="I2" s="30"/>
      <c r="J2" s="30"/>
    </row>
    <row r="3" spans="1:13" ht="22.5" customHeight="1" x14ac:dyDescent="0.2">
      <c r="A3" s="36" t="s">
        <v>4</v>
      </c>
      <c r="B3" s="36" t="s">
        <v>5</v>
      </c>
      <c r="C3" s="77" t="s">
        <v>6</v>
      </c>
      <c r="D3" s="36" t="s">
        <v>32</v>
      </c>
      <c r="E3" s="10" t="s">
        <v>11</v>
      </c>
      <c r="F3" s="36" t="s">
        <v>38</v>
      </c>
      <c r="G3" s="77" t="s">
        <v>39</v>
      </c>
      <c r="H3" s="77" t="s">
        <v>48</v>
      </c>
      <c r="I3" s="36" t="s">
        <v>49</v>
      </c>
      <c r="J3" s="36" t="s">
        <v>15</v>
      </c>
    </row>
    <row r="4" spans="1:13" ht="22.5" customHeight="1" x14ac:dyDescent="0.2">
      <c r="A4" s="14">
        <v>12100</v>
      </c>
      <c r="B4" s="15" t="s">
        <v>40</v>
      </c>
      <c r="C4" s="14" t="s">
        <v>16</v>
      </c>
      <c r="D4" s="71">
        <v>8</v>
      </c>
      <c r="E4" s="71">
        <v>13785</v>
      </c>
      <c r="F4" s="71">
        <v>103386</v>
      </c>
      <c r="G4" s="78">
        <v>45661</v>
      </c>
      <c r="H4" s="82">
        <v>7.5</v>
      </c>
      <c r="I4" s="83">
        <v>-1.54E-2</v>
      </c>
      <c r="J4" s="14" t="s">
        <v>17</v>
      </c>
      <c r="L4" s="8"/>
      <c r="M4" s="4"/>
    </row>
    <row r="5" spans="1:13" ht="22.5" customHeight="1" x14ac:dyDescent="0.2">
      <c r="A5" s="14">
        <v>12101</v>
      </c>
      <c r="B5" s="15" t="s">
        <v>41</v>
      </c>
      <c r="C5" s="14" t="s">
        <v>18</v>
      </c>
      <c r="D5" s="71">
        <v>5680</v>
      </c>
      <c r="E5" s="71">
        <v>1052</v>
      </c>
      <c r="F5" s="71">
        <v>5973976</v>
      </c>
      <c r="G5" s="78">
        <v>45661</v>
      </c>
      <c r="H5" s="82">
        <v>5680</v>
      </c>
      <c r="I5" s="83">
        <v>4.1300000000000003E-2</v>
      </c>
      <c r="J5" s="14" t="s">
        <v>17</v>
      </c>
      <c r="L5" s="8"/>
      <c r="M5" s="4"/>
    </row>
    <row r="6" spans="1:13" ht="22.5" customHeight="1" x14ac:dyDescent="0.2">
      <c r="A6" s="14">
        <v>12102</v>
      </c>
      <c r="B6" s="15" t="s">
        <v>42</v>
      </c>
      <c r="C6" s="14" t="s">
        <v>18</v>
      </c>
      <c r="D6" s="71">
        <v>2829</v>
      </c>
      <c r="E6" s="71">
        <v>1162</v>
      </c>
      <c r="F6" s="71">
        <v>3287737</v>
      </c>
      <c r="G6" s="78">
        <v>45661</v>
      </c>
      <c r="H6" s="82">
        <v>2527</v>
      </c>
      <c r="I6" s="83">
        <v>1.06E-2</v>
      </c>
      <c r="J6" s="14" t="s">
        <v>17</v>
      </c>
      <c r="L6" s="8"/>
      <c r="M6" s="4"/>
    </row>
    <row r="7" spans="1:13" ht="22.5" customHeight="1" x14ac:dyDescent="0.2">
      <c r="A7" s="14">
        <v>12103</v>
      </c>
      <c r="B7" s="15" t="s">
        <v>43</v>
      </c>
      <c r="C7" s="14" t="s">
        <v>19</v>
      </c>
      <c r="D7" s="71">
        <v>100000</v>
      </c>
      <c r="E7" s="71">
        <v>34</v>
      </c>
      <c r="F7" s="71">
        <v>3379176</v>
      </c>
      <c r="G7" s="78">
        <v>45661</v>
      </c>
      <c r="H7" s="82">
        <v>100000</v>
      </c>
      <c r="I7" s="83">
        <v>2.4E-2</v>
      </c>
      <c r="J7" s="14" t="s">
        <v>17</v>
      </c>
      <c r="L7" s="8"/>
      <c r="M7" s="4"/>
    </row>
    <row r="8" spans="1:13" ht="22.5" customHeight="1" x14ac:dyDescent="0.2">
      <c r="A8" s="14">
        <v>12104</v>
      </c>
      <c r="B8" s="15" t="s">
        <v>44</v>
      </c>
      <c r="C8" s="14" t="s">
        <v>19</v>
      </c>
      <c r="D8" s="71">
        <v>93800</v>
      </c>
      <c r="E8" s="71">
        <v>39</v>
      </c>
      <c r="F8" s="71">
        <v>3633123</v>
      </c>
      <c r="G8" s="78">
        <v>45661</v>
      </c>
      <c r="H8" s="82">
        <v>89800</v>
      </c>
      <c r="I8" s="83">
        <v>1.9300000000000001E-2</v>
      </c>
      <c r="J8" s="14" t="s">
        <v>17</v>
      </c>
      <c r="L8" s="8"/>
      <c r="M8" s="4"/>
    </row>
    <row r="9" spans="1:13" ht="22.5" customHeight="1" x14ac:dyDescent="0.2">
      <c r="A9" s="14">
        <v>12105</v>
      </c>
      <c r="B9" s="15" t="s">
        <v>45</v>
      </c>
      <c r="C9" s="14" t="s">
        <v>20</v>
      </c>
      <c r="D9" s="71">
        <v>0</v>
      </c>
      <c r="E9" s="71">
        <v>13293</v>
      </c>
      <c r="F9" s="71">
        <v>0</v>
      </c>
      <c r="G9" s="78">
        <v>45661</v>
      </c>
      <c r="H9" s="82">
        <v>0</v>
      </c>
      <c r="I9" s="83">
        <v>7.0000000000000001E-3</v>
      </c>
      <c r="J9" s="14" t="s">
        <v>17</v>
      </c>
      <c r="L9" s="8"/>
      <c r="M9" s="4"/>
    </row>
    <row r="10" spans="1:13" ht="22.5" customHeight="1" x14ac:dyDescent="0.2">
      <c r="A10" s="14">
        <v>12106</v>
      </c>
      <c r="B10" s="15" t="s">
        <v>46</v>
      </c>
      <c r="C10" s="14" t="s">
        <v>20</v>
      </c>
      <c r="D10" s="71">
        <v>47</v>
      </c>
      <c r="E10" s="71">
        <v>180829</v>
      </c>
      <c r="F10" s="71">
        <v>8498973</v>
      </c>
      <c r="G10" s="78">
        <v>45661</v>
      </c>
      <c r="H10" s="82">
        <v>7</v>
      </c>
      <c r="I10" s="83">
        <v>-2.2499999999999999E-2</v>
      </c>
      <c r="J10" s="14" t="s">
        <v>17</v>
      </c>
      <c r="L10" s="8"/>
      <c r="M10" s="4"/>
    </row>
    <row r="11" spans="1:13" ht="15.75" customHeight="1" x14ac:dyDescent="0.2"/>
    <row r="12" spans="1:13" ht="15.75" customHeight="1" x14ac:dyDescent="0.2">
      <c r="M12" s="30" t="s">
        <v>50</v>
      </c>
    </row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spans="12:12" ht="15.75" customHeight="1" x14ac:dyDescent="0.2"/>
    <row r="18" spans="12:12" ht="15.75" customHeight="1" x14ac:dyDescent="0.2"/>
    <row r="19" spans="12:12" ht="15.75" customHeight="1" x14ac:dyDescent="0.2"/>
    <row r="20" spans="12:12" ht="15.75" customHeight="1" x14ac:dyDescent="0.2"/>
    <row r="21" spans="12:12" ht="15.75" customHeight="1" x14ac:dyDescent="0.2">
      <c r="L21" s="8"/>
    </row>
    <row r="22" spans="12:12" ht="15.75" customHeight="1" x14ac:dyDescent="0.2"/>
    <row r="23" spans="12:12" ht="15.75" customHeight="1" x14ac:dyDescent="0.2"/>
    <row r="24" spans="12:12" ht="15.75" customHeight="1" x14ac:dyDescent="0.2"/>
    <row r="25" spans="12:12" ht="15.75" customHeight="1" x14ac:dyDescent="0.2"/>
    <row r="26" spans="12:12" ht="15.75" customHeight="1" x14ac:dyDescent="0.2"/>
    <row r="27" spans="12:12" ht="15.75" customHeight="1" x14ac:dyDescent="0.2"/>
    <row r="28" spans="12:12" ht="15.75" customHeight="1" x14ac:dyDescent="0.2"/>
    <row r="29" spans="12:12" ht="15.75" customHeight="1" x14ac:dyDescent="0.2"/>
    <row r="30" spans="12:12" ht="15.75" customHeight="1" x14ac:dyDescent="0.2"/>
    <row r="31" spans="12:12" ht="15.75" customHeight="1" x14ac:dyDescent="0.2"/>
    <row r="32" spans="1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4:H10">
    <cfRule type="cellIs" dxfId="31" priority="1" operator="greaterThan">
      <formula>0</formula>
    </cfRule>
    <cfRule type="cellIs" dxfId="30" priority="2" operator="lessThanOrEqual">
      <formula>0</formula>
    </cfRule>
  </conditionalFormatting>
  <conditionalFormatting sqref="I4:I10">
    <cfRule type="cellIs" dxfId="29" priority="3" operator="greaterThan">
      <formula>0</formula>
    </cfRule>
    <cfRule type="cellIs" dxfId="28" priority="4" operator="lessThan">
      <formula>0</formula>
    </cfRule>
  </conditionalFormatting>
  <dataValidations count="3">
    <dataValidation type="list" allowBlank="1" sqref="C4:C10" xr:uid="{00000000-0002-0000-0D00-000000000000}">
      <formula1>"Kg,Box,Pack,Cup,Roll,Bag"</formula1>
    </dataValidation>
    <dataValidation type="custom" allowBlank="1" showDropDown="1" sqref="D4:F10 H4:I10" xr:uid="{00000000-0002-0000-0D00-000001000000}">
      <formula1>AND(ISNUMBER(D4),(NOT(OR(NOT(ISERROR(DATEVALUE(D4))), AND(ISNUMBER(D4), LEFT(CELL("format", D4))="D")))))</formula1>
    </dataValidation>
    <dataValidation type="list" allowBlank="1" sqref="J4:J10" xr:uid="{00000000-0002-0000-0D00-000002000000}">
      <formula1>"In stock,Temporarily unavailable,Re-purchase needed,Sold out"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FF00"/>
    <outlinePr summaryBelow="0" summaryRight="0"/>
  </sheetPr>
  <dimension ref="A1:M1000"/>
  <sheetViews>
    <sheetView showGridLines="0" workbookViewId="0">
      <pane ySplit="3" topLeftCell="A4" activePane="bottomLeft" state="frozen"/>
      <selection pane="bottomLeft" activeCell="B4" sqref="B4"/>
    </sheetView>
  </sheetViews>
  <sheetFormatPr defaultColWidth="12.5703125" defaultRowHeight="15" customHeight="1" x14ac:dyDescent="0.2"/>
  <cols>
    <col min="1" max="1" width="12.5703125" customWidth="1"/>
    <col min="2" max="2" width="23.140625" customWidth="1"/>
    <col min="3" max="3" width="18.5703125" customWidth="1"/>
    <col min="4" max="6" width="12.5703125" customWidth="1"/>
    <col min="8" max="8" width="21.5703125" customWidth="1"/>
    <col min="9" max="9" width="17" customWidth="1"/>
  </cols>
  <sheetData>
    <row r="1" spans="1:13" ht="15.75" customHeight="1" x14ac:dyDescent="0.2">
      <c r="A1" s="30"/>
      <c r="B1" s="30"/>
      <c r="C1" s="1"/>
      <c r="D1" s="30"/>
      <c r="E1" s="30"/>
      <c r="F1" s="30"/>
      <c r="G1" s="1"/>
      <c r="H1" s="1"/>
      <c r="I1" s="30"/>
    </row>
    <row r="2" spans="1:13" ht="15.75" customHeight="1" x14ac:dyDescent="0.2">
      <c r="A2" s="30"/>
      <c r="B2" s="30"/>
      <c r="C2" s="1"/>
      <c r="D2" s="30"/>
      <c r="E2" s="80" t="s">
        <v>47</v>
      </c>
      <c r="F2" s="84">
        <f>SUM(OB_May_2025!$F$4:$F$10)</f>
        <v>23855352</v>
      </c>
      <c r="G2" s="1"/>
      <c r="H2" s="1"/>
      <c r="I2" s="30"/>
      <c r="J2" s="30"/>
    </row>
    <row r="3" spans="1:13" ht="22.5" customHeight="1" x14ac:dyDescent="0.2">
      <c r="A3" s="36" t="s">
        <v>4</v>
      </c>
      <c r="B3" s="36" t="s">
        <v>5</v>
      </c>
      <c r="C3" s="77" t="s">
        <v>6</v>
      </c>
      <c r="D3" s="36" t="s">
        <v>32</v>
      </c>
      <c r="E3" s="10" t="s">
        <v>11</v>
      </c>
      <c r="F3" s="36" t="s">
        <v>38</v>
      </c>
      <c r="G3" s="77" t="s">
        <v>39</v>
      </c>
      <c r="H3" s="77" t="s">
        <v>48</v>
      </c>
      <c r="I3" s="36" t="s">
        <v>49</v>
      </c>
      <c r="J3" s="36" t="s">
        <v>15</v>
      </c>
    </row>
    <row r="4" spans="1:13" ht="22.5" customHeight="1" x14ac:dyDescent="0.2">
      <c r="A4" s="14">
        <v>12100</v>
      </c>
      <c r="B4" s="15" t="s">
        <v>40</v>
      </c>
      <c r="C4" s="14" t="s">
        <v>16</v>
      </c>
      <c r="D4" s="85">
        <v>21</v>
      </c>
      <c r="E4" s="71">
        <v>13785</v>
      </c>
      <c r="F4" s="71">
        <v>289482</v>
      </c>
      <c r="G4" s="78">
        <v>45662</v>
      </c>
      <c r="H4" s="82">
        <v>21</v>
      </c>
      <c r="I4" s="83">
        <v>-1.54E-2</v>
      </c>
      <c r="J4" s="14" t="s">
        <v>17</v>
      </c>
      <c r="L4" s="8"/>
      <c r="M4" s="4"/>
    </row>
    <row r="5" spans="1:13" ht="22.5" customHeight="1" x14ac:dyDescent="0.2">
      <c r="A5" s="14">
        <v>12101</v>
      </c>
      <c r="B5" s="15" t="s">
        <v>41</v>
      </c>
      <c r="C5" s="14" t="s">
        <v>18</v>
      </c>
      <c r="D5" s="85">
        <v>6500</v>
      </c>
      <c r="E5" s="71">
        <v>1050</v>
      </c>
      <c r="F5" s="71">
        <v>6825331</v>
      </c>
      <c r="G5" s="78">
        <v>45662</v>
      </c>
      <c r="H5" s="82">
        <v>6500</v>
      </c>
      <c r="I5" s="83">
        <v>3.9699999999999999E-2</v>
      </c>
      <c r="J5" s="14" t="s">
        <v>17</v>
      </c>
      <c r="L5" s="8"/>
      <c r="M5" s="4"/>
    </row>
    <row r="6" spans="1:13" ht="22.5" customHeight="1" x14ac:dyDescent="0.2">
      <c r="A6" s="14">
        <v>12102</v>
      </c>
      <c r="B6" s="15" t="s">
        <v>42</v>
      </c>
      <c r="C6" s="14" t="s">
        <v>18</v>
      </c>
      <c r="D6" s="85">
        <v>5380</v>
      </c>
      <c r="E6" s="71">
        <v>1151</v>
      </c>
      <c r="F6" s="71">
        <v>6194487</v>
      </c>
      <c r="G6" s="78">
        <v>45662</v>
      </c>
      <c r="H6" s="82">
        <v>5078</v>
      </c>
      <c r="I6" s="83">
        <v>1.1999999999999999E-3</v>
      </c>
      <c r="J6" s="14" t="s">
        <v>17</v>
      </c>
      <c r="L6" s="8"/>
      <c r="M6" s="4"/>
    </row>
    <row r="7" spans="1:13" ht="22.5" customHeight="1" x14ac:dyDescent="0.2">
      <c r="A7" s="14">
        <v>12103</v>
      </c>
      <c r="B7" s="15" t="s">
        <v>43</v>
      </c>
      <c r="C7" s="14" t="s">
        <v>19</v>
      </c>
      <c r="D7" s="85">
        <v>64000</v>
      </c>
      <c r="E7" s="71">
        <v>34</v>
      </c>
      <c r="F7" s="71">
        <v>2162673</v>
      </c>
      <c r="G7" s="78">
        <v>45662</v>
      </c>
      <c r="H7" s="82">
        <v>64000</v>
      </c>
      <c r="I7" s="83">
        <v>2.4E-2</v>
      </c>
      <c r="J7" s="14" t="s">
        <v>17</v>
      </c>
      <c r="L7" s="8"/>
      <c r="M7" s="4"/>
    </row>
    <row r="8" spans="1:13" ht="22.5" customHeight="1" x14ac:dyDescent="0.2">
      <c r="A8" s="14">
        <v>12104</v>
      </c>
      <c r="B8" s="15" t="s">
        <v>44</v>
      </c>
      <c r="C8" s="14" t="s">
        <v>19</v>
      </c>
      <c r="D8" s="85">
        <v>77000</v>
      </c>
      <c r="E8" s="71">
        <v>39</v>
      </c>
      <c r="F8" s="71">
        <v>3031355</v>
      </c>
      <c r="G8" s="78">
        <v>45662</v>
      </c>
      <c r="H8" s="82">
        <v>73000</v>
      </c>
      <c r="I8" s="83">
        <v>3.5999999999999997E-2</v>
      </c>
      <c r="J8" s="14" t="s">
        <v>17</v>
      </c>
      <c r="L8" s="8"/>
      <c r="M8" s="4"/>
    </row>
    <row r="9" spans="1:13" ht="22.5" customHeight="1" x14ac:dyDescent="0.2">
      <c r="A9" s="14">
        <v>12105</v>
      </c>
      <c r="B9" s="15" t="s">
        <v>45</v>
      </c>
      <c r="C9" s="14" t="s">
        <v>20</v>
      </c>
      <c r="D9" s="85">
        <v>8</v>
      </c>
      <c r="E9" s="71">
        <v>13497</v>
      </c>
      <c r="F9" s="71">
        <v>107977</v>
      </c>
      <c r="G9" s="78">
        <v>45662</v>
      </c>
      <c r="H9" s="82">
        <v>8</v>
      </c>
      <c r="I9" s="83">
        <v>2.2499999999999999E-2</v>
      </c>
      <c r="J9" s="14" t="s">
        <v>17</v>
      </c>
      <c r="L9" s="8"/>
      <c r="M9" s="4"/>
    </row>
    <row r="10" spans="1:13" ht="22.5" customHeight="1" x14ac:dyDescent="0.2">
      <c r="A10" s="14">
        <v>12106</v>
      </c>
      <c r="B10" s="15" t="s">
        <v>46</v>
      </c>
      <c r="C10" s="14" t="s">
        <v>20</v>
      </c>
      <c r="D10" s="85">
        <v>29</v>
      </c>
      <c r="E10" s="71">
        <v>180829</v>
      </c>
      <c r="F10" s="71">
        <v>5244047</v>
      </c>
      <c r="G10" s="78">
        <v>45662</v>
      </c>
      <c r="H10" s="82">
        <v>-11</v>
      </c>
      <c r="I10" s="83">
        <v>-2.2499999999999999E-2</v>
      </c>
      <c r="J10" s="14" t="s">
        <v>17</v>
      </c>
      <c r="L10" s="8"/>
      <c r="M10" s="4"/>
    </row>
    <row r="11" spans="1:13" ht="15.75" customHeight="1" x14ac:dyDescent="0.2"/>
    <row r="12" spans="1:13" ht="15.75" customHeight="1" x14ac:dyDescent="0.2">
      <c r="M12" s="30" t="s">
        <v>50</v>
      </c>
    </row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spans="12:12" ht="15.75" customHeight="1" x14ac:dyDescent="0.2"/>
    <row r="18" spans="12:12" ht="15.75" customHeight="1" x14ac:dyDescent="0.2"/>
    <row r="19" spans="12:12" ht="15.75" customHeight="1" x14ac:dyDescent="0.2"/>
    <row r="20" spans="12:12" ht="15.75" customHeight="1" x14ac:dyDescent="0.2"/>
    <row r="21" spans="12:12" ht="15.75" customHeight="1" x14ac:dyDescent="0.2">
      <c r="L21" s="8"/>
    </row>
    <row r="22" spans="12:12" ht="15.75" customHeight="1" x14ac:dyDescent="0.2"/>
    <row r="23" spans="12:12" ht="15.75" customHeight="1" x14ac:dyDescent="0.2"/>
    <row r="24" spans="12:12" ht="15.75" customHeight="1" x14ac:dyDescent="0.2"/>
    <row r="25" spans="12:12" ht="15.75" customHeight="1" x14ac:dyDescent="0.2"/>
    <row r="26" spans="12:12" ht="15.75" customHeight="1" x14ac:dyDescent="0.2"/>
    <row r="27" spans="12:12" ht="15.75" customHeight="1" x14ac:dyDescent="0.2"/>
    <row r="28" spans="12:12" ht="15.75" customHeight="1" x14ac:dyDescent="0.2"/>
    <row r="29" spans="12:12" ht="15.75" customHeight="1" x14ac:dyDescent="0.2"/>
    <row r="30" spans="12:12" ht="15.75" customHeight="1" x14ac:dyDescent="0.2"/>
    <row r="31" spans="12:12" ht="15.75" customHeight="1" x14ac:dyDescent="0.2"/>
    <row r="32" spans="1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4:H10">
    <cfRule type="cellIs" dxfId="27" priority="1" operator="greaterThan">
      <formula>0</formula>
    </cfRule>
    <cfRule type="cellIs" dxfId="26" priority="2" operator="lessThanOrEqual">
      <formula>0</formula>
    </cfRule>
  </conditionalFormatting>
  <conditionalFormatting sqref="I4:I10">
    <cfRule type="cellIs" dxfId="25" priority="3" operator="greaterThan">
      <formula>0</formula>
    </cfRule>
    <cfRule type="cellIs" dxfId="24" priority="4" operator="lessThan">
      <formula>0</formula>
    </cfRule>
  </conditionalFormatting>
  <dataValidations count="3">
    <dataValidation type="list" allowBlank="1" sqref="C4:C10" xr:uid="{00000000-0002-0000-0E00-000000000000}">
      <formula1>"Kg,Box,Pack,Cup,Roll,Bag"</formula1>
    </dataValidation>
    <dataValidation type="custom" allowBlank="1" showDropDown="1" sqref="D4:F10 H4:I10" xr:uid="{00000000-0002-0000-0E00-000001000000}">
      <formula1>AND(ISNUMBER(D4),(NOT(OR(NOT(ISERROR(DATEVALUE(D4))), AND(ISNUMBER(D4), LEFT(CELL("format", D4))="D")))))</formula1>
    </dataValidation>
    <dataValidation type="list" allowBlank="1" sqref="J4:J10" xr:uid="{00000000-0002-0000-0E00-000002000000}">
      <formula1>"In stock,Temporarily unavailable,Re-purchase needed,Sold out"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FF00"/>
    <outlinePr summaryBelow="0" summaryRight="0"/>
  </sheetPr>
  <dimension ref="A1:M1000"/>
  <sheetViews>
    <sheetView showGridLines="0" workbookViewId="0">
      <pane ySplit="3" topLeftCell="A4" activePane="bottomLeft" state="frozen"/>
      <selection pane="bottomLeft" activeCell="B4" sqref="B4"/>
    </sheetView>
  </sheetViews>
  <sheetFormatPr defaultColWidth="12.5703125" defaultRowHeight="15" customHeight="1" x14ac:dyDescent="0.2"/>
  <cols>
    <col min="1" max="1" width="12.5703125" customWidth="1"/>
    <col min="2" max="2" width="23.140625" customWidth="1"/>
    <col min="3" max="3" width="18.5703125" customWidth="1"/>
    <col min="4" max="6" width="12.5703125" customWidth="1"/>
    <col min="8" max="8" width="21.5703125" customWidth="1"/>
    <col min="9" max="9" width="17" customWidth="1"/>
  </cols>
  <sheetData>
    <row r="1" spans="1:13" ht="15.75" customHeight="1" x14ac:dyDescent="0.2">
      <c r="A1" s="30"/>
      <c r="B1" s="30"/>
      <c r="C1" s="1"/>
      <c r="D1" s="30"/>
      <c r="E1" s="30"/>
      <c r="F1" s="30"/>
      <c r="G1" s="1"/>
      <c r="H1" s="1"/>
      <c r="I1" s="30"/>
    </row>
    <row r="2" spans="1:13" ht="15.75" customHeight="1" x14ac:dyDescent="0.2">
      <c r="A2" s="30"/>
      <c r="B2" s="30"/>
      <c r="C2" s="1"/>
      <c r="D2" s="30"/>
      <c r="E2" s="80" t="s">
        <v>47</v>
      </c>
      <c r="F2" s="84">
        <f>SUM(OB_June_2025!$F$4:$F$10)</f>
        <v>22235467</v>
      </c>
      <c r="G2" s="1"/>
      <c r="H2" s="1"/>
      <c r="I2" s="30"/>
      <c r="J2" s="30"/>
    </row>
    <row r="3" spans="1:13" ht="22.5" customHeight="1" x14ac:dyDescent="0.2">
      <c r="A3" s="36" t="s">
        <v>4</v>
      </c>
      <c r="B3" s="36" t="s">
        <v>5</v>
      </c>
      <c r="C3" s="77" t="s">
        <v>6</v>
      </c>
      <c r="D3" s="36" t="s">
        <v>32</v>
      </c>
      <c r="E3" s="10" t="s">
        <v>11</v>
      </c>
      <c r="F3" s="36" t="s">
        <v>38</v>
      </c>
      <c r="G3" s="77" t="s">
        <v>39</v>
      </c>
      <c r="H3" s="77" t="s">
        <v>48</v>
      </c>
      <c r="I3" s="36" t="s">
        <v>49</v>
      </c>
      <c r="J3" s="36" t="s">
        <v>15</v>
      </c>
    </row>
    <row r="4" spans="1:13" ht="22.5" customHeight="1" x14ac:dyDescent="0.2">
      <c r="A4" s="14">
        <v>12100</v>
      </c>
      <c r="B4" s="15" t="s">
        <v>40</v>
      </c>
      <c r="C4" s="14" t="s">
        <v>16</v>
      </c>
      <c r="D4" s="85">
        <v>7</v>
      </c>
      <c r="E4" s="71">
        <v>15062</v>
      </c>
      <c r="F4" s="71">
        <v>105437</v>
      </c>
      <c r="G4" s="78">
        <v>45663</v>
      </c>
      <c r="H4" s="82">
        <v>7</v>
      </c>
      <c r="I4" s="83">
        <v>7.5899999999999995E-2</v>
      </c>
      <c r="J4" s="14" t="s">
        <v>17</v>
      </c>
      <c r="L4" s="8"/>
      <c r="M4" s="4"/>
    </row>
    <row r="5" spans="1:13" ht="22.5" customHeight="1" x14ac:dyDescent="0.2">
      <c r="A5" s="14">
        <v>12101</v>
      </c>
      <c r="B5" s="15" t="s">
        <v>41</v>
      </c>
      <c r="C5" s="14" t="s">
        <v>18</v>
      </c>
      <c r="D5" s="85">
        <v>4680</v>
      </c>
      <c r="E5" s="71">
        <v>1050</v>
      </c>
      <c r="F5" s="71">
        <v>4914238</v>
      </c>
      <c r="G5" s="78">
        <v>45663</v>
      </c>
      <c r="H5" s="82">
        <v>4680</v>
      </c>
      <c r="I5" s="83">
        <v>3.9699999999999999E-2</v>
      </c>
      <c r="J5" s="14" t="s">
        <v>17</v>
      </c>
      <c r="L5" s="8"/>
      <c r="M5" s="4"/>
    </row>
    <row r="6" spans="1:13" ht="22.5" customHeight="1" x14ac:dyDescent="0.2">
      <c r="A6" s="14">
        <v>12102</v>
      </c>
      <c r="B6" s="15" t="s">
        <v>42</v>
      </c>
      <c r="C6" s="14" t="s">
        <v>18</v>
      </c>
      <c r="D6" s="85">
        <v>4020</v>
      </c>
      <c r="E6" s="71">
        <v>1135</v>
      </c>
      <c r="F6" s="71">
        <v>4561027</v>
      </c>
      <c r="G6" s="78">
        <v>45663</v>
      </c>
      <c r="H6" s="82">
        <v>3718</v>
      </c>
      <c r="I6" s="83">
        <v>-1.34E-2</v>
      </c>
      <c r="J6" s="14" t="s">
        <v>17</v>
      </c>
      <c r="L6" s="8"/>
      <c r="M6" s="4"/>
    </row>
    <row r="7" spans="1:13" ht="22.5" customHeight="1" x14ac:dyDescent="0.2">
      <c r="A7" s="14">
        <v>12103</v>
      </c>
      <c r="B7" s="15" t="s">
        <v>43</v>
      </c>
      <c r="C7" s="14" t="s">
        <v>19</v>
      </c>
      <c r="D7" s="85">
        <v>60000</v>
      </c>
      <c r="E7" s="71">
        <v>35</v>
      </c>
      <c r="F7" s="71">
        <v>2121648</v>
      </c>
      <c r="G7" s="78">
        <v>45663</v>
      </c>
      <c r="H7" s="82">
        <v>60000</v>
      </c>
      <c r="I7" s="83">
        <v>7.1499999999999994E-2</v>
      </c>
      <c r="J7" s="14" t="s">
        <v>17</v>
      </c>
      <c r="L7" s="8"/>
      <c r="M7" s="4"/>
    </row>
    <row r="8" spans="1:13" ht="22.5" customHeight="1" x14ac:dyDescent="0.2">
      <c r="A8" s="14">
        <v>12104</v>
      </c>
      <c r="B8" s="15" t="s">
        <v>44</v>
      </c>
      <c r="C8" s="14" t="s">
        <v>19</v>
      </c>
      <c r="D8" s="85">
        <v>26950</v>
      </c>
      <c r="E8" s="71">
        <v>39</v>
      </c>
      <c r="F8" s="71">
        <v>1055853</v>
      </c>
      <c r="G8" s="78">
        <v>45663</v>
      </c>
      <c r="H8" s="82">
        <v>22950</v>
      </c>
      <c r="I8" s="83">
        <v>3.1E-2</v>
      </c>
      <c r="J8" s="14" t="s">
        <v>17</v>
      </c>
      <c r="L8" s="8"/>
      <c r="M8" s="4"/>
    </row>
    <row r="9" spans="1:13" ht="22.5" customHeight="1" x14ac:dyDescent="0.2">
      <c r="A9" s="14">
        <v>12105</v>
      </c>
      <c r="B9" s="15" t="s">
        <v>45</v>
      </c>
      <c r="C9" s="14" t="s">
        <v>20</v>
      </c>
      <c r="D9" s="85">
        <v>10</v>
      </c>
      <c r="E9" s="71">
        <v>10652</v>
      </c>
      <c r="F9" s="71">
        <v>106517</v>
      </c>
      <c r="G9" s="78">
        <v>45663</v>
      </c>
      <c r="H9" s="82">
        <v>10</v>
      </c>
      <c r="I9" s="83">
        <v>-0.19309999999999999</v>
      </c>
      <c r="J9" s="14" t="s">
        <v>17</v>
      </c>
      <c r="L9" s="8"/>
      <c r="M9" s="4"/>
    </row>
    <row r="10" spans="1:13" ht="22.5" customHeight="1" x14ac:dyDescent="0.2">
      <c r="A10" s="14">
        <v>12106</v>
      </c>
      <c r="B10" s="15" t="s">
        <v>46</v>
      </c>
      <c r="C10" s="14" t="s">
        <v>20</v>
      </c>
      <c r="D10" s="85">
        <v>48</v>
      </c>
      <c r="E10" s="71">
        <v>195224</v>
      </c>
      <c r="F10" s="71">
        <v>9370747</v>
      </c>
      <c r="G10" s="78">
        <v>45663</v>
      </c>
      <c r="H10" s="82">
        <v>8</v>
      </c>
      <c r="I10" s="83">
        <v>5.5300000000000002E-2</v>
      </c>
      <c r="J10" s="14" t="s">
        <v>17</v>
      </c>
      <c r="L10" s="8"/>
      <c r="M10" s="4"/>
    </row>
    <row r="11" spans="1:13" ht="15.75" customHeight="1" x14ac:dyDescent="0.2"/>
    <row r="12" spans="1:13" ht="15.75" customHeight="1" x14ac:dyDescent="0.2">
      <c r="M12" s="30" t="s">
        <v>50</v>
      </c>
    </row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spans="12:12" ht="15.75" customHeight="1" x14ac:dyDescent="0.2"/>
    <row r="18" spans="12:12" ht="15.75" customHeight="1" x14ac:dyDescent="0.2"/>
    <row r="19" spans="12:12" ht="15.75" customHeight="1" x14ac:dyDescent="0.2"/>
    <row r="20" spans="12:12" ht="15.75" customHeight="1" x14ac:dyDescent="0.2"/>
    <row r="21" spans="12:12" ht="15.75" customHeight="1" x14ac:dyDescent="0.2">
      <c r="L21" s="8"/>
    </row>
    <row r="22" spans="12:12" ht="15.75" customHeight="1" x14ac:dyDescent="0.2"/>
    <row r="23" spans="12:12" ht="15.75" customHeight="1" x14ac:dyDescent="0.2"/>
    <row r="24" spans="12:12" ht="15.75" customHeight="1" x14ac:dyDescent="0.2"/>
    <row r="25" spans="12:12" ht="15.75" customHeight="1" x14ac:dyDescent="0.2"/>
    <row r="26" spans="12:12" ht="15.75" customHeight="1" x14ac:dyDescent="0.2"/>
    <row r="27" spans="12:12" ht="15.75" customHeight="1" x14ac:dyDescent="0.2"/>
    <row r="28" spans="12:12" ht="15.75" customHeight="1" x14ac:dyDescent="0.2"/>
    <row r="29" spans="12:12" ht="15.75" customHeight="1" x14ac:dyDescent="0.2"/>
    <row r="30" spans="12:12" ht="15.75" customHeight="1" x14ac:dyDescent="0.2"/>
    <row r="31" spans="12:12" ht="15.75" customHeight="1" x14ac:dyDescent="0.2"/>
    <row r="32" spans="1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4:H10">
    <cfRule type="cellIs" dxfId="23" priority="1" operator="greaterThan">
      <formula>0</formula>
    </cfRule>
    <cfRule type="cellIs" dxfId="22" priority="2" operator="lessThanOrEqual">
      <formula>0</formula>
    </cfRule>
  </conditionalFormatting>
  <conditionalFormatting sqref="I4:I10">
    <cfRule type="cellIs" dxfId="21" priority="3" operator="greaterThan">
      <formula>0</formula>
    </cfRule>
    <cfRule type="cellIs" dxfId="20" priority="4" operator="lessThan">
      <formula>0</formula>
    </cfRule>
  </conditionalFormatting>
  <dataValidations count="3">
    <dataValidation type="list" allowBlank="1" sqref="C4:C10" xr:uid="{00000000-0002-0000-0F00-000000000000}">
      <formula1>"Kg,Box,Pack,Cup,Roll,Bag"</formula1>
    </dataValidation>
    <dataValidation type="custom" allowBlank="1" showDropDown="1" sqref="D4:F10 H4:I10" xr:uid="{00000000-0002-0000-0F00-000001000000}">
      <formula1>AND(ISNUMBER(D4),(NOT(OR(NOT(ISERROR(DATEVALUE(D4))), AND(ISNUMBER(D4), LEFT(CELL("format", D4))="D")))))</formula1>
    </dataValidation>
    <dataValidation type="list" allowBlank="1" sqref="J4:J10" xr:uid="{00000000-0002-0000-0F00-000002000000}">
      <formula1>"In stock,Temporarily unavailable,Re-purchase needed,Sold out"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FF00"/>
    <outlinePr summaryBelow="0" summaryRight="0"/>
  </sheetPr>
  <dimension ref="A1:M1000"/>
  <sheetViews>
    <sheetView showGridLines="0" workbookViewId="0">
      <pane ySplit="3" topLeftCell="A4" activePane="bottomLeft" state="frozen"/>
      <selection pane="bottomLeft" activeCell="A5" sqref="A5"/>
    </sheetView>
  </sheetViews>
  <sheetFormatPr defaultColWidth="12.5703125" defaultRowHeight="15" customHeight="1" x14ac:dyDescent="0.2"/>
  <cols>
    <col min="1" max="1" width="12.5703125" customWidth="1"/>
    <col min="2" max="2" width="23.140625" customWidth="1"/>
    <col min="3" max="3" width="18.5703125" customWidth="1"/>
    <col min="4" max="6" width="12.5703125" customWidth="1"/>
    <col min="8" max="8" width="21.5703125" customWidth="1"/>
    <col min="9" max="9" width="17" customWidth="1"/>
  </cols>
  <sheetData>
    <row r="1" spans="1:13" ht="15.75" customHeight="1" x14ac:dyDescent="0.2">
      <c r="A1" s="30"/>
      <c r="B1" s="30"/>
      <c r="C1" s="1"/>
      <c r="D1" s="30"/>
      <c r="E1" s="30"/>
      <c r="F1" s="30"/>
      <c r="G1" s="1"/>
      <c r="H1" s="1"/>
      <c r="I1" s="30"/>
    </row>
    <row r="2" spans="1:13" ht="15.75" customHeight="1" x14ac:dyDescent="0.2">
      <c r="A2" s="30"/>
      <c r="B2" s="30"/>
      <c r="C2" s="1"/>
      <c r="D2" s="30"/>
      <c r="E2" s="80" t="s">
        <v>47</v>
      </c>
      <c r="F2" s="84">
        <f>SUM(OB_July_2025!$F$4:$F$10)</f>
        <v>9216388</v>
      </c>
      <c r="G2" s="1"/>
      <c r="H2" s="1"/>
      <c r="I2" s="30"/>
      <c r="J2" s="30"/>
    </row>
    <row r="3" spans="1:13" ht="22.5" customHeight="1" x14ac:dyDescent="0.2">
      <c r="A3" s="36" t="s">
        <v>4</v>
      </c>
      <c r="B3" s="36" t="s">
        <v>5</v>
      </c>
      <c r="C3" s="77" t="s">
        <v>6</v>
      </c>
      <c r="D3" s="36" t="s">
        <v>32</v>
      </c>
      <c r="E3" s="10" t="s">
        <v>11</v>
      </c>
      <c r="F3" s="36" t="s">
        <v>38</v>
      </c>
      <c r="G3" s="77" t="s">
        <v>39</v>
      </c>
      <c r="H3" s="77" t="s">
        <v>48</v>
      </c>
      <c r="I3" s="36" t="s">
        <v>49</v>
      </c>
      <c r="J3" s="36" t="s">
        <v>15</v>
      </c>
    </row>
    <row r="4" spans="1:13" ht="22.5" customHeight="1" x14ac:dyDescent="0.2">
      <c r="A4" s="14">
        <v>12100</v>
      </c>
      <c r="B4" s="15" t="s">
        <v>40</v>
      </c>
      <c r="C4" s="14" t="s">
        <v>16</v>
      </c>
      <c r="D4" s="85">
        <v>3</v>
      </c>
      <c r="E4" s="71">
        <v>14719</v>
      </c>
      <c r="F4" s="71">
        <v>44157</v>
      </c>
      <c r="G4" s="78">
        <v>45663</v>
      </c>
      <c r="H4" s="82">
        <v>3</v>
      </c>
      <c r="I4" s="83">
        <v>5.1400000000000001E-2</v>
      </c>
      <c r="J4" s="14" t="s">
        <v>17</v>
      </c>
      <c r="L4" s="8"/>
      <c r="M4" s="4"/>
    </row>
    <row r="5" spans="1:13" ht="22.5" customHeight="1" x14ac:dyDescent="0.2">
      <c r="A5" s="14">
        <v>12101</v>
      </c>
      <c r="B5" s="15" t="s">
        <v>41</v>
      </c>
      <c r="C5" s="14" t="s">
        <v>18</v>
      </c>
      <c r="D5" s="85">
        <v>3520</v>
      </c>
      <c r="E5" s="71">
        <v>1050</v>
      </c>
      <c r="F5" s="71">
        <v>3696179</v>
      </c>
      <c r="G5" s="78">
        <v>45663</v>
      </c>
      <c r="H5" s="82">
        <v>3520</v>
      </c>
      <c r="I5" s="83">
        <v>3.9699999999999999E-2</v>
      </c>
      <c r="J5" s="14" t="s">
        <v>17</v>
      </c>
      <c r="L5" s="8"/>
      <c r="M5" s="4"/>
    </row>
    <row r="6" spans="1:13" ht="22.5" customHeight="1" x14ac:dyDescent="0.2">
      <c r="A6" s="14">
        <v>12102</v>
      </c>
      <c r="B6" s="15" t="s">
        <v>42</v>
      </c>
      <c r="C6" s="14" t="s">
        <v>18</v>
      </c>
      <c r="D6" s="85">
        <v>860</v>
      </c>
      <c r="E6" s="71">
        <v>1135</v>
      </c>
      <c r="F6" s="71">
        <v>975742</v>
      </c>
      <c r="G6" s="78">
        <v>45663</v>
      </c>
      <c r="H6" s="82">
        <v>558</v>
      </c>
      <c r="I6" s="83">
        <v>-1.34E-2</v>
      </c>
      <c r="J6" s="14" t="s">
        <v>17</v>
      </c>
      <c r="L6" s="8"/>
      <c r="M6" s="4"/>
    </row>
    <row r="7" spans="1:13" ht="22.5" customHeight="1" x14ac:dyDescent="0.2">
      <c r="A7" s="14">
        <v>12103</v>
      </c>
      <c r="B7" s="15" t="s">
        <v>43</v>
      </c>
      <c r="C7" s="14" t="s">
        <v>19</v>
      </c>
      <c r="D7" s="85">
        <v>0</v>
      </c>
      <c r="E7" s="71">
        <v>35</v>
      </c>
      <c r="F7" s="71">
        <v>0</v>
      </c>
      <c r="G7" s="78">
        <v>45663</v>
      </c>
      <c r="H7" s="82">
        <v>0</v>
      </c>
      <c r="I7" s="83">
        <v>7.1499999999999994E-2</v>
      </c>
      <c r="J7" s="14" t="s">
        <v>17</v>
      </c>
      <c r="L7" s="8"/>
      <c r="M7" s="4"/>
    </row>
    <row r="8" spans="1:13" ht="22.5" customHeight="1" x14ac:dyDescent="0.2">
      <c r="A8" s="14">
        <v>12104</v>
      </c>
      <c r="B8" s="15" t="s">
        <v>44</v>
      </c>
      <c r="C8" s="14" t="s">
        <v>19</v>
      </c>
      <c r="D8" s="85">
        <v>0</v>
      </c>
      <c r="E8" s="71">
        <v>39</v>
      </c>
      <c r="F8" s="71">
        <v>0</v>
      </c>
      <c r="G8" s="78">
        <v>45663</v>
      </c>
      <c r="H8" s="82">
        <v>-4000</v>
      </c>
      <c r="I8" s="83">
        <v>2.6499999999999999E-2</v>
      </c>
      <c r="J8" s="14" t="s">
        <v>17</v>
      </c>
      <c r="L8" s="8"/>
      <c r="M8" s="4"/>
    </row>
    <row r="9" spans="1:13" ht="22.5" customHeight="1" x14ac:dyDescent="0.2">
      <c r="A9" s="14">
        <v>12105</v>
      </c>
      <c r="B9" s="15" t="s">
        <v>45</v>
      </c>
      <c r="C9" s="14" t="s">
        <v>20</v>
      </c>
      <c r="D9" s="85">
        <v>1</v>
      </c>
      <c r="E9" s="71">
        <v>10160</v>
      </c>
      <c r="F9" s="71">
        <v>10160</v>
      </c>
      <c r="G9" s="78">
        <v>45663</v>
      </c>
      <c r="H9" s="82">
        <v>1</v>
      </c>
      <c r="I9" s="83">
        <v>-0.2303</v>
      </c>
      <c r="J9" s="14" t="s">
        <v>17</v>
      </c>
      <c r="L9" s="8"/>
      <c r="M9" s="4"/>
    </row>
    <row r="10" spans="1:13" ht="22.5" customHeight="1" x14ac:dyDescent="0.2">
      <c r="A10" s="14">
        <v>12106</v>
      </c>
      <c r="B10" s="15" t="s">
        <v>46</v>
      </c>
      <c r="C10" s="14" t="s">
        <v>20</v>
      </c>
      <c r="D10" s="85">
        <v>23</v>
      </c>
      <c r="E10" s="71">
        <v>195224</v>
      </c>
      <c r="F10" s="71">
        <v>4490150</v>
      </c>
      <c r="G10" s="78">
        <v>45663</v>
      </c>
      <c r="H10" s="82">
        <v>-17</v>
      </c>
      <c r="I10" s="83">
        <v>5.5300000000000002E-2</v>
      </c>
      <c r="J10" s="14" t="s">
        <v>17</v>
      </c>
      <c r="L10" s="8"/>
      <c r="M10" s="4"/>
    </row>
    <row r="11" spans="1:13" ht="15.75" customHeight="1" x14ac:dyDescent="0.2"/>
    <row r="12" spans="1:13" ht="15.75" customHeight="1" x14ac:dyDescent="0.2">
      <c r="M12" s="30" t="s">
        <v>50</v>
      </c>
    </row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spans="12:12" ht="15.75" customHeight="1" x14ac:dyDescent="0.2"/>
    <row r="18" spans="12:12" ht="15.75" customHeight="1" x14ac:dyDescent="0.2"/>
    <row r="19" spans="12:12" ht="15.75" customHeight="1" x14ac:dyDescent="0.2"/>
    <row r="20" spans="12:12" ht="15.75" customHeight="1" x14ac:dyDescent="0.2"/>
    <row r="21" spans="12:12" ht="15.75" customHeight="1" x14ac:dyDescent="0.2">
      <c r="L21" s="8"/>
    </row>
    <row r="22" spans="12:12" ht="15.75" customHeight="1" x14ac:dyDescent="0.2"/>
    <row r="23" spans="12:12" ht="15.75" customHeight="1" x14ac:dyDescent="0.2"/>
    <row r="24" spans="12:12" ht="15.75" customHeight="1" x14ac:dyDescent="0.2"/>
    <row r="25" spans="12:12" ht="15.75" customHeight="1" x14ac:dyDescent="0.2"/>
    <row r="26" spans="12:12" ht="15.75" customHeight="1" x14ac:dyDescent="0.2"/>
    <row r="27" spans="12:12" ht="15.75" customHeight="1" x14ac:dyDescent="0.2"/>
    <row r="28" spans="12:12" ht="15.75" customHeight="1" x14ac:dyDescent="0.2"/>
    <row r="29" spans="12:12" ht="15.75" customHeight="1" x14ac:dyDescent="0.2"/>
    <row r="30" spans="12:12" ht="15.75" customHeight="1" x14ac:dyDescent="0.2"/>
    <row r="31" spans="12:12" ht="15.75" customHeight="1" x14ac:dyDescent="0.2"/>
    <row r="32" spans="1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4:H10">
    <cfRule type="cellIs" dxfId="19" priority="1" operator="greaterThan">
      <formula>0</formula>
    </cfRule>
    <cfRule type="cellIs" dxfId="18" priority="2" operator="lessThanOrEqual">
      <formula>0</formula>
    </cfRule>
  </conditionalFormatting>
  <conditionalFormatting sqref="I4:I10">
    <cfRule type="cellIs" dxfId="17" priority="3" operator="greaterThan">
      <formula>0</formula>
    </cfRule>
    <cfRule type="cellIs" dxfId="16" priority="4" operator="lessThan">
      <formula>0</formula>
    </cfRule>
  </conditionalFormatting>
  <dataValidations count="3">
    <dataValidation type="list" allowBlank="1" sqref="C4:C10" xr:uid="{00000000-0002-0000-1000-000000000000}">
      <formula1>"Kg,Box,Pack,Cup,Roll,Bag"</formula1>
    </dataValidation>
    <dataValidation type="custom" allowBlank="1" showDropDown="1" sqref="D4:F10 H4:I10" xr:uid="{00000000-0002-0000-1000-000001000000}">
      <formula1>AND(ISNUMBER(D4),(NOT(OR(NOT(ISERROR(DATEVALUE(D4))), AND(ISNUMBER(D4), LEFT(CELL("format", D4))="D")))))</formula1>
    </dataValidation>
    <dataValidation type="list" allowBlank="1" sqref="J4:J10" xr:uid="{00000000-0002-0000-1000-000002000000}">
      <formula1>"In stock,Temporarily unavailable,Re-purchase needed,Sold out"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00FF00"/>
    <outlinePr summaryBelow="0" summaryRight="0"/>
  </sheetPr>
  <dimension ref="A1:M1000"/>
  <sheetViews>
    <sheetView showGridLines="0" workbookViewId="0">
      <pane ySplit="3" topLeftCell="A4" activePane="bottomLeft" state="frozen"/>
      <selection pane="bottomLeft" activeCell="B4" sqref="B4"/>
    </sheetView>
  </sheetViews>
  <sheetFormatPr defaultColWidth="12.5703125" defaultRowHeight="15" customHeight="1" x14ac:dyDescent="0.2"/>
  <cols>
    <col min="1" max="1" width="12.5703125" customWidth="1"/>
    <col min="2" max="2" width="23.140625" customWidth="1"/>
    <col min="3" max="3" width="18.5703125" customWidth="1"/>
    <col min="4" max="6" width="12.5703125" customWidth="1"/>
    <col min="8" max="8" width="21.5703125" customWidth="1"/>
    <col min="9" max="9" width="17" customWidth="1"/>
  </cols>
  <sheetData>
    <row r="1" spans="1:13" ht="15.75" customHeight="1" x14ac:dyDescent="0.2">
      <c r="A1" s="30"/>
      <c r="B1" s="30"/>
      <c r="C1" s="1"/>
      <c r="D1" s="30"/>
      <c r="E1" s="30"/>
      <c r="F1" s="30"/>
      <c r="G1" s="1"/>
      <c r="H1" s="1"/>
      <c r="I1" s="30"/>
    </row>
    <row r="2" spans="1:13" ht="15.75" customHeight="1" x14ac:dyDescent="0.2">
      <c r="A2" s="30"/>
      <c r="B2" s="30"/>
      <c r="C2" s="1"/>
      <c r="D2" s="30"/>
      <c r="E2" s="80" t="s">
        <v>47</v>
      </c>
      <c r="F2" s="84">
        <f>SUM(OB_August_2025!$F$4:$F$10)</f>
        <v>7452014</v>
      </c>
      <c r="G2" s="1"/>
      <c r="H2" s="1"/>
      <c r="I2" s="30"/>
      <c r="J2" s="30"/>
    </row>
    <row r="3" spans="1:13" ht="22.5" customHeight="1" x14ac:dyDescent="0.2">
      <c r="A3" s="36" t="s">
        <v>4</v>
      </c>
      <c r="B3" s="36" t="s">
        <v>5</v>
      </c>
      <c r="C3" s="77" t="s">
        <v>6</v>
      </c>
      <c r="D3" s="36" t="s">
        <v>32</v>
      </c>
      <c r="E3" s="10" t="s">
        <v>11</v>
      </c>
      <c r="F3" s="36" t="s">
        <v>38</v>
      </c>
      <c r="G3" s="77" t="s">
        <v>39</v>
      </c>
      <c r="H3" s="77" t="s">
        <v>48</v>
      </c>
      <c r="I3" s="36" t="s">
        <v>49</v>
      </c>
      <c r="J3" s="36" t="s">
        <v>15</v>
      </c>
    </row>
    <row r="4" spans="1:13" ht="22.5" customHeight="1" x14ac:dyDescent="0.2">
      <c r="A4" s="14">
        <v>12100</v>
      </c>
      <c r="B4" s="15" t="s">
        <v>40</v>
      </c>
      <c r="C4" s="14" t="s">
        <v>16</v>
      </c>
      <c r="D4" s="85">
        <v>28</v>
      </c>
      <c r="E4" s="71">
        <v>14313</v>
      </c>
      <c r="F4" s="71">
        <v>400753</v>
      </c>
      <c r="G4" s="78">
        <v>45663</v>
      </c>
      <c r="H4" s="82">
        <v>28</v>
      </c>
      <c r="I4" s="83">
        <v>2.23E-2</v>
      </c>
      <c r="J4" s="14" t="s">
        <v>17</v>
      </c>
      <c r="L4" s="8"/>
      <c r="M4" s="4"/>
    </row>
    <row r="5" spans="1:13" ht="22.5" customHeight="1" x14ac:dyDescent="0.2">
      <c r="A5" s="14">
        <v>12101</v>
      </c>
      <c r="B5" s="15" t="s">
        <v>41</v>
      </c>
      <c r="C5" s="14" t="s">
        <v>18</v>
      </c>
      <c r="D5" s="85">
        <v>2320</v>
      </c>
      <c r="E5" s="71">
        <v>1050</v>
      </c>
      <c r="F5" s="71">
        <v>2436118</v>
      </c>
      <c r="G5" s="78">
        <v>45663</v>
      </c>
      <c r="H5" s="82">
        <v>2320</v>
      </c>
      <c r="I5" s="83">
        <v>3.9699999999999999E-2</v>
      </c>
      <c r="J5" s="14" t="s">
        <v>17</v>
      </c>
      <c r="L5" s="8"/>
      <c r="M5" s="4"/>
    </row>
    <row r="6" spans="1:13" ht="22.5" customHeight="1" x14ac:dyDescent="0.2">
      <c r="A6" s="14">
        <v>12102</v>
      </c>
      <c r="B6" s="15" t="s">
        <v>42</v>
      </c>
      <c r="C6" s="14" t="s">
        <v>18</v>
      </c>
      <c r="D6" s="85">
        <v>2200</v>
      </c>
      <c r="E6" s="71">
        <v>1096</v>
      </c>
      <c r="F6" s="71">
        <v>2411285</v>
      </c>
      <c r="G6" s="78">
        <v>45663</v>
      </c>
      <c r="H6" s="82">
        <v>1898</v>
      </c>
      <c r="I6" s="83">
        <v>-4.6899999999999997E-2</v>
      </c>
      <c r="J6" s="14" t="s">
        <v>17</v>
      </c>
      <c r="L6" s="8"/>
      <c r="M6" s="4"/>
    </row>
    <row r="7" spans="1:13" ht="22.5" customHeight="1" x14ac:dyDescent="0.2">
      <c r="A7" s="14">
        <v>12103</v>
      </c>
      <c r="B7" s="15" t="s">
        <v>43</v>
      </c>
      <c r="C7" s="14" t="s">
        <v>19</v>
      </c>
      <c r="D7" s="85">
        <v>25000</v>
      </c>
      <c r="E7" s="71">
        <v>34</v>
      </c>
      <c r="F7" s="71">
        <v>841700</v>
      </c>
      <c r="G7" s="78">
        <v>45663</v>
      </c>
      <c r="H7" s="82">
        <v>25000</v>
      </c>
      <c r="I7" s="83">
        <v>2.0199999999999999E-2</v>
      </c>
      <c r="J7" s="14" t="s">
        <v>17</v>
      </c>
      <c r="L7" s="8"/>
      <c r="M7" s="4"/>
    </row>
    <row r="8" spans="1:13" ht="22.5" customHeight="1" x14ac:dyDescent="0.2">
      <c r="A8" s="14">
        <v>12104</v>
      </c>
      <c r="B8" s="15" t="s">
        <v>44</v>
      </c>
      <c r="C8" s="14" t="s">
        <v>19</v>
      </c>
      <c r="D8" s="85">
        <v>3850</v>
      </c>
      <c r="E8" s="71">
        <v>39</v>
      </c>
      <c r="F8" s="71">
        <v>151226</v>
      </c>
      <c r="G8" s="78">
        <v>45663</v>
      </c>
      <c r="H8" s="82">
        <v>-150</v>
      </c>
      <c r="I8" s="83">
        <v>3.3700000000000001E-2</v>
      </c>
      <c r="J8" s="14" t="s">
        <v>17</v>
      </c>
      <c r="L8" s="8"/>
      <c r="M8" s="4"/>
    </row>
    <row r="9" spans="1:13" ht="22.5" customHeight="1" x14ac:dyDescent="0.2">
      <c r="A9" s="14">
        <v>12105</v>
      </c>
      <c r="B9" s="15" t="s">
        <v>45</v>
      </c>
      <c r="C9" s="14" t="s">
        <v>20</v>
      </c>
      <c r="D9" s="85">
        <v>3</v>
      </c>
      <c r="E9" s="71">
        <v>13196</v>
      </c>
      <c r="F9" s="71">
        <v>39589</v>
      </c>
      <c r="G9" s="78">
        <v>45663</v>
      </c>
      <c r="H9" s="82">
        <v>3</v>
      </c>
      <c r="I9" s="83">
        <v>-2.9999999999999997E-4</v>
      </c>
      <c r="J9" s="14" t="s">
        <v>17</v>
      </c>
      <c r="L9" s="8"/>
      <c r="M9" s="4"/>
    </row>
    <row r="10" spans="1:13" ht="22.5" customHeight="1" x14ac:dyDescent="0.2">
      <c r="A10" s="14">
        <v>12106</v>
      </c>
      <c r="B10" s="15" t="s">
        <v>46</v>
      </c>
      <c r="C10" s="14" t="s">
        <v>20</v>
      </c>
      <c r="D10" s="85">
        <v>6</v>
      </c>
      <c r="E10" s="71">
        <v>195224</v>
      </c>
      <c r="F10" s="71">
        <v>1171343</v>
      </c>
      <c r="G10" s="78">
        <v>45663</v>
      </c>
      <c r="H10" s="82">
        <v>-34</v>
      </c>
      <c r="I10" s="83">
        <v>5.5300000000000002E-2</v>
      </c>
      <c r="J10" s="14" t="s">
        <v>17</v>
      </c>
      <c r="L10" s="8"/>
      <c r="M10" s="4"/>
    </row>
    <row r="11" spans="1:13" ht="15.75" customHeight="1" x14ac:dyDescent="0.2"/>
    <row r="12" spans="1:13" ht="15.75" customHeight="1" x14ac:dyDescent="0.2">
      <c r="M12" s="30" t="s">
        <v>50</v>
      </c>
    </row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spans="12:12" ht="15.75" customHeight="1" x14ac:dyDescent="0.2"/>
    <row r="18" spans="12:12" ht="15.75" customHeight="1" x14ac:dyDescent="0.2"/>
    <row r="19" spans="12:12" ht="15.75" customHeight="1" x14ac:dyDescent="0.2"/>
    <row r="20" spans="12:12" ht="15.75" customHeight="1" x14ac:dyDescent="0.2"/>
    <row r="21" spans="12:12" ht="15.75" customHeight="1" x14ac:dyDescent="0.2">
      <c r="L21" s="8"/>
    </row>
    <row r="22" spans="12:12" ht="15.75" customHeight="1" x14ac:dyDescent="0.2"/>
    <row r="23" spans="12:12" ht="15.75" customHeight="1" x14ac:dyDescent="0.2"/>
    <row r="24" spans="12:12" ht="15.75" customHeight="1" x14ac:dyDescent="0.2"/>
    <row r="25" spans="12:12" ht="15.75" customHeight="1" x14ac:dyDescent="0.2"/>
    <row r="26" spans="12:12" ht="15.75" customHeight="1" x14ac:dyDescent="0.2"/>
    <row r="27" spans="12:12" ht="15.75" customHeight="1" x14ac:dyDescent="0.2"/>
    <row r="28" spans="12:12" ht="15.75" customHeight="1" x14ac:dyDescent="0.2"/>
    <row r="29" spans="12:12" ht="15.75" customHeight="1" x14ac:dyDescent="0.2"/>
    <row r="30" spans="12:12" ht="15.75" customHeight="1" x14ac:dyDescent="0.2"/>
    <row r="31" spans="12:12" ht="15.75" customHeight="1" x14ac:dyDescent="0.2"/>
    <row r="32" spans="1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4:H10">
    <cfRule type="cellIs" dxfId="15" priority="1" operator="greaterThan">
      <formula>0</formula>
    </cfRule>
    <cfRule type="cellIs" dxfId="14" priority="2" operator="lessThanOrEqual">
      <formula>0</formula>
    </cfRule>
  </conditionalFormatting>
  <conditionalFormatting sqref="I4:I10">
    <cfRule type="cellIs" dxfId="13" priority="3" operator="greaterThan">
      <formula>0</formula>
    </cfRule>
    <cfRule type="cellIs" dxfId="12" priority="4" operator="lessThan">
      <formula>0</formula>
    </cfRule>
  </conditionalFormatting>
  <dataValidations count="3">
    <dataValidation type="list" allowBlank="1" sqref="C4:C10" xr:uid="{00000000-0002-0000-1100-000000000000}">
      <formula1>"Kg,Box,Pack,Cup,Roll,Bag"</formula1>
    </dataValidation>
    <dataValidation type="custom" allowBlank="1" showDropDown="1" sqref="D4:F10 H4:I10" xr:uid="{00000000-0002-0000-1100-000001000000}">
      <formula1>AND(ISNUMBER(D4),(NOT(OR(NOT(ISERROR(DATEVALUE(D4))), AND(ISNUMBER(D4), LEFT(CELL("format", D4))="D")))))</formula1>
    </dataValidation>
    <dataValidation type="list" allowBlank="1" sqref="J4:J10" xr:uid="{00000000-0002-0000-1100-000002000000}">
      <formula1>"In stock,Temporarily unavailable,Re-purchase needed,Sold out"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00FF00"/>
    <outlinePr summaryBelow="0" summaryRight="0"/>
  </sheetPr>
  <dimension ref="A1:M1000"/>
  <sheetViews>
    <sheetView showGridLines="0" workbookViewId="0">
      <pane ySplit="3" topLeftCell="A4" activePane="bottomLeft" state="frozen"/>
      <selection pane="bottomLeft" activeCell="A7" sqref="A7"/>
    </sheetView>
  </sheetViews>
  <sheetFormatPr defaultColWidth="12.5703125" defaultRowHeight="15" customHeight="1" x14ac:dyDescent="0.2"/>
  <cols>
    <col min="1" max="1" width="12.5703125" customWidth="1"/>
    <col min="2" max="2" width="23.140625" customWidth="1"/>
    <col min="3" max="3" width="18.5703125" customWidth="1"/>
    <col min="4" max="6" width="12.5703125" customWidth="1"/>
    <col min="8" max="8" width="21.5703125" customWidth="1"/>
    <col min="9" max="9" width="17" customWidth="1"/>
  </cols>
  <sheetData>
    <row r="1" spans="1:13" ht="15.75" customHeight="1" x14ac:dyDescent="0.2">
      <c r="A1" s="30"/>
      <c r="B1" s="30"/>
      <c r="C1" s="1"/>
      <c r="D1" s="30"/>
      <c r="E1" s="30"/>
      <c r="F1" s="30"/>
      <c r="G1" s="1"/>
      <c r="H1" s="1"/>
      <c r="I1" s="30"/>
    </row>
    <row r="2" spans="1:13" ht="15.75" customHeight="1" x14ac:dyDescent="0.2">
      <c r="A2" s="30"/>
      <c r="B2" s="30"/>
      <c r="C2" s="1"/>
      <c r="D2" s="30"/>
      <c r="E2" s="80" t="s">
        <v>47</v>
      </c>
      <c r="F2" s="84">
        <f>SUM(OB_Sept_2025!$F$4:$F$10)</f>
        <v>12692758</v>
      </c>
      <c r="G2" s="1"/>
      <c r="H2" s="1"/>
      <c r="I2" s="30"/>
      <c r="J2" s="30"/>
    </row>
    <row r="3" spans="1:13" ht="22.5" customHeight="1" x14ac:dyDescent="0.2">
      <c r="A3" s="36" t="s">
        <v>4</v>
      </c>
      <c r="B3" s="36" t="s">
        <v>5</v>
      </c>
      <c r="C3" s="77" t="s">
        <v>6</v>
      </c>
      <c r="D3" s="36" t="s">
        <v>32</v>
      </c>
      <c r="E3" s="10" t="s">
        <v>11</v>
      </c>
      <c r="F3" s="36" t="s">
        <v>38</v>
      </c>
      <c r="G3" s="77" t="s">
        <v>39</v>
      </c>
      <c r="H3" s="77" t="s">
        <v>48</v>
      </c>
      <c r="I3" s="36" t="s">
        <v>49</v>
      </c>
      <c r="J3" s="36" t="s">
        <v>15</v>
      </c>
    </row>
    <row r="4" spans="1:13" ht="22.5" customHeight="1" x14ac:dyDescent="0.2">
      <c r="A4" s="14">
        <v>12100</v>
      </c>
      <c r="B4" s="15" t="s">
        <v>40</v>
      </c>
      <c r="C4" s="14" t="s">
        <v>16</v>
      </c>
      <c r="D4" s="85">
        <v>0</v>
      </c>
      <c r="E4" s="71">
        <v>14313</v>
      </c>
      <c r="F4" s="71">
        <v>0</v>
      </c>
      <c r="G4" s="78">
        <v>45663</v>
      </c>
      <c r="H4" s="82">
        <v>0</v>
      </c>
      <c r="I4" s="83">
        <v>0</v>
      </c>
      <c r="J4" s="14" t="s">
        <v>17</v>
      </c>
      <c r="L4" s="8"/>
      <c r="M4" s="4"/>
    </row>
    <row r="5" spans="1:13" ht="22.5" customHeight="1" x14ac:dyDescent="0.2">
      <c r="A5" s="14">
        <v>12101</v>
      </c>
      <c r="B5" s="15" t="s">
        <v>41</v>
      </c>
      <c r="C5" s="14" t="s">
        <v>18</v>
      </c>
      <c r="D5" s="85">
        <v>1020</v>
      </c>
      <c r="E5" s="71">
        <v>1050</v>
      </c>
      <c r="F5" s="71">
        <v>1071052</v>
      </c>
      <c r="G5" s="78">
        <v>45663</v>
      </c>
      <c r="H5" s="82">
        <v>1020</v>
      </c>
      <c r="I5" s="83">
        <v>0</v>
      </c>
      <c r="J5" s="14" t="s">
        <v>17</v>
      </c>
      <c r="L5" s="8"/>
      <c r="M5" s="4"/>
    </row>
    <row r="6" spans="1:13" ht="22.5" customHeight="1" x14ac:dyDescent="0.2">
      <c r="A6" s="14">
        <v>12102</v>
      </c>
      <c r="B6" s="15" t="s">
        <v>42</v>
      </c>
      <c r="C6" s="14" t="s">
        <v>18</v>
      </c>
      <c r="D6" s="85">
        <v>880</v>
      </c>
      <c r="E6" s="71">
        <v>1096</v>
      </c>
      <c r="F6" s="71">
        <v>964514</v>
      </c>
      <c r="G6" s="78">
        <v>45663</v>
      </c>
      <c r="H6" s="82">
        <v>578</v>
      </c>
      <c r="I6" s="83">
        <v>0</v>
      </c>
      <c r="J6" s="14" t="s">
        <v>17</v>
      </c>
      <c r="L6" s="8"/>
      <c r="M6" s="4"/>
    </row>
    <row r="7" spans="1:13" ht="22.5" customHeight="1" x14ac:dyDescent="0.2">
      <c r="A7" s="14">
        <v>12103</v>
      </c>
      <c r="B7" s="15" t="s">
        <v>43</v>
      </c>
      <c r="C7" s="14" t="s">
        <v>19</v>
      </c>
      <c r="D7" s="85">
        <v>0</v>
      </c>
      <c r="E7" s="71">
        <v>34</v>
      </c>
      <c r="F7" s="71">
        <v>0</v>
      </c>
      <c r="G7" s="78">
        <v>45663</v>
      </c>
      <c r="H7" s="82">
        <v>0</v>
      </c>
      <c r="I7" s="83">
        <v>-6.9999999999999999E-4</v>
      </c>
      <c r="J7" s="14" t="s">
        <v>17</v>
      </c>
      <c r="L7" s="8"/>
      <c r="M7" s="4"/>
    </row>
    <row r="8" spans="1:13" ht="22.5" customHeight="1" x14ac:dyDescent="0.2">
      <c r="A8" s="14">
        <v>12104</v>
      </c>
      <c r="B8" s="15" t="s">
        <v>44</v>
      </c>
      <c r="C8" s="14" t="s">
        <v>19</v>
      </c>
      <c r="D8" s="85">
        <v>15400</v>
      </c>
      <c r="E8" s="71">
        <v>39</v>
      </c>
      <c r="F8" s="71">
        <v>604271</v>
      </c>
      <c r="G8" s="78">
        <v>45663</v>
      </c>
      <c r="H8" s="82">
        <v>11400</v>
      </c>
      <c r="I8" s="83">
        <v>-1E-3</v>
      </c>
      <c r="J8" s="14" t="s">
        <v>17</v>
      </c>
      <c r="L8" s="8"/>
      <c r="M8" s="4"/>
    </row>
    <row r="9" spans="1:13" ht="22.5" customHeight="1" x14ac:dyDescent="0.2">
      <c r="A9" s="14">
        <v>12105</v>
      </c>
      <c r="B9" s="15" t="s">
        <v>45</v>
      </c>
      <c r="C9" s="14" t="s">
        <v>20</v>
      </c>
      <c r="D9" s="85">
        <v>3</v>
      </c>
      <c r="E9" s="71">
        <v>13196</v>
      </c>
      <c r="F9" s="71">
        <v>39589</v>
      </c>
      <c r="G9" s="78">
        <v>45663</v>
      </c>
      <c r="H9" s="82">
        <v>3</v>
      </c>
      <c r="I9" s="83">
        <v>0</v>
      </c>
      <c r="J9" s="14" t="s">
        <v>17</v>
      </c>
      <c r="L9" s="8"/>
      <c r="M9" s="4"/>
    </row>
    <row r="10" spans="1:13" ht="22.5" customHeight="1" x14ac:dyDescent="0.2">
      <c r="A10" s="14">
        <v>12106</v>
      </c>
      <c r="B10" s="15" t="s">
        <v>46</v>
      </c>
      <c r="C10" s="14" t="s">
        <v>20</v>
      </c>
      <c r="D10" s="85">
        <v>58</v>
      </c>
      <c r="E10" s="71">
        <v>172644</v>
      </c>
      <c r="F10" s="71">
        <v>10013332</v>
      </c>
      <c r="G10" s="78">
        <v>45663</v>
      </c>
      <c r="H10" s="82">
        <v>18</v>
      </c>
      <c r="I10" s="83">
        <v>-0.1157</v>
      </c>
      <c r="J10" s="14" t="s">
        <v>17</v>
      </c>
      <c r="L10" s="8"/>
      <c r="M10" s="4"/>
    </row>
    <row r="11" spans="1:13" ht="15.75" customHeight="1" x14ac:dyDescent="0.2"/>
    <row r="12" spans="1:13" ht="15.75" customHeight="1" x14ac:dyDescent="0.2">
      <c r="M12" s="30" t="s">
        <v>50</v>
      </c>
    </row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spans="12:12" ht="15.75" customHeight="1" x14ac:dyDescent="0.2"/>
    <row r="18" spans="12:12" ht="15.75" customHeight="1" x14ac:dyDescent="0.2"/>
    <row r="19" spans="12:12" ht="15.75" customHeight="1" x14ac:dyDescent="0.2"/>
    <row r="20" spans="12:12" ht="15.75" customHeight="1" x14ac:dyDescent="0.2"/>
    <row r="21" spans="12:12" ht="15.75" customHeight="1" x14ac:dyDescent="0.2">
      <c r="L21" s="8"/>
    </row>
    <row r="22" spans="12:12" ht="15.75" customHeight="1" x14ac:dyDescent="0.2"/>
    <row r="23" spans="12:12" ht="15.75" customHeight="1" x14ac:dyDescent="0.2"/>
    <row r="24" spans="12:12" ht="15.75" customHeight="1" x14ac:dyDescent="0.2"/>
    <row r="25" spans="12:12" ht="15.75" customHeight="1" x14ac:dyDescent="0.2"/>
    <row r="26" spans="12:12" ht="15.75" customHeight="1" x14ac:dyDescent="0.2"/>
    <row r="27" spans="12:12" ht="15.75" customHeight="1" x14ac:dyDescent="0.2"/>
    <row r="28" spans="12:12" ht="15.75" customHeight="1" x14ac:dyDescent="0.2"/>
    <row r="29" spans="12:12" ht="15.75" customHeight="1" x14ac:dyDescent="0.2"/>
    <row r="30" spans="12:12" ht="15.75" customHeight="1" x14ac:dyDescent="0.2"/>
    <row r="31" spans="12:12" ht="15.75" customHeight="1" x14ac:dyDescent="0.2"/>
    <row r="32" spans="1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4:H10">
    <cfRule type="cellIs" dxfId="11" priority="1" operator="greaterThan">
      <formula>0</formula>
    </cfRule>
    <cfRule type="cellIs" dxfId="10" priority="2" operator="lessThanOrEqual">
      <formula>0</formula>
    </cfRule>
  </conditionalFormatting>
  <conditionalFormatting sqref="I4:I10">
    <cfRule type="cellIs" dxfId="9" priority="3" operator="greaterThan">
      <formula>0</formula>
    </cfRule>
    <cfRule type="cellIs" dxfId="8" priority="4" operator="lessThan">
      <formula>0</formula>
    </cfRule>
  </conditionalFormatting>
  <dataValidations count="3">
    <dataValidation type="list" allowBlank="1" sqref="C4:C10" xr:uid="{00000000-0002-0000-1200-000000000000}">
      <formula1>"Kg,Box,Pack,Cup,Roll,Bag"</formula1>
    </dataValidation>
    <dataValidation type="custom" allowBlank="1" showDropDown="1" sqref="D4:F10 H4:I10" xr:uid="{00000000-0002-0000-1200-000001000000}">
      <formula1>AND(ISNUMBER(D4),(NOT(OR(NOT(ISERROR(DATEVALUE(D4))), AND(ISNUMBER(D4), LEFT(CELL("format", D4))="D")))))</formula1>
    </dataValidation>
    <dataValidation type="list" allowBlank="1" sqref="J4:J10" xr:uid="{00000000-0002-0000-1200-000002000000}">
      <formula1>"In stock,Temporarily unavailable,Re-purchase needed,Sold out"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00FF00"/>
    <outlinePr summaryBelow="0" summaryRight="0"/>
  </sheetPr>
  <dimension ref="A1:M1000"/>
  <sheetViews>
    <sheetView showGridLines="0" workbookViewId="0">
      <pane ySplit="3" topLeftCell="A4" activePane="bottomLeft" state="frozen"/>
      <selection pane="bottomLeft" activeCell="B4" sqref="B4"/>
    </sheetView>
  </sheetViews>
  <sheetFormatPr defaultColWidth="12.5703125" defaultRowHeight="15" customHeight="1" x14ac:dyDescent="0.2"/>
  <cols>
    <col min="1" max="1" width="12.5703125" customWidth="1"/>
    <col min="2" max="2" width="23.140625" customWidth="1"/>
    <col min="3" max="3" width="18.5703125" customWidth="1"/>
    <col min="4" max="6" width="12.5703125" customWidth="1"/>
    <col min="8" max="8" width="21.5703125" customWidth="1"/>
    <col min="9" max="9" width="17" customWidth="1"/>
  </cols>
  <sheetData>
    <row r="1" spans="1:13" ht="15.75" customHeight="1" x14ac:dyDescent="0.2">
      <c r="A1" s="30"/>
      <c r="B1" s="30"/>
      <c r="C1" s="1"/>
      <c r="D1" s="30"/>
      <c r="E1" s="30"/>
      <c r="F1" s="30"/>
      <c r="G1" s="1"/>
      <c r="H1" s="1"/>
      <c r="I1" s="30"/>
    </row>
    <row r="2" spans="1:13" ht="15.75" customHeight="1" x14ac:dyDescent="0.2">
      <c r="A2" s="30"/>
      <c r="B2" s="30"/>
      <c r="C2" s="1"/>
      <c r="D2" s="30"/>
      <c r="E2" s="80" t="s">
        <v>47</v>
      </c>
      <c r="F2" s="84">
        <f>SUM(OB_Oct_2025!$F$4:$F$10)</f>
        <v>15343618.147969278</v>
      </c>
      <c r="G2" s="1" t="s">
        <v>51</v>
      </c>
      <c r="H2" s="1"/>
      <c r="I2" s="30"/>
      <c r="J2" s="30"/>
    </row>
    <row r="3" spans="1:13" ht="22.5" customHeight="1" x14ac:dyDescent="0.2">
      <c r="A3" s="36" t="s">
        <v>4</v>
      </c>
      <c r="B3" s="36" t="s">
        <v>5</v>
      </c>
      <c r="C3" s="77" t="s">
        <v>6</v>
      </c>
      <c r="D3" s="36" t="s">
        <v>32</v>
      </c>
      <c r="E3" s="10" t="s">
        <v>11</v>
      </c>
      <c r="F3" s="36" t="s">
        <v>38</v>
      </c>
      <c r="G3" s="77" t="s">
        <v>39</v>
      </c>
      <c r="H3" s="77" t="s">
        <v>48</v>
      </c>
      <c r="I3" s="36" t="s">
        <v>49</v>
      </c>
      <c r="J3" s="36" t="s">
        <v>15</v>
      </c>
    </row>
    <row r="4" spans="1:13" ht="22.5" customHeight="1" x14ac:dyDescent="0.2">
      <c r="A4" s="14">
        <v>12100</v>
      </c>
      <c r="B4" s="15" t="s">
        <v>40</v>
      </c>
      <c r="C4" s="14" t="s">
        <v>16</v>
      </c>
      <c r="D4" s="85">
        <v>21</v>
      </c>
      <c r="E4" s="71">
        <v>14371.428571428571</v>
      </c>
      <c r="F4" s="71">
        <f t="shared" ref="F4:F10" si="0">D4*E4</f>
        <v>301800</v>
      </c>
      <c r="G4" s="78">
        <v>45809</v>
      </c>
      <c r="H4" s="82">
        <f>D4-OB_Feb_2025!D2</f>
        <v>21</v>
      </c>
      <c r="I4" s="83">
        <f>E4/OB_August_2025!E4-1</f>
        <v>4.0822029922846781E-3</v>
      </c>
      <c r="J4" s="14" t="s">
        <v>17</v>
      </c>
      <c r="L4" s="8"/>
      <c r="M4" s="4"/>
    </row>
    <row r="5" spans="1:13" ht="22.5" customHeight="1" x14ac:dyDescent="0.2">
      <c r="A5" s="14">
        <v>12101</v>
      </c>
      <c r="B5" s="15" t="s">
        <v>41</v>
      </c>
      <c r="C5" s="14" t="s">
        <v>18</v>
      </c>
      <c r="D5" s="85">
        <v>1440</v>
      </c>
      <c r="E5" s="71">
        <v>984.54443676804658</v>
      </c>
      <c r="F5" s="71">
        <f t="shared" si="0"/>
        <v>1417743.9889459871</v>
      </c>
      <c r="G5" s="78">
        <v>45809</v>
      </c>
      <c r="H5" s="82">
        <f>D5-OB_Feb_2025!D3</f>
        <v>1440</v>
      </c>
      <c r="I5" s="83">
        <f>E5/OB_August_2025!E5-1</f>
        <v>-6.2338631649479392E-2</v>
      </c>
      <c r="J5" s="14" t="s">
        <v>17</v>
      </c>
      <c r="L5" s="8"/>
      <c r="M5" s="4"/>
    </row>
    <row r="6" spans="1:13" ht="22.5" customHeight="1" x14ac:dyDescent="0.2">
      <c r="A6" s="14">
        <v>12102</v>
      </c>
      <c r="B6" s="15" t="s">
        <v>42</v>
      </c>
      <c r="C6" s="14" t="s">
        <v>18</v>
      </c>
      <c r="D6" s="85">
        <v>1440</v>
      </c>
      <c r="E6" s="71">
        <v>1073.3252784868303</v>
      </c>
      <c r="F6" s="71">
        <f t="shared" si="0"/>
        <v>1545588.4010210356</v>
      </c>
      <c r="G6" s="78">
        <v>45809</v>
      </c>
      <c r="H6" s="82">
        <f>D6-OB_Feb_2025!D4</f>
        <v>1138</v>
      </c>
      <c r="I6" s="83">
        <f>E6/OB_August_2025!E6-1</f>
        <v>-2.0688614519315474E-2</v>
      </c>
      <c r="J6" s="14" t="s">
        <v>17</v>
      </c>
      <c r="L6" s="8"/>
      <c r="M6" s="4"/>
    </row>
    <row r="7" spans="1:13" ht="22.5" customHeight="1" x14ac:dyDescent="0.2">
      <c r="A7" s="14">
        <v>12103</v>
      </c>
      <c r="B7" s="15" t="s">
        <v>43</v>
      </c>
      <c r="C7" s="14" t="s">
        <v>19</v>
      </c>
      <c r="D7" s="85">
        <v>0</v>
      </c>
      <c r="E7" s="71">
        <v>33.659420289855071</v>
      </c>
      <c r="F7" s="71">
        <f t="shared" si="0"/>
        <v>0</v>
      </c>
      <c r="G7" s="78">
        <v>45809</v>
      </c>
      <c r="H7" s="82">
        <f>D7-OB_Feb_2025!D5</f>
        <v>0</v>
      </c>
      <c r="I7" s="83">
        <f>E7/OB_August_2025!E7-1</f>
        <v>-1.0017050298380292E-2</v>
      </c>
      <c r="J7" s="14" t="s">
        <v>17</v>
      </c>
      <c r="L7" s="8"/>
      <c r="M7" s="4"/>
    </row>
    <row r="8" spans="1:13" ht="22.5" customHeight="1" x14ac:dyDescent="0.2">
      <c r="A8" s="14">
        <v>12104</v>
      </c>
      <c r="B8" s="15" t="s">
        <v>44</v>
      </c>
      <c r="C8" s="14" t="s">
        <v>19</v>
      </c>
      <c r="D8" s="85">
        <v>80000</v>
      </c>
      <c r="E8" s="71">
        <v>39.265364190305853</v>
      </c>
      <c r="F8" s="71">
        <f t="shared" si="0"/>
        <v>3141229.1352244681</v>
      </c>
      <c r="G8" s="78">
        <v>45809</v>
      </c>
      <c r="H8" s="82">
        <f>D8-OB_Feb_2025!D6</f>
        <v>76000</v>
      </c>
      <c r="I8" s="83">
        <f>E8/OB_August_2025!E8-1</f>
        <v>6.8042100078424816E-3</v>
      </c>
      <c r="J8" s="14" t="s">
        <v>17</v>
      </c>
      <c r="L8" s="8"/>
      <c r="M8" s="4"/>
    </row>
    <row r="9" spans="1:13" ht="22.5" customHeight="1" x14ac:dyDescent="0.2">
      <c r="A9" s="14">
        <v>12105</v>
      </c>
      <c r="B9" s="15" t="s">
        <v>45</v>
      </c>
      <c r="C9" s="14" t="s">
        <v>20</v>
      </c>
      <c r="D9" s="85">
        <v>10</v>
      </c>
      <c r="E9" s="71">
        <v>13243.002211742545</v>
      </c>
      <c r="F9" s="71">
        <f t="shared" si="0"/>
        <v>132430.02211742545</v>
      </c>
      <c r="G9" s="78">
        <v>45809</v>
      </c>
      <c r="H9" s="82">
        <f>D9-OB_Feb_2025!D7</f>
        <v>10</v>
      </c>
      <c r="I9" s="83">
        <f>E9/OB_August_2025!E9-1</f>
        <v>3.5618529662431175E-3</v>
      </c>
      <c r="J9" s="14" t="s">
        <v>17</v>
      </c>
      <c r="L9" s="8"/>
      <c r="M9" s="4"/>
    </row>
    <row r="10" spans="1:13" ht="22.5" customHeight="1" x14ac:dyDescent="0.2">
      <c r="A10" s="14">
        <v>12106</v>
      </c>
      <c r="B10" s="15" t="s">
        <v>46</v>
      </c>
      <c r="C10" s="14" t="s">
        <v>20</v>
      </c>
      <c r="D10" s="85">
        <v>51</v>
      </c>
      <c r="E10" s="71">
        <v>172643.65883647767</v>
      </c>
      <c r="F10" s="71">
        <f t="shared" si="0"/>
        <v>8804826.6006603613</v>
      </c>
      <c r="G10" s="78">
        <v>45809</v>
      </c>
      <c r="H10" s="82">
        <f>D10-OB_Feb_2025!D8</f>
        <v>11</v>
      </c>
      <c r="I10" s="83">
        <f>E10/OB_August_2025!E10-1</f>
        <v>-0.11566375631849735</v>
      </c>
      <c r="J10" s="14" t="s">
        <v>17</v>
      </c>
      <c r="L10" s="8"/>
      <c r="M10" s="4"/>
    </row>
    <row r="11" spans="1:13" ht="15.75" customHeight="1" x14ac:dyDescent="0.2"/>
    <row r="12" spans="1:13" ht="15.75" customHeight="1" x14ac:dyDescent="0.2">
      <c r="M12" s="30" t="s">
        <v>50</v>
      </c>
    </row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spans="12:12" ht="15.75" customHeight="1" x14ac:dyDescent="0.2"/>
    <row r="18" spans="12:12" ht="15.75" customHeight="1" x14ac:dyDescent="0.2"/>
    <row r="19" spans="12:12" ht="15.75" customHeight="1" x14ac:dyDescent="0.2"/>
    <row r="20" spans="12:12" ht="15.75" customHeight="1" x14ac:dyDescent="0.2"/>
    <row r="21" spans="12:12" ht="15.75" customHeight="1" x14ac:dyDescent="0.2">
      <c r="L21" s="8"/>
    </row>
    <row r="22" spans="12:12" ht="15.75" customHeight="1" x14ac:dyDescent="0.2"/>
    <row r="23" spans="12:12" ht="15.75" customHeight="1" x14ac:dyDescent="0.2"/>
    <row r="24" spans="12:12" ht="15.75" customHeight="1" x14ac:dyDescent="0.2"/>
    <row r="25" spans="12:12" ht="15.75" customHeight="1" x14ac:dyDescent="0.2"/>
    <row r="26" spans="12:12" ht="15.75" customHeight="1" x14ac:dyDescent="0.2"/>
    <row r="27" spans="12:12" ht="15.75" customHeight="1" x14ac:dyDescent="0.2"/>
    <row r="28" spans="12:12" ht="15.75" customHeight="1" x14ac:dyDescent="0.2"/>
    <row r="29" spans="12:12" ht="15.75" customHeight="1" x14ac:dyDescent="0.2"/>
    <row r="30" spans="12:12" ht="15.75" customHeight="1" x14ac:dyDescent="0.2"/>
    <row r="31" spans="12:12" ht="15.75" customHeight="1" x14ac:dyDescent="0.2"/>
    <row r="32" spans="1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4:H10">
    <cfRule type="cellIs" dxfId="7" priority="1" operator="greaterThan">
      <formula>0</formula>
    </cfRule>
    <cfRule type="cellIs" dxfId="6" priority="2" operator="lessThanOrEqual">
      <formula>0</formula>
    </cfRule>
  </conditionalFormatting>
  <conditionalFormatting sqref="I4:I10">
    <cfRule type="cellIs" dxfId="5" priority="3" operator="greaterThan">
      <formula>0</formula>
    </cfRule>
    <cfRule type="cellIs" dxfId="4" priority="4" operator="lessThan">
      <formula>0</formula>
    </cfRule>
  </conditionalFormatting>
  <dataValidations count="3">
    <dataValidation type="list" allowBlank="1" sqref="C4:C10" xr:uid="{00000000-0002-0000-1300-000000000000}">
      <formula1>"Kg,Box,Pack,Cup,Roll,Bag"</formula1>
    </dataValidation>
    <dataValidation type="custom" allowBlank="1" showDropDown="1" sqref="D4:F10 H4:I10" xr:uid="{00000000-0002-0000-1300-000001000000}">
      <formula1>AND(ISNUMBER(D4),(NOT(OR(NOT(ISERROR(DATEVALUE(D4))), AND(ISNUMBER(D4), LEFT(CELL("format", D4))="D")))))</formula1>
    </dataValidation>
    <dataValidation type="list" allowBlank="1" sqref="J4:J10" xr:uid="{00000000-0002-0000-1300-000002000000}">
      <formula1>"In stock,Temporarily unavailable,Re-purchase needed,Sold out"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00FF00"/>
    <outlinePr summaryBelow="0" summaryRight="0"/>
  </sheetPr>
  <dimension ref="A1:M1000"/>
  <sheetViews>
    <sheetView showGridLines="0" workbookViewId="0">
      <pane ySplit="3" topLeftCell="A4" activePane="bottomLeft" state="frozen"/>
      <selection pane="bottomLeft" activeCell="G4" sqref="G4"/>
    </sheetView>
  </sheetViews>
  <sheetFormatPr defaultColWidth="12.5703125" defaultRowHeight="15" customHeight="1" x14ac:dyDescent="0.2"/>
  <cols>
    <col min="1" max="1" width="12.5703125" customWidth="1"/>
    <col min="2" max="2" width="23.140625" customWidth="1"/>
    <col min="3" max="3" width="18.5703125" customWidth="1"/>
    <col min="4" max="6" width="12.5703125" customWidth="1"/>
    <col min="8" max="8" width="21.5703125" customWidth="1"/>
    <col min="9" max="9" width="17" customWidth="1"/>
  </cols>
  <sheetData>
    <row r="1" spans="1:13" ht="15.75" customHeight="1" x14ac:dyDescent="0.2">
      <c r="A1" s="30"/>
      <c r="B1" s="30"/>
      <c r="C1" s="1"/>
      <c r="D1" s="30"/>
      <c r="E1" s="30"/>
      <c r="F1" s="30"/>
      <c r="G1" s="1"/>
      <c r="H1" s="1"/>
      <c r="I1" s="30"/>
    </row>
    <row r="2" spans="1:13" ht="15.75" customHeight="1" x14ac:dyDescent="0.2">
      <c r="A2" s="30"/>
      <c r="B2" s="30"/>
      <c r="C2" s="1"/>
      <c r="D2" s="30"/>
      <c r="E2" s="80" t="s">
        <v>47</v>
      </c>
      <c r="F2" s="84">
        <f>SUM(OB_Nov_2025!$F$4:$F$10)</f>
        <v>8810565.5126548223</v>
      </c>
      <c r="G2" s="1" t="s">
        <v>51</v>
      </c>
      <c r="H2" s="1"/>
      <c r="I2" s="30"/>
      <c r="J2" s="30"/>
    </row>
    <row r="3" spans="1:13" ht="22.5" customHeight="1" x14ac:dyDescent="0.2">
      <c r="A3" s="36" t="s">
        <v>4</v>
      </c>
      <c r="B3" s="36" t="s">
        <v>5</v>
      </c>
      <c r="C3" s="77" t="s">
        <v>6</v>
      </c>
      <c r="D3" s="36" t="s">
        <v>32</v>
      </c>
      <c r="E3" s="10" t="s">
        <v>11</v>
      </c>
      <c r="F3" s="36" t="s">
        <v>38</v>
      </c>
      <c r="G3" s="77" t="s">
        <v>39</v>
      </c>
      <c r="H3" s="77" t="s">
        <v>48</v>
      </c>
      <c r="I3" s="36" t="s">
        <v>49</v>
      </c>
      <c r="J3" s="36" t="s">
        <v>15</v>
      </c>
    </row>
    <row r="4" spans="1:13" ht="22.5" customHeight="1" x14ac:dyDescent="0.2">
      <c r="A4" s="14">
        <v>12100</v>
      </c>
      <c r="B4" s="15" t="s">
        <v>40</v>
      </c>
      <c r="C4" s="14" t="s">
        <v>16</v>
      </c>
      <c r="D4" s="85">
        <v>46.6</v>
      </c>
      <c r="E4" s="71">
        <v>14371.428571428571</v>
      </c>
      <c r="F4" s="71">
        <f t="shared" ref="F4:F10" si="0">D4*E4</f>
        <v>669708.57142857136</v>
      </c>
      <c r="G4" s="78">
        <v>45809</v>
      </c>
      <c r="H4" s="82">
        <f>D4-OB_Feb_2025!D2</f>
        <v>46.6</v>
      </c>
      <c r="I4" s="83">
        <f>E4/OB_August_2025!E4-1</f>
        <v>4.0822029922846781E-3</v>
      </c>
      <c r="J4" s="14" t="s">
        <v>17</v>
      </c>
      <c r="L4" s="8"/>
      <c r="M4" s="4"/>
    </row>
    <row r="5" spans="1:13" ht="22.5" customHeight="1" x14ac:dyDescent="0.2">
      <c r="A5" s="14">
        <v>12101</v>
      </c>
      <c r="B5" s="15" t="s">
        <v>41</v>
      </c>
      <c r="C5" s="14" t="s">
        <v>18</v>
      </c>
      <c r="D5" s="85">
        <v>880</v>
      </c>
      <c r="E5" s="71">
        <v>963.09319351904321</v>
      </c>
      <c r="F5" s="71">
        <f t="shared" si="0"/>
        <v>847522.01029675803</v>
      </c>
      <c r="G5" s="78">
        <v>45809</v>
      </c>
      <c r="H5" s="82">
        <f>D5-OB_Feb_2025!D3</f>
        <v>880</v>
      </c>
      <c r="I5" s="83">
        <f>E5/OB_August_2025!E5-1</f>
        <v>-8.2768387124720788E-2</v>
      </c>
      <c r="J5" s="14" t="s">
        <v>17</v>
      </c>
      <c r="L5" s="8"/>
      <c r="M5" s="4"/>
    </row>
    <row r="6" spans="1:13" ht="22.5" customHeight="1" x14ac:dyDescent="0.2">
      <c r="A6" s="14">
        <v>12102</v>
      </c>
      <c r="B6" s="15" t="s">
        <v>42</v>
      </c>
      <c r="C6" s="14" t="s">
        <v>18</v>
      </c>
      <c r="D6" s="85">
        <v>1640</v>
      </c>
      <c r="E6" s="71">
        <v>1064.1245351805335</v>
      </c>
      <c r="F6" s="71">
        <f t="shared" si="0"/>
        <v>1745164.2376960749</v>
      </c>
      <c r="G6" s="78">
        <v>45809</v>
      </c>
      <c r="H6" s="82">
        <f>D6-OB_Feb_2025!D4</f>
        <v>1338</v>
      </c>
      <c r="I6" s="83">
        <f>E6/OB_August_2025!E6-1</f>
        <v>-2.9083453302433004E-2</v>
      </c>
      <c r="J6" s="14" t="s">
        <v>17</v>
      </c>
      <c r="L6" s="8"/>
      <c r="M6" s="4"/>
    </row>
    <row r="7" spans="1:13" ht="22.5" customHeight="1" x14ac:dyDescent="0.2">
      <c r="A7" s="14">
        <v>12103</v>
      </c>
      <c r="B7" s="15" t="s">
        <v>43</v>
      </c>
      <c r="C7" s="14" t="s">
        <v>19</v>
      </c>
      <c r="D7" s="85">
        <v>1500</v>
      </c>
      <c r="E7" s="71">
        <v>38.531609195402297</v>
      </c>
      <c r="F7" s="71">
        <f t="shared" si="0"/>
        <v>57797.413793103442</v>
      </c>
      <c r="G7" s="78">
        <v>45809</v>
      </c>
      <c r="H7" s="82">
        <f>D7-OB_Feb_2025!D5</f>
        <v>1500</v>
      </c>
      <c r="I7" s="83">
        <f>E7/OB_August_2025!E7-1</f>
        <v>0.13328262339418528</v>
      </c>
      <c r="J7" s="14" t="s">
        <v>17</v>
      </c>
      <c r="L7" s="8"/>
      <c r="M7" s="4"/>
    </row>
    <row r="8" spans="1:13" ht="22.5" customHeight="1" x14ac:dyDescent="0.2">
      <c r="A8" s="14">
        <v>12104</v>
      </c>
      <c r="B8" s="15" t="s">
        <v>44</v>
      </c>
      <c r="C8" s="14" t="s">
        <v>19</v>
      </c>
      <c r="D8" s="85">
        <v>13600</v>
      </c>
      <c r="E8" s="71">
        <v>41.223590047534266</v>
      </c>
      <c r="F8" s="71">
        <f t="shared" si="0"/>
        <v>560640.82464646606</v>
      </c>
      <c r="G8" s="78">
        <v>45809</v>
      </c>
      <c r="H8" s="82">
        <f>D8-OB_Feb_2025!D6</f>
        <v>9600</v>
      </c>
      <c r="I8" s="83">
        <f>E8/OB_August_2025!E8-1</f>
        <v>5.7015129423955591E-2</v>
      </c>
      <c r="J8" s="14" t="s">
        <v>17</v>
      </c>
      <c r="L8" s="8"/>
      <c r="M8" s="4"/>
    </row>
    <row r="9" spans="1:13" ht="22.5" customHeight="1" x14ac:dyDescent="0.2">
      <c r="A9" s="14">
        <v>12105</v>
      </c>
      <c r="B9" s="15" t="s">
        <v>45</v>
      </c>
      <c r="C9" s="14" t="s">
        <v>20</v>
      </c>
      <c r="D9" s="85">
        <v>7</v>
      </c>
      <c r="E9" s="71">
        <v>13672.858196067878</v>
      </c>
      <c r="F9" s="71">
        <f t="shared" si="0"/>
        <v>95710.007372475142</v>
      </c>
      <c r="G9" s="78">
        <v>45809</v>
      </c>
      <c r="H9" s="82">
        <f>D9-OB_Feb_2025!D7</f>
        <v>7</v>
      </c>
      <c r="I9" s="83">
        <f>E9/OB_August_2025!E9-1</f>
        <v>3.6136571390412042E-2</v>
      </c>
      <c r="J9" s="14" t="s">
        <v>17</v>
      </c>
      <c r="L9" s="8"/>
      <c r="M9" s="4"/>
    </row>
    <row r="10" spans="1:13" ht="22.5" customHeight="1" x14ac:dyDescent="0.2">
      <c r="A10" s="14">
        <v>12106</v>
      </c>
      <c r="B10" s="15" t="s">
        <v>46</v>
      </c>
      <c r="C10" s="14" t="s">
        <v>20</v>
      </c>
      <c r="D10" s="85">
        <v>28</v>
      </c>
      <c r="E10" s="71">
        <v>172643.65883647767</v>
      </c>
      <c r="F10" s="71">
        <f t="shared" si="0"/>
        <v>4834022.4474213747</v>
      </c>
      <c r="G10" s="78">
        <v>45809</v>
      </c>
      <c r="H10" s="82">
        <f>D10-OB_Feb_2025!D8</f>
        <v>-12</v>
      </c>
      <c r="I10" s="83">
        <f>E10/OB_August_2025!E10-1</f>
        <v>-0.11566375631849735</v>
      </c>
      <c r="J10" s="14" t="s">
        <v>17</v>
      </c>
      <c r="L10" s="8"/>
      <c r="M10" s="4"/>
    </row>
    <row r="11" spans="1:13" ht="15.75" customHeight="1" x14ac:dyDescent="0.2"/>
    <row r="12" spans="1:13" ht="15.75" customHeight="1" x14ac:dyDescent="0.2">
      <c r="M12" s="30" t="s">
        <v>50</v>
      </c>
    </row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spans="12:12" ht="15.75" customHeight="1" x14ac:dyDescent="0.2"/>
    <row r="18" spans="12:12" ht="15.75" customHeight="1" x14ac:dyDescent="0.2"/>
    <row r="19" spans="12:12" ht="15.75" customHeight="1" x14ac:dyDescent="0.2"/>
    <row r="20" spans="12:12" ht="15.75" customHeight="1" x14ac:dyDescent="0.2"/>
    <row r="21" spans="12:12" ht="15.75" customHeight="1" x14ac:dyDescent="0.2">
      <c r="L21" s="8"/>
    </row>
    <row r="22" spans="12:12" ht="15.75" customHeight="1" x14ac:dyDescent="0.2"/>
    <row r="23" spans="12:12" ht="15.75" customHeight="1" x14ac:dyDescent="0.2"/>
    <row r="24" spans="12:12" ht="15.75" customHeight="1" x14ac:dyDescent="0.2"/>
    <row r="25" spans="12:12" ht="15.75" customHeight="1" x14ac:dyDescent="0.2"/>
    <row r="26" spans="12:12" ht="15.75" customHeight="1" x14ac:dyDescent="0.2"/>
    <row r="27" spans="12:12" ht="15.75" customHeight="1" x14ac:dyDescent="0.2"/>
    <row r="28" spans="12:12" ht="15.75" customHeight="1" x14ac:dyDescent="0.2"/>
    <row r="29" spans="12:12" ht="15.75" customHeight="1" x14ac:dyDescent="0.2"/>
    <row r="30" spans="12:12" ht="15.75" customHeight="1" x14ac:dyDescent="0.2"/>
    <row r="31" spans="12:12" ht="15.75" customHeight="1" x14ac:dyDescent="0.2"/>
    <row r="32" spans="1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4:H10">
    <cfRule type="cellIs" dxfId="3" priority="1" operator="greaterThan">
      <formula>0</formula>
    </cfRule>
    <cfRule type="cellIs" dxfId="2" priority="2" operator="lessThanOrEqual">
      <formula>0</formula>
    </cfRule>
  </conditionalFormatting>
  <conditionalFormatting sqref="I4:I10">
    <cfRule type="cellIs" dxfId="1" priority="3" operator="greaterThan">
      <formula>0</formula>
    </cfRule>
    <cfRule type="cellIs" dxfId="0" priority="4" operator="lessThan">
      <formula>0</formula>
    </cfRule>
  </conditionalFormatting>
  <dataValidations disablePrompts="1" count="3">
    <dataValidation type="list" allowBlank="1" sqref="C4:C10" xr:uid="{00000000-0002-0000-1400-000000000000}">
      <formula1>"Kg,Box,Pack,Cup,Roll,Bag"</formula1>
    </dataValidation>
    <dataValidation type="custom" allowBlank="1" showDropDown="1" sqref="D4:F10 H4:I10" xr:uid="{00000000-0002-0000-1400-000001000000}">
      <formula1>AND(ISNUMBER(D4),(NOT(OR(NOT(ISERROR(DATEVALUE(D4))), AND(ISNUMBER(D4), LEFT(CELL("format", D4))="D")))))</formula1>
    </dataValidation>
    <dataValidation type="list" allowBlank="1" sqref="J4:J10" xr:uid="{00000000-0002-0000-1400-000002000000}">
      <formula1>"In stock,Temporarily unavailable,Re-purchase needed,Sold out"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Dashboard</vt:lpstr>
      <vt:lpstr>COP &amp; Purchases Tracker</vt:lpstr>
      <vt:lpstr>Packing Stock Tracker &gt;&gt;&gt;&gt;&gt;</vt:lpstr>
      <vt:lpstr>12100</vt:lpstr>
      <vt:lpstr>12101</vt:lpstr>
      <vt:lpstr>12102</vt:lpstr>
      <vt:lpstr>12103</vt:lpstr>
      <vt:lpstr>12104</vt:lpstr>
      <vt:lpstr>12105</vt:lpstr>
      <vt:lpstr>12106</vt:lpstr>
      <vt:lpstr>12107</vt:lpstr>
      <vt:lpstr>12108</vt:lpstr>
      <vt:lpstr>12109</vt:lpstr>
      <vt:lpstr>12110</vt:lpstr>
      <vt:lpstr>12111</vt:lpstr>
      <vt:lpstr>12112</vt:lpstr>
      <vt:lpstr>Opening Balance&gt;&gt;&gt;&gt;&gt;</vt:lpstr>
      <vt:lpstr>OB_Feb_2025</vt:lpstr>
      <vt:lpstr>OB_Mar_2025</vt:lpstr>
      <vt:lpstr>OB_April_2025</vt:lpstr>
      <vt:lpstr>OB_May_2025</vt:lpstr>
      <vt:lpstr>OB_June_2025</vt:lpstr>
      <vt:lpstr>OB_July_2025</vt:lpstr>
      <vt:lpstr>OB_August_2025</vt:lpstr>
      <vt:lpstr>OB_Sept_2025</vt:lpstr>
      <vt:lpstr>OB_Oct_2025</vt:lpstr>
      <vt:lpstr>OB_Nov_2025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Kaung Pyae Htet</cp:lastModifiedBy>
  <dcterms:created xsi:type="dcterms:W3CDTF">2026-03-15T04:21:28Z</dcterms:created>
  <dcterms:modified xsi:type="dcterms:W3CDTF">2026-03-15T14:05:54Z</dcterms:modified>
</cp:coreProperties>
</file>