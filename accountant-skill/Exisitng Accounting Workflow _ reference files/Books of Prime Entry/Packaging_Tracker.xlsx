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COP &amp; Purchases Tracker" sheetId="2" r:id="rId5"/>
    <sheet state="visible" name="Packing Stock Tracker &gt;&gt;&gt;&gt;&gt;" sheetId="3" r:id="rId6"/>
    <sheet state="visible" name="12100" sheetId="4" r:id="rId7"/>
    <sheet state="visible" name="12101" sheetId="5" r:id="rId8"/>
    <sheet state="visible" name="12102" sheetId="6" r:id="rId9"/>
    <sheet state="visible" name="12103" sheetId="7" r:id="rId10"/>
    <sheet state="visible" name="12104" sheetId="8" r:id="rId11"/>
    <sheet state="visible" name="12105" sheetId="9" r:id="rId12"/>
    <sheet state="visible" name="12106" sheetId="10" r:id="rId13"/>
    <sheet state="visible" name="Opening Balance&gt;&gt;&gt;&gt;&gt;" sheetId="11" r:id="rId14"/>
    <sheet state="visible" name="OB_Feb_2025" sheetId="12" r:id="rId15"/>
    <sheet state="visible" name="OB_Mar_2025" sheetId="13" r:id="rId16"/>
    <sheet state="visible" name="OB_April_2025" sheetId="14" r:id="rId17"/>
    <sheet state="visible" name="OB_May_2025" sheetId="15" r:id="rId18"/>
    <sheet state="visible" name="OB_June_2025" sheetId="16" r:id="rId19"/>
    <sheet state="visible" name="OB_July_2025" sheetId="17" r:id="rId20"/>
    <sheet state="visible" name="OB_August_2025" sheetId="18" r:id="rId21"/>
    <sheet state="visible" name="OB_Sept_2025" sheetId="19" r:id="rId22"/>
    <sheet state="visible" name="OB_Oct_2025" sheetId="20" r:id="rId23"/>
    <sheet state="visible" name="OB_Nov_2025" sheetId="21" r:id="rId24"/>
  </sheets>
  <definedNames/>
  <calcPr/>
  <extLst>
    <ext uri="GoogleSheetsCustomDataVersion2">
      <go:sheetsCustomData xmlns:go="http://customooxmlschemas.google.com/" r:id="rId25" roundtripDataChecksum="FpUj72pjpnM8Vo9HOxBRgkPrg0JNfzT22srAzsthG8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======
ID#AAAB0MfBckw
tc={0bcdd609-7b4c-425d-83d2-942d90345c3d}    (2026-02-11 23:57:54)
[Threaded comment]
 Your version of Excel allows you to read this threaded comment; however, any edits to it will get removed if the file is opened in a newer version of Excel. Learn more: https://go.microsoft.com/fwlink/?linkid=870924
Comment:
	making manual adjustment by adding 37.5 for unit error , 6A x 7.5kg
======
ID#AAAB0MfBcks
tc={b7e8f83f-6493-4c2d-9b6e-fda12fe7ce4c}    (2026-02-11 23:57:54)
[Threaded comment]
 Your version of Excel allows you to read this threaded comment; however, any edits to it will get removed if the file is opened in a newer version of Excel. Learn more: https://go.microsoft.com/fwlink/?linkid=870924
Comment:
	make manual adjustment by adding 37.5
======
ID#AAAB0MfBcko
tc={0bcdd609-7b4c-425d-83d2-942d90345c3d}    (2026-02-11 23:57:54)
[Threaded comment]
 Your version of Excel allows you to read this threaded comment; however, any edits to it will get removed if the file is opened in a newer version of Excel. Learn more: https://go.microsoft.com/fwlink/?linkid=870924
Comment:
	making manual adjustment by adding 37.5 for unit error , 6A x 7.5kg</t>
      </text>
    </comment>
  </commentList>
  <extLst>
    <ext uri="GoogleSheetsCustomDataVersion2">
      <go:sheetsCustomData xmlns:go="http://customooxmlschemas.google.com/" r:id="rId1" roundtripDataSignature="AMtx7miMmpiUuqEOt5jVd7wOuZZEMn41nQ=="/>
    </ext>
  </extLst>
</comments>
</file>

<file path=xl/sharedStrings.xml><?xml version="1.0" encoding="utf-8"?>
<sst xmlns="http://schemas.openxmlformats.org/spreadsheetml/2006/main" count="431" uniqueCount="52">
  <si>
    <t>Live Month</t>
  </si>
  <si>
    <t>Total Stock Value Before Production</t>
  </si>
  <si>
    <t>Total Closing Stock</t>
  </si>
  <si>
    <t>Total Cost of Production</t>
  </si>
  <si>
    <t>Inventory Code</t>
  </si>
  <si>
    <t>Raw Material Name</t>
  </si>
  <si>
    <t>Unit Measure</t>
  </si>
  <si>
    <t>Latest Stock Date</t>
  </si>
  <si>
    <t>Total Stock Before Production</t>
  </si>
  <si>
    <t>Total Stock Value 
Before Production (MMK)</t>
  </si>
  <si>
    <t>Ground Stock</t>
  </si>
  <si>
    <t>Weighted Average Cost Per Unit (MMK)</t>
  </si>
  <si>
    <t>Stock Used in Production</t>
  </si>
  <si>
    <t>Closing Stock Value 
(MMK)</t>
  </si>
  <si>
    <t>Cost of Production</t>
  </si>
  <si>
    <t>Status</t>
  </si>
  <si>
    <t>Kg</t>
  </si>
  <si>
    <t>In stock</t>
  </si>
  <si>
    <t>Box</t>
  </si>
  <si>
    <t>Cup</t>
  </si>
  <si>
    <t>Roll</t>
  </si>
  <si>
    <t>Sold out</t>
  </si>
  <si>
    <t>Hardcode</t>
  </si>
  <si>
    <t>Purchase Quantity</t>
  </si>
  <si>
    <t>Total Cost (Purchase + Carriage Inward)</t>
  </si>
  <si>
    <t>Stock Units Used in Production</t>
  </si>
  <si>
    <t>Weighted Average Unit Cost</t>
  </si>
  <si>
    <t>Period-Ended</t>
  </si>
  <si>
    <t>Total</t>
  </si>
  <si>
    <t>Packaging Stock Tracker &gt;&gt;&gt;&gt;&gt;&gt;&gt;&gt;&gt;&gt;&gt;&gt;</t>
  </si>
  <si>
    <t>Received Date</t>
  </si>
  <si>
    <t>Particular</t>
  </si>
  <si>
    <t>Opening Stock</t>
  </si>
  <si>
    <t>Unit Cost</t>
  </si>
  <si>
    <t>WAC per Unit</t>
  </si>
  <si>
    <t>Used in Production</t>
  </si>
  <si>
    <t>Closing Inventory Value</t>
  </si>
  <si>
    <t>note make mistake in previous calculation of ground stock units - 6*7.5</t>
  </si>
  <si>
    <t>Total Stock Value 
(MMK)</t>
  </si>
  <si>
    <t>As of Date</t>
  </si>
  <si>
    <t>ပိုက်အိပ်</t>
  </si>
  <si>
    <t>ဂျပ်ဖာ သေး</t>
  </si>
  <si>
    <t>ဂျပ်ဖာ ကြီး</t>
  </si>
  <si>
    <t>ပလပ်စတစ်ခွက်(140 ml)</t>
  </si>
  <si>
    <t>ပလပ်စတစ်ခွက်(175ml)</t>
  </si>
  <si>
    <t>တိတ်</t>
  </si>
  <si>
    <t>အဖုံ ပိတ်လိပ်</t>
  </si>
  <si>
    <t>Total Stock Value</t>
  </si>
  <si>
    <t>Changes in Stock</t>
  </si>
  <si>
    <t>Changes in Unit Price</t>
  </si>
  <si>
    <t xml:space="preserve">Please copy weighted averagge cost from cogs tracker tab to ensure uniform calculation </t>
  </si>
  <si>
    <t>`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</si>
</sst>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MMK ]#,##0.00"/>
    <numFmt numFmtId="165" formatCode="d&quot;/&quot;m&quot;/&quot;yyyy"/>
    <numFmt numFmtId="166" formatCode="d/m/yyyy"/>
    <numFmt numFmtId="167" formatCode="#,##0.0"/>
  </numFmts>
  <fonts count="15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Arial"/>
    </font>
    <font>
      <b/>
      <sz val="12.0"/>
      <color theme="1"/>
      <name val="Arial"/>
    </font>
    <font>
      <b/>
      <color theme="1"/>
      <name val="Arial"/>
    </font>
    <font>
      <color rgb="FFFFFFFF"/>
      <name val="Roboto"/>
    </font>
    <font>
      <color rgb="FF4A86E8"/>
      <name val="Arial"/>
    </font>
    <font>
      <color rgb="FF11734B"/>
      <name val="Roboto"/>
    </font>
    <font>
      <color rgb="FFFFFFFF"/>
      <name val="Arial"/>
    </font>
    <font/>
    <font>
      <sz val="36.0"/>
      <color theme="1"/>
      <name val="Arial"/>
    </font>
    <font>
      <color rgb="FF434343"/>
      <name val="Roboto"/>
    </font>
    <font>
      <color rgb="FF0000FF"/>
      <name val="Roboto"/>
    </font>
    <font>
      <color rgb="FF0000FF"/>
      <name val="Arial"/>
    </font>
    <font>
      <sz val="8.0"/>
      <color rgb="FF434343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5B95F9"/>
        <bgColor rgb="FF5B95F9"/>
      </patternFill>
    </fill>
    <fill>
      <patternFill patternType="solid">
        <fgColor rgb="FFF46524"/>
        <bgColor rgb="FFF46524"/>
      </patternFill>
    </fill>
    <fill>
      <patternFill patternType="solid">
        <fgColor rgb="FFFFFF00"/>
        <bgColor rgb="FFFFFF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top style="thin">
        <color rgb="FF000000"/>
      </top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bottom style="thin">
        <color rgb="FF000000"/>
      </bottom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0" fontId="1" numFmtId="3" xfId="0" applyFont="1" applyNumberFormat="1"/>
    <xf borderId="1" fillId="3" fontId="3" numFmtId="164" xfId="0" applyAlignment="1" applyBorder="1" applyFill="1" applyFont="1" applyNumberFormat="1">
      <alignment horizontal="right" vertical="bottom"/>
    </xf>
    <xf borderId="1" fillId="3" fontId="4" numFmtId="4" xfId="0" applyAlignment="1" applyBorder="1" applyFont="1" applyNumberFormat="1">
      <alignment horizontal="right" vertical="bottom"/>
    </xf>
    <xf borderId="1" fillId="3" fontId="4" numFmtId="3" xfId="0" applyAlignment="1" applyBorder="1" applyFont="1" applyNumberFormat="1">
      <alignment horizontal="right" vertical="bottom"/>
    </xf>
    <xf borderId="0" fillId="0" fontId="1" numFmtId="4" xfId="0" applyFont="1" applyNumberFormat="1"/>
    <xf borderId="2" fillId="4" fontId="5" numFmtId="0" xfId="0" applyAlignment="1" applyBorder="1" applyFill="1" applyFont="1">
      <alignment horizontal="left" shrinkToFit="0" vertical="center" wrapText="1"/>
    </xf>
    <xf borderId="3" fillId="4" fontId="5" numFmtId="0" xfId="0" applyAlignment="1" applyBorder="1" applyFont="1">
      <alignment horizontal="left" shrinkToFit="0" vertical="center" wrapText="1"/>
    </xf>
    <xf borderId="3" fillId="4" fontId="5" numFmtId="0" xfId="0" applyAlignment="1" applyBorder="1" applyFont="1">
      <alignment horizontal="left" shrinkToFit="0" vertical="center" wrapText="0"/>
    </xf>
    <xf borderId="0" fillId="0" fontId="1" numFmtId="49" xfId="0" applyAlignment="1" applyFont="1" applyNumberFormat="1">
      <alignment horizontal="left" shrinkToFit="0" vertical="center" wrapText="1"/>
    </xf>
    <xf borderId="4" fillId="4" fontId="5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6" numFmtId="3" xfId="0" applyAlignment="1" applyFont="1" applyNumberFormat="1">
      <alignment shrinkToFit="0" vertical="center" wrapText="0"/>
    </xf>
    <xf borderId="5" fillId="0" fontId="1" numFmtId="4" xfId="0" applyAlignment="1" applyBorder="1" applyFont="1" applyNumberFormat="1">
      <alignment shrinkToFit="0" vertical="center" wrapText="0"/>
    </xf>
    <xf borderId="6" fillId="3" fontId="7" numFmtId="0" xfId="0" applyAlignment="1" applyBorder="1" applyFont="1">
      <alignment shrinkToFit="0" vertical="center" wrapText="0"/>
    </xf>
    <xf borderId="7" fillId="5" fontId="7" numFmtId="0" xfId="0" applyAlignment="1" applyBorder="1" applyFill="1" applyFont="1">
      <alignment shrinkToFit="0" vertical="center" wrapText="0"/>
    </xf>
    <xf borderId="0" fillId="0" fontId="1" numFmtId="49" xfId="0" applyFont="1" applyNumberFormat="1"/>
    <xf borderId="0" fillId="6" fontId="1" numFmtId="0" xfId="0" applyFill="1" applyFont="1"/>
    <xf borderId="0" fillId="6" fontId="1" numFmtId="3" xfId="0" applyFont="1" applyNumberFormat="1"/>
    <xf borderId="0" fillId="5" fontId="1" numFmtId="0" xfId="0" applyFont="1"/>
    <xf borderId="8" fillId="7" fontId="8" numFmtId="0" xfId="0" applyAlignment="1" applyBorder="1" applyFill="1" applyFont="1">
      <alignment horizontal="center"/>
    </xf>
    <xf borderId="8" fillId="0" fontId="9" numFmtId="0" xfId="0" applyBorder="1" applyFont="1"/>
    <xf borderId="0" fillId="6" fontId="1" numFmtId="0" xfId="0" applyAlignment="1" applyFont="1">
      <alignment horizontal="center"/>
    </xf>
    <xf borderId="8" fillId="2" fontId="1" numFmtId="0" xfId="0" applyAlignment="1" applyBorder="1" applyFont="1">
      <alignment horizontal="center"/>
    </xf>
    <xf borderId="8" fillId="8" fontId="8" numFmtId="0" xfId="0" applyAlignment="1" applyBorder="1" applyFill="1" applyFont="1">
      <alignment horizontal="center"/>
    </xf>
    <xf borderId="8" fillId="9" fontId="1" numFmtId="0" xfId="0" applyAlignment="1" applyBorder="1" applyFill="1" applyFont="1">
      <alignment horizontal="center"/>
    </xf>
    <xf borderId="0" fillId="0" fontId="1" numFmtId="0" xfId="0" applyFont="1"/>
    <xf borderId="0" fillId="6" fontId="1" numFmtId="0" xfId="0" applyFont="1"/>
    <xf borderId="0" fillId="7" fontId="8" numFmtId="0" xfId="0" applyAlignment="1" applyFont="1">
      <alignment horizontal="left" shrinkToFit="0" wrapText="1"/>
    </xf>
    <xf borderId="0" fillId="7" fontId="8" numFmtId="49" xfId="0" applyAlignment="1" applyFont="1" applyNumberFormat="1">
      <alignment horizontal="left" shrinkToFit="0" wrapText="1"/>
    </xf>
    <xf borderId="0" fillId="6" fontId="1" numFmtId="0" xfId="0" applyAlignment="1" applyFont="1">
      <alignment shrinkToFit="0" wrapText="1"/>
    </xf>
    <xf borderId="0" fillId="0" fontId="1" numFmtId="0" xfId="0" applyAlignment="1" applyFont="1">
      <alignment shrinkToFit="0" wrapText="1"/>
    </xf>
    <xf borderId="0" fillId="0" fontId="1" numFmtId="49" xfId="0" applyAlignment="1" applyFont="1" applyNumberFormat="1">
      <alignment shrinkToFit="0" wrapText="1"/>
    </xf>
    <xf borderId="0" fillId="6" fontId="1" numFmtId="0" xfId="0" applyAlignment="1" applyFont="1">
      <alignment shrinkToFit="0" wrapText="1"/>
    </xf>
    <xf borderId="0" fillId="0" fontId="8" numFmtId="0" xfId="0" applyAlignment="1" applyFont="1">
      <alignment horizontal="left" shrinkToFit="0" wrapText="1"/>
    </xf>
    <xf borderId="0" fillId="0" fontId="8" numFmtId="49" xfId="0" applyAlignment="1" applyFont="1" applyNumberFormat="1">
      <alignment horizontal="left" shrinkToFit="0" wrapText="1"/>
    </xf>
    <xf borderId="0" fillId="5" fontId="1" numFmtId="0" xfId="0" applyFont="1"/>
    <xf borderId="0" fillId="0" fontId="1" numFmtId="166" xfId="0" applyFont="1" applyNumberFormat="1"/>
    <xf borderId="0" fillId="0" fontId="1" numFmtId="3" xfId="0" applyFont="1" applyNumberFormat="1"/>
    <xf borderId="0" fillId="6" fontId="1" numFmtId="3" xfId="0" applyFont="1" applyNumberFormat="1"/>
    <xf borderId="0" fillId="0" fontId="10" numFmtId="0" xfId="0" applyFont="1"/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vertical="bottom"/>
    </xf>
    <xf borderId="0" fillId="0" fontId="1" numFmtId="49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9" fillId="3" fontId="11" numFmtId="165" xfId="0" applyAlignment="1" applyBorder="1" applyFont="1" applyNumberFormat="1">
      <alignment horizontal="right" shrinkToFit="0" vertical="center" wrapText="0"/>
    </xf>
    <xf borderId="10" fillId="3" fontId="11" numFmtId="49" xfId="0" applyAlignment="1" applyBorder="1" applyFont="1" applyNumberFormat="1">
      <alignment shrinkToFit="0" vertical="center" wrapText="0"/>
    </xf>
    <xf borderId="10" fillId="3" fontId="12" numFmtId="3" xfId="0" applyAlignment="1" applyBorder="1" applyFont="1" applyNumberFormat="1">
      <alignment horizontal="right" shrinkToFit="0" vertical="center" wrapText="0"/>
    </xf>
    <xf borderId="10" fillId="3" fontId="11" numFmtId="3" xfId="0" applyAlignment="1" applyBorder="1" applyFont="1" applyNumberFormat="1">
      <alignment horizontal="right" shrinkToFit="0" vertical="center" wrapText="0"/>
    </xf>
    <xf borderId="10" fillId="3" fontId="11" numFmtId="167" xfId="0" applyAlignment="1" applyBorder="1" applyFont="1" applyNumberFormat="1">
      <alignment horizontal="right" shrinkToFit="0" vertical="center" wrapText="0"/>
    </xf>
    <xf borderId="10" fillId="3" fontId="11" numFmtId="0" xfId="0" applyAlignment="1" applyBorder="1" applyFont="1">
      <alignment horizontal="right" shrinkToFit="0" vertical="center" wrapText="0"/>
    </xf>
    <xf borderId="11" fillId="10" fontId="11" numFmtId="4" xfId="0" applyAlignment="1" applyBorder="1" applyFill="1" applyFont="1" applyNumberFormat="1">
      <alignment horizontal="right" shrinkToFit="0" vertical="center" wrapText="0"/>
    </xf>
    <xf borderId="10" fillId="3" fontId="1" numFmtId="0" xfId="0" applyAlignment="1" applyBorder="1" applyFont="1">
      <alignment shrinkToFit="0" vertical="center" wrapText="0"/>
    </xf>
    <xf borderId="10" fillId="3" fontId="13" numFmtId="3" xfId="0" applyAlignment="1" applyBorder="1" applyFont="1" applyNumberFormat="1">
      <alignment shrinkToFit="0" vertical="center" wrapText="0"/>
    </xf>
    <xf borderId="10" fillId="3" fontId="1" numFmtId="4" xfId="0" applyAlignment="1" applyBorder="1" applyFont="1" applyNumberFormat="1">
      <alignment shrinkToFit="0" vertical="center" wrapText="0"/>
    </xf>
    <xf borderId="12" fillId="3" fontId="1" numFmtId="4" xfId="0" applyAlignment="1" applyBorder="1" applyFont="1" applyNumberFormat="1">
      <alignment shrinkToFit="0" vertical="center" wrapText="0"/>
    </xf>
    <xf borderId="0" fillId="3" fontId="11" numFmtId="165" xfId="0" applyAlignment="1" applyFont="1" applyNumberFormat="1">
      <alignment horizontal="right" shrinkToFit="0" vertical="center" wrapText="0"/>
    </xf>
    <xf borderId="0" fillId="3" fontId="11" numFmtId="49" xfId="0" applyAlignment="1" applyFont="1" applyNumberFormat="1">
      <alignment shrinkToFit="0" vertical="center" wrapText="0"/>
    </xf>
    <xf borderId="0" fillId="3" fontId="12" numFmtId="0" xfId="0" applyAlignment="1" applyFont="1">
      <alignment horizontal="right" shrinkToFit="0" vertical="center" wrapText="0"/>
    </xf>
    <xf borderId="0" fillId="3" fontId="11" numFmtId="3" xfId="0" applyAlignment="1" applyFont="1" applyNumberFormat="1">
      <alignment horizontal="right" shrinkToFit="0" vertical="center" wrapText="0"/>
    </xf>
    <xf borderId="0" fillId="3" fontId="11" numFmtId="167" xfId="0" applyAlignment="1" applyFont="1" applyNumberFormat="1">
      <alignment horizontal="right" shrinkToFit="0" vertical="center" wrapText="0"/>
    </xf>
    <xf borderId="10" fillId="3" fontId="13" numFmtId="0" xfId="0" applyAlignment="1" applyBorder="1" applyFont="1">
      <alignment shrinkToFit="0" vertical="center" wrapText="0"/>
    </xf>
    <xf borderId="0" fillId="3" fontId="11" numFmtId="0" xfId="0" applyAlignment="1" applyFont="1">
      <alignment horizontal="right" shrinkToFit="0" vertical="center" wrapText="0"/>
    </xf>
    <xf borderId="0" fillId="3" fontId="1" numFmtId="0" xfId="0" applyAlignment="1" applyFont="1">
      <alignment shrinkToFit="0" vertical="center" wrapText="0"/>
    </xf>
    <xf borderId="0" fillId="3" fontId="13" numFmtId="0" xfId="0" applyAlignment="1" applyFont="1">
      <alignment shrinkToFit="0" vertical="center" wrapText="0"/>
    </xf>
    <xf borderId="0" fillId="3" fontId="1" numFmtId="4" xfId="0" applyAlignment="1" applyFont="1" applyNumberFormat="1">
      <alignment shrinkToFit="0" vertical="center" wrapText="0"/>
    </xf>
    <xf borderId="10" fillId="3" fontId="11" numFmtId="4" xfId="0" applyAlignment="1" applyBorder="1" applyFont="1" applyNumberFormat="1">
      <alignment shrinkToFit="0" vertical="center" wrapText="0"/>
    </xf>
    <xf borderId="10" fillId="3" fontId="6" numFmtId="3" xfId="0" applyAlignment="1" applyBorder="1" applyFont="1" applyNumberFormat="1">
      <alignment shrinkToFit="0" vertical="center" wrapText="0"/>
    </xf>
    <xf borderId="0" fillId="0" fontId="1" numFmtId="167" xfId="0" applyAlignment="1" applyFont="1" applyNumberFormat="1">
      <alignment shrinkToFit="0" vertical="center" wrapText="0"/>
    </xf>
    <xf borderId="0" fillId="10" fontId="1" numFmtId="4" xfId="0" applyAlignment="1" applyFont="1" applyNumberFormat="1">
      <alignment shrinkToFit="0" vertical="center" wrapText="0"/>
    </xf>
    <xf borderId="10" fillId="3" fontId="6" numFmtId="0" xfId="0" applyAlignment="1" applyBorder="1" applyFont="1">
      <alignment shrinkToFit="0" vertical="center" wrapText="0"/>
    </xf>
    <xf borderId="0" fillId="3" fontId="6" numFmtId="0" xfId="0" applyAlignment="1" applyFont="1">
      <alignment shrinkToFit="0" vertical="center" wrapText="0"/>
    </xf>
    <xf borderId="0" fillId="3" fontId="11" numFmtId="4" xfId="0" applyAlignment="1" applyFont="1" applyNumberFormat="1">
      <alignment horizontal="right" shrinkToFit="0" vertical="center" wrapText="0"/>
    </xf>
    <xf borderId="10" fillId="3" fontId="13" numFmtId="4" xfId="0" applyAlignment="1" applyBorder="1" applyFont="1" applyNumberFormat="1">
      <alignment shrinkToFit="0" vertical="center" wrapText="0"/>
    </xf>
    <xf borderId="0" fillId="3" fontId="13" numFmtId="4" xfId="0" applyAlignment="1" applyFont="1" applyNumberFormat="1">
      <alignment shrinkToFit="0" vertical="center" wrapText="0"/>
    </xf>
    <xf borderId="10" fillId="3" fontId="12" numFmtId="3" xfId="0" applyAlignment="1" applyBorder="1" applyFont="1" applyNumberFormat="1">
      <alignment shrinkToFit="0" vertical="center" wrapText="0"/>
    </xf>
    <xf borderId="10" fillId="3" fontId="11" numFmtId="3" xfId="0" applyAlignment="1" applyBorder="1" applyFont="1" applyNumberFormat="1">
      <alignment shrinkToFit="0" vertical="center" wrapText="0"/>
    </xf>
    <xf borderId="10" fillId="3" fontId="11" numFmtId="167" xfId="0" applyAlignment="1" applyBorder="1" applyFont="1" applyNumberFormat="1">
      <alignment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3" fontId="11" numFmtId="167" xfId="0" applyAlignment="1" applyFont="1" applyNumberFormat="1">
      <alignment shrinkToFit="0" vertical="center" wrapText="0"/>
    </xf>
    <xf borderId="10" fillId="3" fontId="12" numFmtId="4" xfId="0" applyAlignment="1" applyBorder="1" applyFont="1" applyNumberFormat="1">
      <alignment shrinkToFit="0" vertical="center" wrapText="0"/>
    </xf>
    <xf borderId="10" fillId="3" fontId="11" numFmtId="0" xfId="0" applyAlignment="1" applyBorder="1" applyFont="1">
      <alignment shrinkToFit="0" vertical="center" wrapText="0"/>
    </xf>
    <xf borderId="0" fillId="3" fontId="11" numFmtId="4" xfId="0" applyAlignment="1" applyFont="1" applyNumberFormat="1">
      <alignment shrinkToFit="0" vertical="center" wrapText="0"/>
    </xf>
    <xf borderId="0" fillId="3" fontId="1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10" fillId="3" fontId="11" numFmtId="165" xfId="0" applyAlignment="1" applyBorder="1" applyFont="1" applyNumberFormat="1">
      <alignment horizontal="right" shrinkToFit="0" vertical="center" wrapText="0"/>
    </xf>
    <xf borderId="13" fillId="5" fontId="11" numFmtId="165" xfId="0" applyAlignment="1" applyBorder="1" applyFont="1" applyNumberFormat="1">
      <alignment horizontal="right" shrinkToFit="0" vertical="center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shrinkToFit="0" wrapText="0"/>
    </xf>
    <xf borderId="1" fillId="10" fontId="1" numFmtId="0" xfId="0" applyAlignment="1" applyBorder="1" applyFont="1">
      <alignment shrinkToFit="0" wrapText="1"/>
    </xf>
    <xf borderId="1" fillId="10" fontId="1" numFmtId="3" xfId="0" applyAlignment="1" applyBorder="1" applyFont="1" applyNumberFormat="1">
      <alignment shrinkToFit="0" wrapText="1"/>
    </xf>
    <xf borderId="0" fillId="3" fontId="14" numFmtId="4" xfId="0" applyAlignment="1" applyFont="1" applyNumberFormat="1">
      <alignment shrinkToFit="0" vertical="center" wrapText="0"/>
    </xf>
    <xf borderId="0" fillId="3" fontId="11" numFmtId="10" xfId="0" applyAlignment="1" applyFont="1" applyNumberFormat="1">
      <alignment shrinkToFit="0" vertical="center" wrapText="0"/>
    </xf>
    <xf borderId="1" fillId="10" fontId="1" numFmtId="4" xfId="0" applyAlignment="1" applyBorder="1" applyFont="1" applyNumberFormat="1">
      <alignment shrinkToFit="0" wrapText="1"/>
    </xf>
    <xf borderId="0" fillId="0" fontId="13" numFmtId="3" xfId="0" applyAlignment="1" applyFont="1" applyNumberFormat="1">
      <alignment shrinkToFit="0" vertical="center" wrapText="0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  <dxf>
      <font/>
      <fill>
        <patternFill patternType="solid">
          <fgColor rgb="FFF46524"/>
          <bgColor rgb="FFF46524"/>
        </patternFill>
      </fill>
      <border/>
    </dxf>
    <dxf>
      <font/>
      <fill>
        <patternFill patternType="solid">
          <fgColor rgb="FFFFE6DD"/>
          <bgColor rgb="FFFFE6DD"/>
        </patternFill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23">
    <tableStyle count="3" pivot="0" name="Dashboard-style">
      <tableStyleElement dxfId="1" type="headerRow"/>
      <tableStyleElement dxfId="2" type="firstRowStripe"/>
      <tableStyleElement dxfId="3" type="secondRowStripe"/>
    </tableStyle>
    <tableStyle count="3" pivot="0" name="Dashboard-style 2">
      <tableStyleElement dxfId="1" type="headerRow"/>
      <tableStyleElement dxfId="2" type="firstRowStripe"/>
      <tableStyleElement dxfId="3" type="secondRowStripe"/>
    </tableStyle>
    <tableStyle count="3" pivot="0" name="Dashboard-style 3">
      <tableStyleElement dxfId="4" type="headerRow"/>
      <tableStyleElement dxfId="2" type="firstRowStripe"/>
      <tableStyleElement dxfId="5" type="secondRowStripe"/>
    </tableStyle>
    <tableStyle count="3" pivot="0" name="COP &amp; Purchases Tracker-style">
      <tableStyleElement dxfId="1" type="headerRow"/>
      <tableStyleElement dxfId="2" type="firstRowStripe"/>
      <tableStyleElement dxfId="3" type="secondRowStripe"/>
    </tableStyle>
    <tableStyle count="3" pivot="0" name="COP &amp; Purchases Tracker-style 2">
      <tableStyleElement dxfId="6" type="headerRow"/>
      <tableStyleElement dxfId="2" type="firstRowStripe"/>
      <tableStyleElement dxfId="7" type="secondRowStripe"/>
    </tableStyle>
    <tableStyle count="3" pivot="0" name="COP &amp; Purchases Tracker-style 3">
      <tableStyleElement dxfId="8" type="headerRow"/>
      <tableStyleElement dxfId="2" type="firstRowStripe"/>
      <tableStyleElement dxfId="9" type="secondRowStripe"/>
    </tableStyle>
    <tableStyle count="3" pivot="0" name="12100-style">
      <tableStyleElement dxfId="10" type="headerRow"/>
      <tableStyleElement dxfId="2" type="firstRowStripe"/>
      <tableStyleElement dxfId="5" type="secondRowStripe"/>
    </tableStyle>
    <tableStyle count="3" pivot="0" name="12101-style">
      <tableStyleElement dxfId="10" type="headerRow"/>
      <tableStyleElement dxfId="2" type="firstRowStripe"/>
      <tableStyleElement dxfId="5" type="secondRowStripe"/>
    </tableStyle>
    <tableStyle count="3" pivot="0" name="12102-style">
      <tableStyleElement dxfId="10" type="headerRow"/>
      <tableStyleElement dxfId="2" type="firstRowStripe"/>
      <tableStyleElement dxfId="5" type="secondRowStripe"/>
    </tableStyle>
    <tableStyle count="3" pivot="0" name="12103-style">
      <tableStyleElement dxfId="10" type="headerRow"/>
      <tableStyleElement dxfId="2" type="firstRowStripe"/>
      <tableStyleElement dxfId="5" type="secondRowStripe"/>
    </tableStyle>
    <tableStyle count="3" pivot="0" name="12104-style">
      <tableStyleElement dxfId="10" type="headerRow"/>
      <tableStyleElement dxfId="2" type="firstRowStripe"/>
      <tableStyleElement dxfId="5" type="secondRowStripe"/>
    </tableStyle>
    <tableStyle count="3" pivot="0" name="12105-style">
      <tableStyleElement dxfId="10" type="headerRow"/>
      <tableStyleElement dxfId="2" type="firstRowStripe"/>
      <tableStyleElement dxfId="5" type="secondRowStripe"/>
    </tableStyle>
    <tableStyle count="3" pivot="0" name="12106-style">
      <tableStyleElement dxfId="10" type="headerRow"/>
      <tableStyleElement dxfId="2" type="firstRowStripe"/>
      <tableStyleElement dxfId="5" type="secondRowStripe"/>
    </tableStyle>
    <tableStyle count="3" pivot="0" name="OB_Feb_2025-style">
      <tableStyleElement dxfId="10" type="headerRow"/>
      <tableStyleElement dxfId="2" type="firstRowStripe"/>
      <tableStyleElement dxfId="5" type="secondRowStripe"/>
    </tableStyle>
    <tableStyle count="3" pivot="0" name="OB_Mar_2025-style">
      <tableStyleElement dxfId="10" type="headerRow"/>
      <tableStyleElement dxfId="2" type="firstRowStripe"/>
      <tableStyleElement dxfId="5" type="secondRowStripe"/>
    </tableStyle>
    <tableStyle count="3" pivot="0" name="OB_April_2025-style">
      <tableStyleElement dxfId="10" type="headerRow"/>
      <tableStyleElement dxfId="2" type="firstRowStripe"/>
      <tableStyleElement dxfId="5" type="secondRowStripe"/>
    </tableStyle>
    <tableStyle count="3" pivot="0" name="OB_May_2025-style">
      <tableStyleElement dxfId="10" type="headerRow"/>
      <tableStyleElement dxfId="2" type="firstRowStripe"/>
      <tableStyleElement dxfId="5" type="secondRowStripe"/>
    </tableStyle>
    <tableStyle count="3" pivot="0" name="OB_June_2025-style">
      <tableStyleElement dxfId="10" type="headerRow"/>
      <tableStyleElement dxfId="2" type="firstRowStripe"/>
      <tableStyleElement dxfId="5" type="secondRowStripe"/>
    </tableStyle>
    <tableStyle count="3" pivot="0" name="OB_July_2025-style">
      <tableStyleElement dxfId="10" type="headerRow"/>
      <tableStyleElement dxfId="2" type="firstRowStripe"/>
      <tableStyleElement dxfId="5" type="secondRowStripe"/>
    </tableStyle>
    <tableStyle count="3" pivot="0" name="OB_August_2025-style">
      <tableStyleElement dxfId="10" type="headerRow"/>
      <tableStyleElement dxfId="2" type="firstRowStripe"/>
      <tableStyleElement dxfId="5" type="secondRowStripe"/>
    </tableStyle>
    <tableStyle count="3" pivot="0" name="OB_Sept_2025-style">
      <tableStyleElement dxfId="10" type="headerRow"/>
      <tableStyleElement dxfId="2" type="firstRowStripe"/>
      <tableStyleElement dxfId="5" type="secondRowStripe"/>
    </tableStyle>
    <tableStyle count="3" pivot="0" name="OB_Oct_2025-style">
      <tableStyleElement dxfId="10" type="headerRow"/>
      <tableStyleElement dxfId="2" type="firstRowStripe"/>
      <tableStyleElement dxfId="5" type="secondRowStripe"/>
    </tableStyle>
    <tableStyle count="3" pivot="0" name="OB_Nov_2025-style">
      <tableStyleElement dxfId="10" type="headerRow"/>
      <tableStyleElement dxfId="2" type="firstRowStripe"/>
      <tableStyleElement dxfId="5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cat>
            <c:strRef>
              <c:f>Dashboard!$B$7:$B$13</c:f>
            </c:strRef>
          </c:cat>
          <c:val>
            <c:numRef>
              <c:f>Dashboard!$F$7:$F$13</c:f>
              <c:numCache/>
            </c:numRef>
          </c:val>
        </c:ser>
        <c:ser>
          <c:idx val="1"/>
          <c:order val="1"/>
          <c:cat>
            <c:strRef>
              <c:f>Dashboard!$B$7:$B$13</c:f>
            </c:strRef>
          </c:cat>
          <c:val>
            <c:numRef>
              <c:f>Dashboard!$K$6:$K$13</c:f>
              <c:numCache/>
            </c:numRef>
          </c:val>
        </c:ser>
        <c:ser>
          <c:idx val="2"/>
          <c:order val="2"/>
          <c:cat>
            <c:strRef>
              <c:f>Dashboard!$B$7:$B$13</c:f>
            </c:strRef>
          </c:cat>
          <c:val>
            <c:numRef>
              <c:f>Dashboard!$J$6:$J$13</c:f>
              <c:numCache/>
            </c:numRef>
          </c:val>
        </c:ser>
        <c:axId val="535722425"/>
        <c:axId val="313118160"/>
      </c:barChart>
      <c:catAx>
        <c:axId val="535722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13118160"/>
      </c:catAx>
      <c:valAx>
        <c:axId val="31311816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535722425"/>
      </c:valAx>
    </c:plotArea>
    <c:legend>
      <c:legendPos val="r"/>
      <c:overlay val="0"/>
      <c:txPr>
        <a:bodyPr/>
        <a:lstStyle/>
        <a:p>
          <a:pPr lvl="0">
            <a:defRPr b="0" i="0" sz="16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OB_Mar_2025!$F$3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OB_Mar_2025!$B$4:$B$10</c:f>
            </c:strRef>
          </c:cat>
          <c:val>
            <c:numRef>
              <c:f>OB_Mar_2025!$F$4:$F$10</c:f>
              <c:numCache/>
            </c:numRef>
          </c:val>
        </c:ser>
        <c:overlap val="100"/>
        <c:axId val="901796500"/>
        <c:axId val="1012786387"/>
      </c:barChart>
      <c:catAx>
        <c:axId val="9017965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12786387"/>
      </c:catAx>
      <c:valAx>
        <c:axId val="10127863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01796500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OB_April_2025!$F$3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OB_April_2025!$B$4:$B$10</c:f>
            </c:strRef>
          </c:cat>
          <c:val>
            <c:numRef>
              <c:f>OB_April_2025!$F$4:$F$10</c:f>
              <c:numCache/>
            </c:numRef>
          </c:val>
        </c:ser>
        <c:overlap val="100"/>
        <c:axId val="1650232090"/>
        <c:axId val="1410161526"/>
      </c:barChart>
      <c:catAx>
        <c:axId val="1650232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410161526"/>
      </c:catAx>
      <c:valAx>
        <c:axId val="1410161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50232090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OB_May_2025!$F$3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OB_May_2025!$B$4:$B$10</c:f>
            </c:strRef>
          </c:cat>
          <c:val>
            <c:numRef>
              <c:f>OB_May_2025!$F$4:$F$10</c:f>
              <c:numCache/>
            </c:numRef>
          </c:val>
        </c:ser>
        <c:overlap val="100"/>
        <c:axId val="104782398"/>
        <c:axId val="2074513989"/>
      </c:barChart>
      <c:catAx>
        <c:axId val="1047823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074513989"/>
      </c:catAx>
      <c:valAx>
        <c:axId val="20745139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04782398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OB_June_2025!$F$3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OB_June_2025!$B$4:$B$10</c:f>
            </c:strRef>
          </c:cat>
          <c:val>
            <c:numRef>
              <c:f>OB_June_2025!$F$4:$F$10</c:f>
              <c:numCache/>
            </c:numRef>
          </c:val>
        </c:ser>
        <c:overlap val="100"/>
        <c:axId val="1923851752"/>
        <c:axId val="1282455242"/>
      </c:barChart>
      <c:catAx>
        <c:axId val="1923851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282455242"/>
      </c:catAx>
      <c:valAx>
        <c:axId val="12824552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92385175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OB_July_2025!$F$3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OB_July_2025!$B$4:$B$10</c:f>
            </c:strRef>
          </c:cat>
          <c:val>
            <c:numRef>
              <c:f>OB_July_2025!$F$4:$F$10</c:f>
              <c:numCache/>
            </c:numRef>
          </c:val>
        </c:ser>
        <c:overlap val="100"/>
        <c:axId val="687552482"/>
        <c:axId val="739936942"/>
      </c:barChart>
      <c:catAx>
        <c:axId val="687552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739936942"/>
      </c:catAx>
      <c:valAx>
        <c:axId val="739936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687552482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OB_August_2025!$F$3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OB_August_2025!$B$4:$B$10</c:f>
            </c:strRef>
          </c:cat>
          <c:val>
            <c:numRef>
              <c:f>OB_August_2025!$F$4:$F$10</c:f>
              <c:numCache/>
            </c:numRef>
          </c:val>
        </c:ser>
        <c:overlap val="100"/>
        <c:axId val="83374687"/>
        <c:axId val="1862999353"/>
      </c:barChart>
      <c:catAx>
        <c:axId val="83374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62999353"/>
      </c:catAx>
      <c:valAx>
        <c:axId val="18629993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83374687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OB_Sept_2025!$F$3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OB_Sept_2025!$B$4:$B$10</c:f>
            </c:strRef>
          </c:cat>
          <c:val>
            <c:numRef>
              <c:f>OB_Sept_2025!$F$4:$F$10</c:f>
              <c:numCache/>
            </c:numRef>
          </c:val>
        </c:ser>
        <c:overlap val="100"/>
        <c:axId val="1775144664"/>
        <c:axId val="910465491"/>
      </c:barChart>
      <c:catAx>
        <c:axId val="1775144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10465491"/>
      </c:catAx>
      <c:valAx>
        <c:axId val="9104654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75144664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OB_Oct_2025!$F$3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OB_Oct_2025!$B$4:$B$10</c:f>
            </c:strRef>
          </c:cat>
          <c:val>
            <c:numRef>
              <c:f>OB_Oct_2025!$F$4:$F$10</c:f>
              <c:numCache/>
            </c:numRef>
          </c:val>
        </c:ser>
        <c:overlap val="100"/>
        <c:axId val="2051435469"/>
        <c:axId val="454521577"/>
      </c:barChart>
      <c:catAx>
        <c:axId val="20514354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54521577"/>
      </c:catAx>
      <c:valAx>
        <c:axId val="45452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2051435469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Stock Value MMK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OB_Nov_2025!$F$3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OB_Nov_2025!$B$4:$B$10</c:f>
            </c:strRef>
          </c:cat>
          <c:val>
            <c:numRef>
              <c:f>OB_Nov_2025!$F$4:$F$10</c:f>
              <c:numCache/>
            </c:numRef>
          </c:val>
        </c:ser>
        <c:overlap val="100"/>
        <c:axId val="1815717527"/>
        <c:axId val="3987526"/>
      </c:barChart>
      <c:catAx>
        <c:axId val="1815717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Raw Material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987526"/>
      </c:catAx>
      <c:valAx>
        <c:axId val="3987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15717527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13</xdr:row>
      <xdr:rowOff>152400</xdr:rowOff>
    </xdr:from>
    <xdr:ext cx="17354550" cy="6648450"/>
    <xdr:graphicFrame>
      <xdr:nvGraphicFramePr>
        <xdr:cNvPr id="380840523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114300</xdr:rowOff>
    </xdr:from>
    <xdr:ext cx="11791950" cy="3924300"/>
    <xdr:graphicFrame>
      <xdr:nvGraphicFramePr>
        <xdr:cNvPr id="931664905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114300</xdr:rowOff>
    </xdr:from>
    <xdr:ext cx="11791950" cy="3924300"/>
    <xdr:graphicFrame>
      <xdr:nvGraphicFramePr>
        <xdr:cNvPr id="1494006161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114300</xdr:rowOff>
    </xdr:from>
    <xdr:ext cx="11791950" cy="3924300"/>
    <xdr:graphicFrame>
      <xdr:nvGraphicFramePr>
        <xdr:cNvPr id="1574456758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114300</xdr:rowOff>
    </xdr:from>
    <xdr:ext cx="11791950" cy="3924300"/>
    <xdr:graphicFrame>
      <xdr:nvGraphicFramePr>
        <xdr:cNvPr id="1283645340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114300</xdr:rowOff>
    </xdr:from>
    <xdr:ext cx="11791950" cy="3924300"/>
    <xdr:graphicFrame>
      <xdr:nvGraphicFramePr>
        <xdr:cNvPr id="296563944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10</xdr:row>
      <xdr:rowOff>123825</xdr:rowOff>
    </xdr:from>
    <xdr:ext cx="11791950" cy="3924300"/>
    <xdr:graphicFrame>
      <xdr:nvGraphicFramePr>
        <xdr:cNvPr id="431638728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10</xdr:row>
      <xdr:rowOff>123825</xdr:rowOff>
    </xdr:from>
    <xdr:ext cx="11791950" cy="3924300"/>
    <xdr:graphicFrame>
      <xdr:nvGraphicFramePr>
        <xdr:cNvPr id="790246612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10</xdr:row>
      <xdr:rowOff>123825</xdr:rowOff>
    </xdr:from>
    <xdr:ext cx="11791950" cy="3924300"/>
    <xdr:graphicFrame>
      <xdr:nvGraphicFramePr>
        <xdr:cNvPr id="1322709942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10</xdr:row>
      <xdr:rowOff>123825</xdr:rowOff>
    </xdr:from>
    <xdr:ext cx="11791950" cy="3924300"/>
    <xdr:graphicFrame>
      <xdr:nvGraphicFramePr>
        <xdr:cNvPr id="110282532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ref="F2:F3" displayName="Table_1" name="Table_1" id="1">
  <tableColumns count="1">
    <tableColumn name="Total Stock Value Before Production" id="1"/>
  </tableColumns>
  <tableStyleInfo name="Dashboard-style" showColumnStripes="0" showFirstColumn="1" showLastColumn="1" showRowStripes="1"/>
</table>
</file>

<file path=xl/tables/table2.xml><?xml version="1.0" encoding="utf-8"?>
<table xmlns="http://schemas.openxmlformats.org/spreadsheetml/2006/main" ref="J2:K3" displayName="Table_2" name="Table_2" id="2">
  <tableColumns count="2">
    <tableColumn name="Total Closing Stock" id="1"/>
    <tableColumn name="Total Cost of Production" id="2"/>
  </tableColumns>
  <tableStyleInfo name="Dashboard-style 2" showColumnStripes="0" showFirstColumn="1" showLastColumn="1" showRowStripes="1"/>
</table>
</file>

<file path=xl/tables/table3.xml><?xml version="1.0" encoding="utf-8"?>
<table xmlns="http://schemas.openxmlformats.org/spreadsheetml/2006/main" ref="A6:L13" displayName="Table_3" name="Table_3" id="3">
  <tableColumns count="12">
    <tableColumn name="Inventory Code" id="1"/>
    <tableColumn name="Raw Material Name" id="2"/>
    <tableColumn name="Unit Measure" id="3"/>
    <tableColumn name="Latest Stock Date" id="4"/>
    <tableColumn name="Total Stock Before Production" id="5"/>
    <tableColumn name="Total Stock Value _x000a_Before Production (MMK)" id="6"/>
    <tableColumn name="Ground Stock" id="7"/>
    <tableColumn name="Weighted Average Cost Per Unit (MMK)" id="8"/>
    <tableColumn name="Stock Used in Production" id="9"/>
    <tableColumn name="Closing Stock Value _x000a_(MMK)" id="10"/>
    <tableColumn name="Cost of Production" id="11"/>
    <tableColumn name="Status" id="12"/>
  </tableColumns>
  <tableStyleInfo name="Dashboard-style 3" showColumnStripes="0" showFirstColumn="1" showLastColumn="1" showRowStripes="1"/>
</table>
</file>

<file path=xl/tables/table4.xml><?xml version="1.0" encoding="utf-8"?>
<table xmlns="http://schemas.openxmlformats.org/spreadsheetml/2006/main" headerRowCount="0" ref="B5:Z36" displayName="Table_4" name="Table_4" id="4">
  <tableColumns count="2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</tableColumns>
  <tableStyleInfo name="COP &amp; Purchases 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B5:AH14" displayName="Table_5" name="Table_5" id="5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COP &amp; Purchases Tracker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J5:AR1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OP &amp; Purchases Tracker-style 3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ref="A1:L23" displayName="Table_7" name="Table_7" id="7">
  <tableColumns count="12">
    <tableColumn name="Received Date" id="1"/>
    <tableColumn name="Particular" id="2"/>
    <tableColumn name="Opening Stock" id="3"/>
    <tableColumn name="Purchase Quantity" id="4"/>
    <tableColumn name="Unit Cost" id="5"/>
    <tableColumn name="Total Cost (Purchase + Carriage Inward)" id="6"/>
    <tableColumn name="Total Stock Before Production" id="7"/>
    <tableColumn name="WAC per Unit" id="8"/>
    <tableColumn name="Used in Production" id="9"/>
    <tableColumn name="Ground Stock" id="10"/>
    <tableColumn name="Closing Inventory Value" id="11"/>
    <tableColumn name="Cost of Production" id="12"/>
  </tableColumns>
  <tableStyleInfo name="12100-style" showColumnStripes="0" showFirstColumn="1" showLastColumn="1" showRowStripes="1"/>
</table>
</file>

<file path=xl/tables/table8.xml><?xml version="1.0" encoding="utf-8"?>
<table xmlns="http://schemas.openxmlformats.org/spreadsheetml/2006/main" ref="A1:L21" displayName="Table_8" name="Table_8" id="8">
  <tableColumns count="12">
    <tableColumn name="Received Date" id="1"/>
    <tableColumn name="Particular" id="2"/>
    <tableColumn name="Opening Stock" id="3"/>
    <tableColumn name="Purchase Quantity" id="4"/>
    <tableColumn name="Unit Cost" id="5"/>
    <tableColumn name="Total Cost (Purchase + Carriage Inward)" id="6"/>
    <tableColumn name="Total Stock Before Production" id="7"/>
    <tableColumn name="WAC per Unit" id="8"/>
    <tableColumn name="Used in Production" id="9"/>
    <tableColumn name="Ground Stock" id="10"/>
    <tableColumn name="Closing Inventory Value" id="11"/>
    <tableColumn name="Cost of Production" id="12"/>
  </tableColumns>
  <tableStyleInfo name="12101-style" showColumnStripes="0" showFirstColumn="1" showLastColumn="1" showRowStripes="1"/>
</table>
</file>

<file path=xl/tables/table9.xml><?xml version="1.0" encoding="utf-8"?>
<table xmlns="http://schemas.openxmlformats.org/spreadsheetml/2006/main" ref="A1:L13" displayName="Table_9" name="Table_9" id="9">
  <tableColumns count="12">
    <tableColumn name="Received Date" id="1"/>
    <tableColumn name="Particular" id="2"/>
    <tableColumn name="Opening Stock" id="3"/>
    <tableColumn name="Purchase Quantity" id="4"/>
    <tableColumn name="Unit Cost" id="5"/>
    <tableColumn name="Total Cost (Purchase + Carriage Inward)" id="6"/>
    <tableColumn name="Total Stock Before Production" id="7"/>
    <tableColumn name="WAC per Unit" id="8"/>
    <tableColumn name="Used in Production" id="9"/>
    <tableColumn name="Ground Stock" id="10"/>
    <tableColumn name="Closing Inventory Value" id="11"/>
    <tableColumn name="Cost of Production" id="12"/>
  </tableColumns>
  <tableStyleInfo name="12102-style" showColumnStripes="0" showFirstColumn="1" showLastColumn="1" showRowStripes="1"/>
</table>
</file>

<file path=xl/tables/table10.xml><?xml version="1.0" encoding="utf-8"?>
<table xmlns="http://schemas.openxmlformats.org/spreadsheetml/2006/main" ref="A1:L14" displayName="Table_10" name="Table_10" id="10">
  <tableColumns count="12">
    <tableColumn name="Received Date" id="1"/>
    <tableColumn name="Particular" id="2"/>
    <tableColumn name="Opening Stock" id="3"/>
    <tableColumn name="Purchase Quantity" id="4"/>
    <tableColumn name="Unit Cost" id="5"/>
    <tableColumn name="Total Cost (Purchase + Carriage Inward)" id="6"/>
    <tableColumn name="Total Stock Before Production" id="7"/>
    <tableColumn name="WAC per Unit" id="8"/>
    <tableColumn name="Used in Production" id="9"/>
    <tableColumn name="Ground Stock" id="10"/>
    <tableColumn name="Closing Inventory Value" id="11"/>
    <tableColumn name="Cost of Production" id="12"/>
  </tableColumns>
  <tableStyleInfo name="12103-style" showColumnStripes="0" showFirstColumn="1" showLastColumn="1" showRowStripes="1"/>
</table>
</file>

<file path=xl/tables/table11.xml><?xml version="1.0" encoding="utf-8"?>
<table xmlns="http://schemas.openxmlformats.org/spreadsheetml/2006/main" ref="A1:L18" displayName="Table_11" name="Table_11" id="11">
  <tableColumns count="12">
    <tableColumn name="Received Date" id="1"/>
    <tableColumn name="Particular" id="2"/>
    <tableColumn name="Opening Stock" id="3"/>
    <tableColumn name="Purchase Quantity" id="4"/>
    <tableColumn name="Unit Cost" id="5"/>
    <tableColumn name="Total Cost (Purchase + Carriage Inward)" id="6"/>
    <tableColumn name="Total Stock Before Production" id="7"/>
    <tableColumn name="WAC per Unit" id="8"/>
    <tableColumn name="Used in Production" id="9"/>
    <tableColumn name="Ground Stock" id="10"/>
    <tableColumn name="Closing Inventory Value" id="11"/>
    <tableColumn name="Cost of Production" id="12"/>
  </tableColumns>
  <tableStyleInfo name="12104-style" showColumnStripes="0" showFirstColumn="1" showLastColumn="1" showRowStripes="1"/>
</table>
</file>

<file path=xl/tables/table12.xml><?xml version="1.0" encoding="utf-8"?>
<table xmlns="http://schemas.openxmlformats.org/spreadsheetml/2006/main" ref="A1:L25" displayName="Table_12" name="Table_12" id="12">
  <tableColumns count="12">
    <tableColumn name="Received Date" id="1"/>
    <tableColumn name="Particular" id="2"/>
    <tableColumn name="Opening Stock" id="3"/>
    <tableColumn name="Purchase Quantity" id="4"/>
    <tableColumn name="Unit Cost" id="5"/>
    <tableColumn name="Total Cost (Purchase + Carriage Inward)" id="6"/>
    <tableColumn name="Total Stock Before Production" id="7"/>
    <tableColumn name="WAC per Unit" id="8"/>
    <tableColumn name="Used in Production" id="9"/>
    <tableColumn name="Ground Stock" id="10"/>
    <tableColumn name="Closing Inventory Value" id="11"/>
    <tableColumn name="Cost of Production" id="12"/>
  </tableColumns>
  <tableStyleInfo name="12105-style" showColumnStripes="0" showFirstColumn="1" showLastColumn="1" showRowStripes="1"/>
</table>
</file>

<file path=xl/tables/table13.xml><?xml version="1.0" encoding="utf-8"?>
<table xmlns="http://schemas.openxmlformats.org/spreadsheetml/2006/main" ref="A1:L16" displayName="Table_13" name="Table_13" id="13">
  <tableColumns count="12">
    <tableColumn name="Received Date" id="1"/>
    <tableColumn name="Particular" id="2"/>
    <tableColumn name="Opening Stock" id="3"/>
    <tableColumn name="Purchase Quantity" id="4"/>
    <tableColumn name="Unit Cost" id="5"/>
    <tableColumn name="Total Cost (Purchase + Carriage Inward)" id="6"/>
    <tableColumn name="Total Stock Before Production" id="7"/>
    <tableColumn name="WAC per Unit" id="8"/>
    <tableColumn name="Used in Production" id="9"/>
    <tableColumn name="Ground Stock" id="10"/>
    <tableColumn name="Closing Inventory Value" id="11"/>
    <tableColumn name="Cost of Production" id="12"/>
  </tableColumns>
  <tableStyleInfo name="12106-style" showColumnStripes="0" showFirstColumn="1" showLastColumn="1" showRowStripes="1"/>
</table>
</file>

<file path=xl/tables/table14.xml><?xml version="1.0" encoding="utf-8"?>
<table xmlns="http://schemas.openxmlformats.org/spreadsheetml/2006/main" ref="A1:H8" displayName="Table_14" name="Table_14" id="14">
  <tableColumns count="8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Status" id="8"/>
  </tableColumns>
  <tableStyleInfo name="OB_Feb_2025-style" showColumnStripes="0" showFirstColumn="1" showLastColumn="1" showRowStripes="1"/>
</table>
</file>

<file path=xl/tables/table15.xml><?xml version="1.0" encoding="utf-8"?>
<table xmlns="http://schemas.openxmlformats.org/spreadsheetml/2006/main" ref="A3:J10" displayName="Table_15" name="Table_15" id="15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Mar_2025-style" showColumnStripes="0" showFirstColumn="1" showLastColumn="1" showRowStripes="1"/>
</table>
</file>

<file path=xl/tables/table16.xml><?xml version="1.0" encoding="utf-8"?>
<table xmlns="http://schemas.openxmlformats.org/spreadsheetml/2006/main" ref="A3:J10" displayName="Table_16" name="Table_16" id="16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April_2025-style" showColumnStripes="0" showFirstColumn="1" showLastColumn="1" showRowStripes="1"/>
</table>
</file>

<file path=xl/tables/table17.xml><?xml version="1.0" encoding="utf-8"?>
<table xmlns="http://schemas.openxmlformats.org/spreadsheetml/2006/main" ref="A3:J10" displayName="Table_17" name="Table_17" id="17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May_2025-style" showColumnStripes="0" showFirstColumn="1" showLastColumn="1" showRowStripes="1"/>
</table>
</file>

<file path=xl/tables/table18.xml><?xml version="1.0" encoding="utf-8"?>
<table xmlns="http://schemas.openxmlformats.org/spreadsheetml/2006/main" ref="A3:J10" displayName="Table_18" name="Table_18" id="18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June_2025-style" showColumnStripes="0" showFirstColumn="1" showLastColumn="1" showRowStripes="1"/>
</table>
</file>

<file path=xl/tables/table19.xml><?xml version="1.0" encoding="utf-8"?>
<table xmlns="http://schemas.openxmlformats.org/spreadsheetml/2006/main" ref="A3:J10" displayName="Table_19" name="Table_19" id="19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July_2025-style" showColumnStripes="0" showFirstColumn="1" showLastColumn="1" showRowStripes="1"/>
</table>
</file>

<file path=xl/tables/table20.xml><?xml version="1.0" encoding="utf-8"?>
<table xmlns="http://schemas.openxmlformats.org/spreadsheetml/2006/main" ref="A3:J10" displayName="Table_20" name="Table_20" id="20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August_2025-style" showColumnStripes="0" showFirstColumn="1" showLastColumn="1" showRowStripes="1"/>
</table>
</file>

<file path=xl/tables/table21.xml><?xml version="1.0" encoding="utf-8"?>
<table xmlns="http://schemas.openxmlformats.org/spreadsheetml/2006/main" ref="A3:J10" displayName="Table_21" name="Table_21" id="21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Sept_2025-style" showColumnStripes="0" showFirstColumn="1" showLastColumn="1" showRowStripes="1"/>
</table>
</file>

<file path=xl/tables/table22.xml><?xml version="1.0" encoding="utf-8"?>
<table xmlns="http://schemas.openxmlformats.org/spreadsheetml/2006/main" ref="A3:J10" displayName="Table_22" name="Table_22" id="22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Oct_2025-style" showColumnStripes="0" showFirstColumn="1" showLastColumn="1" showRowStripes="1"/>
</table>
</file>

<file path=xl/tables/table23.xml><?xml version="1.0" encoding="utf-8"?>
<table xmlns="http://schemas.openxmlformats.org/spreadsheetml/2006/main" ref="A3:J10" displayName="Table_23" name="Table_23" id="23">
  <tableColumns count="10">
    <tableColumn name="Inventory Code" id="1"/>
    <tableColumn name="Raw Material Name" id="2"/>
    <tableColumn name="Unit Measure" id="3"/>
    <tableColumn name="Opening Stock" id="4"/>
    <tableColumn name="Weighted Average Cost Per Unit (MMK)" id="5"/>
    <tableColumn name="Total Stock Value _x000a_(MMK)" id="6"/>
    <tableColumn name="As of Date" id="7"/>
    <tableColumn name="Changes in Stock" id="8"/>
    <tableColumn name="Changes in Unit Price" id="9"/>
    <tableColumn name="Status" id="10"/>
  </tableColumns>
  <tableStyleInfo name="OB_Nov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8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9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1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1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20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21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22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29.75"/>
    <col customWidth="1" min="3" max="3" width="14.63"/>
    <col customWidth="1" min="4" max="4" width="16.88"/>
    <col customWidth="1" min="5" max="5" width="21.13"/>
    <col customWidth="1" min="6" max="6" width="31.75"/>
    <col customWidth="1" min="8" max="8" width="20.13"/>
    <col customWidth="1" min="9" max="9" width="16.88"/>
    <col customWidth="1" min="10" max="11" width="19.13"/>
    <col customWidth="1" min="12" max="12" width="13.5"/>
  </cols>
  <sheetData>
    <row r="1" ht="15.75" customHeight="1">
      <c r="D1" s="1">
        <v>0.0</v>
      </c>
    </row>
    <row r="2" ht="15.75" customHeight="1">
      <c r="A2" s="1" t="s">
        <v>0</v>
      </c>
      <c r="B2" s="1" t="str">
        <f>TEXT(D9,"MMMM-YY")</f>
        <v>#REF!</v>
      </c>
      <c r="F2" s="2" t="s">
        <v>1</v>
      </c>
      <c r="J2" s="3" t="s">
        <v>2</v>
      </c>
      <c r="K2" s="3" t="s">
        <v>3</v>
      </c>
      <c r="N2" s="4"/>
    </row>
    <row r="3" ht="15.75" customHeight="1">
      <c r="F3" s="5" t="str">
        <f>SUM(Dashboard!$F$7:$F$13)</f>
        <v>#REF!</v>
      </c>
      <c r="H3" s="4"/>
      <c r="J3" s="6" t="str">
        <f>SUM(Dashboard!$J$7:$J$13)</f>
        <v>#REF!</v>
      </c>
      <c r="K3" s="7" t="str">
        <f>SUM(Dashboard!$K$7:$K$13)</f>
        <v>#REF!</v>
      </c>
    </row>
    <row r="4" ht="15.75" customHeight="1">
      <c r="H4" s="8"/>
    </row>
    <row r="5" ht="15.75" customHeight="1"/>
    <row r="6" ht="22.5" customHeight="1">
      <c r="A6" s="9" t="s">
        <v>4</v>
      </c>
      <c r="B6" s="10" t="s">
        <v>5</v>
      </c>
      <c r="C6" s="11" t="s">
        <v>6</v>
      </c>
      <c r="D6" s="10" t="s">
        <v>7</v>
      </c>
      <c r="E6" s="10" t="s">
        <v>8</v>
      </c>
      <c r="F6" s="10" t="s">
        <v>9</v>
      </c>
      <c r="G6" s="10" t="s">
        <v>10</v>
      </c>
      <c r="H6" s="10" t="s">
        <v>11</v>
      </c>
      <c r="I6" s="10" t="s">
        <v>12</v>
      </c>
      <c r="J6" s="10" t="s">
        <v>13</v>
      </c>
      <c r="K6" s="12" t="s">
        <v>14</v>
      </c>
      <c r="L6" s="13" t="s">
        <v>15</v>
      </c>
    </row>
    <row r="7" ht="22.5" customHeight="1">
      <c r="A7" s="14">
        <f>OB_Feb_2025!A2</f>
        <v>12100</v>
      </c>
      <c r="B7" s="15" t="str">
        <f>OB_Feb_2025!B2</f>
        <v>ပိုက်အိပ်</v>
      </c>
      <c r="C7" s="14" t="s">
        <v>16</v>
      </c>
      <c r="D7" s="16" t="str">
        <f t="array" ref="D7">IFNA((MAX(INDIRECT(A7&amp;"!"&amp;"A:A"))),OB_May_2025!G4)</f>
        <v>#REF!</v>
      </c>
      <c r="E7" s="17" t="str">
        <f t="array" ref="E7">IF(D7=OB_July_2025!G4,OB_July_2025!D4, SUMIF(INDIRECT(A7&amp;"!"&amp;"A:A"),D7,INDIRECT(A7&amp;"!"&amp;"G:G")))</f>
        <v>#REF!</v>
      </c>
      <c r="F7" s="17" t="str">
        <f t="shared" ref="F7:F13" si="1">E7*H7</f>
        <v>#REF!</v>
      </c>
      <c r="G7" s="18">
        <f>'12100'!J12</f>
        <v>46.6</v>
      </c>
      <c r="H7" s="17" t="str">
        <f t="array" ref="H7">IF(D7=OB_June_2025!G4,OB_June_2025!E4, SUMIF(INDIRECT(A7&amp;"!"&amp;"A:A"),D7,INDIRECT(A7&amp;"!"&amp;"H:H")))</f>
        <v>#REF!</v>
      </c>
      <c r="I7" s="19" t="str">
        <f t="shared" ref="I7:I13" si="2">E7-G7</f>
        <v>#REF!</v>
      </c>
      <c r="J7" s="17" t="str">
        <f t="shared" ref="J7:J13" si="3">G7*H7</f>
        <v>#REF!</v>
      </c>
      <c r="K7" s="17" t="str">
        <f t="shared" ref="K7:K13" si="4">F7-J7</f>
        <v>#REF!</v>
      </c>
      <c r="L7" s="20" t="s">
        <v>17</v>
      </c>
      <c r="N7" s="1" t="str">
        <f t="shared" ref="N7:N13" si="5">IF(MONTH(D7)=5,B7,)</f>
        <v>#REF!</v>
      </c>
      <c r="O7" s="1" t="str">
        <f t="shared" ref="O7:O13" si="6">MONTH(D7)=10</f>
        <v>#REF!</v>
      </c>
    </row>
    <row r="8" ht="22.5" customHeight="1">
      <c r="A8" s="14">
        <f>OB_Feb_2025!A3</f>
        <v>12101</v>
      </c>
      <c r="B8" s="15" t="str">
        <f>OB_Feb_2025!B3</f>
        <v>ဂျပ်ဖာ သေး</v>
      </c>
      <c r="C8" s="14" t="s">
        <v>18</v>
      </c>
      <c r="D8" s="16" t="str">
        <f t="array" ref="D8">IFNA((MAX(INDIRECT(A8&amp;"!"&amp;"A:A"))),OB_May_2025!G5)</f>
        <v>#REF!</v>
      </c>
      <c r="E8" s="17" t="str">
        <f t="array" ref="E8">IF(D8=OB_July_2025!G5,OB_July_2025!D5, SUMIF(INDIRECT(A8&amp;"!"&amp;"A:A"),D8,INDIRECT(A8&amp;"!"&amp;"G:G")))</f>
        <v>#REF!</v>
      </c>
      <c r="F8" s="17" t="str">
        <f t="shared" si="1"/>
        <v>#REF!</v>
      </c>
      <c r="G8" s="18">
        <f>'12101'!J11</f>
        <v>880</v>
      </c>
      <c r="H8" s="17" t="str">
        <f t="array" ref="H8">IF(D8=OB_June_2025!G5,OB_June_2025!E5, SUMIF(INDIRECT(A8&amp;"!"&amp;"A:A"),D8,INDIRECT(A8&amp;"!"&amp;"H:H")))</f>
        <v>#REF!</v>
      </c>
      <c r="I8" s="17" t="str">
        <f t="shared" si="2"/>
        <v>#REF!</v>
      </c>
      <c r="J8" s="17" t="str">
        <f t="shared" si="3"/>
        <v>#REF!</v>
      </c>
      <c r="K8" s="17" t="str">
        <f t="shared" si="4"/>
        <v>#REF!</v>
      </c>
      <c r="L8" s="21" t="s">
        <v>17</v>
      </c>
      <c r="N8" s="1" t="str">
        <f t="shared" si="5"/>
        <v>#REF!</v>
      </c>
      <c r="O8" s="1" t="str">
        <f t="shared" si="6"/>
        <v>#REF!</v>
      </c>
    </row>
    <row r="9" ht="22.5" customHeight="1">
      <c r="A9" s="14">
        <f>OB_Feb_2025!A4</f>
        <v>12102</v>
      </c>
      <c r="B9" s="15" t="str">
        <f>OB_Feb_2025!B4</f>
        <v>ဂျပ်ဖာ ကြီး</v>
      </c>
      <c r="C9" s="14" t="s">
        <v>18</v>
      </c>
      <c r="D9" s="16" t="str">
        <f t="array" ref="D9">IFNA((MAX(INDIRECT(A9&amp;"!"&amp;"A:A"))),OB_May_2025!G6)</f>
        <v>#REF!</v>
      </c>
      <c r="E9" s="17" t="str">
        <f t="array" ref="E9">IF(D9=OB_July_2025!G6,OB_July_2025!D6, SUMIF(INDIRECT(A9&amp;"!"&amp;"A:A"),D9,INDIRECT(A9&amp;"!"&amp;"G:G")))</f>
        <v>#REF!</v>
      </c>
      <c r="F9" s="17" t="str">
        <f t="shared" si="1"/>
        <v>#REF!</v>
      </c>
      <c r="G9" s="18">
        <f>'12102'!J10</f>
        <v>1640</v>
      </c>
      <c r="H9" s="17" t="str">
        <f t="array" ref="H9">IF(D9=OB_June_2025!G6,OB_June_2025!E6, SUMIF(INDIRECT(A9&amp;"!"&amp;"A:A"),D9,INDIRECT(A9&amp;"!"&amp;"H:H")))</f>
        <v>#REF!</v>
      </c>
      <c r="I9" s="17" t="str">
        <f t="shared" si="2"/>
        <v>#REF!</v>
      </c>
      <c r="J9" s="17" t="str">
        <f t="shared" si="3"/>
        <v>#REF!</v>
      </c>
      <c r="K9" s="17" t="str">
        <f t="shared" si="4"/>
        <v>#REF!</v>
      </c>
      <c r="L9" s="14" t="s">
        <v>17</v>
      </c>
      <c r="N9" s="1" t="str">
        <f t="shared" si="5"/>
        <v>#REF!</v>
      </c>
      <c r="O9" s="1" t="str">
        <f t="shared" si="6"/>
        <v>#REF!</v>
      </c>
    </row>
    <row r="10" ht="22.5" customHeight="1">
      <c r="A10" s="14">
        <f>OB_Feb_2025!A5</f>
        <v>12103</v>
      </c>
      <c r="B10" s="15" t="str">
        <f>OB_Feb_2025!B5</f>
        <v>ပလပ်စတစ်ခွက်(140 ml)</v>
      </c>
      <c r="C10" s="14" t="s">
        <v>19</v>
      </c>
      <c r="D10" s="16" t="str">
        <f t="array" ref="D10">IFNA((MAX(INDIRECT(A10&amp;"!"&amp;"A:A"))),OB_May_2025!G7)</f>
        <v>#REF!</v>
      </c>
      <c r="E10" s="17" t="str">
        <f t="array" ref="E10">IF(D10=OB_July_2025!G7,OB_July_2025!D7, SUMIF(INDIRECT(A10&amp;"!"&amp;"A:A"),D10,INDIRECT(A10&amp;"!"&amp;"G:G")))</f>
        <v>#REF!</v>
      </c>
      <c r="F10" s="17" t="str">
        <f t="shared" si="1"/>
        <v>#REF!</v>
      </c>
      <c r="G10" s="18">
        <f>'12103'!J11</f>
        <v>1500</v>
      </c>
      <c r="H10" s="17" t="str">
        <f t="array" ref="H10">IF(D10=OB_June_2025!G7,OB_June_2025!E7, SUMIF(INDIRECT(A10&amp;"!"&amp;"A:A"),D10,INDIRECT(A10&amp;"!"&amp;"H:H")))</f>
        <v>#REF!</v>
      </c>
      <c r="I10" s="17" t="str">
        <f t="shared" si="2"/>
        <v>#REF!</v>
      </c>
      <c r="J10" s="17" t="str">
        <f t="shared" si="3"/>
        <v>#REF!</v>
      </c>
      <c r="K10" s="17" t="str">
        <f t="shared" si="4"/>
        <v>#REF!</v>
      </c>
      <c r="L10" s="14" t="s">
        <v>17</v>
      </c>
      <c r="N10" s="1" t="str">
        <f t="shared" si="5"/>
        <v>#REF!</v>
      </c>
      <c r="O10" s="1" t="str">
        <f t="shared" si="6"/>
        <v>#REF!</v>
      </c>
    </row>
    <row r="11" ht="22.5" customHeight="1">
      <c r="A11" s="14">
        <f>OB_Feb_2025!A6</f>
        <v>12104</v>
      </c>
      <c r="B11" s="15" t="str">
        <f>OB_Feb_2025!B6</f>
        <v>ပလပ်စတစ်ခွက်(175ml)</v>
      </c>
      <c r="C11" s="14" t="s">
        <v>19</v>
      </c>
      <c r="D11" s="16" t="str">
        <f t="array" ref="D11">IFNA((MAX(INDIRECT(A11&amp;"!"&amp;"A:A"))),OB_May_2025!G8)</f>
        <v>#REF!</v>
      </c>
      <c r="E11" s="17" t="str">
        <f t="array" ref="E11">IF(D11=OB_July_2025!G8,OB_July_2025!D8, SUMIF(INDIRECT(A11&amp;"!"&amp;"A:A"),D11,INDIRECT(A11&amp;"!"&amp;"G:G")))</f>
        <v>#REF!</v>
      </c>
      <c r="F11" s="17" t="str">
        <f t="shared" si="1"/>
        <v>#REF!</v>
      </c>
      <c r="G11" s="18">
        <f>'12104'!J12</f>
        <v>13600</v>
      </c>
      <c r="H11" s="17" t="str">
        <f t="array" ref="H11">IF(D11=OB_June_2025!G8,OB_June_2025!E8, SUMIF(INDIRECT(A11&amp;"!"&amp;"A:A"),D11,INDIRECT(A11&amp;"!"&amp;"H:H")))</f>
        <v>#REF!</v>
      </c>
      <c r="I11" s="17" t="str">
        <f t="shared" si="2"/>
        <v>#REF!</v>
      </c>
      <c r="J11" s="17" t="str">
        <f t="shared" si="3"/>
        <v>#REF!</v>
      </c>
      <c r="K11" s="17" t="str">
        <f t="shared" si="4"/>
        <v>#REF!</v>
      </c>
      <c r="L11" s="14" t="s">
        <v>17</v>
      </c>
      <c r="N11" s="1" t="str">
        <f t="shared" si="5"/>
        <v>#REF!</v>
      </c>
      <c r="O11" s="1" t="str">
        <f t="shared" si="6"/>
        <v>#REF!</v>
      </c>
    </row>
    <row r="12" ht="22.5" customHeight="1">
      <c r="A12" s="14">
        <f>OB_Feb_2025!A7</f>
        <v>12105</v>
      </c>
      <c r="B12" s="15" t="str">
        <f>OB_Feb_2025!B7</f>
        <v>တိတ်</v>
      </c>
      <c r="C12" s="14" t="s">
        <v>20</v>
      </c>
      <c r="D12" s="16" t="str">
        <f t="array" ref="D12">IFNA((MAX(INDIRECT(A12&amp;"!"&amp;"A:A"))),OB_May_2025!G9)</f>
        <v>#REF!</v>
      </c>
      <c r="E12" s="17" t="str">
        <f t="array" ref="E12">IF(D12=OB_July_2025!G9,OB_July_2025!D9, SUMIF(INDIRECT(A12&amp;"!"&amp;"A:A"),D12,INDIRECT(A12&amp;"!"&amp;"G:G")))</f>
        <v>#REF!</v>
      </c>
      <c r="F12" s="17" t="str">
        <f t="shared" si="1"/>
        <v>#REF!</v>
      </c>
      <c r="G12" s="18">
        <f>'12105'!J16</f>
        <v>7</v>
      </c>
      <c r="H12" s="17" t="str">
        <f t="array" ref="H12">IF(D12=OB_June_2025!G9,OB_June_2025!E9, SUMIF(INDIRECT(A12&amp;"!"&amp;"A:A"),D12,INDIRECT(A12&amp;"!"&amp;"H:H")))</f>
        <v>#REF!</v>
      </c>
      <c r="I12" s="17" t="str">
        <f t="shared" si="2"/>
        <v>#REF!</v>
      </c>
      <c r="J12" s="17" t="str">
        <f t="shared" si="3"/>
        <v>#REF!</v>
      </c>
      <c r="K12" s="17" t="str">
        <f t="shared" si="4"/>
        <v>#REF!</v>
      </c>
      <c r="L12" s="14" t="s">
        <v>21</v>
      </c>
      <c r="N12" s="1" t="str">
        <f t="shared" si="5"/>
        <v>#REF!</v>
      </c>
      <c r="O12" s="1" t="str">
        <f t="shared" si="6"/>
        <v>#REF!</v>
      </c>
    </row>
    <row r="13" ht="22.5" customHeight="1">
      <c r="A13" s="14">
        <f>OB_Feb_2025!A8</f>
        <v>12106</v>
      </c>
      <c r="B13" s="15" t="str">
        <f>OB_Feb_2025!B8</f>
        <v>အဖုံ ပိတ်လိပ်</v>
      </c>
      <c r="C13" s="14" t="s">
        <v>20</v>
      </c>
      <c r="D13" s="16" t="str">
        <f t="array" ref="D13">IFNA((MAX(INDIRECT(A13&amp;"!"&amp;"A:A"))),OB_May_2025!G10)</f>
        <v>#REF!</v>
      </c>
      <c r="E13" s="17" t="str">
        <f t="array" ref="E13">IF(D13=OB_July_2025!G10,OB_July_2025!D10, SUMIF(INDIRECT(A13&amp;"!"&amp;"A:A"),D13,INDIRECT(A13&amp;"!"&amp;"G:G")))</f>
        <v>#REF!</v>
      </c>
      <c r="F13" s="17" t="str">
        <f t="shared" si="1"/>
        <v>#REF!</v>
      </c>
      <c r="G13" s="18">
        <f>'12106'!J10</f>
        <v>28</v>
      </c>
      <c r="H13" s="17" t="str">
        <f t="array" ref="H13">IF(D13=OB_June_2025!G10,OB_June_2025!E10, SUMIF(INDIRECT(A13&amp;"!"&amp;"A:A"),D13,INDIRECT(A13&amp;"!"&amp;"H:H")))</f>
        <v>#REF!</v>
      </c>
      <c r="I13" s="17" t="str">
        <f t="shared" si="2"/>
        <v>#REF!</v>
      </c>
      <c r="J13" s="17" t="str">
        <f t="shared" si="3"/>
        <v>#REF!</v>
      </c>
      <c r="K13" s="17" t="str">
        <f t="shared" si="4"/>
        <v>#REF!</v>
      </c>
      <c r="L13" s="14" t="s">
        <v>17</v>
      </c>
      <c r="N13" s="1" t="str">
        <f t="shared" si="5"/>
        <v>#REF!</v>
      </c>
      <c r="O13" s="1" t="str">
        <f t="shared" si="6"/>
        <v>#REF!</v>
      </c>
      <c r="P13" s="22" t="str">
        <f>B13</f>
        <v>အဖုံ ပိတ်လိပ်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7:C13">
      <formula1>"Kg,Box,Pack,Cup,Roll"</formula1>
    </dataValidation>
    <dataValidation type="custom" allowBlank="1" showDropDown="1" sqref="E7:K13">
      <formula1>AND(ISNUMBER(E7),(NOT(OR(NOT(ISERROR(DATEVALUE(E7))), AND(ISNUMBER(E7), LEFT(CELL("format", E7))="D")))))</formula1>
    </dataValidation>
    <dataValidation type="list" allowBlank="1" sqref="L7:L13">
      <formula1>"In stock,Sold out"</formula1>
    </dataValidation>
  </dataValidations>
  <drawing r:id="rId2"/>
  <legacyDrawing r:id="rId3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1" max="1" width="12.63"/>
    <col customWidth="1" min="2" max="18" width="17.13"/>
    <col customWidth="1" min="19" max="27" width="10.13"/>
    <col customWidth="1" min="28" max="34" width="10.13" outlineLevel="1"/>
    <col customWidth="1" min="35" max="42" width="10.13"/>
  </cols>
  <sheetData>
    <row r="1" ht="15.75" customHeight="1">
      <c r="B1" s="1" t="s">
        <v>22</v>
      </c>
      <c r="C1" s="23"/>
      <c r="D1" s="4">
        <v>70.0</v>
      </c>
      <c r="E1" s="4">
        <v>6000.0</v>
      </c>
      <c r="F1" s="4">
        <v>2000.0</v>
      </c>
      <c r="G1" s="4">
        <v>325000.0</v>
      </c>
      <c r="H1" s="4">
        <v>91700.0</v>
      </c>
      <c r="I1" s="4">
        <v>15.0</v>
      </c>
      <c r="J1" s="4">
        <v>65.0</v>
      </c>
      <c r="K1" s="24"/>
      <c r="L1" s="4">
        <v>998015.7848154334</v>
      </c>
      <c r="M1" s="4">
        <v>6152417.174641147</v>
      </c>
      <c r="N1" s="4">
        <v>2335075.825358852</v>
      </c>
      <c r="O1" s="4">
        <v>1.0756675231747974E7</v>
      </c>
      <c r="P1" s="4">
        <v>3548658.983436591</v>
      </c>
      <c r="Q1" s="4">
        <v>199200.0</v>
      </c>
      <c r="R1" s="4">
        <v>1.1547386E7</v>
      </c>
      <c r="S1" s="24"/>
      <c r="T1" s="4">
        <v>33.0</v>
      </c>
      <c r="U1" s="4">
        <v>3960.0</v>
      </c>
      <c r="V1" s="4">
        <v>0.0</v>
      </c>
      <c r="W1" s="4">
        <v>320000.0</v>
      </c>
      <c r="X1" s="4">
        <v>100.0</v>
      </c>
      <c r="Y1" s="4">
        <v>8.0</v>
      </c>
      <c r="Z1" s="4">
        <v>30.0</v>
      </c>
      <c r="AA1" s="24"/>
      <c r="AB1" s="4">
        <v>14257.368354506192</v>
      </c>
      <c r="AC1" s="4">
        <v>1025.4028624401913</v>
      </c>
      <c r="AD1" s="4">
        <v>1165.2371091915081</v>
      </c>
      <c r="AE1" s="4">
        <v>33.097462251532235</v>
      </c>
      <c r="AF1" s="4">
        <v>38.669372867675975</v>
      </c>
      <c r="AG1" s="4">
        <v>13280.0</v>
      </c>
      <c r="AH1" s="4">
        <v>180451.29523809525</v>
      </c>
      <c r="AI1" s="24"/>
      <c r="AJ1" s="4">
        <v>470493.15569870436</v>
      </c>
      <c r="AK1" s="4">
        <v>4060595.3352631573</v>
      </c>
      <c r="AL1" s="4">
        <v>0.0</v>
      </c>
      <c r="AM1" s="4">
        <v>1.0591187920490313E7</v>
      </c>
      <c r="AN1" s="4">
        <v>3866.9372867675975</v>
      </c>
      <c r="AO1" s="4">
        <v>106240.0</v>
      </c>
      <c r="AP1" s="4">
        <v>5413538.857142857</v>
      </c>
      <c r="AQ1" s="25"/>
    </row>
    <row r="2" ht="15.75" customHeight="1">
      <c r="C2" s="23"/>
      <c r="K2" s="23"/>
      <c r="S2" s="23"/>
      <c r="AA2" s="23"/>
      <c r="AI2" s="23"/>
      <c r="AQ2" s="25"/>
    </row>
    <row r="3" ht="15.75" customHeight="1">
      <c r="C3" s="23"/>
      <c r="K3" s="23"/>
      <c r="S3" s="23"/>
      <c r="AA3" s="23"/>
      <c r="AI3" s="23"/>
      <c r="AQ3" s="25"/>
    </row>
    <row r="4" ht="15.75" customHeight="1">
      <c r="C4" s="23"/>
      <c r="D4" s="26" t="s">
        <v>23</v>
      </c>
      <c r="E4" s="27"/>
      <c r="F4" s="27"/>
      <c r="G4" s="27"/>
      <c r="H4" s="27"/>
      <c r="I4" s="27"/>
      <c r="J4" s="27"/>
      <c r="K4" s="23"/>
      <c r="L4" s="26" t="s">
        <v>24</v>
      </c>
      <c r="M4" s="27"/>
      <c r="N4" s="27"/>
      <c r="O4" s="27"/>
      <c r="P4" s="27"/>
      <c r="Q4" s="27"/>
      <c r="R4" s="27"/>
      <c r="S4" s="28"/>
      <c r="T4" s="29" t="s">
        <v>25</v>
      </c>
      <c r="U4" s="27"/>
      <c r="V4" s="27"/>
      <c r="W4" s="27"/>
      <c r="X4" s="27"/>
      <c r="Y4" s="27"/>
      <c r="Z4" s="27"/>
      <c r="AA4" s="23"/>
      <c r="AB4" s="30" t="s">
        <v>26</v>
      </c>
      <c r="AC4" s="27"/>
      <c r="AD4" s="27"/>
      <c r="AE4" s="27"/>
      <c r="AF4" s="27"/>
      <c r="AG4" s="27"/>
      <c r="AH4" s="27"/>
      <c r="AI4" s="23"/>
      <c r="AJ4" s="31" t="s">
        <v>14</v>
      </c>
      <c r="AK4" s="27"/>
      <c r="AL4" s="27"/>
      <c r="AM4" s="27"/>
      <c r="AN4" s="27"/>
      <c r="AO4" s="27"/>
      <c r="AP4" s="27"/>
      <c r="AQ4" s="25"/>
    </row>
    <row r="5" ht="24.75" customHeight="1">
      <c r="B5" s="32" t="s">
        <v>27</v>
      </c>
      <c r="C5" s="33"/>
      <c r="D5" s="34">
        <v>12100.0</v>
      </c>
      <c r="E5" s="35">
        <v>12101.0</v>
      </c>
      <c r="F5" s="35">
        <v>12102.0</v>
      </c>
      <c r="G5" s="35">
        <v>12103.0</v>
      </c>
      <c r="H5" s="35">
        <v>12104.0</v>
      </c>
      <c r="I5" s="35">
        <v>12105.0</v>
      </c>
      <c r="J5" s="35">
        <v>12106.0</v>
      </c>
      <c r="K5" s="36"/>
      <c r="L5" s="34">
        <v>12100.0</v>
      </c>
      <c r="M5" s="35">
        <v>12101.0</v>
      </c>
      <c r="N5" s="35">
        <v>12102.0</v>
      </c>
      <c r="O5" s="35">
        <v>12103.0</v>
      </c>
      <c r="P5" s="35">
        <v>12104.0</v>
      </c>
      <c r="Q5" s="35">
        <v>12105.0</v>
      </c>
      <c r="R5" s="35">
        <v>12106.0</v>
      </c>
      <c r="S5" s="36"/>
      <c r="T5" s="37">
        <v>12100.0</v>
      </c>
      <c r="U5" s="38">
        <v>12101.0</v>
      </c>
      <c r="V5" s="38">
        <v>12102.0</v>
      </c>
      <c r="W5" s="38">
        <v>12103.0</v>
      </c>
      <c r="X5" s="38">
        <v>12104.0</v>
      </c>
      <c r="Y5" s="38">
        <v>12105.0</v>
      </c>
      <c r="Z5" s="38">
        <v>12106.0</v>
      </c>
      <c r="AA5" s="39"/>
      <c r="AB5" s="40">
        <v>12100.0</v>
      </c>
      <c r="AC5" s="41">
        <v>12101.0</v>
      </c>
      <c r="AD5" s="41">
        <v>12102.0</v>
      </c>
      <c r="AE5" s="41">
        <v>12103.0</v>
      </c>
      <c r="AF5" s="41">
        <v>12104.0</v>
      </c>
      <c r="AG5" s="41">
        <v>12105.0</v>
      </c>
      <c r="AH5" s="41">
        <v>12106.0</v>
      </c>
      <c r="AI5" s="39"/>
      <c r="AJ5" s="37">
        <v>12100.0</v>
      </c>
      <c r="AK5" s="38">
        <v>12101.0</v>
      </c>
      <c r="AL5" s="38">
        <v>12102.0</v>
      </c>
      <c r="AM5" s="38">
        <v>12103.0</v>
      </c>
      <c r="AN5" s="38">
        <v>12104.0</v>
      </c>
      <c r="AO5" s="38">
        <v>12105.0</v>
      </c>
      <c r="AP5" s="38">
        <v>12106.0</v>
      </c>
      <c r="AQ5" s="42"/>
      <c r="AR5" s="32" t="s">
        <v>28</v>
      </c>
    </row>
    <row r="6" ht="15.75" customHeight="1">
      <c r="B6" s="43">
        <v>45716.0</v>
      </c>
      <c r="C6" s="33"/>
      <c r="D6" s="44">
        <f t="shared" ref="D6:J6" si="1">SUMIF(INDIRECT(D$5&amp;"!"&amp;"A:A"),"&lt;="&amp;$B$6,INDIRECT(D$5&amp;"!"&amp;"D:D"))</f>
        <v>0</v>
      </c>
      <c r="E6" s="44">
        <f t="shared" si="1"/>
        <v>0</v>
      </c>
      <c r="F6" s="44">
        <f t="shared" si="1"/>
        <v>0</v>
      </c>
      <c r="G6" s="44">
        <f t="shared" si="1"/>
        <v>0</v>
      </c>
      <c r="H6" s="44">
        <f t="shared" si="1"/>
        <v>0</v>
      </c>
      <c r="I6" s="44">
        <f t="shared" si="1"/>
        <v>0</v>
      </c>
      <c r="J6" s="44">
        <f t="shared" si="1"/>
        <v>0</v>
      </c>
      <c r="K6" s="45"/>
      <c r="L6" s="44">
        <f t="shared" ref="L6:R6" si="2">SUMIF(INDIRECT(L$5&amp;"!"&amp;"A:A"),"&lt;="&amp;$B$6,INDIRECT(L$5&amp;"!"&amp;"F:F"))</f>
        <v>0</v>
      </c>
      <c r="M6" s="44">
        <f t="shared" si="2"/>
        <v>0</v>
      </c>
      <c r="N6" s="44">
        <f t="shared" si="2"/>
        <v>0</v>
      </c>
      <c r="O6" s="44">
        <f t="shared" si="2"/>
        <v>0</v>
      </c>
      <c r="P6" s="44">
        <f t="shared" si="2"/>
        <v>0</v>
      </c>
      <c r="Q6" s="44">
        <f t="shared" si="2"/>
        <v>0</v>
      </c>
      <c r="R6" s="44">
        <f t="shared" si="2"/>
        <v>0</v>
      </c>
      <c r="S6" s="45"/>
      <c r="T6" s="44">
        <f t="shared" ref="T6:Z6" si="3">SUMIF(INDIRECT(T$5&amp;"!"&amp;"A:A"),"&lt;="&amp;$B$6,INDIRECT(T$5&amp;"!"&amp;"I:I"))</f>
        <v>0</v>
      </c>
      <c r="U6" s="44">
        <f t="shared" si="3"/>
        <v>0</v>
      </c>
      <c r="V6" s="44">
        <f t="shared" si="3"/>
        <v>0</v>
      </c>
      <c r="W6" s="44">
        <f t="shared" si="3"/>
        <v>0</v>
      </c>
      <c r="X6" s="44">
        <f t="shared" si="3"/>
        <v>0</v>
      </c>
      <c r="Y6" s="44">
        <f t="shared" si="3"/>
        <v>0</v>
      </c>
      <c r="Z6" s="44">
        <f t="shared" si="3"/>
        <v>0</v>
      </c>
      <c r="AA6" s="24"/>
      <c r="AB6" s="44">
        <f t="array" ref="AB6:AH6">TRANSPOSE(OB_Mar_2025!$E$4:$E$10)</f>
        <v>14257.36835</v>
      </c>
      <c r="AC6" s="44">
        <v>1025.4028624401913</v>
      </c>
      <c r="AD6" s="44">
        <v>1165.2371091915081</v>
      </c>
      <c r="AE6" s="44">
        <v>33.097462251532235</v>
      </c>
      <c r="AF6" s="44">
        <v>38.669372867675975</v>
      </c>
      <c r="AG6" s="44">
        <v>13280.0</v>
      </c>
      <c r="AH6" s="44">
        <v>180599.86666666667</v>
      </c>
      <c r="AI6" s="24"/>
      <c r="AJ6" s="44">
        <f t="shared" ref="AJ6:AP6" si="4">SUMIF(INDIRECT(AJ$5&amp;"!"&amp;"A:A"),"&lt;="&amp;$B$6,INDIRECT(AJ$5&amp;"!"&amp;"L:L"))</f>
        <v>0</v>
      </c>
      <c r="AK6" s="44">
        <f t="shared" si="4"/>
        <v>0</v>
      </c>
      <c r="AL6" s="44">
        <f t="shared" si="4"/>
        <v>0</v>
      </c>
      <c r="AM6" s="44">
        <f t="shared" si="4"/>
        <v>0</v>
      </c>
      <c r="AN6" s="44">
        <f t="shared" si="4"/>
        <v>0</v>
      </c>
      <c r="AO6" s="44">
        <f t="shared" si="4"/>
        <v>0</v>
      </c>
      <c r="AP6" s="44">
        <f t="shared" si="4"/>
        <v>0</v>
      </c>
      <c r="AQ6" s="42"/>
      <c r="AR6" s="44">
        <f t="shared" ref="AR6:AR14" si="9">SUM(AJ6:AP6)</f>
        <v>0</v>
      </c>
    </row>
    <row r="7" ht="15.75" customHeight="1">
      <c r="B7" s="43">
        <v>45747.0</v>
      </c>
      <c r="C7" s="33"/>
      <c r="D7" s="44">
        <f t="shared" ref="D7:J7" si="5">SUMIF(INDIRECT(D$5&amp;"!"&amp;"A:A"),"&lt;="&amp;$B$7,INDIRECT(D$5&amp;"!"&amp;"D:D"))-SUM(D$6:D6)</f>
        <v>0</v>
      </c>
      <c r="E7" s="44">
        <f t="shared" si="5"/>
        <v>0</v>
      </c>
      <c r="F7" s="44">
        <f t="shared" si="5"/>
        <v>0</v>
      </c>
      <c r="G7" s="44">
        <f t="shared" si="5"/>
        <v>0</v>
      </c>
      <c r="H7" s="44">
        <f t="shared" si="5"/>
        <v>0</v>
      </c>
      <c r="I7" s="44">
        <f t="shared" si="5"/>
        <v>0</v>
      </c>
      <c r="J7" s="44">
        <f t="shared" si="5"/>
        <v>0</v>
      </c>
      <c r="K7" s="45"/>
      <c r="L7" s="44">
        <f t="shared" ref="L7:R7" si="6">SUMIF(INDIRECT(L$5&amp;"!"&amp;"A:A"),"&lt;="&amp;$B$7,INDIRECT(L$5&amp;"!"&amp;"F:F"))-SUM(L$6:L6)</f>
        <v>0</v>
      </c>
      <c r="M7" s="44">
        <f t="shared" si="6"/>
        <v>0</v>
      </c>
      <c r="N7" s="44">
        <f t="shared" si="6"/>
        <v>0</v>
      </c>
      <c r="O7" s="44">
        <f t="shared" si="6"/>
        <v>0</v>
      </c>
      <c r="P7" s="44">
        <f t="shared" si="6"/>
        <v>0</v>
      </c>
      <c r="Q7" s="44">
        <f t="shared" si="6"/>
        <v>0</v>
      </c>
      <c r="R7" s="44">
        <f t="shared" si="6"/>
        <v>0</v>
      </c>
      <c r="S7" s="45"/>
      <c r="T7" s="44">
        <f t="shared" ref="T7:Z7" si="7">SUMIF(INDIRECT(T$5&amp;"!"&amp;"A:A"),"&lt;="&amp;$B$7,INDIRECT(T$5&amp;"!"&amp;"I:I"))-SUM(T$6:T6)</f>
        <v>0</v>
      </c>
      <c r="U7" s="44">
        <f t="shared" si="7"/>
        <v>0</v>
      </c>
      <c r="V7" s="44">
        <f t="shared" si="7"/>
        <v>0</v>
      </c>
      <c r="W7" s="44">
        <f t="shared" si="7"/>
        <v>0</v>
      </c>
      <c r="X7" s="44">
        <f t="shared" si="7"/>
        <v>0</v>
      </c>
      <c r="Y7" s="44">
        <f t="shared" si="7"/>
        <v>0</v>
      </c>
      <c r="Z7" s="44">
        <f t="shared" si="7"/>
        <v>0</v>
      </c>
      <c r="AA7" s="23"/>
      <c r="AB7" s="44">
        <f t="array" ref="AB7:AH7">TRANSPOSE(OB_April_2025!$E$4:$E$10)</f>
        <v>13784.83671</v>
      </c>
      <c r="AC7" s="44">
        <v>1051.7564037427078</v>
      </c>
      <c r="AD7" s="44">
        <v>1162.1550865514837</v>
      </c>
      <c r="AE7" s="44">
        <v>33.79175862044412</v>
      </c>
      <c r="AF7" s="44">
        <v>38.732654765662915</v>
      </c>
      <c r="AG7" s="44">
        <v>13292.631578947368</v>
      </c>
      <c r="AH7" s="44">
        <v>180829.21267402786</v>
      </c>
      <c r="AI7" s="23"/>
      <c r="AJ7" s="44">
        <f t="shared" ref="AJ7:AP7" si="8">SUMIF(INDIRECT(AJ$5&amp;"!"&amp;"A:A"),"&lt;="&amp;$B$7,INDIRECT(AJ$5&amp;"!"&amp;"L:L"))-SUM(AJ$6:AJ6)</f>
        <v>0</v>
      </c>
      <c r="AK7" s="44">
        <f t="shared" si="8"/>
        <v>0</v>
      </c>
      <c r="AL7" s="44">
        <f t="shared" si="8"/>
        <v>0</v>
      </c>
      <c r="AM7" s="44">
        <f t="shared" si="8"/>
        <v>0</v>
      </c>
      <c r="AN7" s="44">
        <f t="shared" si="8"/>
        <v>0</v>
      </c>
      <c r="AO7" s="44">
        <f t="shared" si="8"/>
        <v>0</v>
      </c>
      <c r="AP7" s="44">
        <f t="shared" si="8"/>
        <v>0</v>
      </c>
      <c r="AQ7" s="42"/>
      <c r="AR7" s="44">
        <f t="shared" si="9"/>
        <v>0</v>
      </c>
    </row>
    <row r="8" ht="15.75" customHeight="1">
      <c r="B8" s="43">
        <v>45777.0</v>
      </c>
      <c r="C8" s="33"/>
      <c r="D8" s="44">
        <f t="shared" ref="D8:J8" si="10">SUMIF(INDIRECT(D$5&amp;"!"&amp;"A:A"),"&lt;="&amp;$B8,INDIRECT(D$5&amp;"!"&amp;"D:D"))-SUM(D$6:D7)</f>
        <v>0</v>
      </c>
      <c r="E8" s="44">
        <f t="shared" si="10"/>
        <v>0</v>
      </c>
      <c r="F8" s="44">
        <f t="shared" si="10"/>
        <v>0</v>
      </c>
      <c r="G8" s="44">
        <f t="shared" si="10"/>
        <v>0</v>
      </c>
      <c r="H8" s="44">
        <f t="shared" si="10"/>
        <v>0</v>
      </c>
      <c r="I8" s="44">
        <f t="shared" si="10"/>
        <v>0</v>
      </c>
      <c r="J8" s="44">
        <f t="shared" si="10"/>
        <v>0</v>
      </c>
      <c r="K8" s="45"/>
      <c r="L8" s="44">
        <f t="shared" ref="L8:R8" si="11">SUMIF(INDIRECT(L$5&amp;"!"&amp;"A:A"),"&lt;="&amp;$B8,INDIRECT(L$5&amp;"!"&amp;"F:F"))-SUM(L$6:L7)</f>
        <v>0</v>
      </c>
      <c r="M8" s="44">
        <f t="shared" si="11"/>
        <v>0</v>
      </c>
      <c r="N8" s="44">
        <f t="shared" si="11"/>
        <v>0</v>
      </c>
      <c r="O8" s="44">
        <f t="shared" si="11"/>
        <v>0</v>
      </c>
      <c r="P8" s="44">
        <f t="shared" si="11"/>
        <v>0</v>
      </c>
      <c r="Q8" s="44">
        <f t="shared" si="11"/>
        <v>0</v>
      </c>
      <c r="R8" s="44">
        <f t="shared" si="11"/>
        <v>0</v>
      </c>
      <c r="S8" s="45"/>
      <c r="T8" s="44">
        <f t="shared" ref="T8:Z8" si="12">SUMIF(INDIRECT(T$5&amp;"!"&amp;"A:A"),"&lt;="&amp;$B8,INDIRECT(T$5&amp;"!"&amp;"I:I"))-SUM(T$6:T7)</f>
        <v>0</v>
      </c>
      <c r="U8" s="44">
        <f t="shared" si="12"/>
        <v>0</v>
      </c>
      <c r="V8" s="44">
        <f t="shared" si="12"/>
        <v>0</v>
      </c>
      <c r="W8" s="44">
        <f t="shared" si="12"/>
        <v>0</v>
      </c>
      <c r="X8" s="44">
        <f t="shared" si="12"/>
        <v>0</v>
      </c>
      <c r="Y8" s="44">
        <f t="shared" si="12"/>
        <v>0</v>
      </c>
      <c r="Z8" s="44">
        <f t="shared" si="12"/>
        <v>0</v>
      </c>
      <c r="AA8" s="23"/>
      <c r="AB8" s="44">
        <f t="array" ref="AB8:AH8">TRANSPOSE(OB_May_2025!$E$4:$E$10)</f>
        <v>13784.83671</v>
      </c>
      <c r="AC8" s="44">
        <v>1050.0509614269383</v>
      </c>
      <c r="AD8" s="44">
        <v>1151.391636133116</v>
      </c>
      <c r="AE8" s="44">
        <v>33.79175862044412</v>
      </c>
      <c r="AF8" s="44">
        <v>39.368243426159395</v>
      </c>
      <c r="AG8" s="44">
        <v>13497.142857142857</v>
      </c>
      <c r="AH8" s="44">
        <v>180829.21267402786</v>
      </c>
      <c r="AI8" s="23"/>
      <c r="AJ8" s="44">
        <f t="shared" ref="AJ8:AP8" si="13">SUMIF(INDIRECT(AJ$5&amp;"!"&amp;"A:A"),"&lt;="&amp;$B8,INDIRECT(AJ$5&amp;"!"&amp;"L:L"))-SUM(AJ$6:AJ7)</f>
        <v>0</v>
      </c>
      <c r="AK8" s="44">
        <f t="shared" si="13"/>
        <v>0</v>
      </c>
      <c r="AL8" s="44">
        <f t="shared" si="13"/>
        <v>0</v>
      </c>
      <c r="AM8" s="44">
        <f t="shared" si="13"/>
        <v>0</v>
      </c>
      <c r="AN8" s="44">
        <f t="shared" si="13"/>
        <v>0</v>
      </c>
      <c r="AO8" s="44">
        <f t="shared" si="13"/>
        <v>0</v>
      </c>
      <c r="AP8" s="44">
        <f t="shared" si="13"/>
        <v>0</v>
      </c>
      <c r="AQ8" s="42"/>
      <c r="AR8" s="44">
        <f t="shared" si="9"/>
        <v>0</v>
      </c>
    </row>
    <row r="9" ht="15.75" customHeight="1">
      <c r="B9" s="43">
        <v>45808.0</v>
      </c>
      <c r="C9" s="33"/>
      <c r="D9" s="44">
        <f t="shared" ref="D9:J9" si="14">SUMIF(INDIRECT(D$5&amp;"!"&amp;"A:A"),"&lt;="&amp;$B9,INDIRECT(D$5&amp;"!"&amp;"D:D"))-SUM(D$6:D8)</f>
        <v>0</v>
      </c>
      <c r="E9" s="44">
        <f t="shared" si="14"/>
        <v>0</v>
      </c>
      <c r="F9" s="44">
        <f t="shared" si="14"/>
        <v>0</v>
      </c>
      <c r="G9" s="44">
        <f t="shared" si="14"/>
        <v>0</v>
      </c>
      <c r="H9" s="44">
        <f t="shared" si="14"/>
        <v>0</v>
      </c>
      <c r="I9" s="44">
        <f t="shared" si="14"/>
        <v>0</v>
      </c>
      <c r="J9" s="44">
        <f t="shared" si="14"/>
        <v>0</v>
      </c>
      <c r="K9" s="45"/>
      <c r="L9" s="44">
        <f t="shared" ref="L9:R9" si="15">SUMIF(INDIRECT(L$5&amp;"!"&amp;"A:A"),"&lt;="&amp;$B9,INDIRECT(L$5&amp;"!"&amp;"F:F"))-SUM(L$6:L8)</f>
        <v>0</v>
      </c>
      <c r="M9" s="44">
        <f t="shared" si="15"/>
        <v>0</v>
      </c>
      <c r="N9" s="44">
        <f t="shared" si="15"/>
        <v>0</v>
      </c>
      <c r="O9" s="44">
        <f t="shared" si="15"/>
        <v>0</v>
      </c>
      <c r="P9" s="44">
        <f t="shared" si="15"/>
        <v>0</v>
      </c>
      <c r="Q9" s="44">
        <f t="shared" si="15"/>
        <v>0</v>
      </c>
      <c r="R9" s="44">
        <f t="shared" si="15"/>
        <v>0</v>
      </c>
      <c r="S9" s="45"/>
      <c r="T9" s="44">
        <f t="shared" ref="T9:Z9" si="16">SUMIF(INDIRECT(T$5&amp;"!"&amp;"A:A"),"&lt;="&amp;$B9,INDIRECT(T$5&amp;"!"&amp;"I:I"))-SUM(T$6:T8)</f>
        <v>0</v>
      </c>
      <c r="U9" s="44">
        <f t="shared" si="16"/>
        <v>0</v>
      </c>
      <c r="V9" s="44">
        <f t="shared" si="16"/>
        <v>0</v>
      </c>
      <c r="W9" s="44">
        <f t="shared" si="16"/>
        <v>0</v>
      </c>
      <c r="X9" s="44">
        <f t="shared" si="16"/>
        <v>0</v>
      </c>
      <c r="Y9" s="44">
        <f t="shared" si="16"/>
        <v>0</v>
      </c>
      <c r="Z9" s="44">
        <f t="shared" si="16"/>
        <v>0</v>
      </c>
      <c r="AA9" s="23"/>
      <c r="AB9" s="44">
        <f t="array" ref="AB9:AH9">TRANSPOSE(OB_June_2025!$E$4:$E$10)</f>
        <v>15062.43484</v>
      </c>
      <c r="AC9" s="44">
        <v>1050.0509614269383</v>
      </c>
      <c r="AD9" s="44">
        <v>1134.5838130079144</v>
      </c>
      <c r="AE9" s="44">
        <v>35.360808242124534</v>
      </c>
      <c r="AF9" s="44">
        <v>39.17823673689925</v>
      </c>
      <c r="AG9" s="44">
        <v>10651.67701863354</v>
      </c>
      <c r="AH9" s="44">
        <v>195223.906037732</v>
      </c>
      <c r="AI9" s="23"/>
      <c r="AJ9" s="44">
        <f t="shared" ref="AJ9:AP9" si="17">SUMIF(INDIRECT(AJ$5&amp;"!"&amp;"A:A"),"&lt;="&amp;$B9,INDIRECT(AJ$5&amp;"!"&amp;"L:L"))-SUM(AJ$6:AJ8)</f>
        <v>0</v>
      </c>
      <c r="AK9" s="44">
        <f t="shared" si="17"/>
        <v>0</v>
      </c>
      <c r="AL9" s="44">
        <f t="shared" si="17"/>
        <v>0</v>
      </c>
      <c r="AM9" s="44">
        <f t="shared" si="17"/>
        <v>0</v>
      </c>
      <c r="AN9" s="44">
        <f t="shared" si="17"/>
        <v>0</v>
      </c>
      <c r="AO9" s="44">
        <f t="shared" si="17"/>
        <v>0</v>
      </c>
      <c r="AP9" s="44">
        <f t="shared" si="17"/>
        <v>0</v>
      </c>
      <c r="AQ9" s="42"/>
      <c r="AR9" s="44">
        <f t="shared" si="9"/>
        <v>0</v>
      </c>
    </row>
    <row r="10" ht="15.75" customHeight="1">
      <c r="B10" s="43">
        <v>45838.0</v>
      </c>
      <c r="C10" s="33"/>
      <c r="D10" s="44">
        <f t="shared" ref="D10:J10" si="18">SUMIF(INDIRECT(D$5&amp;"!"&amp;"A:A"),"&lt;="&amp;$B10,INDIRECT(D$5&amp;"!"&amp;"D:D"))-SUM(D$6:D9)</f>
        <v>0</v>
      </c>
      <c r="E10" s="44">
        <f t="shared" si="18"/>
        <v>0</v>
      </c>
      <c r="F10" s="44">
        <f t="shared" si="18"/>
        <v>0</v>
      </c>
      <c r="G10" s="44">
        <f t="shared" si="18"/>
        <v>0</v>
      </c>
      <c r="H10" s="44">
        <f t="shared" si="18"/>
        <v>0</v>
      </c>
      <c r="I10" s="44">
        <f t="shared" si="18"/>
        <v>0</v>
      </c>
      <c r="J10" s="44">
        <f t="shared" si="18"/>
        <v>0</v>
      </c>
      <c r="K10" s="45"/>
      <c r="L10" s="44">
        <f t="shared" ref="L10:R10" si="19">SUMIF(INDIRECT(L$5&amp;"!"&amp;"A:A"),"&lt;="&amp;$B10,INDIRECT(L$5&amp;"!"&amp;"F:F"))-SUM(L$6:L9)</f>
        <v>0</v>
      </c>
      <c r="M10" s="44">
        <f t="shared" si="19"/>
        <v>0</v>
      </c>
      <c r="N10" s="44">
        <f t="shared" si="19"/>
        <v>0</v>
      </c>
      <c r="O10" s="44">
        <f t="shared" si="19"/>
        <v>0</v>
      </c>
      <c r="P10" s="44">
        <f t="shared" si="19"/>
        <v>0</v>
      </c>
      <c r="Q10" s="44">
        <f t="shared" si="19"/>
        <v>0</v>
      </c>
      <c r="R10" s="44">
        <f t="shared" si="19"/>
        <v>0</v>
      </c>
      <c r="S10" s="45"/>
      <c r="T10" s="44">
        <f t="shared" ref="T10:Z10" si="20">SUMIF(INDIRECT(T$5&amp;"!"&amp;"A:A"),"&lt;="&amp;$B10,INDIRECT(T$5&amp;"!"&amp;"I:I"))-SUM(T$6:T9)</f>
        <v>0</v>
      </c>
      <c r="U10" s="44">
        <f t="shared" si="20"/>
        <v>0</v>
      </c>
      <c r="V10" s="44">
        <f t="shared" si="20"/>
        <v>0</v>
      </c>
      <c r="W10" s="44">
        <f t="shared" si="20"/>
        <v>0</v>
      </c>
      <c r="X10" s="44">
        <f t="shared" si="20"/>
        <v>0</v>
      </c>
      <c r="Y10" s="44">
        <f t="shared" si="20"/>
        <v>0</v>
      </c>
      <c r="Z10" s="44">
        <f t="shared" si="20"/>
        <v>0</v>
      </c>
      <c r="AA10" s="23"/>
      <c r="AB10" s="44">
        <f t="array" ref="AB10:AH10">TRANSPOSE(OB_July_2025!$E$4:$E$10)</f>
        <v>14719.0991</v>
      </c>
      <c r="AC10" s="44">
        <v>1050.0509614269383</v>
      </c>
      <c r="AD10" s="44">
        <v>1134.5838130079144</v>
      </c>
      <c r="AE10" s="44">
        <v>35.360808242124534</v>
      </c>
      <c r="AF10" s="44">
        <v>39.0085655199946</v>
      </c>
      <c r="AG10" s="44">
        <v>10159.853190287973</v>
      </c>
      <c r="AH10" s="44">
        <v>195223.906037732</v>
      </c>
      <c r="AI10" s="23"/>
      <c r="AJ10" s="44">
        <f t="shared" ref="AJ10:AP10" si="21">SUMIF(INDIRECT(AJ$5&amp;"!"&amp;"A:A"),"&lt;="&amp;$B10,INDIRECT(AJ$5&amp;"!"&amp;"L:L"))-SUM(AJ$6:AJ9)</f>
        <v>0</v>
      </c>
      <c r="AK10" s="44">
        <f t="shared" si="21"/>
        <v>0</v>
      </c>
      <c r="AL10" s="44">
        <f t="shared" si="21"/>
        <v>0</v>
      </c>
      <c r="AM10" s="44">
        <f t="shared" si="21"/>
        <v>0</v>
      </c>
      <c r="AN10" s="44">
        <f t="shared" si="21"/>
        <v>0</v>
      </c>
      <c r="AO10" s="44">
        <f t="shared" si="21"/>
        <v>0</v>
      </c>
      <c r="AP10" s="44">
        <f t="shared" si="21"/>
        <v>0</v>
      </c>
      <c r="AQ10" s="42"/>
      <c r="AR10" s="44">
        <f t="shared" si="9"/>
        <v>0</v>
      </c>
    </row>
    <row r="11" ht="15.75" customHeight="1">
      <c r="B11" s="43">
        <v>45869.0</v>
      </c>
      <c r="C11" s="33"/>
      <c r="D11" s="44">
        <f t="shared" ref="D11:J11" si="22">SUMIF(INDIRECT(D$5&amp;"!"&amp;"A:A"),"&lt;="&amp;$B11,INDIRECT(D$5&amp;"!"&amp;"D:D"))-SUM(D$6:D10)</f>
        <v>0</v>
      </c>
      <c r="E11" s="44">
        <f t="shared" si="22"/>
        <v>0</v>
      </c>
      <c r="F11" s="44">
        <f t="shared" si="22"/>
        <v>0</v>
      </c>
      <c r="G11" s="44">
        <f t="shared" si="22"/>
        <v>0</v>
      </c>
      <c r="H11" s="44">
        <f t="shared" si="22"/>
        <v>0</v>
      </c>
      <c r="I11" s="44">
        <f t="shared" si="22"/>
        <v>0</v>
      </c>
      <c r="J11" s="44">
        <f t="shared" si="22"/>
        <v>0</v>
      </c>
      <c r="K11" s="45"/>
      <c r="L11" s="44">
        <f t="shared" ref="L11:R11" si="23">SUMIF(INDIRECT(L$5&amp;"!"&amp;"A:A"),"&lt;="&amp;$B11,INDIRECT(L$5&amp;"!"&amp;"F:F"))-SUM(L$6:L10)</f>
        <v>0</v>
      </c>
      <c r="M11" s="44">
        <f t="shared" si="23"/>
        <v>0</v>
      </c>
      <c r="N11" s="44">
        <f t="shared" si="23"/>
        <v>0</v>
      </c>
      <c r="O11" s="44">
        <f t="shared" si="23"/>
        <v>0</v>
      </c>
      <c r="P11" s="44">
        <f t="shared" si="23"/>
        <v>0</v>
      </c>
      <c r="Q11" s="44">
        <f t="shared" si="23"/>
        <v>0</v>
      </c>
      <c r="R11" s="44">
        <f t="shared" si="23"/>
        <v>0</v>
      </c>
      <c r="S11" s="45"/>
      <c r="T11" s="44">
        <f t="shared" ref="T11:Z11" si="24">SUMIF(INDIRECT(T$5&amp;"!"&amp;"A:A"),"&lt;="&amp;$B11,INDIRECT(T$5&amp;"!"&amp;"I:I"))-SUM(T$6:T10)</f>
        <v>0</v>
      </c>
      <c r="U11" s="44">
        <f t="shared" si="24"/>
        <v>0</v>
      </c>
      <c r="V11" s="44">
        <f t="shared" si="24"/>
        <v>0</v>
      </c>
      <c r="W11" s="44">
        <f t="shared" si="24"/>
        <v>0</v>
      </c>
      <c r="X11" s="44">
        <f t="shared" si="24"/>
        <v>0</v>
      </c>
      <c r="Y11" s="44">
        <f t="shared" si="24"/>
        <v>0</v>
      </c>
      <c r="Z11" s="44">
        <f t="shared" si="24"/>
        <v>0</v>
      </c>
      <c r="AA11" s="23"/>
      <c r="AB11" s="44">
        <f t="array" ref="AB11:AH11">TRANSPOSE(OB_August_2025!$E$4:$E$10)</f>
        <v>14312.59843</v>
      </c>
      <c r="AC11" s="44">
        <v>1050.0509614269383</v>
      </c>
      <c r="AD11" s="44">
        <v>1096.0388213621093</v>
      </c>
      <c r="AE11" s="44">
        <v>33.66801619433198</v>
      </c>
      <c r="AF11" s="44">
        <v>39.27935222672065</v>
      </c>
      <c r="AG11" s="44">
        <v>13196.35029002618</v>
      </c>
      <c r="AH11" s="44">
        <v>195223.906037732</v>
      </c>
      <c r="AI11" s="23"/>
      <c r="AJ11" s="44">
        <f t="shared" ref="AJ11:AP11" si="25">SUMIF(INDIRECT(AJ$5&amp;"!"&amp;"A:A"),"&lt;="&amp;$B11,INDIRECT(AJ$5&amp;"!"&amp;"L:L"))-SUM(AJ$6:AJ10)</f>
        <v>0</v>
      </c>
      <c r="AK11" s="44">
        <f t="shared" si="25"/>
        <v>0</v>
      </c>
      <c r="AL11" s="44">
        <f t="shared" si="25"/>
        <v>0</v>
      </c>
      <c r="AM11" s="44">
        <f t="shared" si="25"/>
        <v>0</v>
      </c>
      <c r="AN11" s="44">
        <f t="shared" si="25"/>
        <v>0</v>
      </c>
      <c r="AO11" s="44">
        <f t="shared" si="25"/>
        <v>0</v>
      </c>
      <c r="AP11" s="44">
        <f t="shared" si="25"/>
        <v>0</v>
      </c>
      <c r="AQ11" s="42"/>
      <c r="AR11" s="44">
        <f t="shared" si="9"/>
        <v>0</v>
      </c>
    </row>
    <row r="12" ht="15.75" customHeight="1">
      <c r="B12" s="43">
        <v>45900.0</v>
      </c>
      <c r="C12" s="33"/>
      <c r="D12" s="44">
        <f t="shared" ref="D12:J12" si="26">SUMIF(INDIRECT(D$5&amp;"!"&amp;"A:A"),"&lt;="&amp;$B12,INDIRECT(D$5&amp;"!"&amp;"D:D"))-SUM(D$6:D11)</f>
        <v>0</v>
      </c>
      <c r="E12" s="44">
        <f t="shared" si="26"/>
        <v>0</v>
      </c>
      <c r="F12" s="44">
        <f t="shared" si="26"/>
        <v>0</v>
      </c>
      <c r="G12" s="44">
        <f t="shared" si="26"/>
        <v>0</v>
      </c>
      <c r="H12" s="44">
        <f t="shared" si="26"/>
        <v>0</v>
      </c>
      <c r="I12" s="44">
        <f t="shared" si="26"/>
        <v>0</v>
      </c>
      <c r="J12" s="44">
        <f t="shared" si="26"/>
        <v>0</v>
      </c>
      <c r="K12" s="45"/>
      <c r="L12" s="44">
        <f t="shared" ref="L12:R12" si="27">SUMIF(INDIRECT(L$5&amp;"!"&amp;"A:A"),"&lt;="&amp;$B12,INDIRECT(L$5&amp;"!"&amp;"F:F"))-SUM(L$6:L11)</f>
        <v>0</v>
      </c>
      <c r="M12" s="44">
        <f t="shared" si="27"/>
        <v>0</v>
      </c>
      <c r="N12" s="44">
        <f t="shared" si="27"/>
        <v>0</v>
      </c>
      <c r="O12" s="44">
        <f t="shared" si="27"/>
        <v>0</v>
      </c>
      <c r="P12" s="44">
        <f t="shared" si="27"/>
        <v>0</v>
      </c>
      <c r="Q12" s="44">
        <f t="shared" si="27"/>
        <v>0</v>
      </c>
      <c r="R12" s="44">
        <f t="shared" si="27"/>
        <v>0</v>
      </c>
      <c r="S12" s="45"/>
      <c r="T12" s="44">
        <f t="shared" ref="T12:Z12" si="28">SUMIF(INDIRECT(T$5&amp;"!"&amp;"A:A"),"&lt;="&amp;$B12,INDIRECT(T$5&amp;"!"&amp;"I:I"))-SUM(T$6:T11)</f>
        <v>0</v>
      </c>
      <c r="U12" s="44">
        <f t="shared" si="28"/>
        <v>0</v>
      </c>
      <c r="V12" s="44">
        <f t="shared" si="28"/>
        <v>0</v>
      </c>
      <c r="W12" s="44">
        <f t="shared" si="28"/>
        <v>0</v>
      </c>
      <c r="X12" s="44">
        <f t="shared" si="28"/>
        <v>0</v>
      </c>
      <c r="Y12" s="44">
        <f t="shared" si="28"/>
        <v>0</v>
      </c>
      <c r="Z12" s="44">
        <f t="shared" si="28"/>
        <v>0</v>
      </c>
      <c r="AA12" s="23"/>
      <c r="AB12" s="44">
        <f t="array" ref="AB12:AH12">TRANSPOSE(OB_August_2025!$E$4:$E$10)</f>
        <v>14312.59843</v>
      </c>
      <c r="AC12" s="44">
        <v>1050.0509614269383</v>
      </c>
      <c r="AD12" s="44">
        <v>1096.0388213621093</v>
      </c>
      <c r="AE12" s="44">
        <v>33.66801619433198</v>
      </c>
      <c r="AF12" s="44">
        <v>39.27935222672065</v>
      </c>
      <c r="AG12" s="44">
        <v>13196.35029002618</v>
      </c>
      <c r="AH12" s="44">
        <v>195223.906037732</v>
      </c>
      <c r="AI12" s="23"/>
      <c r="AJ12" s="44">
        <f t="shared" ref="AJ12:AP12" si="29">SUMIF(INDIRECT(AJ$5&amp;"!"&amp;"A:A"),"&lt;="&amp;$B12,INDIRECT(AJ$5&amp;"!"&amp;"L:L"))-SUM(AJ$6:AJ11)</f>
        <v>0</v>
      </c>
      <c r="AK12" s="44">
        <f t="shared" si="29"/>
        <v>0</v>
      </c>
      <c r="AL12" s="44">
        <f t="shared" si="29"/>
        <v>0</v>
      </c>
      <c r="AM12" s="44">
        <f t="shared" si="29"/>
        <v>0</v>
      </c>
      <c r="AN12" s="44">
        <f t="shared" si="29"/>
        <v>0</v>
      </c>
      <c r="AO12" s="44">
        <f t="shared" si="29"/>
        <v>0</v>
      </c>
      <c r="AP12" s="44">
        <f t="shared" si="29"/>
        <v>0</v>
      </c>
      <c r="AQ12" s="42"/>
      <c r="AR12" s="44">
        <f t="shared" si="9"/>
        <v>0</v>
      </c>
    </row>
    <row r="13" ht="15.75" customHeight="1">
      <c r="B13" s="43">
        <v>45930.0</v>
      </c>
      <c r="C13" s="33"/>
      <c r="D13" s="44">
        <f t="shared" ref="D13:J13" si="30">SUMIF(INDIRECT(D$5&amp;"!"&amp;"A:A"),"&lt;="&amp;$B13,INDIRECT(D$5&amp;"!"&amp;"D:D"))-SUM(D$6:D12)</f>
        <v>0</v>
      </c>
      <c r="E13" s="44">
        <f t="shared" si="30"/>
        <v>0</v>
      </c>
      <c r="F13" s="44">
        <f t="shared" si="30"/>
        <v>0</v>
      </c>
      <c r="G13" s="44">
        <f t="shared" si="30"/>
        <v>0</v>
      </c>
      <c r="H13" s="44">
        <f t="shared" si="30"/>
        <v>0</v>
      </c>
      <c r="I13" s="44">
        <f t="shared" si="30"/>
        <v>0</v>
      </c>
      <c r="J13" s="44">
        <f t="shared" si="30"/>
        <v>0</v>
      </c>
      <c r="K13" s="45"/>
      <c r="L13" s="44">
        <f t="shared" ref="L13:R13" si="31">SUMIF(INDIRECT(L$5&amp;"!"&amp;"A:A"),"&lt;="&amp;$B13,INDIRECT(L$5&amp;"!"&amp;"F:F"))-SUM(L$6:L12)</f>
        <v>0</v>
      </c>
      <c r="M13" s="44">
        <f t="shared" si="31"/>
        <v>0</v>
      </c>
      <c r="N13" s="44">
        <f t="shared" si="31"/>
        <v>0</v>
      </c>
      <c r="O13" s="44">
        <f t="shared" si="31"/>
        <v>0</v>
      </c>
      <c r="P13" s="44">
        <f t="shared" si="31"/>
        <v>0</v>
      </c>
      <c r="Q13" s="44">
        <f t="shared" si="31"/>
        <v>0</v>
      </c>
      <c r="R13" s="44">
        <f t="shared" si="31"/>
        <v>0</v>
      </c>
      <c r="S13" s="45"/>
      <c r="T13" s="44">
        <f t="shared" ref="T13:Z13" si="32">SUMIF(INDIRECT(T$5&amp;"!"&amp;"A:A"),"&lt;="&amp;$B13,INDIRECT(T$5&amp;"!"&amp;"I:I"))-SUM(T$6:T12)</f>
        <v>0</v>
      </c>
      <c r="U13" s="44">
        <f t="shared" si="32"/>
        <v>0</v>
      </c>
      <c r="V13" s="44">
        <f t="shared" si="32"/>
        <v>0</v>
      </c>
      <c r="W13" s="44">
        <f t="shared" si="32"/>
        <v>0</v>
      </c>
      <c r="X13" s="44">
        <f t="shared" si="32"/>
        <v>0</v>
      </c>
      <c r="Y13" s="44">
        <f t="shared" si="32"/>
        <v>0</v>
      </c>
      <c r="Z13" s="44">
        <f t="shared" si="32"/>
        <v>0</v>
      </c>
      <c r="AA13" s="23"/>
      <c r="AB13" s="44">
        <f t="array" ref="AB13:AH13">TRANSPOSE(OB_August_2025!$E$4:$E$10)</f>
        <v>14312.59843</v>
      </c>
      <c r="AC13" s="44">
        <v>1050.0509614269383</v>
      </c>
      <c r="AD13" s="44">
        <v>1096.0388213621093</v>
      </c>
      <c r="AE13" s="44">
        <v>33.66801619433198</v>
      </c>
      <c r="AF13" s="44">
        <v>39.27935222672065</v>
      </c>
      <c r="AG13" s="44">
        <v>13196.35029002618</v>
      </c>
      <c r="AH13" s="44">
        <v>195223.906037732</v>
      </c>
      <c r="AI13" s="23"/>
      <c r="AJ13" s="44">
        <f t="shared" ref="AJ13:AP13" si="33">SUMIF(INDIRECT(AJ$5&amp;"!"&amp;"A:A"),"&lt;="&amp;$B13,INDIRECT(AJ$5&amp;"!"&amp;"L:L"))-SUM(AJ$6:AJ12)</f>
        <v>0</v>
      </c>
      <c r="AK13" s="44">
        <f t="shared" si="33"/>
        <v>0</v>
      </c>
      <c r="AL13" s="44">
        <f t="shared" si="33"/>
        <v>0</v>
      </c>
      <c r="AM13" s="44">
        <f t="shared" si="33"/>
        <v>0</v>
      </c>
      <c r="AN13" s="44">
        <f t="shared" si="33"/>
        <v>0</v>
      </c>
      <c r="AO13" s="44">
        <f t="shared" si="33"/>
        <v>0</v>
      </c>
      <c r="AP13" s="44">
        <f t="shared" si="33"/>
        <v>0</v>
      </c>
      <c r="AQ13" s="42"/>
      <c r="AR13" s="44">
        <f t="shared" si="9"/>
        <v>0</v>
      </c>
    </row>
    <row r="14" ht="15.75" customHeight="1">
      <c r="B14" s="43">
        <v>45961.0</v>
      </c>
      <c r="C14" s="33"/>
      <c r="D14" s="44">
        <f t="shared" ref="D14:J14" si="34">SUMIF(INDIRECT(D$5&amp;"!"&amp;"A:A"),"&lt;="&amp;$B14,INDIRECT(D$5&amp;"!"&amp;"D:D"))-SUM(D$6:D13)</f>
        <v>0</v>
      </c>
      <c r="E14" s="44">
        <f t="shared" si="34"/>
        <v>0</v>
      </c>
      <c r="F14" s="44">
        <f t="shared" si="34"/>
        <v>0</v>
      </c>
      <c r="G14" s="44">
        <f t="shared" si="34"/>
        <v>0</v>
      </c>
      <c r="H14" s="44">
        <f t="shared" si="34"/>
        <v>0</v>
      </c>
      <c r="I14" s="44">
        <f t="shared" si="34"/>
        <v>0</v>
      </c>
      <c r="J14" s="44">
        <f t="shared" si="34"/>
        <v>0</v>
      </c>
      <c r="K14" s="45"/>
      <c r="L14" s="44">
        <f t="shared" ref="L14:R14" si="35">SUMIF(INDIRECT(L$5&amp;"!"&amp;"A:A"),"&lt;="&amp;$B14,INDIRECT(L$5&amp;"!"&amp;"F:F"))-SUM(L$6:L13)</f>
        <v>0</v>
      </c>
      <c r="M14" s="44">
        <f t="shared" si="35"/>
        <v>0</v>
      </c>
      <c r="N14" s="44">
        <f t="shared" si="35"/>
        <v>0</v>
      </c>
      <c r="O14" s="44">
        <f t="shared" si="35"/>
        <v>0</v>
      </c>
      <c r="P14" s="44">
        <f t="shared" si="35"/>
        <v>0</v>
      </c>
      <c r="Q14" s="44">
        <f t="shared" si="35"/>
        <v>0</v>
      </c>
      <c r="R14" s="44">
        <f t="shared" si="35"/>
        <v>0</v>
      </c>
      <c r="S14" s="45"/>
      <c r="T14" s="44">
        <f t="shared" ref="T14:Z14" si="36">SUMIF(INDIRECT(T$5&amp;"!"&amp;"A:A"),"&lt;="&amp;$B14,INDIRECT(T$5&amp;"!"&amp;"I:I"))-SUM(T$6:T13)</f>
        <v>0</v>
      </c>
      <c r="U14" s="44">
        <f t="shared" si="36"/>
        <v>0</v>
      </c>
      <c r="V14" s="44">
        <f t="shared" si="36"/>
        <v>0</v>
      </c>
      <c r="W14" s="44">
        <f t="shared" si="36"/>
        <v>0</v>
      </c>
      <c r="X14" s="44">
        <f t="shared" si="36"/>
        <v>0</v>
      </c>
      <c r="Y14" s="44">
        <f t="shared" si="36"/>
        <v>0</v>
      </c>
      <c r="Z14" s="44">
        <f t="shared" si="36"/>
        <v>0</v>
      </c>
      <c r="AA14" s="23"/>
      <c r="AB14" s="44">
        <f t="array" ref="AB14:AH14">TRANSPOSE(OB_August_2025!$E$4:$E$10)</f>
        <v>14312.59843</v>
      </c>
      <c r="AC14" s="44">
        <v>1050.0509614269383</v>
      </c>
      <c r="AD14" s="44">
        <v>1096.0388213621093</v>
      </c>
      <c r="AE14" s="44">
        <v>33.66801619433198</v>
      </c>
      <c r="AF14" s="44">
        <v>39.27935222672065</v>
      </c>
      <c r="AG14" s="44">
        <v>13196.35029002618</v>
      </c>
      <c r="AH14" s="44">
        <v>195223.906037732</v>
      </c>
      <c r="AI14" s="23"/>
      <c r="AJ14" s="44">
        <f t="shared" ref="AJ14:AP14" si="37">SUMIF(INDIRECT(AJ$5&amp;"!"&amp;"A:A"),"&lt;="&amp;$B14,INDIRECT(AJ$5&amp;"!"&amp;"L:L"))-SUM(AJ$6:AJ13)</f>
        <v>0</v>
      </c>
      <c r="AK14" s="44">
        <f t="shared" si="37"/>
        <v>0</v>
      </c>
      <c r="AL14" s="44">
        <f t="shared" si="37"/>
        <v>0</v>
      </c>
      <c r="AM14" s="44">
        <f t="shared" si="37"/>
        <v>0</v>
      </c>
      <c r="AN14" s="44">
        <f t="shared" si="37"/>
        <v>0</v>
      </c>
      <c r="AO14" s="44">
        <f t="shared" si="37"/>
        <v>0</v>
      </c>
      <c r="AP14" s="44">
        <f t="shared" si="37"/>
        <v>0</v>
      </c>
      <c r="AQ14" s="42"/>
      <c r="AR14" s="44">
        <f t="shared" si="9"/>
        <v>0</v>
      </c>
    </row>
    <row r="15" ht="15.75" customHeight="1">
      <c r="B15" s="32"/>
      <c r="C15" s="33"/>
      <c r="D15" s="32"/>
      <c r="E15" s="32"/>
      <c r="F15" s="32"/>
      <c r="G15" s="32"/>
      <c r="H15" s="32"/>
      <c r="I15" s="32"/>
      <c r="J15" s="32"/>
      <c r="K15" s="45"/>
      <c r="L15" s="32"/>
      <c r="M15" s="32"/>
      <c r="N15" s="32"/>
      <c r="O15" s="32"/>
      <c r="P15" s="32"/>
      <c r="Q15" s="32"/>
      <c r="R15" s="32"/>
      <c r="S15" s="45"/>
      <c r="T15" s="32"/>
      <c r="U15" s="32"/>
      <c r="V15" s="32"/>
      <c r="W15" s="32"/>
      <c r="X15" s="32"/>
      <c r="Y15" s="32"/>
      <c r="Z15" s="32"/>
      <c r="AA15" s="23"/>
      <c r="AB15" s="8"/>
      <c r="AI15" s="23"/>
      <c r="AJ15" s="32"/>
      <c r="AK15" s="32"/>
      <c r="AL15" s="32"/>
      <c r="AM15" s="32"/>
      <c r="AN15" s="32"/>
      <c r="AO15" s="32"/>
      <c r="AP15" s="32"/>
      <c r="AQ15" s="42"/>
      <c r="AR15" s="32"/>
    </row>
    <row r="16" ht="15.75" customHeight="1">
      <c r="B16" s="32"/>
      <c r="C16" s="33"/>
      <c r="D16" s="32"/>
      <c r="E16" s="32"/>
      <c r="F16" s="32"/>
      <c r="G16" s="32"/>
      <c r="H16" s="32"/>
      <c r="I16" s="32"/>
      <c r="J16" s="32"/>
      <c r="K16" s="45"/>
      <c r="L16" s="32"/>
      <c r="M16" s="32"/>
      <c r="N16" s="32"/>
      <c r="O16" s="32"/>
      <c r="P16" s="32"/>
      <c r="Q16" s="32"/>
      <c r="R16" s="32"/>
      <c r="S16" s="45"/>
      <c r="T16" s="32"/>
      <c r="U16" s="32"/>
      <c r="V16" s="32"/>
      <c r="W16" s="32"/>
      <c r="X16" s="32"/>
      <c r="Y16" s="32"/>
      <c r="Z16" s="32"/>
      <c r="AA16" s="23"/>
      <c r="AB16" s="8"/>
      <c r="AI16" s="23"/>
      <c r="AJ16" s="32"/>
      <c r="AK16" s="32"/>
      <c r="AL16" s="32"/>
      <c r="AM16" s="32"/>
      <c r="AN16" s="32"/>
      <c r="AO16" s="32"/>
      <c r="AP16" s="32"/>
      <c r="AQ16" s="42"/>
      <c r="AR16" s="32"/>
    </row>
    <row r="17" ht="15.75" customHeight="1">
      <c r="B17" s="32"/>
      <c r="C17" s="33"/>
      <c r="D17" s="32"/>
      <c r="E17" s="32"/>
      <c r="F17" s="32"/>
      <c r="G17" s="32"/>
      <c r="H17" s="32"/>
      <c r="I17" s="32"/>
      <c r="J17" s="32"/>
      <c r="K17" s="45"/>
      <c r="L17" s="32"/>
      <c r="M17" s="32"/>
      <c r="N17" s="32"/>
      <c r="O17" s="32"/>
      <c r="P17" s="32"/>
      <c r="Q17" s="32"/>
      <c r="R17" s="32"/>
      <c r="S17" s="45"/>
      <c r="T17" s="32"/>
      <c r="U17" s="32"/>
      <c r="V17" s="32"/>
      <c r="W17" s="32"/>
      <c r="X17" s="32"/>
      <c r="Y17" s="32"/>
      <c r="Z17" s="32"/>
      <c r="AA17" s="23"/>
      <c r="AB17" s="8"/>
      <c r="AI17" s="23"/>
      <c r="AQ17" s="25"/>
    </row>
    <row r="18" ht="15.75" customHeight="1">
      <c r="B18" s="32"/>
      <c r="C18" s="33"/>
      <c r="D18" s="32"/>
      <c r="E18" s="32"/>
      <c r="F18" s="32"/>
      <c r="G18" s="32"/>
      <c r="H18" s="32"/>
      <c r="I18" s="32"/>
      <c r="J18" s="32"/>
      <c r="K18" s="45"/>
      <c r="L18" s="32"/>
      <c r="M18" s="32"/>
      <c r="N18" s="32"/>
      <c r="O18" s="32"/>
      <c r="P18" s="32"/>
      <c r="Q18" s="32"/>
      <c r="R18" s="32"/>
      <c r="S18" s="45"/>
      <c r="T18" s="32"/>
      <c r="U18" s="32"/>
      <c r="V18" s="32"/>
      <c r="W18" s="32"/>
      <c r="X18" s="32"/>
      <c r="Y18" s="32"/>
      <c r="Z18" s="32"/>
      <c r="AA18" s="23"/>
      <c r="AI18" s="23"/>
      <c r="AQ18" s="25"/>
    </row>
    <row r="19" ht="15.75" customHeight="1">
      <c r="B19" s="32"/>
      <c r="C19" s="33"/>
      <c r="D19" s="32"/>
      <c r="E19" s="32"/>
      <c r="F19" s="32"/>
      <c r="G19" s="32"/>
      <c r="H19" s="32"/>
      <c r="I19" s="32"/>
      <c r="J19" s="32"/>
      <c r="K19" s="45"/>
      <c r="L19" s="32"/>
      <c r="M19" s="32"/>
      <c r="N19" s="32"/>
      <c r="O19" s="32"/>
      <c r="P19" s="32"/>
      <c r="Q19" s="32"/>
      <c r="R19" s="32"/>
      <c r="S19" s="45"/>
      <c r="T19" s="32"/>
      <c r="U19" s="32"/>
      <c r="V19" s="32"/>
      <c r="W19" s="32"/>
      <c r="X19" s="32"/>
      <c r="Y19" s="32"/>
      <c r="Z19" s="32"/>
      <c r="AA19" s="23"/>
      <c r="AI19" s="23"/>
      <c r="AQ19" s="25"/>
    </row>
    <row r="20" ht="15.75" customHeight="1">
      <c r="B20" s="32"/>
      <c r="C20" s="33"/>
      <c r="D20" s="32"/>
      <c r="E20" s="32"/>
      <c r="F20" s="32"/>
      <c r="G20" s="32"/>
      <c r="H20" s="32"/>
      <c r="I20" s="32"/>
      <c r="J20" s="32"/>
      <c r="K20" s="45"/>
      <c r="L20" s="32"/>
      <c r="M20" s="32"/>
      <c r="N20" s="32"/>
      <c r="O20" s="32"/>
      <c r="P20" s="32"/>
      <c r="Q20" s="32"/>
      <c r="R20" s="32"/>
      <c r="S20" s="45"/>
      <c r="T20" s="32"/>
      <c r="U20" s="32"/>
      <c r="V20" s="32"/>
      <c r="W20" s="32"/>
      <c r="X20" s="32"/>
      <c r="Y20" s="32"/>
      <c r="Z20" s="32"/>
      <c r="AA20" s="23"/>
      <c r="AI20" s="23"/>
      <c r="AQ20" s="25"/>
    </row>
    <row r="21" ht="15.75" customHeight="1">
      <c r="B21" s="32"/>
      <c r="C21" s="33"/>
      <c r="D21" s="32"/>
      <c r="E21" s="32"/>
      <c r="F21" s="32"/>
      <c r="G21" s="32"/>
      <c r="H21" s="32"/>
      <c r="I21" s="32"/>
      <c r="J21" s="32"/>
      <c r="K21" s="45"/>
      <c r="L21" s="32"/>
      <c r="M21" s="32"/>
      <c r="N21" s="32"/>
      <c r="O21" s="32"/>
      <c r="P21" s="32"/>
      <c r="Q21" s="32"/>
      <c r="R21" s="32"/>
      <c r="S21" s="45"/>
      <c r="T21" s="32"/>
      <c r="U21" s="32"/>
      <c r="V21" s="32"/>
      <c r="W21" s="32"/>
      <c r="X21" s="32"/>
      <c r="Y21" s="32"/>
      <c r="Z21" s="32"/>
      <c r="AA21" s="23"/>
      <c r="AI21" s="23"/>
      <c r="AQ21" s="25"/>
    </row>
    <row r="22" ht="15.75" customHeight="1">
      <c r="B22" s="32"/>
      <c r="C22" s="33"/>
      <c r="D22" s="32"/>
      <c r="E22" s="32"/>
      <c r="F22" s="32"/>
      <c r="G22" s="32"/>
      <c r="H22" s="32"/>
      <c r="I22" s="32"/>
      <c r="J22" s="32"/>
      <c r="K22" s="45"/>
      <c r="L22" s="32"/>
      <c r="M22" s="32"/>
      <c r="N22" s="32"/>
      <c r="O22" s="32"/>
      <c r="P22" s="32"/>
      <c r="Q22" s="32"/>
      <c r="R22" s="32"/>
      <c r="S22" s="45"/>
      <c r="T22" s="32"/>
      <c r="U22" s="32"/>
      <c r="V22" s="32"/>
      <c r="W22" s="32"/>
      <c r="X22" s="32"/>
      <c r="Y22" s="32"/>
      <c r="Z22" s="32"/>
      <c r="AA22" s="23"/>
      <c r="AI22" s="23"/>
      <c r="AQ22" s="25"/>
    </row>
    <row r="23" ht="15.75" customHeight="1">
      <c r="B23" s="32"/>
      <c r="C23" s="33"/>
      <c r="D23" s="32"/>
      <c r="E23" s="32"/>
      <c r="F23" s="32"/>
      <c r="G23" s="32"/>
      <c r="H23" s="32"/>
      <c r="I23" s="32"/>
      <c r="J23" s="32"/>
      <c r="K23" s="45"/>
      <c r="L23" s="32"/>
      <c r="M23" s="32"/>
      <c r="N23" s="32"/>
      <c r="O23" s="32"/>
      <c r="P23" s="32"/>
      <c r="Q23" s="32"/>
      <c r="R23" s="32"/>
      <c r="S23" s="45"/>
      <c r="T23" s="32"/>
      <c r="U23" s="32"/>
      <c r="V23" s="32"/>
      <c r="W23" s="32"/>
      <c r="X23" s="32"/>
      <c r="Y23" s="32"/>
      <c r="Z23" s="32"/>
      <c r="AA23" s="23"/>
      <c r="AI23" s="23"/>
      <c r="AQ23" s="25"/>
    </row>
    <row r="24" ht="15.75" customHeight="1">
      <c r="B24" s="32"/>
      <c r="C24" s="33"/>
      <c r="D24" s="32"/>
      <c r="E24" s="32"/>
      <c r="F24" s="32"/>
      <c r="G24" s="32"/>
      <c r="H24" s="32"/>
      <c r="I24" s="32"/>
      <c r="J24" s="32"/>
      <c r="K24" s="45"/>
      <c r="L24" s="32"/>
      <c r="M24" s="32"/>
      <c r="N24" s="32"/>
      <c r="O24" s="32"/>
      <c r="P24" s="32"/>
      <c r="Q24" s="32"/>
      <c r="R24" s="32"/>
      <c r="S24" s="45"/>
      <c r="T24" s="32"/>
      <c r="U24" s="32"/>
      <c r="V24" s="32"/>
      <c r="W24" s="32"/>
      <c r="X24" s="32"/>
      <c r="Y24" s="32"/>
      <c r="Z24" s="32"/>
      <c r="AA24" s="23"/>
      <c r="AI24" s="23"/>
      <c r="AQ24" s="25"/>
    </row>
    <row r="25" ht="15.75" customHeight="1">
      <c r="B25" s="32"/>
      <c r="C25" s="33"/>
      <c r="D25" s="32"/>
      <c r="E25" s="32"/>
      <c r="F25" s="32"/>
      <c r="G25" s="32"/>
      <c r="H25" s="32"/>
      <c r="I25" s="32"/>
      <c r="J25" s="32"/>
      <c r="K25" s="45"/>
      <c r="L25" s="32"/>
      <c r="M25" s="32"/>
      <c r="N25" s="32"/>
      <c r="O25" s="32"/>
      <c r="P25" s="32"/>
      <c r="Q25" s="32"/>
      <c r="R25" s="32"/>
      <c r="S25" s="45"/>
      <c r="T25" s="32"/>
      <c r="U25" s="32"/>
      <c r="V25" s="32"/>
      <c r="W25" s="32"/>
      <c r="X25" s="32"/>
      <c r="Y25" s="32"/>
      <c r="Z25" s="32"/>
      <c r="AA25" s="23"/>
      <c r="AI25" s="23"/>
      <c r="AQ25" s="25"/>
    </row>
    <row r="26" ht="15.75" customHeight="1">
      <c r="B26" s="32"/>
      <c r="C26" s="33"/>
      <c r="D26" s="32"/>
      <c r="E26" s="32"/>
      <c r="F26" s="32"/>
      <c r="G26" s="32"/>
      <c r="H26" s="32"/>
      <c r="I26" s="32"/>
      <c r="J26" s="32"/>
      <c r="K26" s="45"/>
      <c r="L26" s="32"/>
      <c r="M26" s="32"/>
      <c r="N26" s="32"/>
      <c r="O26" s="32"/>
      <c r="P26" s="32"/>
      <c r="Q26" s="32"/>
      <c r="R26" s="32"/>
      <c r="S26" s="45"/>
      <c r="T26" s="32"/>
      <c r="U26" s="32"/>
      <c r="V26" s="32"/>
      <c r="W26" s="32"/>
      <c r="X26" s="32"/>
      <c r="Y26" s="32"/>
      <c r="Z26" s="32"/>
      <c r="AA26" s="23"/>
      <c r="AI26" s="23"/>
      <c r="AQ26" s="25"/>
    </row>
    <row r="27" ht="15.75" customHeight="1">
      <c r="B27" s="32"/>
      <c r="C27" s="33"/>
      <c r="D27" s="32"/>
      <c r="E27" s="32"/>
      <c r="F27" s="32"/>
      <c r="G27" s="32"/>
      <c r="H27" s="32"/>
      <c r="I27" s="32"/>
      <c r="J27" s="32"/>
      <c r="K27" s="45"/>
      <c r="L27" s="32"/>
      <c r="M27" s="32"/>
      <c r="N27" s="32"/>
      <c r="O27" s="32"/>
      <c r="P27" s="32"/>
      <c r="Q27" s="32"/>
      <c r="R27" s="32"/>
      <c r="S27" s="45"/>
      <c r="T27" s="32"/>
      <c r="U27" s="32"/>
      <c r="V27" s="32"/>
      <c r="W27" s="32"/>
      <c r="X27" s="32"/>
      <c r="Y27" s="32"/>
      <c r="Z27" s="32"/>
      <c r="AA27" s="23"/>
      <c r="AI27" s="23"/>
      <c r="AQ27" s="25"/>
    </row>
    <row r="28" ht="15.75" customHeight="1">
      <c r="B28" s="32"/>
      <c r="C28" s="33"/>
      <c r="D28" s="32"/>
      <c r="E28" s="32"/>
      <c r="F28" s="32"/>
      <c r="G28" s="32"/>
      <c r="H28" s="32"/>
      <c r="I28" s="32"/>
      <c r="J28" s="32"/>
      <c r="K28" s="45"/>
      <c r="L28" s="32"/>
      <c r="M28" s="32"/>
      <c r="N28" s="32"/>
      <c r="O28" s="32"/>
      <c r="P28" s="32"/>
      <c r="Q28" s="32"/>
      <c r="R28" s="32"/>
      <c r="S28" s="45"/>
      <c r="T28" s="32"/>
      <c r="U28" s="32"/>
      <c r="V28" s="32"/>
      <c r="W28" s="32"/>
      <c r="X28" s="32"/>
      <c r="Y28" s="32"/>
      <c r="Z28" s="32"/>
      <c r="AA28" s="23"/>
      <c r="AI28" s="23"/>
      <c r="AQ28" s="25"/>
    </row>
    <row r="29" ht="15.75" customHeight="1">
      <c r="B29" s="32"/>
      <c r="C29" s="33"/>
      <c r="D29" s="32"/>
      <c r="E29" s="32"/>
      <c r="F29" s="32"/>
      <c r="G29" s="32"/>
      <c r="H29" s="32"/>
      <c r="I29" s="32"/>
      <c r="J29" s="32"/>
      <c r="K29" s="45"/>
      <c r="L29" s="32"/>
      <c r="M29" s="32"/>
      <c r="N29" s="32"/>
      <c r="O29" s="32"/>
      <c r="P29" s="32"/>
      <c r="Q29" s="32"/>
      <c r="R29" s="32"/>
      <c r="S29" s="45"/>
      <c r="T29" s="32"/>
      <c r="U29" s="32"/>
      <c r="V29" s="32"/>
      <c r="W29" s="32"/>
      <c r="X29" s="32"/>
      <c r="Y29" s="32"/>
      <c r="Z29" s="32"/>
      <c r="AA29" s="23"/>
      <c r="AI29" s="23"/>
      <c r="AQ29" s="25"/>
    </row>
    <row r="30" ht="15.75" customHeight="1">
      <c r="B30" s="32"/>
      <c r="C30" s="33"/>
      <c r="D30" s="32"/>
      <c r="E30" s="32"/>
      <c r="F30" s="32"/>
      <c r="G30" s="32"/>
      <c r="H30" s="32"/>
      <c r="I30" s="32"/>
      <c r="J30" s="32"/>
      <c r="K30" s="45"/>
      <c r="L30" s="32"/>
      <c r="M30" s="32"/>
      <c r="N30" s="32"/>
      <c r="O30" s="32"/>
      <c r="P30" s="32"/>
      <c r="Q30" s="32"/>
      <c r="R30" s="32"/>
      <c r="S30" s="45"/>
      <c r="T30" s="32"/>
      <c r="U30" s="32"/>
      <c r="V30" s="32"/>
      <c r="W30" s="32"/>
      <c r="X30" s="32"/>
      <c r="Y30" s="32"/>
      <c r="Z30" s="32"/>
      <c r="AA30" s="23"/>
      <c r="AI30" s="23"/>
      <c r="AQ30" s="25"/>
    </row>
    <row r="31" ht="15.75" customHeight="1">
      <c r="B31" s="32"/>
      <c r="C31" s="33"/>
      <c r="D31" s="32"/>
      <c r="E31" s="32"/>
      <c r="F31" s="32"/>
      <c r="G31" s="32"/>
      <c r="H31" s="32"/>
      <c r="I31" s="32"/>
      <c r="J31" s="32"/>
      <c r="K31" s="45"/>
      <c r="L31" s="32"/>
      <c r="M31" s="32"/>
      <c r="N31" s="32"/>
      <c r="O31" s="32"/>
      <c r="P31" s="32"/>
      <c r="Q31" s="32"/>
      <c r="R31" s="32"/>
      <c r="S31" s="45"/>
      <c r="T31" s="32"/>
      <c r="U31" s="32"/>
      <c r="V31" s="32"/>
      <c r="W31" s="32"/>
      <c r="X31" s="32"/>
      <c r="Y31" s="32"/>
      <c r="Z31" s="32"/>
      <c r="AA31" s="23"/>
      <c r="AI31" s="23"/>
      <c r="AQ31" s="25"/>
    </row>
    <row r="32" ht="15.75" customHeight="1">
      <c r="B32" s="32"/>
      <c r="C32" s="33"/>
      <c r="D32" s="32"/>
      <c r="E32" s="32"/>
      <c r="F32" s="32"/>
      <c r="G32" s="32"/>
      <c r="H32" s="32"/>
      <c r="I32" s="32"/>
      <c r="J32" s="32"/>
      <c r="K32" s="45"/>
      <c r="L32" s="32"/>
      <c r="M32" s="32"/>
      <c r="N32" s="32"/>
      <c r="O32" s="32"/>
      <c r="P32" s="32"/>
      <c r="Q32" s="32"/>
      <c r="R32" s="32"/>
      <c r="S32" s="45"/>
      <c r="T32" s="32"/>
      <c r="U32" s="32"/>
      <c r="V32" s="32"/>
      <c r="W32" s="32"/>
      <c r="X32" s="32"/>
      <c r="Y32" s="32"/>
      <c r="Z32" s="32"/>
      <c r="AA32" s="23"/>
      <c r="AI32" s="23"/>
      <c r="AQ32" s="25"/>
    </row>
    <row r="33" ht="15.75" customHeight="1">
      <c r="B33" s="32"/>
      <c r="C33" s="33"/>
      <c r="D33" s="32"/>
      <c r="E33" s="32"/>
      <c r="F33" s="32"/>
      <c r="G33" s="32"/>
      <c r="H33" s="32"/>
      <c r="I33" s="32"/>
      <c r="J33" s="32"/>
      <c r="K33" s="45"/>
      <c r="L33" s="32"/>
      <c r="M33" s="32"/>
      <c r="N33" s="32"/>
      <c r="O33" s="32"/>
      <c r="P33" s="32"/>
      <c r="Q33" s="32"/>
      <c r="R33" s="32"/>
      <c r="S33" s="45"/>
      <c r="T33" s="32"/>
      <c r="U33" s="32"/>
      <c r="V33" s="32"/>
      <c r="W33" s="32"/>
      <c r="X33" s="32"/>
      <c r="Y33" s="32"/>
      <c r="Z33" s="32"/>
      <c r="AA33" s="23"/>
      <c r="AI33" s="23"/>
      <c r="AQ33" s="25"/>
    </row>
    <row r="34" ht="15.75" customHeight="1">
      <c r="B34" s="32"/>
      <c r="C34" s="33"/>
      <c r="D34" s="32"/>
      <c r="E34" s="32"/>
      <c r="F34" s="32"/>
      <c r="G34" s="32"/>
      <c r="H34" s="32"/>
      <c r="I34" s="32"/>
      <c r="J34" s="32"/>
      <c r="K34" s="45"/>
      <c r="L34" s="32"/>
      <c r="M34" s="32"/>
      <c r="N34" s="32"/>
      <c r="O34" s="32"/>
      <c r="P34" s="32"/>
      <c r="Q34" s="32"/>
      <c r="R34" s="32"/>
      <c r="S34" s="45"/>
      <c r="T34" s="32"/>
      <c r="U34" s="32"/>
      <c r="V34" s="32"/>
      <c r="W34" s="32"/>
      <c r="X34" s="32"/>
      <c r="Y34" s="32"/>
      <c r="Z34" s="32"/>
      <c r="AA34" s="23"/>
      <c r="AI34" s="23"/>
      <c r="AQ34" s="25"/>
    </row>
    <row r="35" ht="15.75" customHeight="1">
      <c r="B35" s="32"/>
      <c r="C35" s="33"/>
      <c r="D35" s="32"/>
      <c r="E35" s="32"/>
      <c r="F35" s="32"/>
      <c r="G35" s="32"/>
      <c r="H35" s="32"/>
      <c r="I35" s="32"/>
      <c r="J35" s="32"/>
      <c r="K35" s="45"/>
      <c r="L35" s="32"/>
      <c r="M35" s="32"/>
      <c r="N35" s="32"/>
      <c r="O35" s="32"/>
      <c r="P35" s="32"/>
      <c r="Q35" s="32"/>
      <c r="R35" s="32"/>
      <c r="S35" s="45"/>
      <c r="T35" s="32"/>
      <c r="U35" s="32"/>
      <c r="V35" s="32"/>
      <c r="W35" s="32"/>
      <c r="X35" s="32"/>
      <c r="Y35" s="32"/>
      <c r="Z35" s="32"/>
      <c r="AA35" s="23"/>
      <c r="AI35" s="23"/>
      <c r="AQ35" s="25"/>
    </row>
    <row r="36" ht="15.75" customHeight="1">
      <c r="B36" s="32"/>
      <c r="C36" s="33"/>
      <c r="D36" s="32"/>
      <c r="E36" s="32"/>
      <c r="F36" s="32"/>
      <c r="G36" s="32"/>
      <c r="H36" s="32"/>
      <c r="I36" s="32"/>
      <c r="J36" s="32"/>
      <c r="K36" s="45"/>
      <c r="L36" s="32"/>
      <c r="M36" s="32"/>
      <c r="N36" s="32"/>
      <c r="O36" s="32"/>
      <c r="P36" s="32"/>
      <c r="Q36" s="32"/>
      <c r="R36" s="32"/>
      <c r="S36" s="33"/>
      <c r="T36" s="32"/>
      <c r="U36" s="32"/>
      <c r="V36" s="32"/>
      <c r="W36" s="32"/>
      <c r="X36" s="32"/>
      <c r="Y36" s="32"/>
      <c r="Z36" s="32"/>
      <c r="AA36" s="23"/>
      <c r="AI36" s="23"/>
      <c r="AQ36" s="25"/>
    </row>
    <row r="37" ht="15.75" customHeight="1">
      <c r="C37" s="23"/>
      <c r="K37" s="23"/>
      <c r="S37" s="23"/>
      <c r="AA37" s="23"/>
      <c r="AI37" s="23"/>
      <c r="AQ37" s="25"/>
    </row>
    <row r="38" ht="15.75" customHeight="1">
      <c r="C38" s="23"/>
      <c r="K38" s="23"/>
      <c r="S38" s="23"/>
      <c r="AA38" s="23"/>
      <c r="AI38" s="23"/>
      <c r="AQ38" s="25"/>
    </row>
    <row r="39" ht="15.75" customHeight="1">
      <c r="C39" s="23"/>
      <c r="K39" s="23"/>
      <c r="S39" s="23"/>
      <c r="AA39" s="23"/>
      <c r="AI39" s="23"/>
      <c r="AQ39" s="25"/>
    </row>
    <row r="40" ht="15.75" customHeight="1">
      <c r="C40" s="23"/>
      <c r="K40" s="23"/>
      <c r="S40" s="23"/>
      <c r="AA40" s="23"/>
      <c r="AI40" s="23"/>
      <c r="AQ40" s="25"/>
    </row>
    <row r="41" ht="15.75" customHeight="1">
      <c r="C41" s="23"/>
      <c r="K41" s="23"/>
      <c r="S41" s="23"/>
      <c r="AA41" s="23"/>
      <c r="AI41" s="23"/>
      <c r="AQ41" s="25"/>
    </row>
    <row r="42" ht="15.75" customHeight="1">
      <c r="C42" s="23"/>
      <c r="K42" s="23"/>
      <c r="S42" s="23"/>
      <c r="AA42" s="23"/>
      <c r="AI42" s="23"/>
      <c r="AQ42" s="25"/>
    </row>
    <row r="43" ht="15.75" customHeight="1">
      <c r="C43" s="23"/>
      <c r="K43" s="23"/>
      <c r="S43" s="23"/>
      <c r="AA43" s="23"/>
      <c r="AI43" s="23"/>
      <c r="AQ43" s="25"/>
    </row>
    <row r="44" ht="15.75" customHeight="1">
      <c r="C44" s="23"/>
      <c r="K44" s="23"/>
      <c r="S44" s="23"/>
      <c r="AA44" s="23"/>
      <c r="AI44" s="23"/>
      <c r="AQ44" s="25"/>
    </row>
    <row r="45" ht="15.75" customHeight="1">
      <c r="C45" s="23"/>
      <c r="K45" s="23"/>
      <c r="S45" s="23"/>
      <c r="AA45" s="23"/>
      <c r="AI45" s="23"/>
      <c r="AQ45" s="25"/>
    </row>
    <row r="46" ht="15.75" customHeight="1">
      <c r="C46" s="23"/>
      <c r="K46" s="23"/>
      <c r="S46" s="23"/>
      <c r="AA46" s="23"/>
      <c r="AI46" s="23"/>
      <c r="AQ46" s="25"/>
    </row>
    <row r="47" ht="15.75" customHeight="1">
      <c r="C47" s="23"/>
      <c r="K47" s="23"/>
      <c r="S47" s="23"/>
      <c r="AA47" s="23"/>
      <c r="AI47" s="23"/>
      <c r="AQ47" s="25"/>
    </row>
    <row r="48" ht="15.75" customHeight="1">
      <c r="C48" s="23"/>
      <c r="K48" s="23"/>
      <c r="S48" s="23"/>
      <c r="AA48" s="23"/>
      <c r="AI48" s="23"/>
      <c r="AQ48" s="25"/>
    </row>
    <row r="49" ht="15.75" customHeight="1">
      <c r="C49" s="23"/>
      <c r="K49" s="23"/>
      <c r="S49" s="23"/>
      <c r="AA49" s="23"/>
      <c r="AI49" s="23"/>
      <c r="AQ49" s="25"/>
    </row>
    <row r="50" ht="15.75" customHeight="1">
      <c r="C50" s="23"/>
      <c r="K50" s="23"/>
      <c r="S50" s="23"/>
      <c r="AA50" s="23"/>
      <c r="AI50" s="23"/>
      <c r="AQ50" s="25"/>
    </row>
    <row r="51" ht="15.75" customHeight="1">
      <c r="C51" s="23"/>
      <c r="K51" s="23"/>
      <c r="S51" s="23"/>
      <c r="AA51" s="23"/>
      <c r="AI51" s="23"/>
      <c r="AQ51" s="25"/>
    </row>
    <row r="52" ht="15.75" customHeight="1">
      <c r="C52" s="23"/>
      <c r="K52" s="23"/>
      <c r="S52" s="23"/>
      <c r="AA52" s="23"/>
      <c r="AI52" s="23"/>
      <c r="AQ52" s="25"/>
    </row>
    <row r="53" ht="15.75" customHeight="1">
      <c r="C53" s="23"/>
      <c r="K53" s="23"/>
      <c r="S53" s="23"/>
      <c r="AA53" s="23"/>
      <c r="AI53" s="23"/>
      <c r="AQ53" s="25"/>
    </row>
    <row r="54" ht="15.75" customHeight="1">
      <c r="C54" s="23"/>
      <c r="K54" s="23"/>
      <c r="S54" s="23"/>
      <c r="AA54" s="23"/>
      <c r="AI54" s="23"/>
      <c r="AQ54" s="25"/>
    </row>
    <row r="55" ht="15.75" customHeight="1">
      <c r="C55" s="23"/>
      <c r="K55" s="23"/>
      <c r="S55" s="23"/>
      <c r="AA55" s="23"/>
      <c r="AI55" s="23"/>
      <c r="AQ55" s="25"/>
    </row>
    <row r="56" ht="15.75" customHeight="1">
      <c r="C56" s="23"/>
      <c r="K56" s="23"/>
      <c r="S56" s="23"/>
      <c r="AA56" s="23"/>
      <c r="AI56" s="23"/>
      <c r="AQ56" s="25"/>
    </row>
    <row r="57" ht="15.75" customHeight="1">
      <c r="C57" s="23"/>
      <c r="K57" s="23"/>
      <c r="S57" s="23"/>
      <c r="AA57" s="23"/>
      <c r="AI57" s="23"/>
      <c r="AQ57" s="25"/>
    </row>
    <row r="58" ht="15.75" customHeight="1">
      <c r="C58" s="23"/>
      <c r="K58" s="23"/>
      <c r="S58" s="23"/>
      <c r="AA58" s="23"/>
      <c r="AI58" s="23"/>
      <c r="AQ58" s="25"/>
    </row>
    <row r="59" ht="15.75" customHeight="1">
      <c r="C59" s="23"/>
      <c r="K59" s="23"/>
      <c r="S59" s="23"/>
      <c r="AA59" s="23"/>
      <c r="AI59" s="23"/>
      <c r="AQ59" s="25"/>
    </row>
    <row r="60" ht="15.75" customHeight="1">
      <c r="C60" s="23"/>
      <c r="K60" s="23"/>
      <c r="S60" s="23"/>
      <c r="AA60" s="23"/>
      <c r="AI60" s="23"/>
      <c r="AQ60" s="25"/>
    </row>
    <row r="61" ht="15.75" customHeight="1">
      <c r="C61" s="23"/>
      <c r="K61" s="23"/>
      <c r="S61" s="23"/>
      <c r="AA61" s="23"/>
      <c r="AI61" s="23"/>
      <c r="AQ61" s="25"/>
    </row>
    <row r="62" ht="15.75" customHeight="1">
      <c r="C62" s="23"/>
      <c r="K62" s="23"/>
      <c r="S62" s="23"/>
      <c r="AA62" s="23"/>
      <c r="AI62" s="23"/>
      <c r="AQ62" s="25"/>
    </row>
    <row r="63" ht="15.75" customHeight="1">
      <c r="C63" s="23"/>
      <c r="K63" s="23"/>
      <c r="S63" s="23"/>
      <c r="AA63" s="23"/>
      <c r="AI63" s="23"/>
      <c r="AQ63" s="25"/>
    </row>
    <row r="64" ht="15.75" customHeight="1">
      <c r="C64" s="23"/>
      <c r="K64" s="23"/>
      <c r="S64" s="23"/>
      <c r="AA64" s="23"/>
      <c r="AI64" s="23"/>
      <c r="AQ64" s="25"/>
    </row>
    <row r="65" ht="15.75" customHeight="1">
      <c r="C65" s="23"/>
      <c r="K65" s="23"/>
      <c r="S65" s="23"/>
      <c r="AA65" s="23"/>
      <c r="AI65" s="23"/>
      <c r="AQ65" s="25"/>
    </row>
    <row r="66" ht="15.75" customHeight="1">
      <c r="C66" s="23"/>
      <c r="K66" s="23"/>
      <c r="S66" s="23"/>
      <c r="AA66" s="23"/>
      <c r="AI66" s="23"/>
      <c r="AQ66" s="25"/>
    </row>
    <row r="67" ht="15.75" customHeight="1">
      <c r="C67" s="23"/>
      <c r="K67" s="23"/>
      <c r="S67" s="23"/>
      <c r="AA67" s="23"/>
      <c r="AI67" s="23"/>
      <c r="AQ67" s="25"/>
    </row>
    <row r="68" ht="15.75" customHeight="1">
      <c r="C68" s="23"/>
      <c r="K68" s="23"/>
      <c r="S68" s="23"/>
      <c r="AA68" s="23"/>
      <c r="AI68" s="23"/>
      <c r="AQ68" s="25"/>
    </row>
    <row r="69" ht="15.75" customHeight="1">
      <c r="C69" s="23"/>
      <c r="K69" s="23"/>
      <c r="S69" s="23"/>
      <c r="AA69" s="23"/>
      <c r="AI69" s="23"/>
      <c r="AQ69" s="25"/>
    </row>
    <row r="70" ht="15.75" customHeight="1">
      <c r="C70" s="23"/>
      <c r="K70" s="23"/>
      <c r="S70" s="23"/>
      <c r="AA70" s="23"/>
      <c r="AI70" s="23"/>
      <c r="AQ70" s="25"/>
    </row>
    <row r="71" ht="15.75" customHeight="1">
      <c r="C71" s="23"/>
      <c r="K71" s="23"/>
      <c r="S71" s="23"/>
      <c r="AA71" s="23"/>
      <c r="AI71" s="23"/>
      <c r="AQ71" s="25"/>
    </row>
    <row r="72" ht="15.75" customHeight="1">
      <c r="C72" s="23"/>
      <c r="K72" s="23"/>
      <c r="S72" s="23"/>
      <c r="AA72" s="23"/>
      <c r="AI72" s="23"/>
      <c r="AQ72" s="25"/>
    </row>
    <row r="73" ht="15.75" customHeight="1">
      <c r="C73" s="23"/>
      <c r="K73" s="23"/>
      <c r="S73" s="23"/>
      <c r="AA73" s="23"/>
      <c r="AI73" s="23"/>
      <c r="AQ73" s="25"/>
    </row>
    <row r="74" ht="15.75" customHeight="1">
      <c r="C74" s="23"/>
      <c r="K74" s="23"/>
      <c r="S74" s="23"/>
      <c r="AA74" s="23"/>
      <c r="AI74" s="23"/>
      <c r="AQ74" s="25"/>
    </row>
    <row r="75" ht="15.75" customHeight="1">
      <c r="C75" s="23"/>
      <c r="K75" s="23"/>
      <c r="S75" s="23"/>
      <c r="AA75" s="23"/>
      <c r="AI75" s="23"/>
      <c r="AQ75" s="25"/>
    </row>
    <row r="76" ht="15.75" customHeight="1">
      <c r="C76" s="23"/>
      <c r="K76" s="23"/>
      <c r="S76" s="23"/>
      <c r="AA76" s="23"/>
      <c r="AI76" s="23"/>
      <c r="AQ76" s="25"/>
    </row>
    <row r="77" ht="15.75" customHeight="1">
      <c r="C77" s="23"/>
      <c r="K77" s="23"/>
      <c r="S77" s="23"/>
      <c r="AA77" s="23"/>
      <c r="AI77" s="23"/>
      <c r="AQ77" s="25"/>
    </row>
    <row r="78" ht="15.75" customHeight="1">
      <c r="C78" s="23"/>
      <c r="K78" s="23"/>
      <c r="S78" s="23"/>
      <c r="AA78" s="23"/>
      <c r="AI78" s="23"/>
      <c r="AQ78" s="25"/>
    </row>
    <row r="79" ht="15.75" customHeight="1">
      <c r="C79" s="23"/>
      <c r="K79" s="23"/>
      <c r="S79" s="23"/>
      <c r="AA79" s="23"/>
      <c r="AI79" s="23"/>
      <c r="AQ79" s="25"/>
    </row>
    <row r="80" ht="15.75" customHeight="1">
      <c r="C80" s="23"/>
      <c r="K80" s="23"/>
      <c r="S80" s="23"/>
      <c r="AA80" s="23"/>
      <c r="AI80" s="23"/>
      <c r="AQ80" s="25"/>
    </row>
    <row r="81" ht="15.75" customHeight="1">
      <c r="C81" s="23"/>
      <c r="K81" s="23"/>
      <c r="S81" s="23"/>
      <c r="AA81" s="23"/>
      <c r="AI81" s="23"/>
      <c r="AQ81" s="25"/>
    </row>
    <row r="82" ht="15.75" customHeight="1">
      <c r="C82" s="23"/>
      <c r="K82" s="23"/>
      <c r="S82" s="23"/>
      <c r="AA82" s="23"/>
      <c r="AI82" s="23"/>
      <c r="AQ82" s="25"/>
    </row>
    <row r="83" ht="15.75" customHeight="1">
      <c r="C83" s="23"/>
      <c r="K83" s="23"/>
      <c r="S83" s="23"/>
      <c r="AA83" s="23"/>
      <c r="AI83" s="23"/>
      <c r="AQ83" s="25"/>
    </row>
    <row r="84" ht="15.75" customHeight="1">
      <c r="C84" s="23"/>
      <c r="K84" s="23"/>
      <c r="S84" s="23"/>
      <c r="AA84" s="23"/>
      <c r="AI84" s="23"/>
      <c r="AQ84" s="25"/>
    </row>
    <row r="85" ht="15.75" customHeight="1">
      <c r="C85" s="23"/>
      <c r="K85" s="23"/>
      <c r="S85" s="23"/>
      <c r="AA85" s="23"/>
      <c r="AI85" s="23"/>
      <c r="AQ85" s="25"/>
    </row>
    <row r="86" ht="15.75" customHeight="1">
      <c r="C86" s="23"/>
      <c r="K86" s="23"/>
      <c r="S86" s="23"/>
      <c r="AA86" s="23"/>
      <c r="AI86" s="23"/>
      <c r="AQ86" s="25"/>
    </row>
    <row r="87" ht="15.75" customHeight="1">
      <c r="C87" s="23"/>
      <c r="K87" s="23"/>
      <c r="S87" s="23"/>
      <c r="AA87" s="23"/>
      <c r="AI87" s="23"/>
      <c r="AQ87" s="25"/>
    </row>
    <row r="88" ht="15.75" customHeight="1">
      <c r="C88" s="23"/>
      <c r="K88" s="23"/>
      <c r="S88" s="23"/>
      <c r="AA88" s="23"/>
      <c r="AI88" s="23"/>
      <c r="AQ88" s="25"/>
    </row>
    <row r="89" ht="15.75" customHeight="1">
      <c r="C89" s="23"/>
      <c r="K89" s="23"/>
      <c r="S89" s="23"/>
      <c r="AA89" s="23"/>
      <c r="AI89" s="23"/>
      <c r="AQ89" s="25"/>
    </row>
    <row r="90" ht="15.75" customHeight="1">
      <c r="C90" s="23"/>
      <c r="K90" s="23"/>
      <c r="S90" s="23"/>
      <c r="AA90" s="23"/>
      <c r="AI90" s="23"/>
      <c r="AQ90" s="25"/>
    </row>
    <row r="91" ht="15.75" customHeight="1">
      <c r="C91" s="23"/>
      <c r="K91" s="23"/>
      <c r="S91" s="23"/>
      <c r="AA91" s="23"/>
      <c r="AI91" s="23"/>
      <c r="AQ91" s="25"/>
    </row>
    <row r="92" ht="15.75" customHeight="1">
      <c r="C92" s="23"/>
      <c r="K92" s="23"/>
      <c r="S92" s="23"/>
      <c r="AA92" s="23"/>
      <c r="AI92" s="23"/>
      <c r="AQ92" s="25"/>
    </row>
    <row r="93" ht="15.75" customHeight="1">
      <c r="C93" s="23"/>
      <c r="K93" s="23"/>
      <c r="S93" s="23"/>
      <c r="AA93" s="23"/>
      <c r="AI93" s="23"/>
      <c r="AQ93" s="25"/>
    </row>
    <row r="94" ht="15.75" customHeight="1">
      <c r="C94" s="23"/>
      <c r="K94" s="23"/>
      <c r="S94" s="23"/>
      <c r="AA94" s="23"/>
      <c r="AI94" s="23"/>
      <c r="AQ94" s="25"/>
    </row>
    <row r="95" ht="15.75" customHeight="1">
      <c r="C95" s="23"/>
      <c r="K95" s="23"/>
      <c r="S95" s="23"/>
      <c r="AA95" s="23"/>
      <c r="AI95" s="23"/>
      <c r="AQ95" s="25"/>
    </row>
    <row r="96" ht="15.75" customHeight="1">
      <c r="C96" s="23"/>
      <c r="K96" s="23"/>
      <c r="S96" s="23"/>
      <c r="AA96" s="23"/>
      <c r="AI96" s="23"/>
      <c r="AQ96" s="25"/>
    </row>
    <row r="97" ht="15.75" customHeight="1">
      <c r="C97" s="23"/>
      <c r="K97" s="23"/>
      <c r="S97" s="23"/>
      <c r="AA97" s="23"/>
      <c r="AI97" s="23"/>
      <c r="AQ97" s="25"/>
    </row>
    <row r="98" ht="15.75" customHeight="1">
      <c r="C98" s="23"/>
      <c r="K98" s="23"/>
      <c r="S98" s="23"/>
      <c r="AA98" s="23"/>
      <c r="AI98" s="23"/>
      <c r="AQ98" s="25"/>
    </row>
    <row r="99" ht="15.75" customHeight="1">
      <c r="C99" s="23"/>
      <c r="K99" s="23"/>
      <c r="S99" s="23"/>
      <c r="AA99" s="23"/>
      <c r="AI99" s="23"/>
      <c r="AQ99" s="25"/>
    </row>
    <row r="100" ht="15.75" customHeight="1">
      <c r="C100" s="23"/>
      <c r="K100" s="23"/>
      <c r="S100" s="23"/>
      <c r="AA100" s="23"/>
      <c r="AI100" s="23"/>
      <c r="AQ100" s="25"/>
    </row>
    <row r="101" ht="15.75" customHeight="1">
      <c r="C101" s="23"/>
      <c r="K101" s="23"/>
      <c r="S101" s="23"/>
      <c r="AA101" s="23"/>
      <c r="AI101" s="23"/>
      <c r="AQ101" s="25"/>
    </row>
    <row r="102" ht="15.75" customHeight="1">
      <c r="C102" s="23"/>
      <c r="K102" s="23"/>
      <c r="S102" s="23"/>
      <c r="AA102" s="23"/>
      <c r="AI102" s="23"/>
      <c r="AQ102" s="25"/>
    </row>
    <row r="103" ht="15.75" customHeight="1">
      <c r="C103" s="23"/>
      <c r="K103" s="23"/>
      <c r="S103" s="23"/>
      <c r="AA103" s="23"/>
      <c r="AI103" s="23"/>
      <c r="AQ103" s="25"/>
    </row>
    <row r="104" ht="15.75" customHeight="1">
      <c r="C104" s="23"/>
      <c r="K104" s="23"/>
      <c r="S104" s="23"/>
      <c r="AA104" s="23"/>
      <c r="AI104" s="23"/>
      <c r="AQ104" s="25"/>
    </row>
    <row r="105" ht="15.75" customHeight="1">
      <c r="C105" s="23"/>
      <c r="K105" s="23"/>
      <c r="S105" s="23"/>
      <c r="AA105" s="23"/>
      <c r="AI105" s="23"/>
      <c r="AQ105" s="25"/>
    </row>
    <row r="106" ht="15.75" customHeight="1">
      <c r="C106" s="23"/>
      <c r="K106" s="23"/>
      <c r="S106" s="23"/>
      <c r="AA106" s="23"/>
      <c r="AI106" s="23"/>
      <c r="AQ106" s="25"/>
    </row>
    <row r="107" ht="15.75" customHeight="1">
      <c r="C107" s="23"/>
      <c r="K107" s="23"/>
      <c r="S107" s="23"/>
      <c r="AA107" s="23"/>
      <c r="AI107" s="23"/>
      <c r="AQ107" s="25"/>
    </row>
    <row r="108" ht="15.75" customHeight="1">
      <c r="C108" s="23"/>
      <c r="K108" s="23"/>
      <c r="S108" s="23"/>
      <c r="AA108" s="23"/>
      <c r="AI108" s="23"/>
      <c r="AQ108" s="25"/>
    </row>
    <row r="109" ht="15.75" customHeight="1">
      <c r="C109" s="23"/>
      <c r="K109" s="23"/>
      <c r="S109" s="23"/>
      <c r="AA109" s="23"/>
      <c r="AI109" s="23"/>
      <c r="AQ109" s="25"/>
    </row>
    <row r="110" ht="15.75" customHeight="1">
      <c r="C110" s="23"/>
      <c r="K110" s="23"/>
      <c r="S110" s="23"/>
      <c r="AA110" s="23"/>
      <c r="AI110" s="23"/>
      <c r="AQ110" s="25"/>
    </row>
    <row r="111" ht="15.75" customHeight="1">
      <c r="C111" s="23"/>
      <c r="K111" s="23"/>
      <c r="S111" s="23"/>
      <c r="AA111" s="23"/>
      <c r="AI111" s="23"/>
      <c r="AQ111" s="25"/>
    </row>
    <row r="112" ht="15.75" customHeight="1">
      <c r="C112" s="23"/>
      <c r="K112" s="23"/>
      <c r="S112" s="23"/>
      <c r="AA112" s="23"/>
      <c r="AI112" s="23"/>
      <c r="AQ112" s="25"/>
    </row>
    <row r="113" ht="15.75" customHeight="1">
      <c r="C113" s="23"/>
      <c r="K113" s="23"/>
      <c r="S113" s="23"/>
      <c r="AA113" s="23"/>
      <c r="AI113" s="23"/>
      <c r="AQ113" s="25"/>
    </row>
    <row r="114" ht="15.75" customHeight="1">
      <c r="C114" s="23"/>
      <c r="K114" s="23"/>
      <c r="S114" s="23"/>
      <c r="AA114" s="23"/>
      <c r="AI114" s="23"/>
      <c r="AQ114" s="25"/>
    </row>
    <row r="115" ht="15.75" customHeight="1">
      <c r="C115" s="23"/>
      <c r="K115" s="23"/>
      <c r="S115" s="23"/>
      <c r="AA115" s="23"/>
      <c r="AI115" s="23"/>
      <c r="AQ115" s="25"/>
    </row>
    <row r="116" ht="15.75" customHeight="1">
      <c r="C116" s="23"/>
      <c r="K116" s="23"/>
      <c r="S116" s="23"/>
      <c r="AA116" s="23"/>
      <c r="AI116" s="23"/>
      <c r="AQ116" s="25"/>
    </row>
    <row r="117" ht="15.75" customHeight="1">
      <c r="C117" s="23"/>
      <c r="K117" s="23"/>
      <c r="S117" s="23"/>
      <c r="AA117" s="23"/>
      <c r="AI117" s="23"/>
      <c r="AQ117" s="25"/>
    </row>
    <row r="118" ht="15.75" customHeight="1">
      <c r="C118" s="23"/>
      <c r="K118" s="23"/>
      <c r="S118" s="23"/>
      <c r="AA118" s="23"/>
      <c r="AI118" s="23"/>
      <c r="AQ118" s="25"/>
    </row>
    <row r="119" ht="15.75" customHeight="1">
      <c r="C119" s="23"/>
      <c r="K119" s="23"/>
      <c r="S119" s="23"/>
      <c r="AA119" s="23"/>
      <c r="AI119" s="23"/>
      <c r="AQ119" s="25"/>
    </row>
    <row r="120" ht="15.75" customHeight="1">
      <c r="C120" s="23"/>
      <c r="K120" s="23"/>
      <c r="S120" s="23"/>
      <c r="AA120" s="23"/>
      <c r="AI120" s="23"/>
      <c r="AQ120" s="25"/>
    </row>
    <row r="121" ht="15.75" customHeight="1">
      <c r="C121" s="23"/>
      <c r="K121" s="23"/>
      <c r="S121" s="23"/>
      <c r="AA121" s="23"/>
      <c r="AI121" s="23"/>
      <c r="AQ121" s="25"/>
    </row>
    <row r="122" ht="15.75" customHeight="1">
      <c r="C122" s="23"/>
      <c r="K122" s="23"/>
      <c r="S122" s="23"/>
      <c r="AA122" s="23"/>
      <c r="AI122" s="23"/>
      <c r="AQ122" s="25"/>
    </row>
    <row r="123" ht="15.75" customHeight="1">
      <c r="C123" s="23"/>
      <c r="K123" s="23"/>
      <c r="S123" s="23"/>
      <c r="AA123" s="23"/>
      <c r="AI123" s="23"/>
      <c r="AQ123" s="25"/>
    </row>
    <row r="124" ht="15.75" customHeight="1">
      <c r="C124" s="23"/>
      <c r="K124" s="23"/>
      <c r="S124" s="23"/>
      <c r="AA124" s="23"/>
      <c r="AI124" s="23"/>
      <c r="AQ124" s="25"/>
    </row>
    <row r="125" ht="15.75" customHeight="1">
      <c r="C125" s="23"/>
      <c r="K125" s="23"/>
      <c r="S125" s="23"/>
      <c r="AA125" s="23"/>
      <c r="AI125" s="23"/>
      <c r="AQ125" s="25"/>
    </row>
    <row r="126" ht="15.75" customHeight="1">
      <c r="C126" s="23"/>
      <c r="K126" s="23"/>
      <c r="S126" s="23"/>
      <c r="AA126" s="23"/>
      <c r="AI126" s="23"/>
      <c r="AQ126" s="25"/>
    </row>
    <row r="127" ht="15.75" customHeight="1">
      <c r="C127" s="23"/>
      <c r="K127" s="23"/>
      <c r="S127" s="23"/>
      <c r="AA127" s="23"/>
      <c r="AI127" s="23"/>
      <c r="AQ127" s="25"/>
    </row>
    <row r="128" ht="15.75" customHeight="1">
      <c r="C128" s="23"/>
      <c r="K128" s="23"/>
      <c r="S128" s="23"/>
      <c r="AA128" s="23"/>
      <c r="AI128" s="23"/>
      <c r="AQ128" s="25"/>
    </row>
    <row r="129" ht="15.75" customHeight="1">
      <c r="C129" s="23"/>
      <c r="K129" s="23"/>
      <c r="S129" s="23"/>
      <c r="AA129" s="23"/>
      <c r="AI129" s="23"/>
      <c r="AQ129" s="25"/>
    </row>
    <row r="130" ht="15.75" customHeight="1">
      <c r="C130" s="23"/>
      <c r="K130" s="23"/>
      <c r="S130" s="23"/>
      <c r="AA130" s="23"/>
      <c r="AI130" s="23"/>
      <c r="AQ130" s="25"/>
    </row>
    <row r="131" ht="15.75" customHeight="1">
      <c r="C131" s="23"/>
      <c r="K131" s="23"/>
      <c r="S131" s="23"/>
      <c r="AA131" s="23"/>
      <c r="AI131" s="23"/>
      <c r="AQ131" s="25"/>
    </row>
    <row r="132" ht="15.75" customHeight="1">
      <c r="C132" s="23"/>
      <c r="K132" s="23"/>
      <c r="S132" s="23"/>
      <c r="AA132" s="23"/>
      <c r="AI132" s="23"/>
      <c r="AQ132" s="25"/>
    </row>
    <row r="133" ht="15.75" customHeight="1">
      <c r="C133" s="23"/>
      <c r="K133" s="23"/>
      <c r="S133" s="23"/>
      <c r="AA133" s="23"/>
      <c r="AI133" s="23"/>
      <c r="AQ133" s="25"/>
    </row>
    <row r="134" ht="15.75" customHeight="1">
      <c r="C134" s="23"/>
      <c r="K134" s="23"/>
      <c r="S134" s="23"/>
      <c r="AA134" s="23"/>
      <c r="AI134" s="23"/>
      <c r="AQ134" s="25"/>
    </row>
    <row r="135" ht="15.75" customHeight="1">
      <c r="C135" s="23"/>
      <c r="K135" s="23"/>
      <c r="S135" s="23"/>
      <c r="AA135" s="23"/>
      <c r="AI135" s="23"/>
      <c r="AQ135" s="25"/>
    </row>
    <row r="136" ht="15.75" customHeight="1">
      <c r="C136" s="23"/>
      <c r="K136" s="23"/>
      <c r="S136" s="23"/>
      <c r="AA136" s="23"/>
      <c r="AI136" s="23"/>
      <c r="AQ136" s="25"/>
    </row>
    <row r="137" ht="15.75" customHeight="1">
      <c r="C137" s="23"/>
      <c r="K137" s="23"/>
      <c r="S137" s="23"/>
      <c r="AA137" s="23"/>
      <c r="AI137" s="23"/>
      <c r="AQ137" s="25"/>
    </row>
    <row r="138" ht="15.75" customHeight="1">
      <c r="C138" s="23"/>
      <c r="K138" s="23"/>
      <c r="S138" s="23"/>
      <c r="AA138" s="23"/>
      <c r="AI138" s="23"/>
      <c r="AQ138" s="25"/>
    </row>
    <row r="139" ht="15.75" customHeight="1">
      <c r="C139" s="23"/>
      <c r="K139" s="23"/>
      <c r="S139" s="23"/>
      <c r="AA139" s="23"/>
      <c r="AI139" s="23"/>
      <c r="AQ139" s="25"/>
    </row>
    <row r="140" ht="15.75" customHeight="1">
      <c r="C140" s="23"/>
      <c r="K140" s="23"/>
      <c r="S140" s="23"/>
      <c r="AA140" s="23"/>
      <c r="AI140" s="23"/>
      <c r="AQ140" s="25"/>
    </row>
    <row r="141" ht="15.75" customHeight="1">
      <c r="C141" s="23"/>
      <c r="K141" s="23"/>
      <c r="S141" s="23"/>
      <c r="AA141" s="23"/>
      <c r="AI141" s="23"/>
      <c r="AQ141" s="25"/>
    </row>
    <row r="142" ht="15.75" customHeight="1">
      <c r="C142" s="23"/>
      <c r="K142" s="23"/>
      <c r="S142" s="23"/>
      <c r="AA142" s="23"/>
      <c r="AI142" s="23"/>
      <c r="AQ142" s="25"/>
    </row>
    <row r="143" ht="15.75" customHeight="1">
      <c r="C143" s="23"/>
      <c r="K143" s="23"/>
      <c r="S143" s="23"/>
      <c r="AA143" s="23"/>
      <c r="AI143" s="23"/>
      <c r="AQ143" s="25"/>
    </row>
    <row r="144" ht="15.75" customHeight="1">
      <c r="C144" s="23"/>
      <c r="K144" s="23"/>
      <c r="S144" s="23"/>
      <c r="AA144" s="23"/>
      <c r="AI144" s="23"/>
      <c r="AQ144" s="25"/>
    </row>
    <row r="145" ht="15.75" customHeight="1">
      <c r="C145" s="23"/>
      <c r="K145" s="23"/>
      <c r="S145" s="23"/>
      <c r="AA145" s="23"/>
      <c r="AI145" s="23"/>
      <c r="AQ145" s="25"/>
    </row>
    <row r="146" ht="15.75" customHeight="1">
      <c r="C146" s="23"/>
      <c r="K146" s="23"/>
      <c r="S146" s="23"/>
      <c r="AA146" s="23"/>
      <c r="AI146" s="23"/>
      <c r="AQ146" s="25"/>
    </row>
    <row r="147" ht="15.75" customHeight="1">
      <c r="C147" s="23"/>
      <c r="K147" s="23"/>
      <c r="S147" s="23"/>
      <c r="AA147" s="23"/>
      <c r="AI147" s="23"/>
      <c r="AQ147" s="25"/>
    </row>
    <row r="148" ht="15.75" customHeight="1">
      <c r="C148" s="23"/>
      <c r="K148" s="23"/>
      <c r="S148" s="23"/>
      <c r="AA148" s="23"/>
      <c r="AI148" s="23"/>
      <c r="AQ148" s="25"/>
    </row>
    <row r="149" ht="15.75" customHeight="1">
      <c r="C149" s="23"/>
      <c r="K149" s="23"/>
      <c r="S149" s="23"/>
      <c r="AA149" s="23"/>
      <c r="AI149" s="23"/>
      <c r="AQ149" s="25"/>
    </row>
    <row r="150" ht="15.75" customHeight="1">
      <c r="C150" s="23"/>
      <c r="K150" s="23"/>
      <c r="S150" s="23"/>
      <c r="AA150" s="23"/>
      <c r="AI150" s="23"/>
      <c r="AQ150" s="25"/>
    </row>
    <row r="151" ht="15.75" customHeight="1">
      <c r="C151" s="23"/>
      <c r="K151" s="23"/>
      <c r="S151" s="23"/>
      <c r="AA151" s="23"/>
      <c r="AI151" s="23"/>
      <c r="AQ151" s="25"/>
    </row>
    <row r="152" ht="15.75" customHeight="1">
      <c r="C152" s="23"/>
      <c r="K152" s="23"/>
      <c r="S152" s="23"/>
      <c r="AA152" s="23"/>
      <c r="AI152" s="23"/>
      <c r="AQ152" s="25"/>
    </row>
    <row r="153" ht="15.75" customHeight="1">
      <c r="C153" s="23"/>
      <c r="K153" s="23"/>
      <c r="S153" s="23"/>
      <c r="AA153" s="23"/>
      <c r="AI153" s="23"/>
      <c r="AQ153" s="25"/>
    </row>
    <row r="154" ht="15.75" customHeight="1">
      <c r="C154" s="23"/>
      <c r="K154" s="23"/>
      <c r="S154" s="23"/>
      <c r="AA154" s="23"/>
      <c r="AI154" s="23"/>
      <c r="AQ154" s="25"/>
    </row>
    <row r="155" ht="15.75" customHeight="1">
      <c r="C155" s="23"/>
      <c r="K155" s="23"/>
      <c r="S155" s="23"/>
      <c r="AA155" s="23"/>
      <c r="AI155" s="23"/>
      <c r="AQ155" s="25"/>
    </row>
    <row r="156" ht="15.75" customHeight="1">
      <c r="C156" s="23"/>
      <c r="K156" s="23"/>
      <c r="S156" s="23"/>
      <c r="AA156" s="23"/>
      <c r="AI156" s="23"/>
      <c r="AQ156" s="25"/>
    </row>
    <row r="157" ht="15.75" customHeight="1">
      <c r="C157" s="23"/>
      <c r="K157" s="23"/>
      <c r="S157" s="23"/>
      <c r="AA157" s="23"/>
      <c r="AI157" s="23"/>
      <c r="AQ157" s="25"/>
    </row>
    <row r="158" ht="15.75" customHeight="1">
      <c r="C158" s="23"/>
      <c r="K158" s="23"/>
      <c r="S158" s="23"/>
      <c r="AA158" s="23"/>
      <c r="AI158" s="23"/>
      <c r="AQ158" s="25"/>
    </row>
    <row r="159" ht="15.75" customHeight="1">
      <c r="C159" s="23"/>
      <c r="K159" s="23"/>
      <c r="S159" s="23"/>
      <c r="AA159" s="23"/>
      <c r="AI159" s="23"/>
      <c r="AQ159" s="25"/>
    </row>
    <row r="160" ht="15.75" customHeight="1">
      <c r="C160" s="23"/>
      <c r="K160" s="23"/>
      <c r="S160" s="23"/>
      <c r="AA160" s="23"/>
      <c r="AI160" s="23"/>
      <c r="AQ160" s="25"/>
    </row>
    <row r="161" ht="15.75" customHeight="1">
      <c r="C161" s="23"/>
      <c r="K161" s="23"/>
      <c r="S161" s="23"/>
      <c r="AA161" s="23"/>
      <c r="AI161" s="23"/>
      <c r="AQ161" s="25"/>
    </row>
    <row r="162" ht="15.75" customHeight="1">
      <c r="C162" s="23"/>
      <c r="K162" s="23"/>
      <c r="S162" s="23"/>
      <c r="AA162" s="23"/>
      <c r="AI162" s="23"/>
      <c r="AQ162" s="25"/>
    </row>
    <row r="163" ht="15.75" customHeight="1">
      <c r="C163" s="23"/>
      <c r="K163" s="23"/>
      <c r="S163" s="23"/>
      <c r="AA163" s="23"/>
      <c r="AI163" s="23"/>
      <c r="AQ163" s="25"/>
    </row>
    <row r="164" ht="15.75" customHeight="1">
      <c r="C164" s="23"/>
      <c r="K164" s="23"/>
      <c r="S164" s="23"/>
      <c r="AA164" s="23"/>
      <c r="AI164" s="23"/>
      <c r="AQ164" s="25"/>
    </row>
    <row r="165" ht="15.75" customHeight="1">
      <c r="C165" s="23"/>
      <c r="K165" s="23"/>
      <c r="S165" s="23"/>
      <c r="AA165" s="23"/>
      <c r="AI165" s="23"/>
      <c r="AQ165" s="25"/>
    </row>
    <row r="166" ht="15.75" customHeight="1">
      <c r="C166" s="23"/>
      <c r="K166" s="23"/>
      <c r="S166" s="23"/>
      <c r="AA166" s="23"/>
      <c r="AI166" s="23"/>
      <c r="AQ166" s="25"/>
    </row>
    <row r="167" ht="15.75" customHeight="1">
      <c r="C167" s="23"/>
      <c r="K167" s="23"/>
      <c r="S167" s="23"/>
      <c r="AA167" s="23"/>
      <c r="AI167" s="23"/>
      <c r="AQ167" s="25"/>
    </row>
    <row r="168" ht="15.75" customHeight="1">
      <c r="C168" s="23"/>
      <c r="K168" s="23"/>
      <c r="S168" s="23"/>
      <c r="AA168" s="23"/>
      <c r="AI168" s="23"/>
      <c r="AQ168" s="25"/>
    </row>
    <row r="169" ht="15.75" customHeight="1">
      <c r="C169" s="23"/>
      <c r="K169" s="23"/>
      <c r="S169" s="23"/>
      <c r="AA169" s="23"/>
      <c r="AI169" s="23"/>
      <c r="AQ169" s="25"/>
    </row>
    <row r="170" ht="15.75" customHeight="1">
      <c r="C170" s="23"/>
      <c r="K170" s="23"/>
      <c r="S170" s="23"/>
      <c r="AA170" s="23"/>
      <c r="AI170" s="23"/>
      <c r="AQ170" s="25"/>
    </row>
    <row r="171" ht="15.75" customHeight="1">
      <c r="C171" s="23"/>
      <c r="K171" s="23"/>
      <c r="S171" s="23"/>
      <c r="AA171" s="23"/>
      <c r="AI171" s="23"/>
      <c r="AQ171" s="25"/>
    </row>
    <row r="172" ht="15.75" customHeight="1">
      <c r="C172" s="23"/>
      <c r="K172" s="23"/>
      <c r="S172" s="23"/>
      <c r="AA172" s="23"/>
      <c r="AI172" s="23"/>
      <c r="AQ172" s="25"/>
    </row>
    <row r="173" ht="15.75" customHeight="1">
      <c r="C173" s="23"/>
      <c r="K173" s="23"/>
      <c r="S173" s="23"/>
      <c r="AA173" s="23"/>
      <c r="AI173" s="23"/>
      <c r="AQ173" s="25"/>
    </row>
    <row r="174" ht="15.75" customHeight="1">
      <c r="C174" s="23"/>
      <c r="K174" s="23"/>
      <c r="S174" s="23"/>
      <c r="AA174" s="23"/>
      <c r="AI174" s="23"/>
      <c r="AQ174" s="25"/>
    </row>
    <row r="175" ht="15.75" customHeight="1">
      <c r="C175" s="23"/>
      <c r="K175" s="23"/>
      <c r="S175" s="23"/>
      <c r="AA175" s="23"/>
      <c r="AI175" s="23"/>
      <c r="AQ175" s="25"/>
    </row>
    <row r="176" ht="15.75" customHeight="1">
      <c r="C176" s="23"/>
      <c r="K176" s="23"/>
      <c r="S176" s="23"/>
      <c r="AA176" s="23"/>
      <c r="AI176" s="23"/>
      <c r="AQ176" s="25"/>
    </row>
    <row r="177" ht="15.75" customHeight="1">
      <c r="C177" s="23"/>
      <c r="K177" s="23"/>
      <c r="S177" s="23"/>
      <c r="AA177" s="23"/>
      <c r="AI177" s="23"/>
      <c r="AQ177" s="25"/>
    </row>
    <row r="178" ht="15.75" customHeight="1">
      <c r="C178" s="23"/>
      <c r="K178" s="23"/>
      <c r="S178" s="23"/>
      <c r="AA178" s="23"/>
      <c r="AI178" s="23"/>
      <c r="AQ178" s="25"/>
    </row>
    <row r="179" ht="15.75" customHeight="1">
      <c r="C179" s="23"/>
      <c r="K179" s="23"/>
      <c r="S179" s="23"/>
      <c r="AA179" s="23"/>
      <c r="AI179" s="23"/>
      <c r="AQ179" s="25"/>
    </row>
    <row r="180" ht="15.75" customHeight="1">
      <c r="C180" s="23"/>
      <c r="K180" s="23"/>
      <c r="S180" s="23"/>
      <c r="AA180" s="23"/>
      <c r="AI180" s="23"/>
      <c r="AQ180" s="25"/>
    </row>
    <row r="181" ht="15.75" customHeight="1">
      <c r="C181" s="23"/>
      <c r="K181" s="23"/>
      <c r="S181" s="23"/>
      <c r="AA181" s="23"/>
      <c r="AI181" s="23"/>
      <c r="AQ181" s="25"/>
    </row>
    <row r="182" ht="15.75" customHeight="1">
      <c r="C182" s="23"/>
      <c r="K182" s="23"/>
      <c r="S182" s="23"/>
      <c r="AA182" s="23"/>
      <c r="AI182" s="23"/>
      <c r="AQ182" s="25"/>
    </row>
    <row r="183" ht="15.75" customHeight="1">
      <c r="C183" s="23"/>
      <c r="K183" s="23"/>
      <c r="S183" s="23"/>
      <c r="AA183" s="23"/>
      <c r="AI183" s="23"/>
      <c r="AQ183" s="25"/>
    </row>
    <row r="184" ht="15.75" customHeight="1">
      <c r="C184" s="23"/>
      <c r="K184" s="23"/>
      <c r="S184" s="23"/>
      <c r="AA184" s="23"/>
      <c r="AI184" s="23"/>
      <c r="AQ184" s="25"/>
    </row>
    <row r="185" ht="15.75" customHeight="1">
      <c r="C185" s="23"/>
      <c r="K185" s="23"/>
      <c r="S185" s="23"/>
      <c r="AA185" s="23"/>
      <c r="AI185" s="23"/>
      <c r="AQ185" s="25"/>
    </row>
    <row r="186" ht="15.75" customHeight="1">
      <c r="C186" s="23"/>
      <c r="K186" s="23"/>
      <c r="S186" s="23"/>
      <c r="AA186" s="23"/>
      <c r="AI186" s="23"/>
      <c r="AQ186" s="25"/>
    </row>
    <row r="187" ht="15.75" customHeight="1">
      <c r="C187" s="23"/>
      <c r="K187" s="23"/>
      <c r="S187" s="23"/>
      <c r="AA187" s="23"/>
      <c r="AI187" s="23"/>
      <c r="AQ187" s="25"/>
    </row>
    <row r="188" ht="15.75" customHeight="1">
      <c r="C188" s="23"/>
      <c r="K188" s="23"/>
      <c r="S188" s="23"/>
      <c r="AA188" s="23"/>
      <c r="AI188" s="23"/>
      <c r="AQ188" s="25"/>
    </row>
    <row r="189" ht="15.75" customHeight="1">
      <c r="C189" s="23"/>
      <c r="K189" s="23"/>
      <c r="S189" s="23"/>
      <c r="AA189" s="23"/>
      <c r="AI189" s="23"/>
      <c r="AQ189" s="25"/>
    </row>
    <row r="190" ht="15.75" customHeight="1">
      <c r="C190" s="23"/>
      <c r="K190" s="23"/>
      <c r="S190" s="23"/>
      <c r="AA190" s="23"/>
      <c r="AI190" s="23"/>
      <c r="AQ190" s="25"/>
    </row>
    <row r="191" ht="15.75" customHeight="1">
      <c r="C191" s="23"/>
      <c r="K191" s="23"/>
      <c r="S191" s="23"/>
      <c r="AA191" s="23"/>
      <c r="AI191" s="23"/>
      <c r="AQ191" s="25"/>
    </row>
    <row r="192" ht="15.75" customHeight="1">
      <c r="C192" s="23"/>
      <c r="K192" s="23"/>
      <c r="S192" s="23"/>
      <c r="AA192" s="23"/>
      <c r="AI192" s="23"/>
      <c r="AQ192" s="25"/>
    </row>
    <row r="193" ht="15.75" customHeight="1">
      <c r="C193" s="23"/>
      <c r="K193" s="23"/>
      <c r="S193" s="23"/>
      <c r="AA193" s="23"/>
      <c r="AI193" s="23"/>
      <c r="AQ193" s="25"/>
    </row>
    <row r="194" ht="15.75" customHeight="1">
      <c r="C194" s="23"/>
      <c r="K194" s="23"/>
      <c r="S194" s="23"/>
      <c r="AA194" s="23"/>
      <c r="AI194" s="23"/>
      <c r="AQ194" s="25"/>
    </row>
    <row r="195" ht="15.75" customHeight="1">
      <c r="C195" s="23"/>
      <c r="K195" s="23"/>
      <c r="S195" s="23"/>
      <c r="AA195" s="23"/>
      <c r="AI195" s="23"/>
      <c r="AQ195" s="25"/>
    </row>
    <row r="196" ht="15.75" customHeight="1">
      <c r="C196" s="23"/>
      <c r="K196" s="23"/>
      <c r="S196" s="23"/>
      <c r="AA196" s="23"/>
      <c r="AI196" s="23"/>
      <c r="AQ196" s="25"/>
    </row>
    <row r="197" ht="15.75" customHeight="1">
      <c r="C197" s="23"/>
      <c r="K197" s="23"/>
      <c r="S197" s="23"/>
      <c r="AA197" s="23"/>
      <c r="AI197" s="23"/>
      <c r="AQ197" s="25"/>
    </row>
    <row r="198" ht="15.75" customHeight="1">
      <c r="C198" s="23"/>
      <c r="K198" s="23"/>
      <c r="S198" s="23"/>
      <c r="AA198" s="23"/>
      <c r="AI198" s="23"/>
      <c r="AQ198" s="25"/>
    </row>
    <row r="199" ht="15.75" customHeight="1">
      <c r="C199" s="23"/>
      <c r="K199" s="23"/>
      <c r="S199" s="23"/>
      <c r="AA199" s="23"/>
      <c r="AI199" s="23"/>
      <c r="AQ199" s="25"/>
    </row>
    <row r="200" ht="15.75" customHeight="1">
      <c r="C200" s="23"/>
      <c r="K200" s="23"/>
      <c r="S200" s="23"/>
      <c r="AA200" s="23"/>
      <c r="AI200" s="23"/>
      <c r="AQ200" s="25"/>
    </row>
    <row r="201" ht="15.75" customHeight="1">
      <c r="C201" s="23"/>
      <c r="K201" s="23"/>
      <c r="S201" s="23"/>
      <c r="AA201" s="23"/>
      <c r="AI201" s="23"/>
      <c r="AQ201" s="25"/>
    </row>
    <row r="202" ht="15.75" customHeight="1">
      <c r="C202" s="23"/>
      <c r="K202" s="23"/>
      <c r="S202" s="23"/>
      <c r="AA202" s="23"/>
      <c r="AI202" s="23"/>
      <c r="AQ202" s="25"/>
    </row>
    <row r="203" ht="15.75" customHeight="1">
      <c r="C203" s="23"/>
      <c r="K203" s="23"/>
      <c r="S203" s="23"/>
      <c r="AA203" s="23"/>
      <c r="AI203" s="23"/>
      <c r="AQ203" s="25"/>
    </row>
    <row r="204" ht="15.75" customHeight="1">
      <c r="C204" s="23"/>
      <c r="K204" s="23"/>
      <c r="S204" s="23"/>
      <c r="AA204" s="23"/>
      <c r="AI204" s="23"/>
      <c r="AQ204" s="25"/>
    </row>
    <row r="205" ht="15.75" customHeight="1">
      <c r="C205" s="23"/>
      <c r="K205" s="23"/>
      <c r="S205" s="23"/>
      <c r="AA205" s="23"/>
      <c r="AI205" s="23"/>
      <c r="AQ205" s="25"/>
    </row>
    <row r="206" ht="15.75" customHeight="1">
      <c r="C206" s="23"/>
      <c r="K206" s="23"/>
      <c r="S206" s="23"/>
      <c r="AA206" s="23"/>
      <c r="AI206" s="23"/>
      <c r="AQ206" s="25"/>
    </row>
    <row r="207" ht="15.75" customHeight="1">
      <c r="C207" s="23"/>
      <c r="K207" s="23"/>
      <c r="S207" s="23"/>
      <c r="AA207" s="23"/>
      <c r="AI207" s="23"/>
      <c r="AQ207" s="25"/>
    </row>
    <row r="208" ht="15.75" customHeight="1">
      <c r="C208" s="23"/>
      <c r="K208" s="23"/>
      <c r="S208" s="23"/>
      <c r="AA208" s="23"/>
      <c r="AI208" s="23"/>
      <c r="AQ208" s="25"/>
    </row>
    <row r="209" ht="15.75" customHeight="1">
      <c r="C209" s="23"/>
      <c r="K209" s="23"/>
      <c r="S209" s="23"/>
      <c r="AA209" s="23"/>
      <c r="AI209" s="23"/>
      <c r="AQ209" s="25"/>
    </row>
    <row r="210" ht="15.75" customHeight="1">
      <c r="C210" s="23"/>
      <c r="K210" s="23"/>
      <c r="S210" s="23"/>
      <c r="AA210" s="23"/>
      <c r="AI210" s="23"/>
      <c r="AQ210" s="25"/>
    </row>
    <row r="211" ht="15.75" customHeight="1">
      <c r="C211" s="23"/>
      <c r="K211" s="23"/>
      <c r="S211" s="23"/>
      <c r="AA211" s="23"/>
      <c r="AI211" s="23"/>
      <c r="AQ211" s="25"/>
    </row>
    <row r="212" ht="15.75" customHeight="1">
      <c r="C212" s="23"/>
      <c r="K212" s="23"/>
      <c r="S212" s="23"/>
      <c r="AA212" s="23"/>
      <c r="AI212" s="23"/>
      <c r="AQ212" s="25"/>
    </row>
    <row r="213" ht="15.75" customHeight="1">
      <c r="C213" s="23"/>
      <c r="K213" s="23"/>
      <c r="S213" s="23"/>
      <c r="AA213" s="23"/>
      <c r="AI213" s="23"/>
      <c r="AQ213" s="25"/>
    </row>
    <row r="214" ht="15.75" customHeight="1">
      <c r="C214" s="23"/>
      <c r="K214" s="23"/>
      <c r="S214" s="23"/>
      <c r="AA214" s="23"/>
      <c r="AI214" s="23"/>
      <c r="AQ214" s="25"/>
    </row>
    <row r="215" ht="15.75" customHeight="1">
      <c r="C215" s="23"/>
      <c r="K215" s="23"/>
      <c r="S215" s="23"/>
      <c r="AA215" s="23"/>
      <c r="AI215" s="23"/>
      <c r="AQ215" s="25"/>
    </row>
    <row r="216" ht="15.75" customHeight="1">
      <c r="C216" s="23"/>
      <c r="K216" s="23"/>
      <c r="S216" s="23"/>
      <c r="AA216" s="23"/>
      <c r="AI216" s="23"/>
      <c r="AQ216" s="25"/>
    </row>
    <row r="217" ht="15.75" customHeight="1">
      <c r="C217" s="23"/>
      <c r="K217" s="23"/>
      <c r="S217" s="23"/>
      <c r="AA217" s="23"/>
      <c r="AI217" s="23"/>
      <c r="AQ217" s="25"/>
    </row>
    <row r="218" ht="15.75" customHeight="1">
      <c r="C218" s="23"/>
      <c r="K218" s="23"/>
      <c r="S218" s="23"/>
      <c r="AA218" s="23"/>
      <c r="AI218" s="23"/>
      <c r="AQ218" s="25"/>
    </row>
    <row r="219" ht="15.75" customHeight="1">
      <c r="C219" s="23"/>
      <c r="K219" s="23"/>
      <c r="S219" s="23"/>
      <c r="AA219" s="23"/>
      <c r="AI219" s="23"/>
      <c r="AQ219" s="25"/>
    </row>
    <row r="220" ht="15.75" customHeight="1">
      <c r="C220" s="23"/>
      <c r="K220" s="23"/>
      <c r="S220" s="23"/>
      <c r="AA220" s="23"/>
      <c r="AI220" s="23"/>
      <c r="AQ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D4:J4"/>
    <mergeCell ref="L4:R4"/>
    <mergeCell ref="T4:Z4"/>
    <mergeCell ref="AB4:AH4"/>
    <mergeCell ref="AJ4:AP4"/>
  </mergeCell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>
      <c r="B3" s="46" t="s">
        <v>29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27.88"/>
    <col customWidth="1" min="3" max="6" width="12.63"/>
    <col customWidth="1" min="11" max="11" width="15.63"/>
  </cols>
  <sheetData>
    <row r="1" ht="22.5" customHeight="1">
      <c r="A1" s="47" t="s">
        <v>30</v>
      </c>
      <c r="B1" s="47" t="s">
        <v>31</v>
      </c>
      <c r="C1" s="47" t="s">
        <v>32</v>
      </c>
      <c r="D1" s="47" t="s">
        <v>23</v>
      </c>
      <c r="E1" s="47" t="s">
        <v>33</v>
      </c>
      <c r="F1" s="47" t="s">
        <v>24</v>
      </c>
      <c r="G1" s="47" t="s">
        <v>8</v>
      </c>
      <c r="H1" s="47" t="s">
        <v>34</v>
      </c>
      <c r="I1" s="47" t="s">
        <v>35</v>
      </c>
      <c r="J1" s="47" t="s">
        <v>10</v>
      </c>
      <c r="K1" s="47" t="s">
        <v>36</v>
      </c>
      <c r="L1" s="47" t="s">
        <v>14</v>
      </c>
      <c r="M1" s="48"/>
      <c r="N1" s="49" t="str">
        <f>OB_Feb_2025!B2</f>
        <v>ပိုက်အိပ်</v>
      </c>
      <c r="O1" s="50">
        <f>OB_Feb_2025!A2</f>
        <v>12100</v>
      </c>
    </row>
    <row r="2" ht="22.5" customHeight="1">
      <c r="A2" s="51" t="str">
        <f>IFERROR(__xludf.DUMMYFUNCTION("QUERY(IMPORTRANGE(""https://docs.google.com/spreadsheets/d/1sOBA95jI3gUTkNtq3pD8Ob7Zb_EY63WYXvHKt7aiQk8/edit?gid=2092145476#gid=2092145476"",""Daily Record - Raw Material Purchases!B4:T500""),""SELECT Col13 WHERE Col6 = 12100"",0)"),"#REF!")</f>
        <v>#REF!</v>
      </c>
      <c r="B2" s="52" t="str">
        <f>IFERROR(__xludf.DUMMYFUNCTION("QUERY(IMPORTRANGE(""https://docs.google.com/spreadsheets/d/1sOBA95jI3gUTkNtq3pD8Ob7Zb_EY63WYXvHKt7aiQk8/edit?gid=2092145476#gid=2092145476"",""Daily Record - Raw Material Purchases!B4:T500""),""SELECT Col4 WHERE Col6 = 12100"",0)"),"#REF!")</f>
        <v>#REF!</v>
      </c>
      <c r="C2" s="53">
        <f>OB_Feb_2025!D2</f>
        <v>0</v>
      </c>
      <c r="D2" s="54" t="str">
        <f>IFERROR(__xludf.DUMMYFUNCTION("QUERY(IMPORTRANGE(""https://docs.google.com/spreadsheets/d/1sOBA95jI3gUTkNtq3pD8Ob7Zb_EY63WYXvHKt7aiQk8/edit?gid=2092145476#gid=2092145476"",""Daily Record - Raw Material Purchases!B4:T500""),""SELECT Col8 WHERE Col6 = 12100"",0)"),"#REF!")</f>
        <v>#REF!</v>
      </c>
      <c r="E2" s="55" t="str">
        <f>IFERROR(__xludf.DUMMYFUNCTION("QUERY(IMPORTRANGE(""https://docs.google.com/spreadsheets/d/1sOBA95jI3gUTkNtq3pD8Ob7Zb_EY63WYXvHKt7aiQk8/edit?gid=2092145476#gid=2092145476"",""Daily Record - Raw Material Purchases!B4:T500""),""SELECT Col12 WHERE Col6 = 12100"",0)"),"#REF!")</f>
        <v>#REF!</v>
      </c>
      <c r="F2" s="55" t="str">
        <f t="shared" ref="F2:F23" si="1">D2*E2</f>
        <v>#REF!</v>
      </c>
      <c r="G2" s="56" t="str">
        <f t="shared" ref="G2:G23" si="2">C2+D2</f>
        <v>#REF!</v>
      </c>
      <c r="H2" s="57" t="str">
        <f>IF(G2=0,0,((C2*OB_Feb_2025!E2)+(D2*E2))/G2)</f>
        <v>#REF!</v>
      </c>
      <c r="I2" s="58" t="str">
        <f t="shared" ref="I2:I23" si="3">IF(ISBLANK(J2),"",G2-J2)</f>
        <v>#REF!</v>
      </c>
      <c r="J2" s="59">
        <f>OB_Mar_2025!D4</f>
        <v>37</v>
      </c>
      <c r="K2" s="60" t="str">
        <f t="shared" ref="K2:K23" si="4">IF(ISBLANK(J2),"",J2*H2)</f>
        <v>#REF!</v>
      </c>
      <c r="L2" s="61" t="str">
        <f t="shared" ref="L2:L23" si="5">IF(ISBLANK(J2),"",I2*H2)</f>
        <v>#REF!</v>
      </c>
    </row>
    <row r="3" ht="22.5" customHeight="1">
      <c r="A3" s="62"/>
      <c r="B3" s="63"/>
      <c r="C3" s="64" t="str">
        <f>C2+D2-I2</f>
        <v>#REF!</v>
      </c>
      <c r="D3" s="65"/>
      <c r="E3" s="66"/>
      <c r="F3" s="55">
        <f t="shared" si="1"/>
        <v>0</v>
      </c>
      <c r="G3" s="56" t="str">
        <f t="shared" si="2"/>
        <v>#REF!</v>
      </c>
      <c r="H3" s="17" t="str">
        <f t="shared" ref="H3:H23" si="6">IF(G3=0,0,((C3*H2)+(D3*E3))/G3)</f>
        <v>#REF!</v>
      </c>
      <c r="I3" s="58" t="str">
        <f t="shared" si="3"/>
        <v>#REF!</v>
      </c>
      <c r="J3" s="67">
        <v>7.5</v>
      </c>
      <c r="K3" s="60" t="str">
        <f t="shared" si="4"/>
        <v>#REF!</v>
      </c>
      <c r="L3" s="61" t="str">
        <f t="shared" si="5"/>
        <v>#REF!</v>
      </c>
    </row>
    <row r="4" ht="22.5" customHeight="1">
      <c r="A4" s="62"/>
      <c r="B4" s="63"/>
      <c r="C4" s="14" t="str">
        <f t="shared" ref="C4:C6" si="7">G3-I3</f>
        <v>#REF!</v>
      </c>
      <c r="D4" s="65"/>
      <c r="E4" s="66"/>
      <c r="F4" s="55">
        <f t="shared" si="1"/>
        <v>0</v>
      </c>
      <c r="G4" s="56" t="str">
        <f t="shared" si="2"/>
        <v>#REF!</v>
      </c>
      <c r="H4" s="17" t="str">
        <f t="shared" si="6"/>
        <v>#REF!</v>
      </c>
      <c r="I4" s="58" t="str">
        <f t="shared" si="3"/>
        <v>#REF!</v>
      </c>
      <c r="J4" s="67">
        <v>21.0</v>
      </c>
      <c r="K4" s="60" t="str">
        <f t="shared" si="4"/>
        <v>#REF!</v>
      </c>
      <c r="L4" s="61" t="str">
        <f t="shared" si="5"/>
        <v>#REF!</v>
      </c>
      <c r="N4" s="1" t="s">
        <v>37</v>
      </c>
    </row>
    <row r="5" ht="22.5" customHeight="1">
      <c r="A5" s="62"/>
      <c r="B5" s="63"/>
      <c r="C5" s="14" t="str">
        <f t="shared" si="7"/>
        <v>#REF!</v>
      </c>
      <c r="D5" s="65"/>
      <c r="E5" s="66"/>
      <c r="F5" s="66">
        <f t="shared" si="1"/>
        <v>0</v>
      </c>
      <c r="G5" s="68" t="str">
        <f t="shared" si="2"/>
        <v>#REF!</v>
      </c>
      <c r="H5" s="17" t="str">
        <f t="shared" si="6"/>
        <v>#REF!</v>
      </c>
      <c r="I5" s="69" t="str">
        <f t="shared" si="3"/>
        <v/>
      </c>
      <c r="J5" s="70"/>
      <c r="K5" s="71" t="str">
        <f t="shared" si="4"/>
        <v/>
      </c>
      <c r="L5" s="71" t="str">
        <f t="shared" si="5"/>
        <v/>
      </c>
    </row>
    <row r="6" ht="22.5" customHeight="1">
      <c r="A6" s="62"/>
      <c r="B6" s="63"/>
      <c r="C6" s="14" t="str">
        <f t="shared" si="7"/>
        <v>#REF!</v>
      </c>
      <c r="D6" s="65"/>
      <c r="E6" s="66"/>
      <c r="F6" s="66">
        <f t="shared" si="1"/>
        <v>0</v>
      </c>
      <c r="G6" s="68" t="str">
        <f t="shared" si="2"/>
        <v>#REF!</v>
      </c>
      <c r="H6" s="17" t="str">
        <f t="shared" si="6"/>
        <v>#REF!</v>
      </c>
      <c r="I6" s="58" t="str">
        <f t="shared" si="3"/>
        <v>#REF!</v>
      </c>
      <c r="J6" s="67">
        <v>7.0</v>
      </c>
      <c r="K6" s="60" t="str">
        <f t="shared" si="4"/>
        <v>#REF!</v>
      </c>
      <c r="L6" s="61" t="str">
        <f t="shared" si="5"/>
        <v>#REF!</v>
      </c>
    </row>
    <row r="7" ht="22.5" customHeight="1">
      <c r="A7" s="62"/>
      <c r="B7" s="63"/>
      <c r="C7" s="64" t="str">
        <f t="shared" ref="C7:C12" si="8">C6+D6-I6</f>
        <v>#REF!</v>
      </c>
      <c r="D7" s="65"/>
      <c r="E7" s="66"/>
      <c r="F7" s="66">
        <f t="shared" si="1"/>
        <v>0</v>
      </c>
      <c r="G7" s="68" t="str">
        <f t="shared" si="2"/>
        <v>#REF!</v>
      </c>
      <c r="H7" s="17" t="str">
        <f t="shared" si="6"/>
        <v>#REF!</v>
      </c>
      <c r="I7" s="69" t="str">
        <f t="shared" si="3"/>
        <v/>
      </c>
      <c r="J7" s="70"/>
      <c r="K7" s="71" t="str">
        <f t="shared" si="4"/>
        <v/>
      </c>
      <c r="L7" s="71" t="str">
        <f t="shared" si="5"/>
        <v/>
      </c>
    </row>
    <row r="8" ht="22.5" customHeight="1">
      <c r="A8" s="62"/>
      <c r="B8" s="63"/>
      <c r="C8" s="64" t="str">
        <f t="shared" si="8"/>
        <v>#REF!</v>
      </c>
      <c r="D8" s="65"/>
      <c r="E8" s="66"/>
      <c r="F8" s="66">
        <f t="shared" si="1"/>
        <v>0</v>
      </c>
      <c r="G8" s="68" t="str">
        <f t="shared" si="2"/>
        <v>#REF!</v>
      </c>
      <c r="H8" s="17" t="str">
        <f t="shared" si="6"/>
        <v>#REF!</v>
      </c>
      <c r="I8" s="69" t="str">
        <f t="shared" si="3"/>
        <v>#REF!</v>
      </c>
      <c r="J8" s="70">
        <v>3.0</v>
      </c>
      <c r="K8" s="71" t="str">
        <f t="shared" si="4"/>
        <v>#REF!</v>
      </c>
      <c r="L8" s="71" t="str">
        <f t="shared" si="5"/>
        <v>#REF!</v>
      </c>
    </row>
    <row r="9" ht="22.5" customHeight="1">
      <c r="A9" s="62"/>
      <c r="B9" s="63"/>
      <c r="C9" s="64" t="str">
        <f t="shared" si="8"/>
        <v>#REF!</v>
      </c>
      <c r="D9" s="65"/>
      <c r="E9" s="66"/>
      <c r="F9" s="66">
        <f t="shared" si="1"/>
        <v>0</v>
      </c>
      <c r="G9" s="68" t="str">
        <f t="shared" si="2"/>
        <v>#REF!</v>
      </c>
      <c r="H9" s="17" t="str">
        <f t="shared" si="6"/>
        <v>#REF!</v>
      </c>
      <c r="I9" s="69" t="str">
        <f t="shared" si="3"/>
        <v>#REF!</v>
      </c>
      <c r="J9" s="70">
        <v>28.0</v>
      </c>
      <c r="K9" s="71" t="str">
        <f t="shared" si="4"/>
        <v>#REF!</v>
      </c>
      <c r="L9" s="71" t="str">
        <f t="shared" si="5"/>
        <v>#REF!</v>
      </c>
    </row>
    <row r="10" ht="22.5" customHeight="1">
      <c r="A10" s="62"/>
      <c r="B10" s="63"/>
      <c r="C10" s="64" t="str">
        <f t="shared" si="8"/>
        <v>#REF!</v>
      </c>
      <c r="D10" s="65"/>
      <c r="E10" s="66"/>
      <c r="F10" s="66">
        <f t="shared" si="1"/>
        <v>0</v>
      </c>
      <c r="G10" s="68" t="str">
        <f t="shared" si="2"/>
        <v>#REF!</v>
      </c>
      <c r="H10" s="17" t="str">
        <f t="shared" si="6"/>
        <v>#REF!</v>
      </c>
      <c r="I10" s="69" t="str">
        <f t="shared" si="3"/>
        <v>#REF!</v>
      </c>
      <c r="J10" s="70">
        <v>0.0</v>
      </c>
      <c r="K10" s="71" t="str">
        <f t="shared" si="4"/>
        <v>#REF!</v>
      </c>
      <c r="L10" s="71" t="str">
        <f t="shared" si="5"/>
        <v>#REF!</v>
      </c>
    </row>
    <row r="11" ht="22.5" customHeight="1">
      <c r="A11" s="62"/>
      <c r="B11" s="63"/>
      <c r="C11" s="64" t="str">
        <f t="shared" si="8"/>
        <v>#REF!</v>
      </c>
      <c r="D11" s="65"/>
      <c r="E11" s="66"/>
      <c r="F11" s="66">
        <f t="shared" si="1"/>
        <v>0</v>
      </c>
      <c r="G11" s="68" t="str">
        <f t="shared" si="2"/>
        <v>#REF!</v>
      </c>
      <c r="H11" s="17" t="str">
        <f t="shared" si="6"/>
        <v>#REF!</v>
      </c>
      <c r="I11" s="69" t="str">
        <f t="shared" si="3"/>
        <v>#REF!</v>
      </c>
      <c r="J11" s="70">
        <v>21.0</v>
      </c>
      <c r="K11" s="71" t="str">
        <f t="shared" si="4"/>
        <v>#REF!</v>
      </c>
      <c r="L11" s="71" t="str">
        <f t="shared" si="5"/>
        <v>#REF!</v>
      </c>
    </row>
    <row r="12" ht="22.5" customHeight="1">
      <c r="A12" s="62"/>
      <c r="B12" s="63"/>
      <c r="C12" s="64" t="str">
        <f t="shared" si="8"/>
        <v>#REF!</v>
      </c>
      <c r="D12" s="65"/>
      <c r="E12" s="66"/>
      <c r="F12" s="66">
        <f t="shared" si="1"/>
        <v>0</v>
      </c>
      <c r="G12" s="68" t="str">
        <f t="shared" si="2"/>
        <v>#REF!</v>
      </c>
      <c r="H12" s="17" t="str">
        <f t="shared" si="6"/>
        <v>#REF!</v>
      </c>
      <c r="I12" s="69" t="str">
        <f t="shared" si="3"/>
        <v>#REF!</v>
      </c>
      <c r="J12" s="70">
        <v>46.6</v>
      </c>
      <c r="K12" s="71" t="str">
        <f t="shared" si="4"/>
        <v>#REF!</v>
      </c>
      <c r="L12" s="71" t="str">
        <f t="shared" si="5"/>
        <v>#REF!</v>
      </c>
    </row>
    <row r="13" ht="22.5" customHeight="1">
      <c r="A13" s="62"/>
      <c r="B13" s="63"/>
      <c r="C13" s="64"/>
      <c r="D13" s="65"/>
      <c r="E13" s="66"/>
      <c r="F13" s="66">
        <f t="shared" si="1"/>
        <v>0</v>
      </c>
      <c r="G13" s="65">
        <f t="shared" si="2"/>
        <v>0</v>
      </c>
      <c r="H13" s="17">
        <f t="shared" si="6"/>
        <v>0</v>
      </c>
      <c r="I13" s="69" t="str">
        <f t="shared" si="3"/>
        <v/>
      </c>
      <c r="J13" s="70"/>
      <c r="K13" s="71" t="str">
        <f t="shared" si="4"/>
        <v/>
      </c>
      <c r="L13" s="71" t="str">
        <f t="shared" si="5"/>
        <v/>
      </c>
    </row>
    <row r="14" ht="22.5" customHeight="1">
      <c r="A14" s="62"/>
      <c r="B14" s="63"/>
      <c r="C14" s="64"/>
      <c r="D14" s="65"/>
      <c r="E14" s="66"/>
      <c r="F14" s="66">
        <f t="shared" si="1"/>
        <v>0</v>
      </c>
      <c r="G14" s="65">
        <f t="shared" si="2"/>
        <v>0</v>
      </c>
      <c r="H14" s="17">
        <f t="shared" si="6"/>
        <v>0</v>
      </c>
      <c r="I14" s="69" t="str">
        <f t="shared" si="3"/>
        <v/>
      </c>
      <c r="J14" s="70"/>
      <c r="K14" s="71" t="str">
        <f t="shared" si="4"/>
        <v/>
      </c>
      <c r="L14" s="71" t="str">
        <f t="shared" si="5"/>
        <v/>
      </c>
    </row>
    <row r="15" ht="22.5" customHeight="1">
      <c r="A15" s="62"/>
      <c r="B15" s="63"/>
      <c r="C15" s="64"/>
      <c r="D15" s="65"/>
      <c r="E15" s="66"/>
      <c r="F15" s="66">
        <f t="shared" si="1"/>
        <v>0</v>
      </c>
      <c r="G15" s="65">
        <f t="shared" si="2"/>
        <v>0</v>
      </c>
      <c r="H15" s="17">
        <f t="shared" si="6"/>
        <v>0</v>
      </c>
      <c r="I15" s="69" t="str">
        <f t="shared" si="3"/>
        <v/>
      </c>
      <c r="J15" s="70"/>
      <c r="K15" s="71" t="str">
        <f t="shared" si="4"/>
        <v/>
      </c>
      <c r="L15" s="71" t="str">
        <f t="shared" si="5"/>
        <v/>
      </c>
    </row>
    <row r="16" ht="22.5" customHeight="1">
      <c r="A16" s="62"/>
      <c r="B16" s="63"/>
      <c r="C16" s="64"/>
      <c r="D16" s="65"/>
      <c r="E16" s="66"/>
      <c r="F16" s="66">
        <f t="shared" si="1"/>
        <v>0</v>
      </c>
      <c r="G16" s="65">
        <f t="shared" si="2"/>
        <v>0</v>
      </c>
      <c r="H16" s="17">
        <f t="shared" si="6"/>
        <v>0</v>
      </c>
      <c r="I16" s="69" t="str">
        <f t="shared" si="3"/>
        <v/>
      </c>
      <c r="J16" s="70"/>
      <c r="K16" s="71" t="str">
        <f t="shared" si="4"/>
        <v/>
      </c>
      <c r="L16" s="71" t="str">
        <f t="shared" si="5"/>
        <v/>
      </c>
    </row>
    <row r="17" ht="22.5" customHeight="1">
      <c r="A17" s="62"/>
      <c r="B17" s="63"/>
      <c r="C17" s="64"/>
      <c r="D17" s="65"/>
      <c r="E17" s="66"/>
      <c r="F17" s="66">
        <f t="shared" si="1"/>
        <v>0</v>
      </c>
      <c r="G17" s="65">
        <f t="shared" si="2"/>
        <v>0</v>
      </c>
      <c r="H17" s="17">
        <f t="shared" si="6"/>
        <v>0</v>
      </c>
      <c r="I17" s="69" t="str">
        <f t="shared" si="3"/>
        <v/>
      </c>
      <c r="J17" s="70"/>
      <c r="K17" s="71" t="str">
        <f t="shared" si="4"/>
        <v/>
      </c>
      <c r="L17" s="71" t="str">
        <f t="shared" si="5"/>
        <v/>
      </c>
    </row>
    <row r="18" ht="22.5" customHeight="1">
      <c r="A18" s="62"/>
      <c r="B18" s="63"/>
      <c r="C18" s="64"/>
      <c r="D18" s="65"/>
      <c r="E18" s="66"/>
      <c r="F18" s="66">
        <f t="shared" si="1"/>
        <v>0</v>
      </c>
      <c r="G18" s="65">
        <f t="shared" si="2"/>
        <v>0</v>
      </c>
      <c r="H18" s="17">
        <f t="shared" si="6"/>
        <v>0</v>
      </c>
      <c r="I18" s="69" t="str">
        <f t="shared" si="3"/>
        <v/>
      </c>
      <c r="J18" s="70"/>
      <c r="K18" s="71" t="str">
        <f t="shared" si="4"/>
        <v/>
      </c>
      <c r="L18" s="71" t="str">
        <f t="shared" si="5"/>
        <v/>
      </c>
    </row>
    <row r="19" ht="22.5" customHeight="1">
      <c r="A19" s="62"/>
      <c r="B19" s="63"/>
      <c r="C19" s="64"/>
      <c r="D19" s="65"/>
      <c r="E19" s="66"/>
      <c r="F19" s="66">
        <f t="shared" si="1"/>
        <v>0</v>
      </c>
      <c r="G19" s="65">
        <f t="shared" si="2"/>
        <v>0</v>
      </c>
      <c r="H19" s="17">
        <f t="shared" si="6"/>
        <v>0</v>
      </c>
      <c r="I19" s="69" t="str">
        <f t="shared" si="3"/>
        <v/>
      </c>
      <c r="J19" s="70"/>
      <c r="K19" s="71" t="str">
        <f t="shared" si="4"/>
        <v/>
      </c>
      <c r="L19" s="71" t="str">
        <f t="shared" si="5"/>
        <v/>
      </c>
    </row>
    <row r="20" ht="22.5" customHeight="1">
      <c r="A20" s="62"/>
      <c r="B20" s="63"/>
      <c r="C20" s="64"/>
      <c r="D20" s="65"/>
      <c r="E20" s="66"/>
      <c r="F20" s="66">
        <f t="shared" si="1"/>
        <v>0</v>
      </c>
      <c r="G20" s="65">
        <f t="shared" si="2"/>
        <v>0</v>
      </c>
      <c r="H20" s="17">
        <f t="shared" si="6"/>
        <v>0</v>
      </c>
      <c r="I20" s="69" t="str">
        <f t="shared" si="3"/>
        <v/>
      </c>
      <c r="J20" s="70"/>
      <c r="K20" s="71" t="str">
        <f t="shared" si="4"/>
        <v/>
      </c>
      <c r="L20" s="71" t="str">
        <f t="shared" si="5"/>
        <v/>
      </c>
    </row>
    <row r="21" ht="22.5" customHeight="1">
      <c r="A21" s="62"/>
      <c r="B21" s="63"/>
      <c r="C21" s="64"/>
      <c r="D21" s="65"/>
      <c r="E21" s="66"/>
      <c r="F21" s="66">
        <f t="shared" si="1"/>
        <v>0</v>
      </c>
      <c r="G21" s="65">
        <f t="shared" si="2"/>
        <v>0</v>
      </c>
      <c r="H21" s="17">
        <f t="shared" si="6"/>
        <v>0</v>
      </c>
      <c r="I21" s="69" t="str">
        <f t="shared" si="3"/>
        <v/>
      </c>
      <c r="J21" s="70"/>
      <c r="K21" s="71" t="str">
        <f t="shared" si="4"/>
        <v/>
      </c>
      <c r="L21" s="71" t="str">
        <f t="shared" si="5"/>
        <v/>
      </c>
    </row>
    <row r="22" ht="22.5" customHeight="1">
      <c r="A22" s="62"/>
      <c r="B22" s="63"/>
      <c r="C22" s="64"/>
      <c r="D22" s="65"/>
      <c r="E22" s="66"/>
      <c r="F22" s="66">
        <f t="shared" si="1"/>
        <v>0</v>
      </c>
      <c r="G22" s="65">
        <f t="shared" si="2"/>
        <v>0</v>
      </c>
      <c r="H22" s="17">
        <f t="shared" si="6"/>
        <v>0</v>
      </c>
      <c r="I22" s="69" t="str">
        <f t="shared" si="3"/>
        <v/>
      </c>
      <c r="J22" s="70"/>
      <c r="K22" s="71" t="str">
        <f t="shared" si="4"/>
        <v/>
      </c>
      <c r="L22" s="71" t="str">
        <f t="shared" si="5"/>
        <v/>
      </c>
    </row>
    <row r="23" ht="22.5" customHeight="1">
      <c r="A23" s="62"/>
      <c r="B23" s="63"/>
      <c r="C23" s="64"/>
      <c r="D23" s="65"/>
      <c r="E23" s="66"/>
      <c r="F23" s="66">
        <f t="shared" si="1"/>
        <v>0</v>
      </c>
      <c r="G23" s="65">
        <f t="shared" si="2"/>
        <v>0</v>
      </c>
      <c r="H23" s="17">
        <f t="shared" si="6"/>
        <v>0</v>
      </c>
      <c r="I23" s="69" t="str">
        <f t="shared" si="3"/>
        <v/>
      </c>
      <c r="J23" s="70"/>
      <c r="K23" s="71" t="str">
        <f t="shared" si="4"/>
        <v/>
      </c>
      <c r="L23" s="71" t="str">
        <f t="shared" si="5"/>
        <v/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23">
      <formula1>OR(NOT(ISERROR(DATEVALUE(A2))), AND(ISNUMBER(A2), LEFT(CELL("format", A2))="D"))</formula1>
    </dataValidation>
    <dataValidation type="custom" allowBlank="1" showDropDown="1" sqref="C2:L2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24.88"/>
    <col customWidth="1" min="3" max="6" width="12.63"/>
    <col customWidth="1" min="11" max="11" width="15.63"/>
  </cols>
  <sheetData>
    <row r="1" ht="22.5" customHeight="1">
      <c r="A1" s="47" t="s">
        <v>30</v>
      </c>
      <c r="B1" s="47" t="s">
        <v>31</v>
      </c>
      <c r="C1" s="47" t="s">
        <v>32</v>
      </c>
      <c r="D1" s="47" t="s">
        <v>23</v>
      </c>
      <c r="E1" s="47" t="s">
        <v>33</v>
      </c>
      <c r="F1" s="47" t="s">
        <v>24</v>
      </c>
      <c r="G1" s="47" t="s">
        <v>8</v>
      </c>
      <c r="H1" s="47" t="s">
        <v>34</v>
      </c>
      <c r="I1" s="47" t="s">
        <v>35</v>
      </c>
      <c r="J1" s="47" t="s">
        <v>10</v>
      </c>
      <c r="K1" s="47" t="s">
        <v>36</v>
      </c>
      <c r="L1" s="47" t="s">
        <v>14</v>
      </c>
      <c r="M1" s="48"/>
      <c r="N1" s="49" t="str">
        <f>OB_Feb_2025!B3</f>
        <v>ဂျပ်ဖာ သေး</v>
      </c>
      <c r="O1" s="50">
        <f>OB_Feb_2025!A3</f>
        <v>12101</v>
      </c>
    </row>
    <row r="2" ht="22.5" customHeight="1">
      <c r="A2" s="51" t="str">
        <f>IFERROR(__xludf.DUMMYFUNCTION("QUERY(IMPORTRANGE(""https://docs.google.com/spreadsheets/d/1sOBA95jI3gUTkNtq3pD8Ob7Zb_EY63WYXvHKt7aiQk8/edit?gid=2092145476#gid=2092145476"",""Daily Record - Raw Material Purchases!B4:T500""),""SELECT Col13 WHERE Col6 = 12101"",0)"),"#REF!")</f>
        <v>#REF!</v>
      </c>
      <c r="B2" s="52" t="str">
        <f>IFERROR(__xludf.DUMMYFUNCTION("QUERY(IMPORTRANGE(""https://docs.google.com/spreadsheets/d/1sOBA95jI3gUTkNtq3pD8Ob7Zb_EY63WYXvHKt7aiQk8/edit?gid=2092145476#gid=2092145476"",""Daily Record - Raw Material Purchases!B4:T500""),""SELECT Col4 WHERE Col6 = 12101"",0)"),"#REF!")</f>
        <v>#REF!</v>
      </c>
      <c r="C2" s="53">
        <f>OB_Feb_2025!D3</f>
        <v>0</v>
      </c>
      <c r="D2" s="72" t="str">
        <f>IFERROR(__xludf.DUMMYFUNCTION("QUERY(IMPORTRANGE(""https://docs.google.com/spreadsheets/d/1sOBA95jI3gUTkNtq3pD8Ob7Zb_EY63WYXvHKt7aiQk8/edit?gid=2092145476#gid=2092145476"",""Daily Record - Raw Material Purchases!B4:T500""),""SELECT Col8 WHERE Col6 = 12101"",0)"),"#REF!")</f>
        <v>#REF!</v>
      </c>
      <c r="E2" s="55" t="str">
        <f>IFERROR(__xludf.DUMMYFUNCTION("QUERY(IMPORTRANGE(""https://docs.google.com/spreadsheets/d/1sOBA95jI3gUTkNtq3pD8Ob7Zb_EY63WYXvHKt7aiQk8/edit?gid=2092145476#gid=2092145476"",""Daily Record - Raw Material Purchases!B4:T500""),""SELECT Col12 WHERE Col6 = 12101"",0)"),"#REF!")</f>
        <v>#REF!</v>
      </c>
      <c r="F2" s="55" t="str">
        <f>'12101'!$D$2:$D$21*'12101'!$E$2:$E$21</f>
        <v>#REF!</v>
      </c>
      <c r="G2" s="56" t="str">
        <f t="shared" ref="G2:G21" si="1">D2+C2</f>
        <v>#REF!</v>
      </c>
      <c r="H2" s="57" t="str">
        <f>IF(G2=0,0,((C2*OB_Feb_2025!E3)+(D2*E2))/G2)</f>
        <v>#REF!</v>
      </c>
      <c r="I2" s="60" t="str">
        <f t="shared" ref="I2:I21" si="2">IF(ISBLANK(J2),"",G2-J2)</f>
        <v>#REF!</v>
      </c>
      <c r="J2" s="73">
        <f>OB_Mar_2025!D5</f>
        <v>2040</v>
      </c>
      <c r="K2" s="60" t="str">
        <f t="shared" ref="K2:K21" si="3">IF(ISBLANK(J2),"",J2*H2)</f>
        <v>#REF!</v>
      </c>
      <c r="L2" s="61" t="str">
        <f t="shared" ref="L2:L21" si="4">IF(ISBLANK(J2),"",I2*H2)</f>
        <v>#REF!</v>
      </c>
    </row>
    <row r="3" ht="22.5" customHeight="1">
      <c r="A3" s="16"/>
      <c r="B3" s="15"/>
      <c r="C3" s="14" t="str">
        <f t="shared" ref="C3:C4" si="5">C2+D2-I2</f>
        <v>#REF!</v>
      </c>
      <c r="D3" s="17"/>
      <c r="E3" s="14"/>
      <c r="F3" s="74">
        <f t="shared" ref="F3:F21" si="6">D3*E3</f>
        <v>0</v>
      </c>
      <c r="G3" s="56" t="str">
        <f t="shared" si="1"/>
        <v>#REF!</v>
      </c>
      <c r="H3" s="75" t="str">
        <f t="shared" ref="H3:H21" si="7">IF(G3=0,0,((C3*H2)+(D3*E3))/G3)</f>
        <v>#REF!</v>
      </c>
      <c r="I3" s="60" t="str">
        <f t="shared" si="2"/>
        <v/>
      </c>
      <c r="J3" s="76"/>
      <c r="K3" s="60" t="str">
        <f t="shared" si="3"/>
        <v/>
      </c>
      <c r="L3" s="61" t="str">
        <f t="shared" si="4"/>
        <v/>
      </c>
    </row>
    <row r="4" ht="22.5" customHeight="1">
      <c r="A4" s="16"/>
      <c r="B4" s="15"/>
      <c r="C4" s="14" t="str">
        <f t="shared" si="5"/>
        <v>#REF!</v>
      </c>
      <c r="D4" s="17"/>
      <c r="E4" s="14"/>
      <c r="F4" s="74">
        <f t="shared" si="6"/>
        <v>0</v>
      </c>
      <c r="G4" s="68" t="str">
        <f t="shared" si="1"/>
        <v>#REF!</v>
      </c>
      <c r="H4" s="75" t="str">
        <f t="shared" si="7"/>
        <v>#REF!</v>
      </c>
      <c r="I4" s="60" t="str">
        <f t="shared" si="2"/>
        <v>#REF!</v>
      </c>
      <c r="J4" s="76">
        <v>5680.0</v>
      </c>
      <c r="K4" s="60" t="str">
        <f t="shared" si="3"/>
        <v>#REF!</v>
      </c>
      <c r="L4" s="61" t="str">
        <f t="shared" si="4"/>
        <v>#REF!</v>
      </c>
    </row>
    <row r="5" ht="22.5" customHeight="1">
      <c r="A5" s="16"/>
      <c r="B5" s="15"/>
      <c r="C5" s="14" t="str">
        <f>G4-I4</f>
        <v>#REF!</v>
      </c>
      <c r="D5" s="17"/>
      <c r="E5" s="14"/>
      <c r="F5" s="74">
        <f t="shared" si="6"/>
        <v>0</v>
      </c>
      <c r="G5" s="68" t="str">
        <f t="shared" si="1"/>
        <v>#REF!</v>
      </c>
      <c r="H5" s="75" t="str">
        <f t="shared" si="7"/>
        <v>#REF!</v>
      </c>
      <c r="I5" s="60" t="str">
        <f t="shared" si="2"/>
        <v>#REF!</v>
      </c>
      <c r="J5" s="76">
        <v>6500.0</v>
      </c>
      <c r="K5" s="60" t="str">
        <f t="shared" si="3"/>
        <v>#REF!</v>
      </c>
      <c r="L5" s="61" t="str">
        <f t="shared" si="4"/>
        <v>#REF!</v>
      </c>
    </row>
    <row r="6" ht="22.5" customHeight="1">
      <c r="A6" s="16"/>
      <c r="B6" s="15"/>
      <c r="C6" s="14" t="str">
        <f t="shared" ref="C6:C11" si="8">C5+D5-I5</f>
        <v>#REF!</v>
      </c>
      <c r="D6" s="17"/>
      <c r="E6" s="14"/>
      <c r="F6" s="74">
        <f t="shared" si="6"/>
        <v>0</v>
      </c>
      <c r="G6" s="68" t="str">
        <f t="shared" si="1"/>
        <v>#REF!</v>
      </c>
      <c r="H6" s="75" t="str">
        <f t="shared" si="7"/>
        <v>#REF!</v>
      </c>
      <c r="I6" s="60" t="str">
        <f t="shared" si="2"/>
        <v>#REF!</v>
      </c>
      <c r="J6" s="76">
        <v>4680.0</v>
      </c>
      <c r="K6" s="60" t="str">
        <f t="shared" si="3"/>
        <v>#REF!</v>
      </c>
      <c r="L6" s="61" t="str">
        <f t="shared" si="4"/>
        <v>#REF!</v>
      </c>
    </row>
    <row r="7" ht="22.5" customHeight="1">
      <c r="A7" s="16"/>
      <c r="B7" s="15"/>
      <c r="C7" s="14" t="str">
        <f t="shared" si="8"/>
        <v>#REF!</v>
      </c>
      <c r="D7" s="17"/>
      <c r="E7" s="14"/>
      <c r="F7" s="74">
        <f t="shared" si="6"/>
        <v>0</v>
      </c>
      <c r="G7" s="68" t="str">
        <f t="shared" si="1"/>
        <v>#REF!</v>
      </c>
      <c r="H7" s="75" t="str">
        <f t="shared" si="7"/>
        <v>#REF!</v>
      </c>
      <c r="I7" s="71" t="str">
        <f t="shared" si="2"/>
        <v>#REF!</v>
      </c>
      <c r="J7" s="77">
        <v>3520.0</v>
      </c>
      <c r="K7" s="71" t="str">
        <f t="shared" si="3"/>
        <v>#REF!</v>
      </c>
      <c r="L7" s="71" t="str">
        <f t="shared" si="4"/>
        <v>#REF!</v>
      </c>
    </row>
    <row r="8" ht="22.5" customHeight="1">
      <c r="A8" s="16"/>
      <c r="B8" s="15"/>
      <c r="C8" s="14" t="str">
        <f t="shared" si="8"/>
        <v>#REF!</v>
      </c>
      <c r="D8" s="17"/>
      <c r="E8" s="14"/>
      <c r="F8" s="74">
        <f t="shared" si="6"/>
        <v>0</v>
      </c>
      <c r="G8" s="68" t="str">
        <f t="shared" si="1"/>
        <v>#REF!</v>
      </c>
      <c r="H8" s="75" t="str">
        <f t="shared" si="7"/>
        <v>#REF!</v>
      </c>
      <c r="I8" s="71" t="str">
        <f t="shared" si="2"/>
        <v>#REF!</v>
      </c>
      <c r="J8" s="77">
        <v>2320.0</v>
      </c>
      <c r="K8" s="71" t="str">
        <f t="shared" si="3"/>
        <v>#REF!</v>
      </c>
      <c r="L8" s="71" t="str">
        <f t="shared" si="4"/>
        <v>#REF!</v>
      </c>
    </row>
    <row r="9" ht="22.5" customHeight="1">
      <c r="A9" s="16"/>
      <c r="B9" s="15"/>
      <c r="C9" s="14" t="str">
        <f t="shared" si="8"/>
        <v>#REF!</v>
      </c>
      <c r="D9" s="17"/>
      <c r="E9" s="14"/>
      <c r="F9" s="74">
        <f t="shared" si="6"/>
        <v>0</v>
      </c>
      <c r="G9" s="68" t="str">
        <f t="shared" si="1"/>
        <v>#REF!</v>
      </c>
      <c r="H9" s="75" t="str">
        <f t="shared" si="7"/>
        <v>#REF!</v>
      </c>
      <c r="I9" s="71" t="str">
        <f t="shared" si="2"/>
        <v>#REF!</v>
      </c>
      <c r="J9" s="77">
        <v>1020.0</v>
      </c>
      <c r="K9" s="71" t="str">
        <f t="shared" si="3"/>
        <v>#REF!</v>
      </c>
      <c r="L9" s="71" t="str">
        <f t="shared" si="4"/>
        <v>#REF!</v>
      </c>
    </row>
    <row r="10" ht="22.5" customHeight="1">
      <c r="A10" s="16"/>
      <c r="B10" s="15"/>
      <c r="C10" s="14" t="str">
        <f t="shared" si="8"/>
        <v>#REF!</v>
      </c>
      <c r="D10" s="17"/>
      <c r="E10" s="14"/>
      <c r="F10" s="74">
        <f t="shared" si="6"/>
        <v>0</v>
      </c>
      <c r="G10" s="68" t="str">
        <f t="shared" si="1"/>
        <v>#REF!</v>
      </c>
      <c r="H10" s="75" t="str">
        <f t="shared" si="7"/>
        <v>#REF!</v>
      </c>
      <c r="I10" s="71" t="str">
        <f t="shared" si="2"/>
        <v>#REF!</v>
      </c>
      <c r="J10" s="77">
        <v>1440.0</v>
      </c>
      <c r="K10" s="71" t="str">
        <f t="shared" si="3"/>
        <v>#REF!</v>
      </c>
      <c r="L10" s="71" t="str">
        <f t="shared" si="4"/>
        <v>#REF!</v>
      </c>
    </row>
    <row r="11" ht="22.5" customHeight="1">
      <c r="A11" s="16"/>
      <c r="B11" s="15"/>
      <c r="C11" s="14" t="str">
        <f t="shared" si="8"/>
        <v>#REF!</v>
      </c>
      <c r="D11" s="17"/>
      <c r="E11" s="14"/>
      <c r="F11" s="74">
        <f t="shared" si="6"/>
        <v>0</v>
      </c>
      <c r="G11" s="68" t="str">
        <f t="shared" si="1"/>
        <v>#REF!</v>
      </c>
      <c r="H11" s="75" t="str">
        <f t="shared" si="7"/>
        <v>#REF!</v>
      </c>
      <c r="I11" s="71" t="str">
        <f t="shared" si="2"/>
        <v>#REF!</v>
      </c>
      <c r="J11" s="77">
        <v>880.0</v>
      </c>
      <c r="K11" s="71" t="str">
        <f t="shared" si="3"/>
        <v>#REF!</v>
      </c>
      <c r="L11" s="71" t="str">
        <f t="shared" si="4"/>
        <v>#REF!</v>
      </c>
    </row>
    <row r="12" ht="22.5" customHeight="1">
      <c r="A12" s="16"/>
      <c r="B12" s="15"/>
      <c r="C12" s="14"/>
      <c r="D12" s="17"/>
      <c r="E12" s="14"/>
      <c r="F12" s="74">
        <f t="shared" si="6"/>
        <v>0</v>
      </c>
      <c r="G12" s="78">
        <f t="shared" si="1"/>
        <v>0</v>
      </c>
      <c r="H12" s="75">
        <f t="shared" si="7"/>
        <v>0</v>
      </c>
      <c r="I12" s="71" t="str">
        <f t="shared" si="2"/>
        <v/>
      </c>
      <c r="J12" s="77"/>
      <c r="K12" s="71" t="str">
        <f t="shared" si="3"/>
        <v/>
      </c>
      <c r="L12" s="71" t="str">
        <f t="shared" si="4"/>
        <v/>
      </c>
    </row>
    <row r="13" ht="22.5" customHeight="1">
      <c r="A13" s="16"/>
      <c r="B13" s="15"/>
      <c r="C13" s="14"/>
      <c r="D13" s="17"/>
      <c r="E13" s="14"/>
      <c r="F13" s="74">
        <f t="shared" si="6"/>
        <v>0</v>
      </c>
      <c r="G13" s="78">
        <f t="shared" si="1"/>
        <v>0</v>
      </c>
      <c r="H13" s="75">
        <f t="shared" si="7"/>
        <v>0</v>
      </c>
      <c r="I13" s="71" t="str">
        <f t="shared" si="2"/>
        <v/>
      </c>
      <c r="J13" s="77"/>
      <c r="K13" s="71" t="str">
        <f t="shared" si="3"/>
        <v/>
      </c>
      <c r="L13" s="71" t="str">
        <f t="shared" si="4"/>
        <v/>
      </c>
    </row>
    <row r="14" ht="22.5" customHeight="1">
      <c r="A14" s="16"/>
      <c r="B14" s="15"/>
      <c r="C14" s="14"/>
      <c r="D14" s="17"/>
      <c r="E14" s="14"/>
      <c r="F14" s="74">
        <f t="shared" si="6"/>
        <v>0</v>
      </c>
      <c r="G14" s="78">
        <f t="shared" si="1"/>
        <v>0</v>
      </c>
      <c r="H14" s="75">
        <f t="shared" si="7"/>
        <v>0</v>
      </c>
      <c r="I14" s="71" t="str">
        <f t="shared" si="2"/>
        <v/>
      </c>
      <c r="J14" s="77"/>
      <c r="K14" s="71" t="str">
        <f t="shared" si="3"/>
        <v/>
      </c>
      <c r="L14" s="71" t="str">
        <f t="shared" si="4"/>
        <v/>
      </c>
    </row>
    <row r="15" ht="22.5" customHeight="1">
      <c r="A15" s="16"/>
      <c r="B15" s="15"/>
      <c r="C15" s="14"/>
      <c r="D15" s="17"/>
      <c r="E15" s="14"/>
      <c r="F15" s="74">
        <f t="shared" si="6"/>
        <v>0</v>
      </c>
      <c r="G15" s="78">
        <f t="shared" si="1"/>
        <v>0</v>
      </c>
      <c r="H15" s="75">
        <f t="shared" si="7"/>
        <v>0</v>
      </c>
      <c r="I15" s="71" t="str">
        <f t="shared" si="2"/>
        <v/>
      </c>
      <c r="J15" s="77"/>
      <c r="K15" s="71" t="str">
        <f t="shared" si="3"/>
        <v/>
      </c>
      <c r="L15" s="71" t="str">
        <f t="shared" si="4"/>
        <v/>
      </c>
    </row>
    <row r="16" ht="22.5" customHeight="1">
      <c r="A16" s="16"/>
      <c r="B16" s="15"/>
      <c r="C16" s="14"/>
      <c r="D16" s="17"/>
      <c r="E16" s="14"/>
      <c r="F16" s="74">
        <f t="shared" si="6"/>
        <v>0</v>
      </c>
      <c r="G16" s="78">
        <f t="shared" si="1"/>
        <v>0</v>
      </c>
      <c r="H16" s="75">
        <f t="shared" si="7"/>
        <v>0</v>
      </c>
      <c r="I16" s="71" t="str">
        <f t="shared" si="2"/>
        <v/>
      </c>
      <c r="J16" s="77"/>
      <c r="K16" s="71" t="str">
        <f t="shared" si="3"/>
        <v/>
      </c>
      <c r="L16" s="71" t="str">
        <f t="shared" si="4"/>
        <v/>
      </c>
    </row>
    <row r="17" ht="22.5" customHeight="1">
      <c r="A17" s="16"/>
      <c r="B17" s="15"/>
      <c r="C17" s="14"/>
      <c r="D17" s="17"/>
      <c r="E17" s="14"/>
      <c r="F17" s="74">
        <f t="shared" si="6"/>
        <v>0</v>
      </c>
      <c r="G17" s="78">
        <f t="shared" si="1"/>
        <v>0</v>
      </c>
      <c r="H17" s="75">
        <f t="shared" si="7"/>
        <v>0</v>
      </c>
      <c r="I17" s="71" t="str">
        <f t="shared" si="2"/>
        <v/>
      </c>
      <c r="J17" s="77"/>
      <c r="K17" s="71" t="str">
        <f t="shared" si="3"/>
        <v/>
      </c>
      <c r="L17" s="71" t="str">
        <f t="shared" si="4"/>
        <v/>
      </c>
    </row>
    <row r="18" ht="22.5" customHeight="1">
      <c r="A18" s="16"/>
      <c r="B18" s="15"/>
      <c r="C18" s="14"/>
      <c r="D18" s="17"/>
      <c r="E18" s="14"/>
      <c r="F18" s="74">
        <f t="shared" si="6"/>
        <v>0</v>
      </c>
      <c r="G18" s="78">
        <f t="shared" si="1"/>
        <v>0</v>
      </c>
      <c r="H18" s="75">
        <f t="shared" si="7"/>
        <v>0</v>
      </c>
      <c r="I18" s="71" t="str">
        <f t="shared" si="2"/>
        <v/>
      </c>
      <c r="J18" s="77"/>
      <c r="K18" s="71" t="str">
        <f t="shared" si="3"/>
        <v/>
      </c>
      <c r="L18" s="71" t="str">
        <f t="shared" si="4"/>
        <v/>
      </c>
    </row>
    <row r="19" ht="22.5" customHeight="1">
      <c r="A19" s="16"/>
      <c r="B19" s="15"/>
      <c r="C19" s="14"/>
      <c r="D19" s="17"/>
      <c r="E19" s="14"/>
      <c r="F19" s="74">
        <f t="shared" si="6"/>
        <v>0</v>
      </c>
      <c r="G19" s="78">
        <f t="shared" si="1"/>
        <v>0</v>
      </c>
      <c r="H19" s="75">
        <f t="shared" si="7"/>
        <v>0</v>
      </c>
      <c r="I19" s="71" t="str">
        <f t="shared" si="2"/>
        <v/>
      </c>
      <c r="J19" s="77"/>
      <c r="K19" s="71" t="str">
        <f t="shared" si="3"/>
        <v/>
      </c>
      <c r="L19" s="71" t="str">
        <f t="shared" si="4"/>
        <v/>
      </c>
    </row>
    <row r="20" ht="22.5" customHeight="1">
      <c r="A20" s="16"/>
      <c r="B20" s="15"/>
      <c r="C20" s="14"/>
      <c r="D20" s="17"/>
      <c r="E20" s="14"/>
      <c r="F20" s="74">
        <f t="shared" si="6"/>
        <v>0</v>
      </c>
      <c r="G20" s="78">
        <f t="shared" si="1"/>
        <v>0</v>
      </c>
      <c r="H20" s="75">
        <f t="shared" si="7"/>
        <v>0</v>
      </c>
      <c r="I20" s="71" t="str">
        <f t="shared" si="2"/>
        <v/>
      </c>
      <c r="J20" s="77"/>
      <c r="K20" s="71" t="str">
        <f t="shared" si="3"/>
        <v/>
      </c>
      <c r="L20" s="71" t="str">
        <f t="shared" si="4"/>
        <v/>
      </c>
    </row>
    <row r="21" ht="22.5" customHeight="1">
      <c r="A21" s="16"/>
      <c r="B21" s="15"/>
      <c r="C21" s="14"/>
      <c r="D21" s="17"/>
      <c r="E21" s="14"/>
      <c r="F21" s="74">
        <f t="shared" si="6"/>
        <v>0</v>
      </c>
      <c r="G21" s="78">
        <f t="shared" si="1"/>
        <v>0</v>
      </c>
      <c r="H21" s="75">
        <f t="shared" si="7"/>
        <v>0</v>
      </c>
      <c r="I21" s="71" t="str">
        <f t="shared" si="2"/>
        <v/>
      </c>
      <c r="J21" s="77"/>
      <c r="K21" s="71" t="str">
        <f t="shared" si="3"/>
        <v/>
      </c>
      <c r="L21" s="71" t="str">
        <f t="shared" si="4"/>
        <v/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21">
      <formula1>OR(NOT(ISERROR(DATEVALUE(A2))), AND(ISNUMBER(A2), LEFT(CELL("format", A2))="D"))</formula1>
    </dataValidation>
    <dataValidation type="custom" allowBlank="1" showDropDown="1" sqref="C2:L21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  <col customWidth="1" min="11" max="11" width="15.63"/>
  </cols>
  <sheetData>
    <row r="1" ht="22.5" customHeight="1">
      <c r="A1" s="47" t="s">
        <v>30</v>
      </c>
      <c r="B1" s="47" t="s">
        <v>31</v>
      </c>
      <c r="C1" s="47" t="s">
        <v>32</v>
      </c>
      <c r="D1" s="47" t="s">
        <v>23</v>
      </c>
      <c r="E1" s="47" t="s">
        <v>33</v>
      </c>
      <c r="F1" s="47" t="s">
        <v>24</v>
      </c>
      <c r="G1" s="47" t="s">
        <v>8</v>
      </c>
      <c r="H1" s="47" t="s">
        <v>34</v>
      </c>
      <c r="I1" s="47" t="s">
        <v>35</v>
      </c>
      <c r="J1" s="47" t="s">
        <v>10</v>
      </c>
      <c r="K1" s="47" t="s">
        <v>36</v>
      </c>
      <c r="L1" s="47" t="s">
        <v>14</v>
      </c>
      <c r="M1" s="48"/>
      <c r="N1" s="49" t="str">
        <f>OB_Feb_2025!B4</f>
        <v>ဂျပ်ဖာ ကြီး</v>
      </c>
      <c r="O1" s="50">
        <f>OB_Feb_2025!A4</f>
        <v>12102</v>
      </c>
    </row>
    <row r="2" ht="22.5" customHeight="1">
      <c r="A2" s="51" t="str">
        <f>IFERROR(__xludf.DUMMYFUNCTION("QUERY(IMPORTRANGE(""https://docs.google.com/spreadsheets/d/1sOBA95jI3gUTkNtq3pD8Ob7Zb_EY63WYXvHKt7aiQk8/edit?gid=2092145476#gid=2092145476"",""Daily Record - Raw Material Purchases!B4:T500""),""SELECT Col13 WHERE Col6 = 12102"",0)"),"#REF!")</f>
        <v>#REF!</v>
      </c>
      <c r="B2" s="52" t="str">
        <f>IFERROR(__xludf.DUMMYFUNCTION("QUERY(IMPORTRANGE(""https://docs.google.com/spreadsheets/d/1sOBA95jI3gUTkNtq3pD8Ob7Zb_EY63WYXvHKt7aiQk8/edit?gid=2092145476#gid=2092145476"",""Daily Record - Raw Material Purchases!B4:T500""),""SELECT Col4 WHERE Col6 = 12102"",0)"),"#REF!")</f>
        <v>#REF!</v>
      </c>
      <c r="C2" s="53">
        <f>OB_Feb_2025!D4</f>
        <v>302</v>
      </c>
      <c r="D2" s="56" t="str">
        <f>IFERROR(__xludf.DUMMYFUNCTION("QUERY(IMPORTRANGE(""https://docs.google.com/spreadsheets/d/1sOBA95jI3gUTkNtq3pD8Ob7Zb_EY63WYXvHKt7aiQk8/edit?gid=2092145476#gid=2092145476"",""Daily Record - Raw Material Purchases!B4:T500""),""SELECT Col8 WHERE Col6 = 12102"",0)"),"#REF!")</f>
        <v>#REF!</v>
      </c>
      <c r="E2" s="56" t="str">
        <f>IFERROR(__xludf.DUMMYFUNCTION("QUERY(IMPORTRANGE(""https://docs.google.com/spreadsheets/d/1sOBA95jI3gUTkNtq3pD8Ob7Zb_EY63WYXvHKt7aiQk8/edit?gid=2092145476#gid=2092145476"",""Daily Record - Raw Material Purchases!B4:T500""),""SELECT Col12 WHERE Col6 = 12102"",0)"),"#REF!")</f>
        <v>#REF!</v>
      </c>
      <c r="F2" s="55" t="str">
        <f t="shared" ref="F2:F13" si="1">D2*E2</f>
        <v>#REF!</v>
      </c>
      <c r="G2" s="56" t="str">
        <f t="shared" ref="G2:G13" si="2">D2+C2</f>
        <v>#REF!</v>
      </c>
      <c r="H2" s="57" t="str">
        <f>IF(G2=0,0,((C2*OB_Feb_2025!E4)+(D2*E2))/G2)</f>
        <v>#REF!</v>
      </c>
      <c r="I2" s="58" t="str">
        <f t="shared" ref="I2:I13" si="3">IF(ISBLANK(J2),"",G2-J2)</f>
        <v>#REF!</v>
      </c>
      <c r="J2" s="79">
        <f>OB_Mar_2025!D6</f>
        <v>2302</v>
      </c>
      <c r="K2" s="60" t="str">
        <f t="shared" ref="K2:K13" si="4">IF(ISBLANK(J2),"",J2*H2)</f>
        <v>#REF!</v>
      </c>
      <c r="L2" s="61" t="str">
        <f t="shared" ref="L2:L13" si="5">IF(ISBLANK(J2),"",I2*H2)</f>
        <v>#REF!</v>
      </c>
    </row>
    <row r="3" ht="22.5" customHeight="1">
      <c r="A3" s="16"/>
      <c r="B3" s="15"/>
      <c r="C3" s="14" t="str">
        <f>C2+D2-I2</f>
        <v>#REF!</v>
      </c>
      <c r="D3" s="14"/>
      <c r="E3" s="14"/>
      <c r="F3" s="55">
        <f t="shared" si="1"/>
        <v>0</v>
      </c>
      <c r="G3" s="56" t="str">
        <f t="shared" si="2"/>
        <v>#REF!</v>
      </c>
      <c r="H3" s="75" t="str">
        <f t="shared" ref="H3:H13" si="6">IF(G3=0,0,((C3*H2)+(D3*E3))/G3)</f>
        <v>#REF!</v>
      </c>
      <c r="I3" s="58" t="str">
        <f t="shared" si="3"/>
        <v>#REF!</v>
      </c>
      <c r="J3" s="79">
        <v>2829.0</v>
      </c>
      <c r="K3" s="60" t="str">
        <f t="shared" si="4"/>
        <v>#REF!</v>
      </c>
      <c r="L3" s="61" t="str">
        <f t="shared" si="5"/>
        <v>#REF!</v>
      </c>
    </row>
    <row r="4" ht="22.5" customHeight="1">
      <c r="A4" s="16"/>
      <c r="B4" s="15"/>
      <c r="C4" s="14" t="str">
        <f>G3-I3</f>
        <v>#REF!</v>
      </c>
      <c r="D4" s="14"/>
      <c r="E4" s="14"/>
      <c r="F4" s="66">
        <f t="shared" si="1"/>
        <v>0</v>
      </c>
      <c r="G4" s="68" t="str">
        <f t="shared" si="2"/>
        <v>#REF!</v>
      </c>
      <c r="H4" s="75" t="str">
        <f t="shared" si="6"/>
        <v>#REF!</v>
      </c>
      <c r="I4" s="58" t="str">
        <f t="shared" si="3"/>
        <v>#REF!</v>
      </c>
      <c r="J4" s="79">
        <v>5380.0</v>
      </c>
      <c r="K4" s="60" t="str">
        <f t="shared" si="4"/>
        <v>#REF!</v>
      </c>
      <c r="L4" s="61" t="str">
        <f t="shared" si="5"/>
        <v>#REF!</v>
      </c>
      <c r="N4" s="4"/>
    </row>
    <row r="5" ht="22.5" customHeight="1">
      <c r="A5" s="16"/>
      <c r="B5" s="15"/>
      <c r="C5" s="14" t="str">
        <f t="shared" ref="C5:C10" si="7">C4+D4-I4</f>
        <v>#REF!</v>
      </c>
      <c r="D5" s="14"/>
      <c r="E5" s="14"/>
      <c r="F5" s="66">
        <f t="shared" si="1"/>
        <v>0</v>
      </c>
      <c r="G5" s="68" t="str">
        <f t="shared" si="2"/>
        <v>#REF!</v>
      </c>
      <c r="H5" s="75" t="str">
        <f t="shared" si="6"/>
        <v>#REF!</v>
      </c>
      <c r="I5" s="58" t="str">
        <f t="shared" si="3"/>
        <v>#REF!</v>
      </c>
      <c r="J5" s="79">
        <v>4020.0</v>
      </c>
      <c r="K5" s="60" t="str">
        <f t="shared" si="4"/>
        <v>#REF!</v>
      </c>
      <c r="L5" s="61" t="str">
        <f t="shared" si="5"/>
        <v>#REF!</v>
      </c>
    </row>
    <row r="6" ht="22.5" customHeight="1">
      <c r="A6" s="16"/>
      <c r="B6" s="15"/>
      <c r="C6" s="14" t="str">
        <f t="shared" si="7"/>
        <v>#REF!</v>
      </c>
      <c r="D6" s="14"/>
      <c r="E6" s="14"/>
      <c r="F6" s="66">
        <f t="shared" si="1"/>
        <v>0</v>
      </c>
      <c r="G6" s="68" t="str">
        <f t="shared" si="2"/>
        <v>#REF!</v>
      </c>
      <c r="H6" s="75" t="str">
        <f t="shared" si="6"/>
        <v>#REF!</v>
      </c>
      <c r="I6" s="69" t="str">
        <f t="shared" si="3"/>
        <v>#REF!</v>
      </c>
      <c r="J6" s="80">
        <v>860.0</v>
      </c>
      <c r="K6" s="71" t="str">
        <f t="shared" si="4"/>
        <v>#REF!</v>
      </c>
      <c r="L6" s="71" t="str">
        <f t="shared" si="5"/>
        <v>#REF!</v>
      </c>
    </row>
    <row r="7" ht="22.5" customHeight="1">
      <c r="A7" s="16"/>
      <c r="B7" s="15"/>
      <c r="C7" s="14" t="str">
        <f t="shared" si="7"/>
        <v>#REF!</v>
      </c>
      <c r="D7" s="14"/>
      <c r="E7" s="14"/>
      <c r="F7" s="66">
        <f t="shared" si="1"/>
        <v>0</v>
      </c>
      <c r="G7" s="68" t="str">
        <f t="shared" si="2"/>
        <v>#REF!</v>
      </c>
      <c r="H7" s="75" t="str">
        <f t="shared" si="6"/>
        <v>#REF!</v>
      </c>
      <c r="I7" s="69" t="str">
        <f t="shared" si="3"/>
        <v>#REF!</v>
      </c>
      <c r="J7" s="80">
        <v>2200.0</v>
      </c>
      <c r="K7" s="71" t="str">
        <f t="shared" si="4"/>
        <v>#REF!</v>
      </c>
      <c r="L7" s="71" t="str">
        <f t="shared" si="5"/>
        <v>#REF!</v>
      </c>
    </row>
    <row r="8" ht="22.5" customHeight="1">
      <c r="A8" s="16"/>
      <c r="B8" s="15"/>
      <c r="C8" s="14" t="str">
        <f t="shared" si="7"/>
        <v>#REF!</v>
      </c>
      <c r="D8" s="14"/>
      <c r="E8" s="14"/>
      <c r="F8" s="66">
        <f t="shared" si="1"/>
        <v>0</v>
      </c>
      <c r="G8" s="68" t="str">
        <f t="shared" si="2"/>
        <v>#REF!</v>
      </c>
      <c r="H8" s="75" t="str">
        <f t="shared" si="6"/>
        <v>#REF!</v>
      </c>
      <c r="I8" s="69" t="str">
        <f t="shared" si="3"/>
        <v>#REF!</v>
      </c>
      <c r="J8" s="80">
        <v>880.0</v>
      </c>
      <c r="K8" s="71" t="str">
        <f t="shared" si="4"/>
        <v>#REF!</v>
      </c>
      <c r="L8" s="71" t="str">
        <f t="shared" si="5"/>
        <v>#REF!</v>
      </c>
    </row>
    <row r="9" ht="22.5" customHeight="1">
      <c r="A9" s="16"/>
      <c r="B9" s="15"/>
      <c r="C9" s="14" t="str">
        <f t="shared" si="7"/>
        <v>#REF!</v>
      </c>
      <c r="D9" s="14"/>
      <c r="E9" s="14"/>
      <c r="F9" s="66">
        <f t="shared" si="1"/>
        <v>0</v>
      </c>
      <c r="G9" s="68" t="str">
        <f t="shared" si="2"/>
        <v>#REF!</v>
      </c>
      <c r="H9" s="75" t="str">
        <f t="shared" si="6"/>
        <v>#REF!</v>
      </c>
      <c r="I9" s="69" t="str">
        <f t="shared" si="3"/>
        <v>#REF!</v>
      </c>
      <c r="J9" s="80">
        <v>1440.0</v>
      </c>
      <c r="K9" s="71" t="str">
        <f t="shared" si="4"/>
        <v>#REF!</v>
      </c>
      <c r="L9" s="71" t="str">
        <f t="shared" si="5"/>
        <v>#REF!</v>
      </c>
    </row>
    <row r="10" ht="22.5" customHeight="1">
      <c r="A10" s="16"/>
      <c r="B10" s="15"/>
      <c r="C10" s="14" t="str">
        <f t="shared" si="7"/>
        <v>#REF!</v>
      </c>
      <c r="D10" s="14"/>
      <c r="E10" s="14"/>
      <c r="F10" s="66">
        <f t="shared" si="1"/>
        <v>0</v>
      </c>
      <c r="G10" s="68" t="str">
        <f t="shared" si="2"/>
        <v>#REF!</v>
      </c>
      <c r="H10" s="75" t="str">
        <f t="shared" si="6"/>
        <v>#REF!</v>
      </c>
      <c r="I10" s="69" t="str">
        <f t="shared" si="3"/>
        <v>#REF!</v>
      </c>
      <c r="J10" s="80">
        <v>1640.0</v>
      </c>
      <c r="K10" s="71" t="str">
        <f t="shared" si="4"/>
        <v>#REF!</v>
      </c>
      <c r="L10" s="71" t="str">
        <f t="shared" si="5"/>
        <v>#REF!</v>
      </c>
    </row>
    <row r="11" ht="22.5" customHeight="1">
      <c r="A11" s="16"/>
      <c r="B11" s="15"/>
      <c r="C11" s="14"/>
      <c r="D11" s="14"/>
      <c r="E11" s="14"/>
      <c r="F11" s="66">
        <f t="shared" si="1"/>
        <v>0</v>
      </c>
      <c r="G11" s="68">
        <f t="shared" si="2"/>
        <v>0</v>
      </c>
      <c r="H11" s="75">
        <f t="shared" si="6"/>
        <v>0</v>
      </c>
      <c r="I11" s="69" t="str">
        <f t="shared" si="3"/>
        <v/>
      </c>
      <c r="J11" s="80"/>
      <c r="K11" s="71" t="str">
        <f t="shared" si="4"/>
        <v/>
      </c>
      <c r="L11" s="71" t="str">
        <f t="shared" si="5"/>
        <v/>
      </c>
    </row>
    <row r="12" ht="22.5" customHeight="1">
      <c r="A12" s="16"/>
      <c r="B12" s="15"/>
      <c r="C12" s="14"/>
      <c r="D12" s="14"/>
      <c r="E12" s="14"/>
      <c r="F12" s="66">
        <f t="shared" si="1"/>
        <v>0</v>
      </c>
      <c r="G12" s="68">
        <f t="shared" si="2"/>
        <v>0</v>
      </c>
      <c r="H12" s="75">
        <f t="shared" si="6"/>
        <v>0</v>
      </c>
      <c r="I12" s="69" t="str">
        <f t="shared" si="3"/>
        <v/>
      </c>
      <c r="J12" s="80"/>
      <c r="K12" s="71" t="str">
        <f t="shared" si="4"/>
        <v/>
      </c>
      <c r="L12" s="71" t="str">
        <f t="shared" si="5"/>
        <v/>
      </c>
    </row>
    <row r="13" ht="22.5" customHeight="1">
      <c r="A13" s="16"/>
      <c r="B13" s="15"/>
      <c r="C13" s="14"/>
      <c r="D13" s="14"/>
      <c r="E13" s="14"/>
      <c r="F13" s="66">
        <f t="shared" si="1"/>
        <v>0</v>
      </c>
      <c r="G13" s="68">
        <f t="shared" si="2"/>
        <v>0</v>
      </c>
      <c r="H13" s="75">
        <f t="shared" si="6"/>
        <v>0</v>
      </c>
      <c r="I13" s="69" t="str">
        <f t="shared" si="3"/>
        <v/>
      </c>
      <c r="J13" s="80"/>
      <c r="K13" s="71" t="str">
        <f t="shared" si="4"/>
        <v/>
      </c>
      <c r="L13" s="71" t="str">
        <f t="shared" si="5"/>
        <v/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13">
      <formula1>OR(NOT(ISERROR(DATEVALUE(A2))), AND(ISNUMBER(A2), LEFT(CELL("format", A2))="D"))</formula1>
    </dataValidation>
    <dataValidation type="custom" allowBlank="1" showDropDown="1" sqref="C2:L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33.5"/>
    <col customWidth="1" min="3" max="6" width="12.63"/>
    <col customWidth="1" min="11" max="11" width="15.63"/>
    <col customWidth="1" min="14" max="14" width="21.5"/>
  </cols>
  <sheetData>
    <row r="1" ht="22.5" customHeight="1">
      <c r="A1" s="47" t="s">
        <v>30</v>
      </c>
      <c r="B1" s="47" t="s">
        <v>31</v>
      </c>
      <c r="C1" s="47" t="s">
        <v>32</v>
      </c>
      <c r="D1" s="47" t="s">
        <v>23</v>
      </c>
      <c r="E1" s="47" t="s">
        <v>33</v>
      </c>
      <c r="F1" s="47" t="s">
        <v>24</v>
      </c>
      <c r="G1" s="47" t="s">
        <v>8</v>
      </c>
      <c r="H1" s="47" t="s">
        <v>34</v>
      </c>
      <c r="I1" s="47" t="s">
        <v>35</v>
      </c>
      <c r="J1" s="47" t="s">
        <v>10</v>
      </c>
      <c r="K1" s="47" t="s">
        <v>36</v>
      </c>
      <c r="L1" s="47" t="s">
        <v>14</v>
      </c>
      <c r="M1" s="48"/>
      <c r="N1" s="49" t="str">
        <f>OB_Feb_2025!B5</f>
        <v>ပလပ်စတစ်ခွက်(140 ml)</v>
      </c>
      <c r="O1" s="50">
        <f>OB_Feb_2025!A5</f>
        <v>12103</v>
      </c>
    </row>
    <row r="2" ht="22.5" customHeight="1">
      <c r="A2" s="51" t="str">
        <f>IFERROR(__xludf.DUMMYFUNCTION("QUERY(IMPORTRANGE(""https://docs.google.com/spreadsheets/d/1sOBA95jI3gUTkNtq3pD8Ob7Zb_EY63WYXvHKt7aiQk8/edit?gid=2092145476#gid=2092145476"",""Daily Record - Raw Material Purchases!B4:T500""),""SELECT Col13 WHERE Col6 = 12103"",0)"),"#REF!")</f>
        <v>#REF!</v>
      </c>
      <c r="B2" s="52" t="str">
        <f>IFERROR(__xludf.DUMMYFUNCTION("QUERY(IMPORTRANGE(""https://docs.google.com/spreadsheets/d/1sOBA95jI3gUTkNtq3pD8Ob7Zb_EY63WYXvHKt7aiQk8/edit?gid=2092145476#gid=2092145476"",""Daily Record - Raw Material Purchases!B4:T500""),""SELECT Col4 WHERE Col6 = 12103"",0)"),"#REF!")</f>
        <v>#REF!</v>
      </c>
      <c r="C2" s="81">
        <f>OB_Feb_2025!D5</f>
        <v>0</v>
      </c>
      <c r="D2" s="82" t="str">
        <f>IFERROR(__xludf.DUMMYFUNCTION("QUERY(IMPORTRANGE(""https://docs.google.com/spreadsheets/d/1sOBA95jI3gUTkNtq3pD8Ob7Zb_EY63WYXvHKt7aiQk8/edit?gid=2092145476#gid=2092145476"",""Daily Record - Raw Material Purchases!B4:T500""),""SELECT Col8 WHERE Col6 = 12103"",0)"),"#REF!")</f>
        <v>#REF!</v>
      </c>
      <c r="E2" s="56" t="str">
        <f>IFERROR(__xludf.DUMMYFUNCTION("QUERY(IMPORTRANGE(""https://docs.google.com/spreadsheets/d/1sOBA95jI3gUTkNtq3pD8Ob7Zb_EY63WYXvHKt7aiQk8/edit?gid=2092145476#gid=2092145476"",""Daily Record - Raw Material Purchases!B4:T500""),""SELECT Col12 WHERE Col6 = 12103"",0)"),"#REF!")</f>
        <v>#REF!</v>
      </c>
      <c r="F2" s="55" t="str">
        <f t="shared" ref="F2:F14" si="1">D2*E2</f>
        <v>#REF!</v>
      </c>
      <c r="G2" s="83" t="str">
        <f t="shared" ref="G2:G14" si="2">D2+C2</f>
        <v>#REF!</v>
      </c>
      <c r="H2" s="57" t="str">
        <f>IF(G2=0,0,((C2*OB_Feb_2025!E5)+(D2*E2))/G2)</f>
        <v>#REF!</v>
      </c>
      <c r="I2" s="60" t="str">
        <f t="shared" ref="I2:I14" si="3">IF(ISBLANK(J2),"",G2-J2)</f>
        <v/>
      </c>
      <c r="J2" s="79"/>
      <c r="K2" s="60" t="str">
        <f t="shared" ref="K2:K14" si="4">IF(ISBLANK(J2),"",J2*H2)</f>
        <v/>
      </c>
      <c r="L2" s="61" t="str">
        <f t="shared" ref="L2:L14" si="5">IF(ISBLANK(J2),"",I2*H2)</f>
        <v/>
      </c>
    </row>
    <row r="3" ht="22.5" customHeight="1">
      <c r="A3" s="16"/>
      <c r="B3" s="15"/>
      <c r="C3" s="84" t="str">
        <f t="shared" ref="C3:C4" si="6">C2+D2-I2</f>
        <v>#REF!</v>
      </c>
      <c r="D3" s="84"/>
      <c r="E3" s="14"/>
      <c r="F3" s="55">
        <f t="shared" si="1"/>
        <v>0</v>
      </c>
      <c r="G3" s="83" t="str">
        <f t="shared" si="2"/>
        <v>#REF!</v>
      </c>
      <c r="H3" s="17" t="str">
        <f t="shared" ref="H3:H14" si="7">IF(G3=0,0,((C3*H2)+(D3*E3))/G3)</f>
        <v>#REF!</v>
      </c>
      <c r="I3" s="60" t="str">
        <f t="shared" si="3"/>
        <v>#REF!</v>
      </c>
      <c r="J3" s="79">
        <f>OB_Mar_2025!D7</f>
        <v>5000</v>
      </c>
      <c r="K3" s="60" t="str">
        <f t="shared" si="4"/>
        <v>#REF!</v>
      </c>
      <c r="L3" s="61" t="str">
        <f t="shared" si="5"/>
        <v>#REF!</v>
      </c>
    </row>
    <row r="4" ht="22.5" customHeight="1">
      <c r="A4" s="16"/>
      <c r="B4" s="15"/>
      <c r="C4" s="84" t="str">
        <f t="shared" si="6"/>
        <v>#REF!</v>
      </c>
      <c r="D4" s="84"/>
      <c r="E4" s="14"/>
      <c r="F4" s="66">
        <f t="shared" si="1"/>
        <v>0</v>
      </c>
      <c r="G4" s="85" t="str">
        <f t="shared" si="2"/>
        <v>#REF!</v>
      </c>
      <c r="H4" s="17" t="str">
        <f t="shared" si="7"/>
        <v>#REF!</v>
      </c>
      <c r="I4" s="71" t="str">
        <f t="shared" si="3"/>
        <v>#REF!</v>
      </c>
      <c r="J4" s="79">
        <v>100000.0</v>
      </c>
      <c r="K4" s="71" t="str">
        <f t="shared" si="4"/>
        <v>#REF!</v>
      </c>
      <c r="L4" s="71" t="str">
        <f t="shared" si="5"/>
        <v>#REF!</v>
      </c>
    </row>
    <row r="5" ht="22.5" customHeight="1">
      <c r="A5" s="16"/>
      <c r="B5" s="15"/>
      <c r="C5" s="84" t="str">
        <f>G4-I4</f>
        <v>#REF!</v>
      </c>
      <c r="D5" s="84"/>
      <c r="E5" s="14"/>
      <c r="F5" s="66">
        <f t="shared" si="1"/>
        <v>0</v>
      </c>
      <c r="G5" s="85" t="str">
        <f t="shared" si="2"/>
        <v>#REF!</v>
      </c>
      <c r="H5" s="17" t="str">
        <f t="shared" si="7"/>
        <v>#REF!</v>
      </c>
      <c r="I5" s="71" t="str">
        <f t="shared" si="3"/>
        <v>#REF!</v>
      </c>
      <c r="J5" s="79">
        <v>64000.0</v>
      </c>
      <c r="K5" s="71" t="str">
        <f t="shared" si="4"/>
        <v>#REF!</v>
      </c>
      <c r="L5" s="71" t="str">
        <f t="shared" si="5"/>
        <v>#REF!</v>
      </c>
    </row>
    <row r="6" ht="22.5" customHeight="1">
      <c r="A6" s="16"/>
      <c r="B6" s="15"/>
      <c r="C6" s="84" t="str">
        <f t="shared" ref="C6:C11" si="8">C5+D5-I5</f>
        <v>#REF!</v>
      </c>
      <c r="D6" s="84"/>
      <c r="E6" s="14"/>
      <c r="F6" s="66">
        <f t="shared" si="1"/>
        <v>0</v>
      </c>
      <c r="G6" s="85" t="str">
        <f t="shared" si="2"/>
        <v>#REF!</v>
      </c>
      <c r="H6" s="17" t="str">
        <f t="shared" si="7"/>
        <v>#REF!</v>
      </c>
      <c r="I6" s="71" t="str">
        <f t="shared" si="3"/>
        <v>#REF!</v>
      </c>
      <c r="J6" s="79">
        <v>60000.0</v>
      </c>
      <c r="K6" s="71" t="str">
        <f t="shared" si="4"/>
        <v>#REF!</v>
      </c>
      <c r="L6" s="71" t="str">
        <f t="shared" si="5"/>
        <v>#REF!</v>
      </c>
    </row>
    <row r="7" ht="22.5" customHeight="1">
      <c r="A7" s="16"/>
      <c r="B7" s="15"/>
      <c r="C7" s="84" t="str">
        <f t="shared" si="8"/>
        <v>#REF!</v>
      </c>
      <c r="D7" s="84"/>
      <c r="E7" s="14"/>
      <c r="F7" s="66">
        <f t="shared" si="1"/>
        <v>0</v>
      </c>
      <c r="G7" s="85" t="str">
        <f t="shared" si="2"/>
        <v>#REF!</v>
      </c>
      <c r="H7" s="17" t="str">
        <f t="shared" si="7"/>
        <v>#REF!</v>
      </c>
      <c r="I7" s="71" t="str">
        <f t="shared" si="3"/>
        <v>#REF!</v>
      </c>
      <c r="J7" s="80">
        <v>0.0</v>
      </c>
      <c r="K7" s="71" t="str">
        <f t="shared" si="4"/>
        <v>#REF!</v>
      </c>
      <c r="L7" s="71" t="str">
        <f t="shared" si="5"/>
        <v>#REF!</v>
      </c>
    </row>
    <row r="8" ht="22.5" customHeight="1">
      <c r="A8" s="16"/>
      <c r="B8" s="15"/>
      <c r="C8" s="84" t="str">
        <f t="shared" si="8"/>
        <v>#REF!</v>
      </c>
      <c r="D8" s="84"/>
      <c r="E8" s="14"/>
      <c r="F8" s="66">
        <f t="shared" si="1"/>
        <v>0</v>
      </c>
      <c r="G8" s="85" t="str">
        <f t="shared" si="2"/>
        <v>#REF!</v>
      </c>
      <c r="H8" s="17" t="str">
        <f t="shared" si="7"/>
        <v>#REF!</v>
      </c>
      <c r="I8" s="71" t="str">
        <f t="shared" si="3"/>
        <v>#REF!</v>
      </c>
      <c r="J8" s="80">
        <v>25000.0</v>
      </c>
      <c r="K8" s="71" t="str">
        <f t="shared" si="4"/>
        <v>#REF!</v>
      </c>
      <c r="L8" s="71" t="str">
        <f t="shared" si="5"/>
        <v>#REF!</v>
      </c>
    </row>
    <row r="9" ht="22.5" customHeight="1">
      <c r="A9" s="16"/>
      <c r="B9" s="15"/>
      <c r="C9" s="84" t="str">
        <f t="shared" si="8"/>
        <v>#REF!</v>
      </c>
      <c r="D9" s="84"/>
      <c r="E9" s="14"/>
      <c r="F9" s="66">
        <f t="shared" si="1"/>
        <v>0</v>
      </c>
      <c r="G9" s="85" t="str">
        <f t="shared" si="2"/>
        <v>#REF!</v>
      </c>
      <c r="H9" s="17" t="str">
        <f t="shared" si="7"/>
        <v>#REF!</v>
      </c>
      <c r="I9" s="71" t="str">
        <f t="shared" si="3"/>
        <v>#REF!</v>
      </c>
      <c r="J9" s="80">
        <v>0.0</v>
      </c>
      <c r="K9" s="71" t="str">
        <f t="shared" si="4"/>
        <v>#REF!</v>
      </c>
      <c r="L9" s="71" t="str">
        <f t="shared" si="5"/>
        <v>#REF!</v>
      </c>
    </row>
    <row r="10" ht="22.5" customHeight="1">
      <c r="A10" s="16"/>
      <c r="B10" s="15"/>
      <c r="C10" s="84" t="str">
        <f t="shared" si="8"/>
        <v>#REF!</v>
      </c>
      <c r="D10" s="84"/>
      <c r="E10" s="14"/>
      <c r="F10" s="66">
        <f t="shared" si="1"/>
        <v>0</v>
      </c>
      <c r="G10" s="85" t="str">
        <f t="shared" si="2"/>
        <v>#REF!</v>
      </c>
      <c r="H10" s="17" t="str">
        <f t="shared" si="7"/>
        <v>#REF!</v>
      </c>
      <c r="I10" s="71" t="str">
        <f t="shared" si="3"/>
        <v>#REF!</v>
      </c>
      <c r="J10" s="80">
        <v>0.0</v>
      </c>
      <c r="K10" s="71" t="str">
        <f t="shared" si="4"/>
        <v>#REF!</v>
      </c>
      <c r="L10" s="71" t="str">
        <f t="shared" si="5"/>
        <v>#REF!</v>
      </c>
    </row>
    <row r="11" ht="22.5" customHeight="1">
      <c r="A11" s="16"/>
      <c r="B11" s="15"/>
      <c r="C11" s="84" t="str">
        <f t="shared" si="8"/>
        <v>#REF!</v>
      </c>
      <c r="D11" s="84"/>
      <c r="E11" s="14"/>
      <c r="F11" s="66">
        <f t="shared" si="1"/>
        <v>0</v>
      </c>
      <c r="G11" s="85" t="str">
        <f t="shared" si="2"/>
        <v>#REF!</v>
      </c>
      <c r="H11" s="17" t="str">
        <f t="shared" si="7"/>
        <v>#REF!</v>
      </c>
      <c r="I11" s="71" t="str">
        <f t="shared" si="3"/>
        <v>#REF!</v>
      </c>
      <c r="J11" s="80">
        <v>1500.0</v>
      </c>
      <c r="K11" s="71" t="str">
        <f t="shared" si="4"/>
        <v>#REF!</v>
      </c>
      <c r="L11" s="71" t="str">
        <f t="shared" si="5"/>
        <v>#REF!</v>
      </c>
    </row>
    <row r="12" ht="22.5" customHeight="1">
      <c r="A12" s="16"/>
      <c r="B12" s="15"/>
      <c r="C12" s="84"/>
      <c r="D12" s="84"/>
      <c r="E12" s="14"/>
      <c r="F12" s="66">
        <f t="shared" si="1"/>
        <v>0</v>
      </c>
      <c r="G12" s="85">
        <f t="shared" si="2"/>
        <v>0</v>
      </c>
      <c r="H12" s="17">
        <f t="shared" si="7"/>
        <v>0</v>
      </c>
      <c r="I12" s="71" t="str">
        <f t="shared" si="3"/>
        <v/>
      </c>
      <c r="J12" s="80"/>
      <c r="K12" s="71" t="str">
        <f t="shared" si="4"/>
        <v/>
      </c>
      <c r="L12" s="71" t="str">
        <f t="shared" si="5"/>
        <v/>
      </c>
    </row>
    <row r="13" ht="22.5" customHeight="1">
      <c r="A13" s="16"/>
      <c r="B13" s="15"/>
      <c r="C13" s="84"/>
      <c r="D13" s="84"/>
      <c r="E13" s="14"/>
      <c r="F13" s="66">
        <f t="shared" si="1"/>
        <v>0</v>
      </c>
      <c r="G13" s="85">
        <f t="shared" si="2"/>
        <v>0</v>
      </c>
      <c r="H13" s="17">
        <f t="shared" si="7"/>
        <v>0</v>
      </c>
      <c r="I13" s="71" t="str">
        <f t="shared" si="3"/>
        <v/>
      </c>
      <c r="J13" s="80"/>
      <c r="K13" s="71" t="str">
        <f t="shared" si="4"/>
        <v/>
      </c>
      <c r="L13" s="71" t="str">
        <f t="shared" si="5"/>
        <v/>
      </c>
    </row>
    <row r="14" ht="22.5" customHeight="1">
      <c r="A14" s="16"/>
      <c r="B14" s="15"/>
      <c r="C14" s="84"/>
      <c r="D14" s="84"/>
      <c r="E14" s="14"/>
      <c r="F14" s="66">
        <f t="shared" si="1"/>
        <v>0</v>
      </c>
      <c r="G14" s="85">
        <f t="shared" si="2"/>
        <v>0</v>
      </c>
      <c r="H14" s="17">
        <f t="shared" si="7"/>
        <v>0</v>
      </c>
      <c r="I14" s="71" t="str">
        <f t="shared" si="3"/>
        <v/>
      </c>
      <c r="J14" s="80"/>
      <c r="K14" s="71" t="str">
        <f t="shared" si="4"/>
        <v/>
      </c>
      <c r="L14" s="71" t="str">
        <f t="shared" si="5"/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14">
      <formula1>OR(NOT(ISERROR(DATEVALUE(A2))), AND(ISNUMBER(A2), LEFT(CELL("format", A2))="D"))</formula1>
    </dataValidation>
    <dataValidation type="custom" allowBlank="1" showDropDown="1" sqref="C2:L14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33.0"/>
    <col customWidth="1" min="3" max="6" width="12.63"/>
    <col customWidth="1" min="11" max="11" width="15.63"/>
  </cols>
  <sheetData>
    <row r="1" ht="22.5" customHeight="1">
      <c r="A1" s="47" t="s">
        <v>30</v>
      </c>
      <c r="B1" s="47" t="s">
        <v>31</v>
      </c>
      <c r="C1" s="47" t="s">
        <v>32</v>
      </c>
      <c r="D1" s="47" t="s">
        <v>23</v>
      </c>
      <c r="E1" s="47" t="s">
        <v>33</v>
      </c>
      <c r="F1" s="47" t="s">
        <v>24</v>
      </c>
      <c r="G1" s="47" t="s">
        <v>8</v>
      </c>
      <c r="H1" s="47" t="s">
        <v>34</v>
      </c>
      <c r="I1" s="47" t="s">
        <v>35</v>
      </c>
      <c r="J1" s="47" t="s">
        <v>10</v>
      </c>
      <c r="K1" s="47" t="s">
        <v>36</v>
      </c>
      <c r="L1" s="47" t="s">
        <v>14</v>
      </c>
      <c r="M1" s="48"/>
      <c r="N1" s="49" t="str">
        <f>OB_Feb_2025!B6</f>
        <v>ပလပ်စတစ်ခွက်(175ml)</v>
      </c>
      <c r="O1" s="50">
        <f>OB_Feb_2025!A6</f>
        <v>12104</v>
      </c>
    </row>
    <row r="2" ht="22.5" customHeight="1">
      <c r="A2" s="51" t="str">
        <f>IFERROR(__xludf.DUMMYFUNCTION("QUERY(IMPORTRANGE(""https://docs.google.com/spreadsheets/d/1sOBA95jI3gUTkNtq3pD8Ob7Zb_EY63WYXvHKt7aiQk8/edit?gid=2092145476#gid=2092145476"",""Daily Record - Raw Material Purchases!B4:T500""),""SELECT Col13 WHERE Col6 = 12104"",0)"),"#REF!")</f>
        <v>#REF!</v>
      </c>
      <c r="B2" s="52" t="str">
        <f>IFERROR(__xludf.DUMMYFUNCTION("QUERY(IMPORTRANGE(""https://docs.google.com/spreadsheets/d/1sOBA95jI3gUTkNtq3pD8Ob7Zb_EY63WYXvHKt7aiQk8/edit?gid=2092145476#gid=2092145476"",""Daily Record - Raw Material Purchases!B4:T500""),""SELECT Col4 WHERE Col6 = 12104"",0)"),"#REF!")</f>
        <v>#REF!</v>
      </c>
      <c r="C2" s="86">
        <f>OB_Feb_2025!D6</f>
        <v>4000</v>
      </c>
      <c r="D2" s="87" t="str">
        <f>IFERROR(__xludf.DUMMYFUNCTION("QUERY(IMPORTRANGE(""https://docs.google.com/spreadsheets/d/1sOBA95jI3gUTkNtq3pD8Ob7Zb_EY63WYXvHKt7aiQk8/edit?gid=2092145476#gid=2092145476"",""Daily Record - Raw Material Purchases!B4:T500""),""SELECT Col8 WHERE Col6 = 12104"",0)"),"#REF!")</f>
        <v>#REF!</v>
      </c>
      <c r="E2" s="56" t="str">
        <f>IFERROR(__xludf.DUMMYFUNCTION("QUERY(IMPORTRANGE(""https://docs.google.com/spreadsheets/d/1sOBA95jI3gUTkNtq3pD8Ob7Zb_EY63WYXvHKt7aiQk8/edit?gid=2092145476#gid=2092145476"",""Daily Record - Raw Material Purchases!B4:T500""),""SELECT Col12 WHERE Col6 = 12104"",0)"),"#REF!")</f>
        <v>#REF!</v>
      </c>
      <c r="F2" s="55" t="str">
        <f t="shared" ref="F2:F18" si="1">D2*E2</f>
        <v>#REF!</v>
      </c>
      <c r="G2" s="72" t="str">
        <f t="shared" ref="G2:G18" si="2">D2+C2</f>
        <v>#REF!</v>
      </c>
      <c r="H2" s="57" t="str">
        <f>IF(G2=0,0,((C2*OB_Feb_2025!E6)+(D2*E2))/G2)</f>
        <v>#REF!</v>
      </c>
      <c r="I2" s="60" t="str">
        <f t="shared" ref="I2:I18" si="3">IF(ISBLANK(J2),"",G2-J2)</f>
        <v>#REF!</v>
      </c>
      <c r="J2" s="79">
        <f>OB_Mar_2025!D8</f>
        <v>95600</v>
      </c>
      <c r="K2" s="60" t="str">
        <f t="shared" ref="K2:K18" si="4">IF(ISBLANK(J2),"",J2*H2)</f>
        <v>#REF!</v>
      </c>
      <c r="L2" s="61" t="str">
        <f t="shared" ref="L2:L18" si="5">IF(ISBLANK(J2),"",I2*H2)</f>
        <v>#REF!</v>
      </c>
    </row>
    <row r="3" ht="22.5" customHeight="1">
      <c r="A3" s="16"/>
      <c r="B3" s="15"/>
      <c r="C3" s="17" t="str">
        <f>C2+D2-I2</f>
        <v>#REF!</v>
      </c>
      <c r="D3" s="14"/>
      <c r="E3" s="14"/>
      <c r="F3" s="55">
        <f t="shared" si="1"/>
        <v>0</v>
      </c>
      <c r="G3" s="72" t="str">
        <f t="shared" si="2"/>
        <v>#REF!</v>
      </c>
      <c r="H3" s="17" t="str">
        <f t="shared" ref="H3:H18" si="6">IF(G3=0,0,((C3*H2)+(D3*E3))/G3)</f>
        <v>#REF!</v>
      </c>
      <c r="I3" s="60" t="str">
        <f t="shared" si="3"/>
        <v>#REF!</v>
      </c>
      <c r="J3" s="79">
        <v>93800.0</v>
      </c>
      <c r="K3" s="60" t="str">
        <f t="shared" si="4"/>
        <v>#REF!</v>
      </c>
      <c r="L3" s="61" t="str">
        <f t="shared" si="5"/>
        <v>#REF!</v>
      </c>
    </row>
    <row r="4" ht="22.5" customHeight="1">
      <c r="A4" s="16"/>
      <c r="B4" s="15"/>
      <c r="C4" s="17" t="str">
        <f>G3-I3</f>
        <v>#REF!</v>
      </c>
      <c r="D4" s="14"/>
      <c r="E4" s="14"/>
      <c r="F4" s="66">
        <f t="shared" si="1"/>
        <v>0</v>
      </c>
      <c r="G4" s="88" t="str">
        <f t="shared" si="2"/>
        <v>#REF!</v>
      </c>
      <c r="H4" s="17" t="str">
        <f t="shared" si="6"/>
        <v>#REF!</v>
      </c>
      <c r="I4" s="60" t="str">
        <f t="shared" si="3"/>
        <v>#REF!</v>
      </c>
      <c r="J4" s="79">
        <v>77000.0</v>
      </c>
      <c r="K4" s="60" t="str">
        <f t="shared" si="4"/>
        <v>#REF!</v>
      </c>
      <c r="L4" s="61" t="str">
        <f t="shared" si="5"/>
        <v>#REF!</v>
      </c>
    </row>
    <row r="5" ht="22.5" customHeight="1">
      <c r="A5" s="16"/>
      <c r="B5" s="15"/>
      <c r="C5" s="17" t="str">
        <f t="shared" ref="C5:C12" si="7">C4+D4-I4</f>
        <v>#REF!</v>
      </c>
      <c r="D5" s="14"/>
      <c r="E5" s="14"/>
      <c r="F5" s="66">
        <f t="shared" si="1"/>
        <v>0</v>
      </c>
      <c r="G5" s="88" t="str">
        <f t="shared" si="2"/>
        <v>#REF!</v>
      </c>
      <c r="H5" s="17" t="str">
        <f t="shared" si="6"/>
        <v>#REF!</v>
      </c>
      <c r="I5" s="71" t="str">
        <f t="shared" si="3"/>
        <v/>
      </c>
      <c r="J5" s="80"/>
      <c r="K5" s="71" t="str">
        <f t="shared" si="4"/>
        <v/>
      </c>
      <c r="L5" s="71" t="str">
        <f t="shared" si="5"/>
        <v/>
      </c>
    </row>
    <row r="6" ht="22.5" customHeight="1">
      <c r="A6" s="16"/>
      <c r="B6" s="15"/>
      <c r="C6" s="17" t="str">
        <f t="shared" si="7"/>
        <v>#REF!</v>
      </c>
      <c r="D6" s="14"/>
      <c r="E6" s="14"/>
      <c r="F6" s="66">
        <f t="shared" si="1"/>
        <v>0</v>
      </c>
      <c r="G6" s="88" t="str">
        <f t="shared" si="2"/>
        <v>#REF!</v>
      </c>
      <c r="H6" s="17" t="str">
        <f t="shared" si="6"/>
        <v>#REF!</v>
      </c>
      <c r="I6" s="60" t="str">
        <f t="shared" si="3"/>
        <v>#REF!</v>
      </c>
      <c r="J6" s="79">
        <v>26950.0</v>
      </c>
      <c r="K6" s="60" t="str">
        <f t="shared" si="4"/>
        <v>#REF!</v>
      </c>
      <c r="L6" s="61" t="str">
        <f t="shared" si="5"/>
        <v>#REF!</v>
      </c>
    </row>
    <row r="7" ht="22.5" customHeight="1">
      <c r="A7" s="16"/>
      <c r="B7" s="15"/>
      <c r="C7" s="17" t="str">
        <f t="shared" si="7"/>
        <v>#REF!</v>
      </c>
      <c r="D7" s="14"/>
      <c r="E7" s="14"/>
      <c r="F7" s="66">
        <f t="shared" si="1"/>
        <v>0</v>
      </c>
      <c r="G7" s="88" t="str">
        <f t="shared" si="2"/>
        <v>#REF!</v>
      </c>
      <c r="H7" s="17" t="str">
        <f t="shared" si="6"/>
        <v>#REF!</v>
      </c>
      <c r="I7" s="71" t="str">
        <f t="shared" si="3"/>
        <v/>
      </c>
      <c r="J7" s="80"/>
      <c r="K7" s="71" t="str">
        <f t="shared" si="4"/>
        <v/>
      </c>
      <c r="L7" s="71" t="str">
        <f t="shared" si="5"/>
        <v/>
      </c>
    </row>
    <row r="8" ht="22.5" customHeight="1">
      <c r="A8" s="16"/>
      <c r="B8" s="15"/>
      <c r="C8" s="17" t="str">
        <f t="shared" si="7"/>
        <v>#REF!</v>
      </c>
      <c r="D8" s="14"/>
      <c r="E8" s="14"/>
      <c r="F8" s="66">
        <f t="shared" si="1"/>
        <v>0</v>
      </c>
      <c r="G8" s="88" t="str">
        <f t="shared" si="2"/>
        <v>#REF!</v>
      </c>
      <c r="H8" s="17" t="str">
        <f t="shared" si="6"/>
        <v>#REF!</v>
      </c>
      <c r="I8" s="71" t="str">
        <f t="shared" si="3"/>
        <v>#REF!</v>
      </c>
      <c r="J8" s="80">
        <v>0.0</v>
      </c>
      <c r="K8" s="71" t="str">
        <f t="shared" si="4"/>
        <v>#REF!</v>
      </c>
      <c r="L8" s="71" t="str">
        <f t="shared" si="5"/>
        <v>#REF!</v>
      </c>
    </row>
    <row r="9" ht="22.5" customHeight="1">
      <c r="A9" s="16"/>
      <c r="B9" s="15"/>
      <c r="C9" s="17" t="str">
        <f t="shared" si="7"/>
        <v>#REF!</v>
      </c>
      <c r="D9" s="14"/>
      <c r="E9" s="14"/>
      <c r="F9" s="66">
        <f t="shared" si="1"/>
        <v>0</v>
      </c>
      <c r="G9" s="88" t="str">
        <f t="shared" si="2"/>
        <v>#REF!</v>
      </c>
      <c r="H9" s="17" t="str">
        <f t="shared" si="6"/>
        <v>#REF!</v>
      </c>
      <c r="I9" s="71" t="str">
        <f t="shared" si="3"/>
        <v>#REF!</v>
      </c>
      <c r="J9" s="80">
        <v>3850.0</v>
      </c>
      <c r="K9" s="71" t="str">
        <f t="shared" si="4"/>
        <v>#REF!</v>
      </c>
      <c r="L9" s="71" t="str">
        <f t="shared" si="5"/>
        <v>#REF!</v>
      </c>
    </row>
    <row r="10" ht="22.5" customHeight="1">
      <c r="A10" s="16"/>
      <c r="B10" s="15"/>
      <c r="C10" s="17" t="str">
        <f t="shared" si="7"/>
        <v>#REF!</v>
      </c>
      <c r="D10" s="14"/>
      <c r="E10" s="14"/>
      <c r="F10" s="66">
        <f t="shared" si="1"/>
        <v>0</v>
      </c>
      <c r="G10" s="88" t="str">
        <f t="shared" si="2"/>
        <v>#REF!</v>
      </c>
      <c r="H10" s="17" t="str">
        <f t="shared" si="6"/>
        <v>#REF!</v>
      </c>
      <c r="I10" s="71" t="str">
        <f t="shared" si="3"/>
        <v>#REF!</v>
      </c>
      <c r="J10" s="80">
        <v>15400.0</v>
      </c>
      <c r="K10" s="71" t="str">
        <f t="shared" si="4"/>
        <v>#REF!</v>
      </c>
      <c r="L10" s="71" t="str">
        <f t="shared" si="5"/>
        <v>#REF!</v>
      </c>
    </row>
    <row r="11" ht="22.5" customHeight="1">
      <c r="A11" s="16"/>
      <c r="B11" s="15"/>
      <c r="C11" s="17" t="str">
        <f t="shared" si="7"/>
        <v>#REF!</v>
      </c>
      <c r="D11" s="14"/>
      <c r="E11" s="14"/>
      <c r="F11" s="66">
        <f t="shared" si="1"/>
        <v>0</v>
      </c>
      <c r="G11" s="88" t="str">
        <f t="shared" si="2"/>
        <v>#REF!</v>
      </c>
      <c r="H11" s="17" t="str">
        <f t="shared" si="6"/>
        <v>#REF!</v>
      </c>
      <c r="I11" s="71" t="str">
        <f t="shared" si="3"/>
        <v>#REF!</v>
      </c>
      <c r="J11" s="80">
        <v>80000.0</v>
      </c>
      <c r="K11" s="71" t="str">
        <f t="shared" si="4"/>
        <v>#REF!</v>
      </c>
      <c r="L11" s="71" t="str">
        <f t="shared" si="5"/>
        <v>#REF!</v>
      </c>
    </row>
    <row r="12" ht="22.5" customHeight="1">
      <c r="A12" s="16"/>
      <c r="B12" s="15"/>
      <c r="C12" s="17" t="str">
        <f t="shared" si="7"/>
        <v>#REF!</v>
      </c>
      <c r="D12" s="14"/>
      <c r="E12" s="14"/>
      <c r="F12" s="66">
        <f t="shared" si="1"/>
        <v>0</v>
      </c>
      <c r="G12" s="88" t="str">
        <f t="shared" si="2"/>
        <v>#REF!</v>
      </c>
      <c r="H12" s="17" t="str">
        <f t="shared" si="6"/>
        <v>#REF!</v>
      </c>
      <c r="I12" s="71" t="str">
        <f t="shared" si="3"/>
        <v>#REF!</v>
      </c>
      <c r="J12" s="80">
        <v>13600.0</v>
      </c>
      <c r="K12" s="71" t="str">
        <f t="shared" si="4"/>
        <v>#REF!</v>
      </c>
      <c r="L12" s="71" t="str">
        <f t="shared" si="5"/>
        <v>#REF!</v>
      </c>
    </row>
    <row r="13" ht="22.5" customHeight="1">
      <c r="A13" s="16"/>
      <c r="B13" s="15"/>
      <c r="C13" s="17"/>
      <c r="D13" s="14"/>
      <c r="E13" s="14"/>
      <c r="F13" s="66">
        <f t="shared" si="1"/>
        <v>0</v>
      </c>
      <c r="G13" s="88">
        <f t="shared" si="2"/>
        <v>0</v>
      </c>
      <c r="H13" s="17">
        <f t="shared" si="6"/>
        <v>0</v>
      </c>
      <c r="I13" s="71" t="str">
        <f t="shared" si="3"/>
        <v/>
      </c>
      <c r="J13" s="80"/>
      <c r="K13" s="71" t="str">
        <f t="shared" si="4"/>
        <v/>
      </c>
      <c r="L13" s="71" t="str">
        <f t="shared" si="5"/>
        <v/>
      </c>
    </row>
    <row r="14" ht="22.5" customHeight="1">
      <c r="A14" s="16"/>
      <c r="B14" s="15"/>
      <c r="C14" s="17"/>
      <c r="D14" s="14"/>
      <c r="E14" s="14"/>
      <c r="F14" s="66">
        <f t="shared" si="1"/>
        <v>0</v>
      </c>
      <c r="G14" s="88">
        <f t="shared" si="2"/>
        <v>0</v>
      </c>
      <c r="H14" s="17">
        <f t="shared" si="6"/>
        <v>0</v>
      </c>
      <c r="I14" s="71" t="str">
        <f t="shared" si="3"/>
        <v/>
      </c>
      <c r="J14" s="80"/>
      <c r="K14" s="71" t="str">
        <f t="shared" si="4"/>
        <v/>
      </c>
      <c r="L14" s="71" t="str">
        <f t="shared" si="5"/>
        <v/>
      </c>
    </row>
    <row r="15" ht="22.5" customHeight="1">
      <c r="A15" s="16"/>
      <c r="B15" s="15"/>
      <c r="C15" s="17"/>
      <c r="D15" s="14"/>
      <c r="E15" s="14"/>
      <c r="F15" s="66">
        <f t="shared" si="1"/>
        <v>0</v>
      </c>
      <c r="G15" s="88">
        <f t="shared" si="2"/>
        <v>0</v>
      </c>
      <c r="H15" s="17">
        <f t="shared" si="6"/>
        <v>0</v>
      </c>
      <c r="I15" s="71" t="str">
        <f t="shared" si="3"/>
        <v/>
      </c>
      <c r="J15" s="80"/>
      <c r="K15" s="71" t="str">
        <f t="shared" si="4"/>
        <v/>
      </c>
      <c r="L15" s="71" t="str">
        <f t="shared" si="5"/>
        <v/>
      </c>
    </row>
    <row r="16" ht="22.5" customHeight="1">
      <c r="A16" s="16"/>
      <c r="B16" s="15"/>
      <c r="C16" s="17"/>
      <c r="D16" s="14"/>
      <c r="E16" s="14"/>
      <c r="F16" s="66">
        <f t="shared" si="1"/>
        <v>0</v>
      </c>
      <c r="G16" s="88">
        <f t="shared" si="2"/>
        <v>0</v>
      </c>
      <c r="H16" s="17">
        <f t="shared" si="6"/>
        <v>0</v>
      </c>
      <c r="I16" s="71" t="str">
        <f t="shared" si="3"/>
        <v/>
      </c>
      <c r="J16" s="80"/>
      <c r="K16" s="71" t="str">
        <f t="shared" si="4"/>
        <v/>
      </c>
      <c r="L16" s="71" t="str">
        <f t="shared" si="5"/>
        <v/>
      </c>
    </row>
    <row r="17" ht="22.5" customHeight="1">
      <c r="A17" s="16"/>
      <c r="B17" s="15"/>
      <c r="C17" s="17"/>
      <c r="D17" s="14"/>
      <c r="E17" s="14"/>
      <c r="F17" s="66">
        <f t="shared" si="1"/>
        <v>0</v>
      </c>
      <c r="G17" s="88">
        <f t="shared" si="2"/>
        <v>0</v>
      </c>
      <c r="H17" s="17">
        <f t="shared" si="6"/>
        <v>0</v>
      </c>
      <c r="I17" s="71" t="str">
        <f t="shared" si="3"/>
        <v/>
      </c>
      <c r="J17" s="80"/>
      <c r="K17" s="71" t="str">
        <f t="shared" si="4"/>
        <v/>
      </c>
      <c r="L17" s="71" t="str">
        <f t="shared" si="5"/>
        <v/>
      </c>
    </row>
    <row r="18" ht="22.5" customHeight="1">
      <c r="A18" s="16"/>
      <c r="B18" s="15"/>
      <c r="C18" s="17"/>
      <c r="D18" s="14"/>
      <c r="E18" s="14"/>
      <c r="F18" s="66">
        <f t="shared" si="1"/>
        <v>0</v>
      </c>
      <c r="G18" s="88">
        <f t="shared" si="2"/>
        <v>0</v>
      </c>
      <c r="H18" s="17">
        <f t="shared" si="6"/>
        <v>0</v>
      </c>
      <c r="I18" s="71" t="str">
        <f t="shared" si="3"/>
        <v/>
      </c>
      <c r="J18" s="80"/>
      <c r="K18" s="71" t="str">
        <f t="shared" si="4"/>
        <v/>
      </c>
      <c r="L18" s="71" t="str">
        <f t="shared" si="5"/>
        <v/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18">
      <formula1>OR(NOT(ISERROR(DATEVALUE(A2))), AND(ISNUMBER(A2), LEFT(CELL("format", A2))="D"))</formula1>
    </dataValidation>
    <dataValidation type="custom" allowBlank="1" showDropDown="1" sqref="C2:L18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31.5"/>
    <col customWidth="1" min="3" max="6" width="12.63"/>
    <col customWidth="1" min="11" max="11" width="15.63"/>
  </cols>
  <sheetData>
    <row r="1" ht="22.5" customHeight="1">
      <c r="A1" s="47" t="s">
        <v>30</v>
      </c>
      <c r="B1" s="47" t="s">
        <v>31</v>
      </c>
      <c r="C1" s="47" t="s">
        <v>32</v>
      </c>
      <c r="D1" s="47" t="s">
        <v>23</v>
      </c>
      <c r="E1" s="47" t="s">
        <v>33</v>
      </c>
      <c r="F1" s="47" t="s">
        <v>24</v>
      </c>
      <c r="G1" s="47" t="s">
        <v>8</v>
      </c>
      <c r="H1" s="47" t="s">
        <v>34</v>
      </c>
      <c r="I1" s="47" t="s">
        <v>35</v>
      </c>
      <c r="J1" s="47" t="s">
        <v>10</v>
      </c>
      <c r="K1" s="47" t="s">
        <v>36</v>
      </c>
      <c r="L1" s="47" t="s">
        <v>14</v>
      </c>
      <c r="M1" s="48"/>
      <c r="N1" s="49" t="str">
        <f>OB_Feb_2025!B7</f>
        <v>တိတ်</v>
      </c>
      <c r="O1" s="50">
        <f>OB_Feb_2025!A7</f>
        <v>12105</v>
      </c>
    </row>
    <row r="2" ht="22.5" customHeight="1">
      <c r="A2" s="51" t="str">
        <f>IFERROR(__xludf.DUMMYFUNCTION("QUERY(IMPORTRANGE(""https://docs.google.com/spreadsheets/d/1sOBA95jI3gUTkNtq3pD8Ob7Zb_EY63WYXvHKt7aiQk8/edit?gid=2092145476#gid=2092145476"",""Daily Record - Raw Material Purchases!B4:T500""),""SELECT Col13 WHERE Col6 = 12105"",0)"),"#REF!")</f>
        <v>#REF!</v>
      </c>
      <c r="B2" s="52" t="str">
        <f>IFERROR(__xludf.DUMMYFUNCTION("QUERY(IMPORTRANGE(""https://docs.google.com/spreadsheets/d/1sOBA95jI3gUTkNtq3pD8Ob7Zb_EY63WYXvHKt7aiQk8/edit?gid=2092145476#gid=2092145476"",""Daily Record - Raw Material Purchases!B4:T500""),""SELECT Col4 WHERE Col6 = 12105"",0)"),"#REF!")</f>
        <v>#REF!</v>
      </c>
      <c r="C2" s="81">
        <f>OB_Feb_2025!D7</f>
        <v>0</v>
      </c>
      <c r="D2" s="87" t="str">
        <f>IFERROR(__xludf.DUMMYFUNCTION("QUERY(IMPORTRANGE(""https://docs.google.com/spreadsheets/d/1sOBA95jI3gUTkNtq3pD8Ob7Zb_EY63WYXvHKt7aiQk8/edit?gid=2092145476#gid=2092145476"",""Daily Record - Raw Material Purchases!B4:T500""),""SELECT Col8 WHERE Col6 = 12105"",0)"),"#REF!")</f>
        <v>#REF!</v>
      </c>
      <c r="E2" s="56" t="str">
        <f>IFERROR(__xludf.DUMMYFUNCTION("QUERY(IMPORTRANGE(""https://docs.google.com/spreadsheets/d/1sOBA95jI3gUTkNtq3pD8Ob7Zb_EY63WYXvHKt7aiQk8/edit?gid=2092145476#gid=2092145476"",""Daily Record - Raw Material Purchases!B4:T500""),""SELECT Col12 WHERE Col6 = 12105"",0)"),"#REF!")</f>
        <v>#REF!</v>
      </c>
      <c r="F2" s="55" t="str">
        <f t="shared" ref="F2:F25" si="1">D2*E2</f>
        <v>#REF!</v>
      </c>
      <c r="G2" s="87" t="str">
        <f t="shared" ref="G2:G25" si="2">D2+C2</f>
        <v>#REF!</v>
      </c>
      <c r="H2" s="57" t="str">
        <f>IF(G2=0,0,((C2*OB_Feb_2025!E7)+(D2*E2))/G2)</f>
        <v>#REF!</v>
      </c>
      <c r="I2" s="58" t="str">
        <f t="shared" ref="I2:I25" si="3">IF(ISBLANK(J2),"",G2-J2)</f>
        <v>#REF!</v>
      </c>
      <c r="J2" s="59">
        <f>OB_Mar_2025!D9</f>
        <v>7</v>
      </c>
      <c r="K2" s="60" t="str">
        <f t="shared" ref="K2:K25" si="4">IF(ISBLANK(J2),"",J2*H2)</f>
        <v>#REF!</v>
      </c>
      <c r="L2" s="61" t="str">
        <f t="shared" ref="L2:L25" si="5">IF(ISBLANK(J2),"",I2*H2)</f>
        <v>#REF!</v>
      </c>
    </row>
    <row r="3" ht="22.5" customHeight="1">
      <c r="A3" s="16"/>
      <c r="B3" s="15"/>
      <c r="C3" s="14" t="str">
        <f t="shared" ref="C3:C7" si="6">G2-I2</f>
        <v>#REF!</v>
      </c>
      <c r="D3" s="14"/>
      <c r="E3" s="14"/>
      <c r="F3" s="55">
        <f t="shared" si="1"/>
        <v>0</v>
      </c>
      <c r="G3" s="87" t="str">
        <f t="shared" si="2"/>
        <v>#REF!</v>
      </c>
      <c r="H3" s="17" t="str">
        <f t="shared" ref="H3:H25" si="7">IF(G3=0,0,((C3*H2)+(D3*E3))/G3)</f>
        <v>#REF!</v>
      </c>
      <c r="I3" s="58" t="str">
        <f t="shared" si="3"/>
        <v>#REF!</v>
      </c>
      <c r="J3" s="67">
        <v>0.0</v>
      </c>
      <c r="K3" s="60" t="str">
        <f t="shared" si="4"/>
        <v>#REF!</v>
      </c>
      <c r="L3" s="61" t="str">
        <f t="shared" si="5"/>
        <v>#REF!</v>
      </c>
    </row>
    <row r="4" ht="22.5" customHeight="1">
      <c r="A4" s="16"/>
      <c r="B4" s="15"/>
      <c r="C4" s="14" t="str">
        <f t="shared" si="6"/>
        <v>#REF!</v>
      </c>
      <c r="D4" s="14"/>
      <c r="E4" s="14"/>
      <c r="F4" s="66">
        <f t="shared" si="1"/>
        <v>0</v>
      </c>
      <c r="G4" s="89" t="str">
        <f t="shared" si="2"/>
        <v>#REF!</v>
      </c>
      <c r="H4" s="17" t="str">
        <f t="shared" si="7"/>
        <v>#REF!</v>
      </c>
      <c r="I4" s="69" t="str">
        <f t="shared" si="3"/>
        <v/>
      </c>
      <c r="J4" s="70"/>
      <c r="K4" s="71" t="str">
        <f t="shared" si="4"/>
        <v/>
      </c>
      <c r="L4" s="71" t="str">
        <f t="shared" si="5"/>
        <v/>
      </c>
    </row>
    <row r="5" ht="22.5" customHeight="1">
      <c r="A5" s="16"/>
      <c r="B5" s="15"/>
      <c r="C5" s="14" t="str">
        <f t="shared" si="6"/>
        <v>#REF!</v>
      </c>
      <c r="D5" s="14"/>
      <c r="E5" s="14"/>
      <c r="F5" s="66">
        <f t="shared" si="1"/>
        <v>0</v>
      </c>
      <c r="G5" s="89" t="str">
        <f t="shared" si="2"/>
        <v>#REF!</v>
      </c>
      <c r="H5" s="17" t="str">
        <f t="shared" si="7"/>
        <v>#REF!</v>
      </c>
      <c r="I5" s="69" t="str">
        <f t="shared" si="3"/>
        <v/>
      </c>
      <c r="J5" s="70"/>
      <c r="K5" s="71" t="str">
        <f t="shared" si="4"/>
        <v/>
      </c>
      <c r="L5" s="71" t="str">
        <f t="shared" si="5"/>
        <v/>
      </c>
    </row>
    <row r="6" ht="22.5" customHeight="1">
      <c r="A6" s="16"/>
      <c r="B6" s="15"/>
      <c r="C6" s="14" t="str">
        <f t="shared" si="6"/>
        <v>#REF!</v>
      </c>
      <c r="D6" s="14"/>
      <c r="E6" s="14"/>
      <c r="F6" s="66">
        <f t="shared" si="1"/>
        <v>0</v>
      </c>
      <c r="G6" s="89" t="str">
        <f t="shared" si="2"/>
        <v>#REF!</v>
      </c>
      <c r="H6" s="17" t="str">
        <f t="shared" si="7"/>
        <v>#REF!</v>
      </c>
      <c r="I6" s="58" t="str">
        <f t="shared" si="3"/>
        <v>#REF!</v>
      </c>
      <c r="J6" s="67">
        <v>8.0</v>
      </c>
      <c r="K6" s="60" t="str">
        <f t="shared" si="4"/>
        <v>#REF!</v>
      </c>
      <c r="L6" s="61" t="str">
        <f t="shared" si="5"/>
        <v>#REF!</v>
      </c>
    </row>
    <row r="7" ht="22.5" customHeight="1">
      <c r="A7" s="16"/>
      <c r="B7" s="15"/>
      <c r="C7" s="14" t="str">
        <f t="shared" si="6"/>
        <v>#REF!</v>
      </c>
      <c r="D7" s="14"/>
      <c r="E7" s="14"/>
      <c r="F7" s="66">
        <f t="shared" si="1"/>
        <v>0</v>
      </c>
      <c r="G7" s="89" t="str">
        <f t="shared" si="2"/>
        <v>#REF!</v>
      </c>
      <c r="H7" s="17" t="str">
        <f t="shared" si="7"/>
        <v>#REF!</v>
      </c>
      <c r="I7" s="69" t="str">
        <f t="shared" si="3"/>
        <v/>
      </c>
      <c r="J7" s="70"/>
      <c r="K7" s="71" t="str">
        <f t="shared" si="4"/>
        <v/>
      </c>
      <c r="L7" s="71" t="str">
        <f t="shared" si="5"/>
        <v/>
      </c>
    </row>
    <row r="8" ht="22.5" customHeight="1">
      <c r="A8" s="16"/>
      <c r="B8" s="15"/>
      <c r="C8" s="14" t="str">
        <f t="shared" ref="C8:C16" si="8">C7+D7-I7</f>
        <v>#REF!</v>
      </c>
      <c r="D8" s="14"/>
      <c r="E8" s="14"/>
      <c r="F8" s="66">
        <f t="shared" si="1"/>
        <v>0</v>
      </c>
      <c r="G8" s="89" t="str">
        <f t="shared" si="2"/>
        <v>#REF!</v>
      </c>
      <c r="H8" s="17" t="str">
        <f t="shared" si="7"/>
        <v>#REF!</v>
      </c>
      <c r="I8" s="69" t="str">
        <f t="shared" si="3"/>
        <v/>
      </c>
      <c r="J8" s="70"/>
      <c r="K8" s="71" t="str">
        <f t="shared" si="4"/>
        <v/>
      </c>
      <c r="L8" s="71" t="str">
        <f t="shared" si="5"/>
        <v/>
      </c>
    </row>
    <row r="9" ht="22.5" customHeight="1">
      <c r="A9" s="16"/>
      <c r="B9" s="15"/>
      <c r="C9" s="14" t="str">
        <f t="shared" si="8"/>
        <v>#REF!</v>
      </c>
      <c r="D9" s="14"/>
      <c r="E9" s="14"/>
      <c r="F9" s="66">
        <f t="shared" si="1"/>
        <v>0</v>
      </c>
      <c r="G9" s="89" t="str">
        <f t="shared" si="2"/>
        <v>#REF!</v>
      </c>
      <c r="H9" s="17" t="str">
        <f t="shared" si="7"/>
        <v>#REF!</v>
      </c>
      <c r="I9" s="69" t="str">
        <f t="shared" si="3"/>
        <v/>
      </c>
      <c r="J9" s="70"/>
      <c r="K9" s="71" t="str">
        <f t="shared" si="4"/>
        <v/>
      </c>
      <c r="L9" s="71" t="str">
        <f t="shared" si="5"/>
        <v/>
      </c>
    </row>
    <row r="10" ht="22.5" customHeight="1">
      <c r="A10" s="16"/>
      <c r="B10" s="15"/>
      <c r="C10" s="14" t="str">
        <f t="shared" si="8"/>
        <v>#REF!</v>
      </c>
      <c r="D10" s="14"/>
      <c r="E10" s="14"/>
      <c r="F10" s="66">
        <f t="shared" si="1"/>
        <v>0</v>
      </c>
      <c r="G10" s="89" t="str">
        <f t="shared" si="2"/>
        <v>#REF!</v>
      </c>
      <c r="H10" s="17" t="str">
        <f t="shared" si="7"/>
        <v>#REF!</v>
      </c>
      <c r="I10" s="69" t="str">
        <f t="shared" si="3"/>
        <v/>
      </c>
      <c r="J10" s="70"/>
      <c r="K10" s="71" t="str">
        <f t="shared" si="4"/>
        <v/>
      </c>
      <c r="L10" s="71" t="str">
        <f t="shared" si="5"/>
        <v/>
      </c>
    </row>
    <row r="11" ht="22.5" customHeight="1">
      <c r="A11" s="16"/>
      <c r="B11" s="15"/>
      <c r="C11" s="14" t="str">
        <f t="shared" si="8"/>
        <v>#REF!</v>
      </c>
      <c r="D11" s="14"/>
      <c r="E11" s="14"/>
      <c r="F11" s="66">
        <f t="shared" si="1"/>
        <v>0</v>
      </c>
      <c r="G11" s="89" t="str">
        <f t="shared" si="2"/>
        <v>#REF!</v>
      </c>
      <c r="H11" s="17" t="str">
        <f t="shared" si="7"/>
        <v>#REF!</v>
      </c>
      <c r="I11" s="58" t="str">
        <f t="shared" si="3"/>
        <v>#REF!</v>
      </c>
      <c r="J11" s="67">
        <v>10.0</v>
      </c>
      <c r="K11" s="60" t="str">
        <f t="shared" si="4"/>
        <v>#REF!</v>
      </c>
      <c r="L11" s="61" t="str">
        <f t="shared" si="5"/>
        <v>#REF!</v>
      </c>
    </row>
    <row r="12" ht="22.5" customHeight="1">
      <c r="A12" s="16"/>
      <c r="B12" s="15"/>
      <c r="C12" s="14" t="str">
        <f t="shared" si="8"/>
        <v>#REF!</v>
      </c>
      <c r="D12" s="14"/>
      <c r="E12" s="14"/>
      <c r="F12" s="66">
        <f t="shared" si="1"/>
        <v>0</v>
      </c>
      <c r="G12" s="89" t="str">
        <f t="shared" si="2"/>
        <v>#REF!</v>
      </c>
      <c r="H12" s="17" t="str">
        <f t="shared" si="7"/>
        <v>#REF!</v>
      </c>
      <c r="I12" s="69" t="str">
        <f t="shared" si="3"/>
        <v>#REF!</v>
      </c>
      <c r="J12" s="70">
        <v>1.0</v>
      </c>
      <c r="K12" s="71" t="str">
        <f t="shared" si="4"/>
        <v>#REF!</v>
      </c>
      <c r="L12" s="71" t="str">
        <f t="shared" si="5"/>
        <v>#REF!</v>
      </c>
    </row>
    <row r="13" ht="22.5" customHeight="1">
      <c r="A13" s="16"/>
      <c r="B13" s="15"/>
      <c r="C13" s="14" t="str">
        <f t="shared" si="8"/>
        <v>#REF!</v>
      </c>
      <c r="D13" s="14"/>
      <c r="E13" s="14"/>
      <c r="F13" s="66">
        <f t="shared" si="1"/>
        <v>0</v>
      </c>
      <c r="G13" s="89" t="str">
        <f t="shared" si="2"/>
        <v>#REF!</v>
      </c>
      <c r="H13" s="17" t="str">
        <f t="shared" si="7"/>
        <v>#REF!</v>
      </c>
      <c r="I13" s="69" t="str">
        <f t="shared" si="3"/>
        <v>#REF!</v>
      </c>
      <c r="J13" s="70">
        <v>3.0</v>
      </c>
      <c r="K13" s="71" t="str">
        <f t="shared" si="4"/>
        <v>#REF!</v>
      </c>
      <c r="L13" s="71" t="str">
        <f t="shared" si="5"/>
        <v>#REF!</v>
      </c>
    </row>
    <row r="14" ht="22.5" customHeight="1">
      <c r="A14" s="16"/>
      <c r="B14" s="15"/>
      <c r="C14" s="14" t="str">
        <f t="shared" si="8"/>
        <v>#REF!</v>
      </c>
      <c r="D14" s="14"/>
      <c r="E14" s="14"/>
      <c r="F14" s="66">
        <f t="shared" si="1"/>
        <v>0</v>
      </c>
      <c r="G14" s="89" t="str">
        <f t="shared" si="2"/>
        <v>#REF!</v>
      </c>
      <c r="H14" s="17" t="str">
        <f t="shared" si="7"/>
        <v>#REF!</v>
      </c>
      <c r="I14" s="69" t="str">
        <f t="shared" si="3"/>
        <v>#REF!</v>
      </c>
      <c r="J14" s="70">
        <v>3.0</v>
      </c>
      <c r="K14" s="71" t="str">
        <f t="shared" si="4"/>
        <v>#REF!</v>
      </c>
      <c r="L14" s="71" t="str">
        <f t="shared" si="5"/>
        <v>#REF!</v>
      </c>
    </row>
    <row r="15" ht="22.5" customHeight="1">
      <c r="A15" s="16"/>
      <c r="B15" s="15"/>
      <c r="C15" s="14" t="str">
        <f t="shared" si="8"/>
        <v>#REF!</v>
      </c>
      <c r="D15" s="14"/>
      <c r="E15" s="14"/>
      <c r="F15" s="66">
        <f t="shared" si="1"/>
        <v>0</v>
      </c>
      <c r="G15" s="89" t="str">
        <f t="shared" si="2"/>
        <v>#REF!</v>
      </c>
      <c r="H15" s="17" t="str">
        <f t="shared" si="7"/>
        <v>#REF!</v>
      </c>
      <c r="I15" s="69" t="str">
        <f t="shared" si="3"/>
        <v>#REF!</v>
      </c>
      <c r="J15" s="70">
        <v>10.0</v>
      </c>
      <c r="K15" s="71" t="str">
        <f t="shared" si="4"/>
        <v>#REF!</v>
      </c>
      <c r="L15" s="71" t="str">
        <f t="shared" si="5"/>
        <v>#REF!</v>
      </c>
    </row>
    <row r="16" ht="22.5" customHeight="1">
      <c r="A16" s="16"/>
      <c r="B16" s="15"/>
      <c r="C16" s="14" t="str">
        <f t="shared" si="8"/>
        <v>#REF!</v>
      </c>
      <c r="D16" s="14"/>
      <c r="E16" s="14"/>
      <c r="F16" s="66">
        <f t="shared" si="1"/>
        <v>0</v>
      </c>
      <c r="G16" s="89" t="str">
        <f t="shared" si="2"/>
        <v>#REF!</v>
      </c>
      <c r="H16" s="17" t="str">
        <f t="shared" si="7"/>
        <v>#REF!</v>
      </c>
      <c r="I16" s="69" t="str">
        <f t="shared" si="3"/>
        <v>#REF!</v>
      </c>
      <c r="J16" s="70">
        <v>7.0</v>
      </c>
      <c r="K16" s="71" t="str">
        <f t="shared" si="4"/>
        <v>#REF!</v>
      </c>
      <c r="L16" s="71" t="str">
        <f t="shared" si="5"/>
        <v>#REF!</v>
      </c>
    </row>
    <row r="17" ht="22.5" customHeight="1">
      <c r="A17" s="16"/>
      <c r="B17" s="15"/>
      <c r="C17" s="14"/>
      <c r="D17" s="14"/>
      <c r="E17" s="14"/>
      <c r="F17" s="66">
        <f t="shared" si="1"/>
        <v>0</v>
      </c>
      <c r="G17" s="89">
        <f t="shared" si="2"/>
        <v>0</v>
      </c>
      <c r="H17" s="17">
        <f t="shared" si="7"/>
        <v>0</v>
      </c>
      <c r="I17" s="69" t="str">
        <f t="shared" si="3"/>
        <v/>
      </c>
      <c r="J17" s="70"/>
      <c r="K17" s="71" t="str">
        <f t="shared" si="4"/>
        <v/>
      </c>
      <c r="L17" s="71" t="str">
        <f t="shared" si="5"/>
        <v/>
      </c>
    </row>
    <row r="18" ht="22.5" customHeight="1">
      <c r="A18" s="16"/>
      <c r="B18" s="15"/>
      <c r="C18" s="14"/>
      <c r="D18" s="14"/>
      <c r="E18" s="14"/>
      <c r="F18" s="66">
        <f t="shared" si="1"/>
        <v>0</v>
      </c>
      <c r="G18" s="89">
        <f t="shared" si="2"/>
        <v>0</v>
      </c>
      <c r="H18" s="17">
        <f t="shared" si="7"/>
        <v>0</v>
      </c>
      <c r="I18" s="69" t="str">
        <f t="shared" si="3"/>
        <v/>
      </c>
      <c r="J18" s="70"/>
      <c r="K18" s="71" t="str">
        <f t="shared" si="4"/>
        <v/>
      </c>
      <c r="L18" s="71" t="str">
        <f t="shared" si="5"/>
        <v/>
      </c>
    </row>
    <row r="19" ht="22.5" customHeight="1">
      <c r="A19" s="16"/>
      <c r="B19" s="15"/>
      <c r="C19" s="14"/>
      <c r="D19" s="14"/>
      <c r="E19" s="14"/>
      <c r="F19" s="66">
        <f t="shared" si="1"/>
        <v>0</v>
      </c>
      <c r="G19" s="89">
        <f t="shared" si="2"/>
        <v>0</v>
      </c>
      <c r="H19" s="17">
        <f t="shared" si="7"/>
        <v>0</v>
      </c>
      <c r="I19" s="69" t="str">
        <f t="shared" si="3"/>
        <v/>
      </c>
      <c r="J19" s="70"/>
      <c r="K19" s="71" t="str">
        <f t="shared" si="4"/>
        <v/>
      </c>
      <c r="L19" s="71" t="str">
        <f t="shared" si="5"/>
        <v/>
      </c>
    </row>
    <row r="20" ht="22.5" customHeight="1">
      <c r="A20" s="16"/>
      <c r="B20" s="15"/>
      <c r="C20" s="14"/>
      <c r="D20" s="14"/>
      <c r="E20" s="14"/>
      <c r="F20" s="66">
        <f t="shared" si="1"/>
        <v>0</v>
      </c>
      <c r="G20" s="89">
        <f t="shared" si="2"/>
        <v>0</v>
      </c>
      <c r="H20" s="17">
        <f t="shared" si="7"/>
        <v>0</v>
      </c>
      <c r="I20" s="69" t="str">
        <f t="shared" si="3"/>
        <v/>
      </c>
      <c r="J20" s="70"/>
      <c r="K20" s="71" t="str">
        <f t="shared" si="4"/>
        <v/>
      </c>
      <c r="L20" s="71" t="str">
        <f t="shared" si="5"/>
        <v/>
      </c>
    </row>
    <row r="21" ht="22.5" customHeight="1">
      <c r="A21" s="16"/>
      <c r="B21" s="15"/>
      <c r="C21" s="14"/>
      <c r="D21" s="14"/>
      <c r="E21" s="14"/>
      <c r="F21" s="66">
        <f t="shared" si="1"/>
        <v>0</v>
      </c>
      <c r="G21" s="89">
        <f t="shared" si="2"/>
        <v>0</v>
      </c>
      <c r="H21" s="17">
        <f t="shared" si="7"/>
        <v>0</v>
      </c>
      <c r="I21" s="69" t="str">
        <f t="shared" si="3"/>
        <v/>
      </c>
      <c r="J21" s="70"/>
      <c r="K21" s="71" t="str">
        <f t="shared" si="4"/>
        <v/>
      </c>
      <c r="L21" s="71" t="str">
        <f t="shared" si="5"/>
        <v/>
      </c>
    </row>
    <row r="22" ht="22.5" customHeight="1">
      <c r="A22" s="16"/>
      <c r="B22" s="15"/>
      <c r="C22" s="14"/>
      <c r="D22" s="14"/>
      <c r="E22" s="14"/>
      <c r="F22" s="66">
        <f t="shared" si="1"/>
        <v>0</v>
      </c>
      <c r="G22" s="89">
        <f t="shared" si="2"/>
        <v>0</v>
      </c>
      <c r="H22" s="17">
        <f t="shared" si="7"/>
        <v>0</v>
      </c>
      <c r="I22" s="69" t="str">
        <f t="shared" si="3"/>
        <v/>
      </c>
      <c r="J22" s="70"/>
      <c r="K22" s="71" t="str">
        <f t="shared" si="4"/>
        <v/>
      </c>
      <c r="L22" s="71" t="str">
        <f t="shared" si="5"/>
        <v/>
      </c>
    </row>
    <row r="23" ht="22.5" customHeight="1">
      <c r="A23" s="16"/>
      <c r="B23" s="15"/>
      <c r="C23" s="14"/>
      <c r="D23" s="14"/>
      <c r="E23" s="14"/>
      <c r="F23" s="66">
        <f t="shared" si="1"/>
        <v>0</v>
      </c>
      <c r="G23" s="89">
        <f t="shared" si="2"/>
        <v>0</v>
      </c>
      <c r="H23" s="17">
        <f t="shared" si="7"/>
        <v>0</v>
      </c>
      <c r="I23" s="69" t="str">
        <f t="shared" si="3"/>
        <v/>
      </c>
      <c r="J23" s="70"/>
      <c r="K23" s="71" t="str">
        <f t="shared" si="4"/>
        <v/>
      </c>
      <c r="L23" s="71" t="str">
        <f t="shared" si="5"/>
        <v/>
      </c>
    </row>
    <row r="24" ht="22.5" customHeight="1">
      <c r="A24" s="16"/>
      <c r="B24" s="15"/>
      <c r="C24" s="14"/>
      <c r="D24" s="14"/>
      <c r="E24" s="14"/>
      <c r="F24" s="66">
        <f t="shared" si="1"/>
        <v>0</v>
      </c>
      <c r="G24" s="89">
        <f t="shared" si="2"/>
        <v>0</v>
      </c>
      <c r="H24" s="17">
        <f t="shared" si="7"/>
        <v>0</v>
      </c>
      <c r="I24" s="69" t="str">
        <f t="shared" si="3"/>
        <v/>
      </c>
      <c r="J24" s="70"/>
      <c r="K24" s="71" t="str">
        <f t="shared" si="4"/>
        <v/>
      </c>
      <c r="L24" s="71" t="str">
        <f t="shared" si="5"/>
        <v/>
      </c>
    </row>
    <row r="25" ht="22.5" customHeight="1">
      <c r="A25" s="16"/>
      <c r="B25" s="15"/>
      <c r="C25" s="14"/>
      <c r="D25" s="14"/>
      <c r="E25" s="14"/>
      <c r="F25" s="66">
        <f t="shared" si="1"/>
        <v>0</v>
      </c>
      <c r="G25" s="89">
        <f t="shared" si="2"/>
        <v>0</v>
      </c>
      <c r="H25" s="17">
        <f t="shared" si="7"/>
        <v>0</v>
      </c>
      <c r="I25" s="69" t="str">
        <f t="shared" si="3"/>
        <v/>
      </c>
      <c r="J25" s="70"/>
      <c r="K25" s="71" t="str">
        <f t="shared" si="4"/>
        <v/>
      </c>
      <c r="L25" s="71" t="str">
        <f t="shared" si="5"/>
        <v/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25">
      <formula1>OR(NOT(ISERROR(DATEVALUE(A2))), AND(ISNUMBER(A2), LEFT(CELL("format", A2))="D"))</formula1>
    </dataValidation>
    <dataValidation type="custom" allowBlank="1" showDropDown="1" sqref="C2:L25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26.38"/>
    <col customWidth="1" min="3" max="6" width="12.63"/>
    <col customWidth="1" min="11" max="11" width="15.63"/>
  </cols>
  <sheetData>
    <row r="1" ht="22.5" customHeight="1">
      <c r="A1" s="47" t="s">
        <v>30</v>
      </c>
      <c r="B1" s="47" t="s">
        <v>31</v>
      </c>
      <c r="C1" s="47" t="s">
        <v>32</v>
      </c>
      <c r="D1" s="47" t="s">
        <v>23</v>
      </c>
      <c r="E1" s="47" t="s">
        <v>33</v>
      </c>
      <c r="F1" s="47" t="s">
        <v>24</v>
      </c>
      <c r="G1" s="47" t="s">
        <v>8</v>
      </c>
      <c r="H1" s="47" t="s">
        <v>34</v>
      </c>
      <c r="I1" s="47" t="s">
        <v>35</v>
      </c>
      <c r="J1" s="47" t="s">
        <v>10</v>
      </c>
      <c r="K1" s="47" t="s">
        <v>36</v>
      </c>
      <c r="L1" s="47" t="s">
        <v>14</v>
      </c>
      <c r="M1" s="48"/>
      <c r="N1" s="49" t="str">
        <f>OB_Feb_2025!B8</f>
        <v>အဖုံ ပိတ်လိပ်</v>
      </c>
      <c r="O1" s="50">
        <f>OB_Feb_2025!A8</f>
        <v>12106</v>
      </c>
    </row>
    <row r="2" ht="22.5" customHeight="1">
      <c r="A2" s="51" t="str">
        <f>IFERROR(__xludf.DUMMYFUNCTION("QUERY(IMPORTRANGE(""https://docs.google.com/spreadsheets/d/1sOBA95jI3gUTkNtq3pD8Ob7Zb_EY63WYXvHKt7aiQk8/edit?gid=2092145476#gid=2092145476"",""Daily Record - Raw Material Purchases!B4:T500""),""SELECT Col13 WHERE Col6 = 12106"",0)"),"#REF!")</f>
        <v>#REF!</v>
      </c>
      <c r="B2" s="52" t="str">
        <f>IFERROR(__xludf.DUMMYFUNCTION("QUERY(IMPORTRANGE(""https://docs.google.com/spreadsheets/d/1sOBA95jI3gUTkNtq3pD8Ob7Zb_EY63WYXvHKt7aiQk8/edit?gid=2092145476#gid=2092145476"",""Daily Record - Raw Material Purchases!B4:T500""),""SELECT Col4 WHERE Col6 = 12106"",0)"),"#REF!")</f>
        <v>#REF!</v>
      </c>
      <c r="C2" s="81">
        <f>OB_Feb_2025!D8</f>
        <v>40</v>
      </c>
      <c r="D2" s="87" t="str">
        <f>IFERROR(__xludf.DUMMYFUNCTION("QUERY(IMPORTRANGE(""https://docs.google.com/spreadsheets/d/1sOBA95jI3gUTkNtq3pD8Ob7Zb_EY63WYXvHKt7aiQk8/edit?gid=2092145476#gid=2092145476"",""Daily Record - Raw Material Purchases!B4:T500""),""SELECT Col8 WHERE Col6 = 12106"",0)"),"#REF!")</f>
        <v>#REF!</v>
      </c>
      <c r="E2" s="56" t="str">
        <f>IFERROR(__xludf.DUMMYFUNCTION("QUERY(IMPORTRANGE(""https://docs.google.com/spreadsheets/d/1sOBA95jI3gUTkNtq3pD8Ob7Zb_EY63WYXvHKt7aiQk8/edit?gid=2092145476#gid=2092145476"",""Daily Record - Raw Material Purchases!B4:T500""),""SELECT Col12 WHERE Col6 = 12106"",0)"),"#REF!")</f>
        <v>#REF!</v>
      </c>
      <c r="F2" s="55" t="str">
        <f t="shared" ref="F2:F16" si="1">D2*E2</f>
        <v>#REF!</v>
      </c>
      <c r="G2" s="87" t="str">
        <f t="shared" ref="G2:G16" si="2">D2+C2</f>
        <v>#REF!</v>
      </c>
      <c r="H2" s="57" t="str">
        <f>IF(G2=0,0,((C2*OB_Feb_2025!E8)+(D2*E2))/G2)</f>
        <v>#REF!</v>
      </c>
      <c r="I2" s="58" t="str">
        <f t="shared" ref="I2:I16" si="3">IF(ISBLANK(J2),"",G2-J2)</f>
        <v>#REF!</v>
      </c>
      <c r="J2" s="73">
        <f>OB_Mar_2025!D10</f>
        <v>75</v>
      </c>
      <c r="K2" s="60" t="str">
        <f t="shared" ref="K2:K16" si="4">IF(ISBLANK(J2),"",J2*H2)</f>
        <v>#REF!</v>
      </c>
      <c r="L2" s="61" t="str">
        <f t="shared" ref="L2:L16" si="5">IF(ISBLANK(J2),"",I2*H2)</f>
        <v>#REF!</v>
      </c>
    </row>
    <row r="3" ht="22.5" customHeight="1">
      <c r="A3" s="16"/>
      <c r="B3" s="15"/>
      <c r="C3" s="14" t="str">
        <f t="shared" ref="C3:C10" si="6">G2-I2</f>
        <v>#REF!</v>
      </c>
      <c r="D3" s="14"/>
      <c r="E3" s="14"/>
      <c r="F3" s="55">
        <f t="shared" si="1"/>
        <v>0</v>
      </c>
      <c r="G3" s="87" t="str">
        <f t="shared" si="2"/>
        <v>#REF!</v>
      </c>
      <c r="H3" s="17" t="str">
        <f t="shared" ref="H3:H16" si="7">IF(G3=0,0,((C3*H2)+(D3*E3))/G3)</f>
        <v>#REF!</v>
      </c>
      <c r="I3" s="58" t="str">
        <f t="shared" si="3"/>
        <v>#REF!</v>
      </c>
      <c r="J3" s="76">
        <v>47.0</v>
      </c>
      <c r="K3" s="60" t="str">
        <f t="shared" si="4"/>
        <v>#REF!</v>
      </c>
      <c r="L3" s="61" t="str">
        <f t="shared" si="5"/>
        <v>#REF!</v>
      </c>
    </row>
    <row r="4" ht="22.5" customHeight="1">
      <c r="A4" s="16"/>
      <c r="B4" s="15"/>
      <c r="C4" s="14" t="str">
        <f t="shared" si="6"/>
        <v>#REF!</v>
      </c>
      <c r="D4" s="14"/>
      <c r="E4" s="14"/>
      <c r="F4" s="66">
        <f t="shared" si="1"/>
        <v>0</v>
      </c>
      <c r="G4" s="89" t="str">
        <f t="shared" si="2"/>
        <v>#REF!</v>
      </c>
      <c r="H4" s="17" t="str">
        <f t="shared" si="7"/>
        <v>#REF!</v>
      </c>
      <c r="I4" s="58" t="str">
        <f t="shared" si="3"/>
        <v>#REF!</v>
      </c>
      <c r="J4" s="76">
        <v>29.0</v>
      </c>
      <c r="K4" s="60" t="str">
        <f t="shared" si="4"/>
        <v>#REF!</v>
      </c>
      <c r="L4" s="61" t="str">
        <f t="shared" si="5"/>
        <v>#REF!</v>
      </c>
    </row>
    <row r="5" ht="22.5" customHeight="1">
      <c r="A5" s="16"/>
      <c r="B5" s="15"/>
      <c r="C5" s="14" t="str">
        <f t="shared" si="6"/>
        <v>#REF!</v>
      </c>
      <c r="D5" s="14"/>
      <c r="E5" s="14"/>
      <c r="F5" s="66">
        <f t="shared" si="1"/>
        <v>0</v>
      </c>
      <c r="G5" s="89" t="str">
        <f t="shared" si="2"/>
        <v>#REF!</v>
      </c>
      <c r="H5" s="17" t="str">
        <f t="shared" si="7"/>
        <v>#REF!</v>
      </c>
      <c r="I5" s="58" t="str">
        <f t="shared" si="3"/>
        <v>#REF!</v>
      </c>
      <c r="J5" s="76">
        <v>48.0</v>
      </c>
      <c r="K5" s="60" t="str">
        <f t="shared" si="4"/>
        <v>#REF!</v>
      </c>
      <c r="L5" s="61" t="str">
        <f t="shared" si="5"/>
        <v>#REF!</v>
      </c>
    </row>
    <row r="6" ht="22.5" customHeight="1">
      <c r="A6" s="16"/>
      <c r="B6" s="15"/>
      <c r="C6" s="14" t="str">
        <f t="shared" si="6"/>
        <v>#REF!</v>
      </c>
      <c r="D6" s="14"/>
      <c r="E6" s="14"/>
      <c r="F6" s="66">
        <f t="shared" si="1"/>
        <v>0</v>
      </c>
      <c r="G6" s="89" t="str">
        <f t="shared" si="2"/>
        <v>#REF!</v>
      </c>
      <c r="H6" s="17" t="str">
        <f t="shared" si="7"/>
        <v>#REF!</v>
      </c>
      <c r="I6" s="69" t="str">
        <f t="shared" si="3"/>
        <v>#REF!</v>
      </c>
      <c r="J6" s="77">
        <v>23.0</v>
      </c>
      <c r="K6" s="71" t="str">
        <f t="shared" si="4"/>
        <v>#REF!</v>
      </c>
      <c r="L6" s="71" t="str">
        <f t="shared" si="5"/>
        <v>#REF!</v>
      </c>
    </row>
    <row r="7" ht="22.5" customHeight="1">
      <c r="A7" s="16"/>
      <c r="B7" s="15"/>
      <c r="C7" s="14" t="str">
        <f t="shared" si="6"/>
        <v>#REF!</v>
      </c>
      <c r="D7" s="14"/>
      <c r="E7" s="14"/>
      <c r="F7" s="66">
        <f t="shared" si="1"/>
        <v>0</v>
      </c>
      <c r="G7" s="89" t="str">
        <f t="shared" si="2"/>
        <v>#REF!</v>
      </c>
      <c r="H7" s="17" t="str">
        <f t="shared" si="7"/>
        <v>#REF!</v>
      </c>
      <c r="I7" s="69" t="str">
        <f t="shared" si="3"/>
        <v>#REF!</v>
      </c>
      <c r="J7" s="77">
        <v>6.0</v>
      </c>
      <c r="K7" s="71" t="str">
        <f t="shared" si="4"/>
        <v>#REF!</v>
      </c>
      <c r="L7" s="71" t="str">
        <f t="shared" si="5"/>
        <v>#REF!</v>
      </c>
    </row>
    <row r="8" ht="22.5" customHeight="1">
      <c r="A8" s="16"/>
      <c r="B8" s="15"/>
      <c r="C8" s="14" t="str">
        <f t="shared" si="6"/>
        <v>#REF!</v>
      </c>
      <c r="D8" s="14"/>
      <c r="E8" s="14"/>
      <c r="F8" s="66">
        <f t="shared" si="1"/>
        <v>0</v>
      </c>
      <c r="G8" s="89" t="str">
        <f t="shared" si="2"/>
        <v>#REF!</v>
      </c>
      <c r="H8" s="17" t="str">
        <f t="shared" si="7"/>
        <v>#REF!</v>
      </c>
      <c r="I8" s="69" t="str">
        <f t="shared" si="3"/>
        <v>#REF!</v>
      </c>
      <c r="J8" s="77">
        <v>58.0</v>
      </c>
      <c r="K8" s="71" t="str">
        <f t="shared" si="4"/>
        <v>#REF!</v>
      </c>
      <c r="L8" s="71" t="str">
        <f t="shared" si="5"/>
        <v>#REF!</v>
      </c>
    </row>
    <row r="9" ht="22.5" customHeight="1">
      <c r="A9" s="16"/>
      <c r="B9" s="15"/>
      <c r="C9" s="14" t="str">
        <f t="shared" si="6"/>
        <v>#REF!</v>
      </c>
      <c r="D9" s="14"/>
      <c r="E9" s="14"/>
      <c r="F9" s="66">
        <f t="shared" si="1"/>
        <v>0</v>
      </c>
      <c r="G9" s="89" t="str">
        <f t="shared" si="2"/>
        <v>#REF!</v>
      </c>
      <c r="H9" s="17" t="str">
        <f t="shared" si="7"/>
        <v>#REF!</v>
      </c>
      <c r="I9" s="69" t="str">
        <f t="shared" si="3"/>
        <v>#REF!</v>
      </c>
      <c r="J9" s="77">
        <v>51.0</v>
      </c>
      <c r="K9" s="71" t="str">
        <f t="shared" si="4"/>
        <v>#REF!</v>
      </c>
      <c r="L9" s="71" t="str">
        <f t="shared" si="5"/>
        <v>#REF!</v>
      </c>
    </row>
    <row r="10" ht="22.5" customHeight="1">
      <c r="A10" s="16"/>
      <c r="B10" s="15"/>
      <c r="C10" s="14" t="str">
        <f t="shared" si="6"/>
        <v>#REF!</v>
      </c>
      <c r="D10" s="14"/>
      <c r="E10" s="14"/>
      <c r="F10" s="66">
        <f t="shared" si="1"/>
        <v>0</v>
      </c>
      <c r="G10" s="89" t="str">
        <f t="shared" si="2"/>
        <v>#REF!</v>
      </c>
      <c r="H10" s="17" t="str">
        <f t="shared" si="7"/>
        <v>#REF!</v>
      </c>
      <c r="I10" s="69" t="str">
        <f t="shared" si="3"/>
        <v>#REF!</v>
      </c>
      <c r="J10" s="77">
        <v>28.0</v>
      </c>
      <c r="K10" s="71" t="str">
        <f t="shared" si="4"/>
        <v>#REF!</v>
      </c>
      <c r="L10" s="71" t="str">
        <f t="shared" si="5"/>
        <v>#REF!</v>
      </c>
    </row>
    <row r="11" ht="22.5" customHeight="1">
      <c r="A11" s="16"/>
      <c r="B11" s="15"/>
      <c r="C11" s="14"/>
      <c r="D11" s="14"/>
      <c r="E11" s="14"/>
      <c r="F11" s="66">
        <f t="shared" si="1"/>
        <v>0</v>
      </c>
      <c r="G11" s="89">
        <f t="shared" si="2"/>
        <v>0</v>
      </c>
      <c r="H11" s="17">
        <f t="shared" si="7"/>
        <v>0</v>
      </c>
      <c r="I11" s="69" t="str">
        <f t="shared" si="3"/>
        <v/>
      </c>
      <c r="J11" s="77"/>
      <c r="K11" s="71" t="str">
        <f t="shared" si="4"/>
        <v/>
      </c>
      <c r="L11" s="71" t="str">
        <f t="shared" si="5"/>
        <v/>
      </c>
    </row>
    <row r="12" ht="22.5" customHeight="1">
      <c r="A12" s="16"/>
      <c r="B12" s="15"/>
      <c r="C12" s="14"/>
      <c r="D12" s="14"/>
      <c r="E12" s="14"/>
      <c r="F12" s="66">
        <f t="shared" si="1"/>
        <v>0</v>
      </c>
      <c r="G12" s="89">
        <f t="shared" si="2"/>
        <v>0</v>
      </c>
      <c r="H12" s="17">
        <f t="shared" si="7"/>
        <v>0</v>
      </c>
      <c r="I12" s="69" t="str">
        <f t="shared" si="3"/>
        <v/>
      </c>
      <c r="J12" s="77"/>
      <c r="K12" s="71" t="str">
        <f t="shared" si="4"/>
        <v/>
      </c>
      <c r="L12" s="71" t="str">
        <f t="shared" si="5"/>
        <v/>
      </c>
    </row>
    <row r="13" ht="22.5" customHeight="1">
      <c r="A13" s="16"/>
      <c r="B13" s="15"/>
      <c r="C13" s="14"/>
      <c r="D13" s="14"/>
      <c r="E13" s="14"/>
      <c r="F13" s="66">
        <f t="shared" si="1"/>
        <v>0</v>
      </c>
      <c r="G13" s="89">
        <f t="shared" si="2"/>
        <v>0</v>
      </c>
      <c r="H13" s="17">
        <f t="shared" si="7"/>
        <v>0</v>
      </c>
      <c r="I13" s="69" t="str">
        <f t="shared" si="3"/>
        <v/>
      </c>
      <c r="J13" s="77"/>
      <c r="K13" s="71" t="str">
        <f t="shared" si="4"/>
        <v/>
      </c>
      <c r="L13" s="71" t="str">
        <f t="shared" si="5"/>
        <v/>
      </c>
    </row>
    <row r="14" ht="22.5" customHeight="1">
      <c r="A14" s="16"/>
      <c r="B14" s="15"/>
      <c r="C14" s="14"/>
      <c r="D14" s="14"/>
      <c r="E14" s="14"/>
      <c r="F14" s="66">
        <f t="shared" si="1"/>
        <v>0</v>
      </c>
      <c r="G14" s="89">
        <f t="shared" si="2"/>
        <v>0</v>
      </c>
      <c r="H14" s="17">
        <f t="shared" si="7"/>
        <v>0</v>
      </c>
      <c r="I14" s="69" t="str">
        <f t="shared" si="3"/>
        <v/>
      </c>
      <c r="J14" s="77"/>
      <c r="K14" s="71" t="str">
        <f t="shared" si="4"/>
        <v/>
      </c>
      <c r="L14" s="71" t="str">
        <f t="shared" si="5"/>
        <v/>
      </c>
    </row>
    <row r="15" ht="22.5" customHeight="1">
      <c r="A15" s="16"/>
      <c r="B15" s="15"/>
      <c r="C15" s="14"/>
      <c r="D15" s="14"/>
      <c r="E15" s="14"/>
      <c r="F15" s="66">
        <f t="shared" si="1"/>
        <v>0</v>
      </c>
      <c r="G15" s="89">
        <f t="shared" si="2"/>
        <v>0</v>
      </c>
      <c r="H15" s="17">
        <f t="shared" si="7"/>
        <v>0</v>
      </c>
      <c r="I15" s="69" t="str">
        <f t="shared" si="3"/>
        <v/>
      </c>
      <c r="J15" s="77"/>
      <c r="K15" s="71" t="str">
        <f t="shared" si="4"/>
        <v/>
      </c>
      <c r="L15" s="71" t="str">
        <f t="shared" si="5"/>
        <v/>
      </c>
    </row>
    <row r="16" ht="22.5" customHeight="1">
      <c r="A16" s="16"/>
      <c r="B16" s="15"/>
      <c r="C16" s="14"/>
      <c r="D16" s="14"/>
      <c r="E16" s="14"/>
      <c r="F16" s="66">
        <f t="shared" si="1"/>
        <v>0</v>
      </c>
      <c r="G16" s="89">
        <f t="shared" si="2"/>
        <v>0</v>
      </c>
      <c r="H16" s="17">
        <f t="shared" si="7"/>
        <v>0</v>
      </c>
      <c r="I16" s="69" t="str">
        <f t="shared" si="3"/>
        <v/>
      </c>
      <c r="J16" s="77"/>
      <c r="K16" s="71" t="str">
        <f t="shared" si="4"/>
        <v/>
      </c>
      <c r="L16" s="71" t="str">
        <f t="shared" si="5"/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16">
      <formula1>OR(NOT(ISERROR(DATEVALUE(A2))), AND(ISNUMBER(A2), LEFT(CELL("format", A2))="D"))</formula1>
    </dataValidation>
    <dataValidation type="custom" allowBlank="1" showDropDown="1" sqref="C2:L16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</cols>
  <sheetData>
    <row r="1" ht="22.5" customHeight="1">
      <c r="A1" s="47" t="s">
        <v>4</v>
      </c>
      <c r="B1" s="47" t="s">
        <v>5</v>
      </c>
      <c r="C1" s="90" t="s">
        <v>6</v>
      </c>
      <c r="D1" s="47" t="s">
        <v>32</v>
      </c>
      <c r="E1" s="10" t="s">
        <v>11</v>
      </c>
      <c r="F1" s="47" t="s">
        <v>38</v>
      </c>
      <c r="G1" s="90" t="s">
        <v>39</v>
      </c>
      <c r="H1" s="47" t="s">
        <v>15</v>
      </c>
    </row>
    <row r="2" ht="22.5" customHeight="1">
      <c r="A2" s="14">
        <v>12100.0</v>
      </c>
      <c r="B2" s="15" t="s">
        <v>40</v>
      </c>
      <c r="C2" s="14" t="s">
        <v>16</v>
      </c>
      <c r="D2" s="84">
        <v>0.0</v>
      </c>
      <c r="E2" s="84">
        <v>14000.0</v>
      </c>
      <c r="F2" s="84">
        <f t="shared" ref="F2:F8" si="1">D2*E2</f>
        <v>0</v>
      </c>
      <c r="G2" s="91">
        <v>45697.0</v>
      </c>
      <c r="H2" s="14" t="s">
        <v>21</v>
      </c>
    </row>
    <row r="3" ht="22.5" customHeight="1">
      <c r="A3" s="14">
        <v>12101.0</v>
      </c>
      <c r="B3" s="15" t="s">
        <v>41</v>
      </c>
      <c r="C3" s="14" t="s">
        <v>18</v>
      </c>
      <c r="D3" s="84">
        <v>0.0</v>
      </c>
      <c r="E3" s="84">
        <v>1010.0</v>
      </c>
      <c r="F3" s="84">
        <f t="shared" si="1"/>
        <v>0</v>
      </c>
      <c r="G3" s="92">
        <v>45697.0</v>
      </c>
      <c r="H3" s="14" t="s">
        <v>21</v>
      </c>
    </row>
    <row r="4" ht="22.5" customHeight="1">
      <c r="A4" s="14">
        <v>12102.0</v>
      </c>
      <c r="B4" s="15" t="s">
        <v>42</v>
      </c>
      <c r="C4" s="14" t="s">
        <v>18</v>
      </c>
      <c r="D4" s="84">
        <v>302.0</v>
      </c>
      <c r="E4" s="84">
        <v>1150.0</v>
      </c>
      <c r="F4" s="84">
        <f t="shared" si="1"/>
        <v>347300</v>
      </c>
      <c r="G4" s="91">
        <v>45697.0</v>
      </c>
      <c r="H4" s="14" t="s">
        <v>21</v>
      </c>
      <c r="L4" s="8">
        <f>SUM(OB_Feb_2025!$F$2:$F$8)</f>
        <v>7899300</v>
      </c>
    </row>
    <row r="5" ht="22.5" customHeight="1">
      <c r="A5" s="14">
        <v>12103.0</v>
      </c>
      <c r="B5" s="15" t="s">
        <v>43</v>
      </c>
      <c r="C5" s="14" t="s">
        <v>19</v>
      </c>
      <c r="D5" s="84">
        <v>0.0</v>
      </c>
      <c r="E5" s="84">
        <v>33.0</v>
      </c>
      <c r="F5" s="84">
        <f t="shared" si="1"/>
        <v>0</v>
      </c>
      <c r="G5" s="16">
        <v>45697.0</v>
      </c>
      <c r="H5" s="14" t="s">
        <v>21</v>
      </c>
      <c r="L5" s="8">
        <v>3.5537429E7</v>
      </c>
    </row>
    <row r="6" ht="22.5" customHeight="1">
      <c r="A6" s="14">
        <v>12104.0</v>
      </c>
      <c r="B6" s="15" t="s">
        <v>44</v>
      </c>
      <c r="C6" s="14" t="s">
        <v>19</v>
      </c>
      <c r="D6" s="84">
        <v>4000.0</v>
      </c>
      <c r="E6" s="84">
        <v>38.0</v>
      </c>
      <c r="F6" s="84">
        <f t="shared" si="1"/>
        <v>152000</v>
      </c>
      <c r="G6" s="16">
        <v>45697.0</v>
      </c>
      <c r="H6" s="14" t="s">
        <v>21</v>
      </c>
      <c r="L6" s="8">
        <f>L4+L5</f>
        <v>43436729</v>
      </c>
    </row>
    <row r="7" ht="22.5" customHeight="1">
      <c r="A7" s="14">
        <v>12105.0</v>
      </c>
      <c r="B7" s="15" t="s">
        <v>45</v>
      </c>
      <c r="C7" s="14" t="s">
        <v>20</v>
      </c>
      <c r="D7" s="84">
        <v>0.0</v>
      </c>
      <c r="E7" s="84">
        <v>13200.0</v>
      </c>
      <c r="F7" s="84">
        <f t="shared" si="1"/>
        <v>0</v>
      </c>
      <c r="G7" s="16">
        <v>45697.0</v>
      </c>
      <c r="H7" s="14" t="s">
        <v>21</v>
      </c>
    </row>
    <row r="8" ht="22.5" customHeight="1">
      <c r="A8" s="14">
        <v>12106.0</v>
      </c>
      <c r="B8" s="15" t="s">
        <v>46</v>
      </c>
      <c r="C8" s="14" t="s">
        <v>20</v>
      </c>
      <c r="D8" s="84">
        <v>40.0</v>
      </c>
      <c r="E8" s="84">
        <v>185000.0</v>
      </c>
      <c r="F8" s="84">
        <f t="shared" si="1"/>
        <v>7400000</v>
      </c>
      <c r="G8" s="16">
        <v>45697.0</v>
      </c>
      <c r="H8" s="14" t="s">
        <v>17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>
      <c r="J19" s="8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C8">
      <formula1>"Kg,Box,Pack,Cup,Roll,Bag"</formula1>
    </dataValidation>
    <dataValidation type="custom" allowBlank="1" showDropDown="1" sqref="D2:F8">
      <formula1>AND(ISNUMBER(D2),(NOT(OR(NOT(ISERROR(DATEVALUE(D2))), AND(ISNUMBER(D2), LEFT(CELL("format", D2))="D")))))</formula1>
    </dataValidation>
    <dataValidation type="list" allowBlank="1" sqref="H2:H8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6">
        <f>SUM(OB_Mar_2025!$F$4:$F$10)</f>
        <v>22801949.65</v>
      </c>
      <c r="G2" s="94"/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>
        <v>12100.0</v>
      </c>
      <c r="B4" s="15" t="s">
        <v>40</v>
      </c>
      <c r="C4" s="14" t="s">
        <v>16</v>
      </c>
      <c r="D4" s="84">
        <v>37.0</v>
      </c>
      <c r="E4" s="84">
        <v>14257.368354506192</v>
      </c>
      <c r="F4" s="84">
        <f t="shared" ref="F4:F10" si="1">D4*E4</f>
        <v>527522.6291</v>
      </c>
      <c r="G4" s="91">
        <v>45717.0</v>
      </c>
      <c r="H4" s="97">
        <f>D4-OB_Feb_2025!D2</f>
        <v>37</v>
      </c>
      <c r="I4" s="98">
        <f>E4/OB_Feb_2025!E2-1</f>
        <v>0.01838345389</v>
      </c>
      <c r="J4" s="14" t="s">
        <v>17</v>
      </c>
      <c r="L4" s="8"/>
      <c r="M4" s="4"/>
    </row>
    <row r="5" ht="22.5" customHeight="1">
      <c r="A5" s="14">
        <v>12101.0</v>
      </c>
      <c r="B5" s="15" t="s">
        <v>41</v>
      </c>
      <c r="C5" s="14" t="s">
        <v>18</v>
      </c>
      <c r="D5" s="84">
        <v>2040.0</v>
      </c>
      <c r="E5" s="84">
        <v>1025.4028624401913</v>
      </c>
      <c r="F5" s="84">
        <f t="shared" si="1"/>
        <v>2091821.839</v>
      </c>
      <c r="G5" s="92">
        <v>45717.0</v>
      </c>
      <c r="H5" s="97">
        <f>D5-OB_Feb_2025!D3</f>
        <v>2040</v>
      </c>
      <c r="I5" s="98">
        <f>E5/OB_Feb_2025!E3-1</f>
        <v>0.01525035885</v>
      </c>
      <c r="J5" s="14" t="s">
        <v>17</v>
      </c>
      <c r="L5" s="8"/>
      <c r="M5" s="4"/>
    </row>
    <row r="6" ht="22.5" customHeight="1">
      <c r="A6" s="14">
        <v>12102.0</v>
      </c>
      <c r="B6" s="15" t="s">
        <v>42</v>
      </c>
      <c r="C6" s="14" t="s">
        <v>18</v>
      </c>
      <c r="D6" s="84">
        <v>2302.0</v>
      </c>
      <c r="E6" s="84">
        <v>1165.2371091915081</v>
      </c>
      <c r="F6" s="84">
        <f t="shared" si="1"/>
        <v>2682375.825</v>
      </c>
      <c r="G6" s="91">
        <v>45717.0</v>
      </c>
      <c r="H6" s="97">
        <f>D6-OB_Feb_2025!D4</f>
        <v>2000</v>
      </c>
      <c r="I6" s="98">
        <f>E6/OB_Feb_2025!E4-1</f>
        <v>0.01324966017</v>
      </c>
      <c r="J6" s="14" t="s">
        <v>17</v>
      </c>
      <c r="L6" s="8"/>
      <c r="M6" s="4"/>
    </row>
    <row r="7" ht="22.5" customHeight="1">
      <c r="A7" s="14">
        <v>12103.0</v>
      </c>
      <c r="B7" s="15" t="s">
        <v>43</v>
      </c>
      <c r="C7" s="14" t="s">
        <v>19</v>
      </c>
      <c r="D7" s="84">
        <v>5000.0</v>
      </c>
      <c r="E7" s="84">
        <v>33.097462251532235</v>
      </c>
      <c r="F7" s="84">
        <f t="shared" si="1"/>
        <v>165487.3113</v>
      </c>
      <c r="G7" s="16">
        <v>45717.0</v>
      </c>
      <c r="H7" s="97">
        <f>D7-OB_Feb_2025!D5</f>
        <v>5000</v>
      </c>
      <c r="I7" s="98">
        <f>E7/OB_Feb_2025!E5-1</f>
        <v>0.002953401562</v>
      </c>
      <c r="J7" s="14" t="s">
        <v>17</v>
      </c>
      <c r="L7" s="8"/>
      <c r="M7" s="4"/>
    </row>
    <row r="8" ht="22.5" customHeight="1">
      <c r="A8" s="14">
        <v>12104.0</v>
      </c>
      <c r="B8" s="15" t="s">
        <v>44</v>
      </c>
      <c r="C8" s="14" t="s">
        <v>19</v>
      </c>
      <c r="D8" s="84">
        <v>95600.0</v>
      </c>
      <c r="E8" s="84">
        <v>38.669372867675975</v>
      </c>
      <c r="F8" s="84">
        <f t="shared" si="1"/>
        <v>3696792.046</v>
      </c>
      <c r="G8" s="16">
        <v>45717.0</v>
      </c>
      <c r="H8" s="97">
        <f>D8-OB_Feb_2025!D6</f>
        <v>91600</v>
      </c>
      <c r="I8" s="98">
        <f>E8/OB_Feb_2025!E6-1</f>
        <v>0.01761507547</v>
      </c>
      <c r="J8" s="14" t="s">
        <v>17</v>
      </c>
      <c r="L8" s="8"/>
      <c r="M8" s="4"/>
    </row>
    <row r="9" ht="22.5" customHeight="1">
      <c r="A9" s="14">
        <v>12105.0</v>
      </c>
      <c r="B9" s="15" t="s">
        <v>45</v>
      </c>
      <c r="C9" s="14" t="s">
        <v>20</v>
      </c>
      <c r="D9" s="84">
        <v>7.0</v>
      </c>
      <c r="E9" s="84">
        <v>13280.0</v>
      </c>
      <c r="F9" s="84">
        <f t="shared" si="1"/>
        <v>92960</v>
      </c>
      <c r="G9" s="16">
        <v>45717.0</v>
      </c>
      <c r="H9" s="97">
        <f>D9-OB_Feb_2025!D7</f>
        <v>7</v>
      </c>
      <c r="I9" s="98">
        <f>E9/OB_Feb_2025!E7-1</f>
        <v>0.006060606061</v>
      </c>
      <c r="J9" s="14" t="s">
        <v>17</v>
      </c>
      <c r="L9" s="8"/>
      <c r="M9" s="4"/>
    </row>
    <row r="10" ht="22.5" customHeight="1">
      <c r="A10" s="14">
        <v>12106.0</v>
      </c>
      <c r="B10" s="15" t="s">
        <v>46</v>
      </c>
      <c r="C10" s="14" t="s">
        <v>20</v>
      </c>
      <c r="D10" s="84">
        <v>75.0</v>
      </c>
      <c r="E10" s="84">
        <v>180599.86666666667</v>
      </c>
      <c r="F10" s="84">
        <f t="shared" si="1"/>
        <v>13544990</v>
      </c>
      <c r="G10" s="16">
        <v>45717.0</v>
      </c>
      <c r="H10" s="97">
        <f>D10-OB_Feb_2025!D8</f>
        <v>35</v>
      </c>
      <c r="I10" s="98">
        <f>E10/OB_Feb_2025!E8-1</f>
        <v>-0.0237845045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6">
        <f>SUM(OB_April_2025!$F$4:$F$10)</f>
        <v>24876371.26</v>
      </c>
      <c r="G2" s="94"/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>
        <v>12100.0</v>
      </c>
      <c r="B4" s="15" t="s">
        <v>40</v>
      </c>
      <c r="C4" s="14" t="s">
        <v>16</v>
      </c>
      <c r="D4" s="84">
        <v>7.5</v>
      </c>
      <c r="E4" s="84">
        <v>13784.836708881234</v>
      </c>
      <c r="F4" s="84">
        <f t="shared" ref="F4:F10" si="1">D4*E4</f>
        <v>103386.2753</v>
      </c>
      <c r="G4" s="91">
        <v>45748.0</v>
      </c>
      <c r="H4" s="97">
        <f>D4-OB_Feb_2025!D2</f>
        <v>7.5</v>
      </c>
      <c r="I4" s="98">
        <f>E4/OB_Feb_2025!E2-1</f>
        <v>-0.01536880651</v>
      </c>
      <c r="J4" s="14" t="s">
        <v>17</v>
      </c>
      <c r="L4" s="8"/>
      <c r="M4" s="4"/>
    </row>
    <row r="5" ht="22.5" customHeight="1">
      <c r="A5" s="14">
        <v>12101.0</v>
      </c>
      <c r="B5" s="15" t="s">
        <v>41</v>
      </c>
      <c r="C5" s="14" t="s">
        <v>18</v>
      </c>
      <c r="D5" s="84">
        <v>5680.0</v>
      </c>
      <c r="E5" s="84">
        <v>1051.7564037427078</v>
      </c>
      <c r="F5" s="84">
        <f t="shared" si="1"/>
        <v>5973976.373</v>
      </c>
      <c r="G5" s="91">
        <v>45748.0</v>
      </c>
      <c r="H5" s="97">
        <f>D5-OB_Feb_2025!D3</f>
        <v>5680</v>
      </c>
      <c r="I5" s="98">
        <f>E5/OB_Feb_2025!E3-1</f>
        <v>0.041342974</v>
      </c>
      <c r="J5" s="14" t="s">
        <v>17</v>
      </c>
      <c r="L5" s="8"/>
      <c r="M5" s="4"/>
    </row>
    <row r="6" ht="22.5" customHeight="1">
      <c r="A6" s="14">
        <v>12102.0</v>
      </c>
      <c r="B6" s="15" t="s">
        <v>42</v>
      </c>
      <c r="C6" s="14" t="s">
        <v>18</v>
      </c>
      <c r="D6" s="84">
        <v>2829.0</v>
      </c>
      <c r="E6" s="84">
        <v>1162.1550865514837</v>
      </c>
      <c r="F6" s="84">
        <f t="shared" si="1"/>
        <v>3287736.74</v>
      </c>
      <c r="G6" s="91">
        <v>45748.0</v>
      </c>
      <c r="H6" s="97">
        <f>D6-OB_Feb_2025!D4</f>
        <v>2527</v>
      </c>
      <c r="I6" s="98">
        <f>E6/OB_Feb_2025!E4-1</f>
        <v>0.01056964048</v>
      </c>
      <c r="J6" s="14" t="s">
        <v>17</v>
      </c>
      <c r="L6" s="8"/>
      <c r="M6" s="4"/>
    </row>
    <row r="7" ht="22.5" customHeight="1">
      <c r="A7" s="14">
        <v>12103.0</v>
      </c>
      <c r="B7" s="15" t="s">
        <v>43</v>
      </c>
      <c r="C7" s="14" t="s">
        <v>19</v>
      </c>
      <c r="D7" s="84">
        <v>100000.0</v>
      </c>
      <c r="E7" s="84">
        <v>33.79175862044412</v>
      </c>
      <c r="F7" s="84">
        <f t="shared" si="1"/>
        <v>3379175.862</v>
      </c>
      <c r="G7" s="91">
        <v>45748.0</v>
      </c>
      <c r="H7" s="97">
        <f>D7-OB_Feb_2025!D5</f>
        <v>100000</v>
      </c>
      <c r="I7" s="98">
        <f>E7/OB_Feb_2025!E5-1</f>
        <v>0.02399268547</v>
      </c>
      <c r="J7" s="14" t="s">
        <v>17</v>
      </c>
      <c r="L7" s="8"/>
      <c r="M7" s="4"/>
    </row>
    <row r="8" ht="22.5" customHeight="1">
      <c r="A8" s="14">
        <v>12104.0</v>
      </c>
      <c r="B8" s="15" t="s">
        <v>44</v>
      </c>
      <c r="C8" s="14" t="s">
        <v>19</v>
      </c>
      <c r="D8" s="84">
        <v>93800.0</v>
      </c>
      <c r="E8" s="84">
        <v>38.732654765662915</v>
      </c>
      <c r="F8" s="84">
        <f t="shared" si="1"/>
        <v>3633123.017</v>
      </c>
      <c r="G8" s="91">
        <v>45748.0</v>
      </c>
      <c r="H8" s="97">
        <f>D8-OB_Feb_2025!D6</f>
        <v>89800</v>
      </c>
      <c r="I8" s="98">
        <f>E8/OB_Feb_2025!E6-1</f>
        <v>0.01928038857</v>
      </c>
      <c r="J8" s="14" t="s">
        <v>17</v>
      </c>
      <c r="L8" s="8"/>
      <c r="M8" s="4"/>
    </row>
    <row r="9" ht="22.5" customHeight="1">
      <c r="A9" s="14">
        <v>12105.0</v>
      </c>
      <c r="B9" s="15" t="s">
        <v>45</v>
      </c>
      <c r="C9" s="14" t="s">
        <v>20</v>
      </c>
      <c r="D9" s="84">
        <v>0.0</v>
      </c>
      <c r="E9" s="84">
        <v>13292.631578947368</v>
      </c>
      <c r="F9" s="84">
        <f t="shared" si="1"/>
        <v>0</v>
      </c>
      <c r="G9" s="91">
        <v>45748.0</v>
      </c>
      <c r="H9" s="97">
        <f>D9-OB_Feb_2025!D7</f>
        <v>0</v>
      </c>
      <c r="I9" s="98">
        <f>E9/OB_Feb_2025!E7-1</f>
        <v>0.00701754386</v>
      </c>
      <c r="J9" s="14" t="s">
        <v>17</v>
      </c>
      <c r="L9" s="8"/>
      <c r="M9" s="4"/>
    </row>
    <row r="10" ht="22.5" customHeight="1">
      <c r="A10" s="14">
        <v>12106.0</v>
      </c>
      <c r="B10" s="15" t="s">
        <v>46</v>
      </c>
      <c r="C10" s="14" t="s">
        <v>20</v>
      </c>
      <c r="D10" s="84">
        <v>47.0</v>
      </c>
      <c r="E10" s="84">
        <v>180829.21267402786</v>
      </c>
      <c r="F10" s="84">
        <f t="shared" si="1"/>
        <v>8498972.996</v>
      </c>
      <c r="G10" s="91">
        <v>45748.0</v>
      </c>
      <c r="H10" s="97">
        <f>D10-OB_Feb_2025!D8</f>
        <v>7</v>
      </c>
      <c r="I10" s="98">
        <f>E10/OB_Feb_2025!E8-1</f>
        <v>-0.02254479636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9">
        <f>SUM(OB_May_2025!$F$4:$F$10)</f>
        <v>23855351.43</v>
      </c>
      <c r="G2" s="94"/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>
        <v>12100.0</v>
      </c>
      <c r="B4" s="15" t="s">
        <v>40</v>
      </c>
      <c r="C4" s="14" t="s">
        <v>16</v>
      </c>
      <c r="D4" s="100">
        <v>21.0</v>
      </c>
      <c r="E4" s="84">
        <v>13784.836708881234</v>
      </c>
      <c r="F4" s="84">
        <f t="shared" ref="F4:F10" si="1">D4*E4</f>
        <v>289481.5709</v>
      </c>
      <c r="G4" s="91">
        <v>45778.0</v>
      </c>
      <c r="H4" s="97">
        <f>D4-OB_Feb_2025!D2</f>
        <v>21</v>
      </c>
      <c r="I4" s="98">
        <f>E4/OB_Feb_2025!E2-1</f>
        <v>-0.01536880651</v>
      </c>
      <c r="J4" s="14" t="s">
        <v>17</v>
      </c>
      <c r="L4" s="8"/>
      <c r="M4" s="4"/>
    </row>
    <row r="5" ht="22.5" customHeight="1">
      <c r="A5" s="14">
        <v>12101.0</v>
      </c>
      <c r="B5" s="15" t="s">
        <v>41</v>
      </c>
      <c r="C5" s="14" t="s">
        <v>18</v>
      </c>
      <c r="D5" s="100">
        <v>6500.0</v>
      </c>
      <c r="E5" s="84">
        <v>1050.0509614269383</v>
      </c>
      <c r="F5" s="84">
        <f t="shared" si="1"/>
        <v>6825331.249</v>
      </c>
      <c r="G5" s="91">
        <v>45778.0</v>
      </c>
      <c r="H5" s="97">
        <f>D5-OB_Feb_2025!D3</f>
        <v>6500</v>
      </c>
      <c r="I5" s="98">
        <f>E5/OB_Feb_2025!E3-1</f>
        <v>0.03965441725</v>
      </c>
      <c r="J5" s="14" t="s">
        <v>17</v>
      </c>
      <c r="L5" s="8"/>
      <c r="M5" s="4"/>
    </row>
    <row r="6" ht="22.5" customHeight="1">
      <c r="A6" s="14">
        <v>12102.0</v>
      </c>
      <c r="B6" s="15" t="s">
        <v>42</v>
      </c>
      <c r="C6" s="14" t="s">
        <v>18</v>
      </c>
      <c r="D6" s="100">
        <v>5380.0</v>
      </c>
      <c r="E6" s="84">
        <v>1151.391636133116</v>
      </c>
      <c r="F6" s="84">
        <f t="shared" si="1"/>
        <v>6194487.002</v>
      </c>
      <c r="G6" s="91">
        <v>45778.0</v>
      </c>
      <c r="H6" s="97">
        <f>D6-OB_Feb_2025!D4</f>
        <v>5078</v>
      </c>
      <c r="I6" s="98">
        <f>E6/OB_Feb_2025!E4-1</f>
        <v>0.001210118377</v>
      </c>
      <c r="J6" s="14" t="s">
        <v>17</v>
      </c>
      <c r="L6" s="8"/>
      <c r="M6" s="4"/>
    </row>
    <row r="7" ht="22.5" customHeight="1">
      <c r="A7" s="14">
        <v>12103.0</v>
      </c>
      <c r="B7" s="15" t="s">
        <v>43</v>
      </c>
      <c r="C7" s="14" t="s">
        <v>19</v>
      </c>
      <c r="D7" s="100">
        <v>64000.0</v>
      </c>
      <c r="E7" s="84">
        <v>33.79175862044412</v>
      </c>
      <c r="F7" s="84">
        <f t="shared" si="1"/>
        <v>2162672.552</v>
      </c>
      <c r="G7" s="91">
        <v>45778.0</v>
      </c>
      <c r="H7" s="97">
        <f>D7-OB_Feb_2025!D5</f>
        <v>64000</v>
      </c>
      <c r="I7" s="98">
        <f>E7/OB_Feb_2025!E5-1</f>
        <v>0.02399268547</v>
      </c>
      <c r="J7" s="14" t="s">
        <v>17</v>
      </c>
      <c r="L7" s="8"/>
      <c r="M7" s="4"/>
    </row>
    <row r="8" ht="22.5" customHeight="1">
      <c r="A8" s="14">
        <v>12104.0</v>
      </c>
      <c r="B8" s="15" t="s">
        <v>44</v>
      </c>
      <c r="C8" s="14" t="s">
        <v>19</v>
      </c>
      <c r="D8" s="100">
        <v>77000.0</v>
      </c>
      <c r="E8" s="84">
        <v>39.368243426159395</v>
      </c>
      <c r="F8" s="84">
        <f t="shared" si="1"/>
        <v>3031354.744</v>
      </c>
      <c r="G8" s="91">
        <v>45778.0</v>
      </c>
      <c r="H8" s="97">
        <f>D8-OB_Feb_2025!D6</f>
        <v>73000</v>
      </c>
      <c r="I8" s="98">
        <f>E8/OB_Feb_2025!E6-1</f>
        <v>0.03600640595</v>
      </c>
      <c r="J8" s="14" t="s">
        <v>17</v>
      </c>
      <c r="L8" s="8"/>
      <c r="M8" s="4"/>
    </row>
    <row r="9" ht="22.5" customHeight="1">
      <c r="A9" s="14">
        <v>12105.0</v>
      </c>
      <c r="B9" s="15" t="s">
        <v>45</v>
      </c>
      <c r="C9" s="14" t="s">
        <v>20</v>
      </c>
      <c r="D9" s="100">
        <v>8.0</v>
      </c>
      <c r="E9" s="84">
        <v>13497.142857142857</v>
      </c>
      <c r="F9" s="84">
        <f t="shared" si="1"/>
        <v>107977.1429</v>
      </c>
      <c r="G9" s="91">
        <v>45778.0</v>
      </c>
      <c r="H9" s="97">
        <f>D9-OB_Feb_2025!D7</f>
        <v>8</v>
      </c>
      <c r="I9" s="98">
        <f>E9/OB_Feb_2025!E7-1</f>
        <v>0.02251082251</v>
      </c>
      <c r="J9" s="14" t="s">
        <v>17</v>
      </c>
      <c r="L9" s="8"/>
      <c r="M9" s="4"/>
    </row>
    <row r="10" ht="22.5" customHeight="1">
      <c r="A10" s="14">
        <v>12106.0</v>
      </c>
      <c r="B10" s="15" t="s">
        <v>46</v>
      </c>
      <c r="C10" s="14" t="s">
        <v>20</v>
      </c>
      <c r="D10" s="100">
        <v>29.0</v>
      </c>
      <c r="E10" s="84">
        <v>180829.21267402786</v>
      </c>
      <c r="F10" s="84">
        <f t="shared" si="1"/>
        <v>5244047.168</v>
      </c>
      <c r="G10" s="91">
        <v>45778.0</v>
      </c>
      <c r="H10" s="97">
        <f>D10-OB_Feb_2025!D8</f>
        <v>-11</v>
      </c>
      <c r="I10" s="98">
        <f>E10/OB_Feb_2025!E8-1</f>
        <v>-0.02254479636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9">
        <f>SUM(OB_June_2025!$F$4:$F$10)</f>
        <v>22235468.71</v>
      </c>
      <c r="G2" s="94"/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>
        <v>12100.0</v>
      </c>
      <c r="B4" s="15" t="s">
        <v>40</v>
      </c>
      <c r="C4" s="14" t="s">
        <v>16</v>
      </c>
      <c r="D4" s="100">
        <v>7.0</v>
      </c>
      <c r="E4" s="84">
        <v>15062.434844906657</v>
      </c>
      <c r="F4" s="84">
        <f t="shared" ref="F4:F10" si="1">D4*E4</f>
        <v>105437.0439</v>
      </c>
      <c r="G4" s="91">
        <v>45809.0</v>
      </c>
      <c r="H4" s="97">
        <f>D4-OB_Feb_2025!D2</f>
        <v>7</v>
      </c>
      <c r="I4" s="98">
        <f>E4/OB_Feb_2025!E2-1</f>
        <v>0.07588820321</v>
      </c>
      <c r="J4" s="14" t="s">
        <v>17</v>
      </c>
      <c r="L4" s="8"/>
      <c r="M4" s="4"/>
    </row>
    <row r="5" ht="22.5" customHeight="1">
      <c r="A5" s="14">
        <v>12101.0</v>
      </c>
      <c r="B5" s="15" t="s">
        <v>41</v>
      </c>
      <c r="C5" s="14" t="s">
        <v>18</v>
      </c>
      <c r="D5" s="100">
        <v>4680.0</v>
      </c>
      <c r="E5" s="84">
        <v>1050.0509614269383</v>
      </c>
      <c r="F5" s="84">
        <f t="shared" si="1"/>
        <v>4914238.499</v>
      </c>
      <c r="G5" s="91">
        <v>45809.0</v>
      </c>
      <c r="H5" s="97">
        <f>D5-OB_Feb_2025!D3</f>
        <v>4680</v>
      </c>
      <c r="I5" s="98">
        <f>E5/OB_Feb_2025!E3-1</f>
        <v>0.03965441725</v>
      </c>
      <c r="J5" s="14" t="s">
        <v>17</v>
      </c>
      <c r="L5" s="8"/>
      <c r="M5" s="4"/>
    </row>
    <row r="6" ht="22.5" customHeight="1">
      <c r="A6" s="14">
        <v>12102.0</v>
      </c>
      <c r="B6" s="15" t="s">
        <v>42</v>
      </c>
      <c r="C6" s="14" t="s">
        <v>18</v>
      </c>
      <c r="D6" s="100">
        <v>4020.0</v>
      </c>
      <c r="E6" s="84">
        <v>1134.5838130079144</v>
      </c>
      <c r="F6" s="84">
        <f t="shared" si="1"/>
        <v>4561026.928</v>
      </c>
      <c r="G6" s="91">
        <v>45809.0</v>
      </c>
      <c r="H6" s="97">
        <f>D6-OB_Feb_2025!D4</f>
        <v>3718</v>
      </c>
      <c r="I6" s="98">
        <f>E6/OB_Feb_2025!E4-1</f>
        <v>-0.01340537999</v>
      </c>
      <c r="J6" s="14" t="s">
        <v>17</v>
      </c>
      <c r="L6" s="8"/>
      <c r="M6" s="4"/>
    </row>
    <row r="7" ht="22.5" customHeight="1">
      <c r="A7" s="14">
        <v>12103.0</v>
      </c>
      <c r="B7" s="15" t="s">
        <v>43</v>
      </c>
      <c r="C7" s="14" t="s">
        <v>19</v>
      </c>
      <c r="D7" s="100">
        <v>60000.0</v>
      </c>
      <c r="E7" s="84">
        <v>35.360808242124534</v>
      </c>
      <c r="F7" s="84">
        <f t="shared" si="1"/>
        <v>2121648.495</v>
      </c>
      <c r="G7" s="91">
        <v>45809.0</v>
      </c>
      <c r="H7" s="97">
        <f>D7-OB_Feb_2025!D5</f>
        <v>60000</v>
      </c>
      <c r="I7" s="98">
        <f>E7/OB_Feb_2025!E5-1</f>
        <v>0.0715396437</v>
      </c>
      <c r="J7" s="14" t="s">
        <v>17</v>
      </c>
      <c r="L7" s="8"/>
      <c r="M7" s="4"/>
    </row>
    <row r="8" ht="22.5" customHeight="1">
      <c r="A8" s="14">
        <v>12104.0</v>
      </c>
      <c r="B8" s="15" t="s">
        <v>44</v>
      </c>
      <c r="C8" s="14" t="s">
        <v>19</v>
      </c>
      <c r="D8" s="100">
        <v>26950.0</v>
      </c>
      <c r="E8" s="84">
        <v>39.17823673689925</v>
      </c>
      <c r="F8" s="84">
        <f t="shared" si="1"/>
        <v>1055853.48</v>
      </c>
      <c r="G8" s="91">
        <v>45809.0</v>
      </c>
      <c r="H8" s="97">
        <f>D8-OB_Feb_2025!D6</f>
        <v>22950</v>
      </c>
      <c r="I8" s="98">
        <f>E8/OB_Feb_2025!E6-1</f>
        <v>0.03100622992</v>
      </c>
      <c r="J8" s="14" t="s">
        <v>17</v>
      </c>
      <c r="L8" s="8"/>
      <c r="M8" s="4"/>
    </row>
    <row r="9" ht="22.5" customHeight="1">
      <c r="A9" s="14">
        <v>12105.0</v>
      </c>
      <c r="B9" s="15" t="s">
        <v>45</v>
      </c>
      <c r="C9" s="14" t="s">
        <v>20</v>
      </c>
      <c r="D9" s="100">
        <v>10.0</v>
      </c>
      <c r="E9" s="84">
        <v>10651.67701863354</v>
      </c>
      <c r="F9" s="84">
        <f t="shared" si="1"/>
        <v>106516.7702</v>
      </c>
      <c r="G9" s="91">
        <v>45809.0</v>
      </c>
      <c r="H9" s="97">
        <f>D9-OB_Feb_2025!D7</f>
        <v>10</v>
      </c>
      <c r="I9" s="98">
        <f>E9/OB_Feb_2025!E7-1</f>
        <v>-0.1930547713</v>
      </c>
      <c r="J9" s="14" t="s">
        <v>17</v>
      </c>
      <c r="L9" s="8"/>
      <c r="M9" s="4"/>
    </row>
    <row r="10" ht="22.5" customHeight="1">
      <c r="A10" s="14">
        <v>12106.0</v>
      </c>
      <c r="B10" s="15" t="s">
        <v>46</v>
      </c>
      <c r="C10" s="14" t="s">
        <v>20</v>
      </c>
      <c r="D10" s="100">
        <v>48.0</v>
      </c>
      <c r="E10" s="84">
        <v>195223.906037732</v>
      </c>
      <c r="F10" s="84">
        <f t="shared" si="1"/>
        <v>9370747.49</v>
      </c>
      <c r="G10" s="91">
        <v>45809.0</v>
      </c>
      <c r="H10" s="97">
        <f>D10-OB_Feb_2025!D8</f>
        <v>8</v>
      </c>
      <c r="I10" s="98">
        <f>E10/OB_Feb_2025!E8-1</f>
        <v>0.05526435696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9">
        <f>SUM(OB_July_2025!$F$4:$F$10)</f>
        <v>9216388.453</v>
      </c>
      <c r="G2" s="94"/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>
        <v>12100.0</v>
      </c>
      <c r="B4" s="15" t="s">
        <v>40</v>
      </c>
      <c r="C4" s="14" t="s">
        <v>16</v>
      </c>
      <c r="D4" s="100">
        <v>3.0</v>
      </c>
      <c r="E4" s="84">
        <v>14719.099100661228</v>
      </c>
      <c r="F4" s="84">
        <f t="shared" ref="F4:F10" si="1">D4*E4</f>
        <v>44157.2973</v>
      </c>
      <c r="G4" s="91">
        <v>45809.0</v>
      </c>
      <c r="H4" s="97">
        <f>D4-OB_Feb_2025!D2</f>
        <v>3</v>
      </c>
      <c r="I4" s="98">
        <f>E4/OB_Feb_2025!E2-1</f>
        <v>0.05136422148</v>
      </c>
      <c r="J4" s="14" t="s">
        <v>17</v>
      </c>
      <c r="L4" s="8"/>
      <c r="M4" s="4"/>
    </row>
    <row r="5" ht="22.5" customHeight="1">
      <c r="A5" s="14">
        <v>12101.0</v>
      </c>
      <c r="B5" s="15" t="s">
        <v>41</v>
      </c>
      <c r="C5" s="14" t="s">
        <v>18</v>
      </c>
      <c r="D5" s="100">
        <v>3520.0</v>
      </c>
      <c r="E5" s="84">
        <v>1050.0509614269383</v>
      </c>
      <c r="F5" s="84">
        <f t="shared" si="1"/>
        <v>3696179.384</v>
      </c>
      <c r="G5" s="91">
        <v>45809.0</v>
      </c>
      <c r="H5" s="97">
        <f>D5-OB_Feb_2025!D3</f>
        <v>3520</v>
      </c>
      <c r="I5" s="98">
        <f>E5/OB_Feb_2025!E3-1</f>
        <v>0.03965441725</v>
      </c>
      <c r="J5" s="14" t="s">
        <v>17</v>
      </c>
      <c r="L5" s="8"/>
      <c r="M5" s="4"/>
    </row>
    <row r="6" ht="22.5" customHeight="1">
      <c r="A6" s="14">
        <v>12102.0</v>
      </c>
      <c r="B6" s="15" t="s">
        <v>42</v>
      </c>
      <c r="C6" s="14" t="s">
        <v>18</v>
      </c>
      <c r="D6" s="100">
        <v>860.0</v>
      </c>
      <c r="E6" s="84">
        <v>1134.5838130079144</v>
      </c>
      <c r="F6" s="84">
        <f t="shared" si="1"/>
        <v>975742.0792</v>
      </c>
      <c r="G6" s="91">
        <v>45809.0</v>
      </c>
      <c r="H6" s="97">
        <f>D6-OB_Feb_2025!D4</f>
        <v>558</v>
      </c>
      <c r="I6" s="98">
        <f>E6/OB_Feb_2025!E4-1</f>
        <v>-0.01340537999</v>
      </c>
      <c r="J6" s="14" t="s">
        <v>17</v>
      </c>
      <c r="L6" s="8"/>
      <c r="M6" s="4"/>
    </row>
    <row r="7" ht="22.5" customHeight="1">
      <c r="A7" s="14">
        <v>12103.0</v>
      </c>
      <c r="B7" s="15" t="s">
        <v>43</v>
      </c>
      <c r="C7" s="14" t="s">
        <v>19</v>
      </c>
      <c r="D7" s="100">
        <v>0.0</v>
      </c>
      <c r="E7" s="84">
        <v>35.360808242124534</v>
      </c>
      <c r="F7" s="84">
        <f t="shared" si="1"/>
        <v>0</v>
      </c>
      <c r="G7" s="91">
        <v>45809.0</v>
      </c>
      <c r="H7" s="97">
        <f>D7-OB_Feb_2025!D5</f>
        <v>0</v>
      </c>
      <c r="I7" s="98">
        <f>E7/OB_Feb_2025!E5-1</f>
        <v>0.0715396437</v>
      </c>
      <c r="J7" s="14" t="s">
        <v>17</v>
      </c>
      <c r="L7" s="8"/>
      <c r="M7" s="4"/>
    </row>
    <row r="8" ht="22.5" customHeight="1">
      <c r="A8" s="14">
        <v>12104.0</v>
      </c>
      <c r="B8" s="15" t="s">
        <v>44</v>
      </c>
      <c r="C8" s="14" t="s">
        <v>19</v>
      </c>
      <c r="D8" s="100">
        <v>0.0</v>
      </c>
      <c r="E8" s="84">
        <v>39.0085655199946</v>
      </c>
      <c r="F8" s="84">
        <f t="shared" si="1"/>
        <v>0</v>
      </c>
      <c r="G8" s="91">
        <v>45809.0</v>
      </c>
      <c r="H8" s="97">
        <f>D8-OB_Feb_2025!D6</f>
        <v>-4000</v>
      </c>
      <c r="I8" s="98">
        <f>E8/OB_Feb_2025!E6-1</f>
        <v>0.02654119789</v>
      </c>
      <c r="J8" s="14" t="s">
        <v>17</v>
      </c>
      <c r="L8" s="8"/>
      <c r="M8" s="4"/>
    </row>
    <row r="9" ht="22.5" customHeight="1">
      <c r="A9" s="14">
        <v>12105.0</v>
      </c>
      <c r="B9" s="15" t="s">
        <v>45</v>
      </c>
      <c r="C9" s="14" t="s">
        <v>20</v>
      </c>
      <c r="D9" s="100">
        <v>1.0</v>
      </c>
      <c r="E9" s="84">
        <v>10159.853190287973</v>
      </c>
      <c r="F9" s="84">
        <f t="shared" si="1"/>
        <v>10159.85319</v>
      </c>
      <c r="G9" s="91">
        <v>45809.0</v>
      </c>
      <c r="H9" s="97">
        <f>D9-OB_Feb_2025!D7</f>
        <v>1</v>
      </c>
      <c r="I9" s="98">
        <f>E9/OB_Feb_2025!E7-1</f>
        <v>-0.2303141523</v>
      </c>
      <c r="J9" s="14" t="s">
        <v>17</v>
      </c>
      <c r="L9" s="8"/>
      <c r="M9" s="4"/>
    </row>
    <row r="10" ht="22.5" customHeight="1">
      <c r="A10" s="14">
        <v>12106.0</v>
      </c>
      <c r="B10" s="15" t="s">
        <v>46</v>
      </c>
      <c r="C10" s="14" t="s">
        <v>20</v>
      </c>
      <c r="D10" s="100">
        <v>23.0</v>
      </c>
      <c r="E10" s="84">
        <v>195223.906037732</v>
      </c>
      <c r="F10" s="84">
        <f t="shared" si="1"/>
        <v>4490149.839</v>
      </c>
      <c r="G10" s="91">
        <v>45809.0</v>
      </c>
      <c r="H10" s="97">
        <f>D10-OB_Feb_2025!D8</f>
        <v>-17</v>
      </c>
      <c r="I10" s="98">
        <f>E10/OB_Feb_2025!E8-1</f>
        <v>0.05526435696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9">
        <f>SUM(OB_August_2025!$F$4:$F$10)</f>
        <v>7452014.791</v>
      </c>
      <c r="G2" s="94"/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>
        <v>12100.0</v>
      </c>
      <c r="B4" s="15" t="s">
        <v>40</v>
      </c>
      <c r="C4" s="14" t="s">
        <v>16</v>
      </c>
      <c r="D4" s="100">
        <v>28.0</v>
      </c>
      <c r="E4" s="84">
        <v>14312.598425993558</v>
      </c>
      <c r="F4" s="84">
        <f t="shared" ref="F4:F10" si="1">D4*E4</f>
        <v>400752.7559</v>
      </c>
      <c r="G4" s="91">
        <v>45809.0</v>
      </c>
      <c r="H4" s="97">
        <f>D4-OB_Feb_2025!D2</f>
        <v>28</v>
      </c>
      <c r="I4" s="98">
        <f>E4/OB_Feb_2025!E2-1</f>
        <v>0.022328459</v>
      </c>
      <c r="J4" s="14" t="s">
        <v>17</v>
      </c>
      <c r="L4" s="8"/>
      <c r="M4" s="4"/>
    </row>
    <row r="5" ht="22.5" customHeight="1">
      <c r="A5" s="14">
        <v>12101.0</v>
      </c>
      <c r="B5" s="15" t="s">
        <v>41</v>
      </c>
      <c r="C5" s="14" t="s">
        <v>18</v>
      </c>
      <c r="D5" s="100">
        <v>2320.0</v>
      </c>
      <c r="E5" s="84">
        <v>1050.0509614269383</v>
      </c>
      <c r="F5" s="84">
        <f t="shared" si="1"/>
        <v>2436118.231</v>
      </c>
      <c r="G5" s="91">
        <v>45809.0</v>
      </c>
      <c r="H5" s="97">
        <f>D5-OB_Feb_2025!D3</f>
        <v>2320</v>
      </c>
      <c r="I5" s="98">
        <f>E5/OB_Feb_2025!E3-1</f>
        <v>0.03965441725</v>
      </c>
      <c r="J5" s="14" t="s">
        <v>17</v>
      </c>
      <c r="L5" s="8"/>
      <c r="M5" s="4"/>
    </row>
    <row r="6" ht="22.5" customHeight="1">
      <c r="A6" s="14">
        <v>12102.0</v>
      </c>
      <c r="B6" s="15" t="s">
        <v>42</v>
      </c>
      <c r="C6" s="14" t="s">
        <v>18</v>
      </c>
      <c r="D6" s="100">
        <v>2200.0</v>
      </c>
      <c r="E6" s="84">
        <v>1096.0388213621093</v>
      </c>
      <c r="F6" s="84">
        <f t="shared" si="1"/>
        <v>2411285.407</v>
      </c>
      <c r="G6" s="91">
        <v>45809.0</v>
      </c>
      <c r="H6" s="97">
        <f>D6-OB_Feb_2025!D4</f>
        <v>1898</v>
      </c>
      <c r="I6" s="98">
        <f>E6/OB_Feb_2025!E4-1</f>
        <v>-0.04692276403</v>
      </c>
      <c r="J6" s="14" t="s">
        <v>17</v>
      </c>
      <c r="L6" s="8"/>
      <c r="M6" s="4"/>
    </row>
    <row r="7" ht="22.5" customHeight="1">
      <c r="A7" s="14">
        <v>12103.0</v>
      </c>
      <c r="B7" s="15" t="s">
        <v>43</v>
      </c>
      <c r="C7" s="14" t="s">
        <v>19</v>
      </c>
      <c r="D7" s="100">
        <v>25000.0</v>
      </c>
      <c r="E7" s="84">
        <v>33.66801619433198</v>
      </c>
      <c r="F7" s="84">
        <f t="shared" si="1"/>
        <v>841700.4049</v>
      </c>
      <c r="G7" s="91">
        <v>45809.0</v>
      </c>
      <c r="H7" s="97">
        <f>D7-OB_Feb_2025!D5</f>
        <v>25000</v>
      </c>
      <c r="I7" s="98">
        <f>E7/OB_Feb_2025!E5-1</f>
        <v>0.02024291498</v>
      </c>
      <c r="J7" s="14" t="s">
        <v>17</v>
      </c>
      <c r="L7" s="8"/>
      <c r="M7" s="4"/>
    </row>
    <row r="8" ht="22.5" customHeight="1">
      <c r="A8" s="14">
        <v>12104.0</v>
      </c>
      <c r="B8" s="15" t="s">
        <v>44</v>
      </c>
      <c r="C8" s="14" t="s">
        <v>19</v>
      </c>
      <c r="D8" s="100">
        <v>3850.0</v>
      </c>
      <c r="E8" s="84">
        <v>39.27935222672065</v>
      </c>
      <c r="F8" s="84">
        <f t="shared" si="1"/>
        <v>151225.5061</v>
      </c>
      <c r="G8" s="91">
        <v>45809.0</v>
      </c>
      <c r="H8" s="97">
        <f>D8-OB_Feb_2025!D6</f>
        <v>-150</v>
      </c>
      <c r="I8" s="98">
        <f>E8/OB_Feb_2025!E6-1</f>
        <v>0.03366716386</v>
      </c>
      <c r="J8" s="14" t="s">
        <v>17</v>
      </c>
      <c r="L8" s="8"/>
      <c r="M8" s="4"/>
    </row>
    <row r="9" ht="22.5" customHeight="1">
      <c r="A9" s="14">
        <v>12105.0</v>
      </c>
      <c r="B9" s="15" t="s">
        <v>45</v>
      </c>
      <c r="C9" s="14" t="s">
        <v>20</v>
      </c>
      <c r="D9" s="100">
        <v>3.0</v>
      </c>
      <c r="E9" s="84">
        <v>13196.35029002618</v>
      </c>
      <c r="F9" s="84">
        <f t="shared" si="1"/>
        <v>39589.05087</v>
      </c>
      <c r="G9" s="91">
        <v>45809.0</v>
      </c>
      <c r="H9" s="97">
        <f>D9-OB_Feb_2025!D7</f>
        <v>3</v>
      </c>
      <c r="I9" s="98">
        <f>E9/OB_Feb_2025!E7-1</f>
        <v>-0.0002764931798</v>
      </c>
      <c r="J9" s="14" t="s">
        <v>17</v>
      </c>
      <c r="L9" s="8"/>
      <c r="M9" s="4"/>
    </row>
    <row r="10" ht="22.5" customHeight="1">
      <c r="A10" s="14">
        <v>12106.0</v>
      </c>
      <c r="B10" s="15" t="s">
        <v>46</v>
      </c>
      <c r="C10" s="14" t="s">
        <v>20</v>
      </c>
      <c r="D10" s="100">
        <v>6.0</v>
      </c>
      <c r="E10" s="84">
        <v>195223.906037732</v>
      </c>
      <c r="F10" s="84">
        <f t="shared" si="1"/>
        <v>1171343.436</v>
      </c>
      <c r="G10" s="91">
        <v>45809.0</v>
      </c>
      <c r="H10" s="97">
        <f>D10-OB_Feb_2025!D8</f>
        <v>-34</v>
      </c>
      <c r="I10" s="98">
        <f>E10/OB_Feb_2025!E8-1</f>
        <v>0.05526435696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9">
        <f>SUM(OB_Sept_2025!$F$4:$F$10)</f>
        <v>12692758.27</v>
      </c>
      <c r="G2" s="94"/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 t="str">
        <f>IFERROR(__xludf.DUMMYFUNCTION("QUERY(IMPORTRANGE(""https://docs.google.com/spreadsheets/d/1sOBA95jI3gUTkNtq3pD8Ob7Zb_EY63WYXvHKt7aiQk8/edit?gid=0#gid=0"",""SKU Info &amp; Sales Channel &amp; Inventory Codes!B26:D50""),""SELECT Col1 WHERE Col1 &gt;= 12100"",0)"),"#REF!")</f>
        <v>#REF!</v>
      </c>
      <c r="B4" s="15" t="str">
        <f>IFERROR(__xludf.DUMMYFUNCTION("QUERY(IMPORTRANGE(""https://docs.google.com/spreadsheets/d/1sOBA95jI3gUTkNtq3pD8Ob7Zb_EY63WYXvHKt7aiQk8/edit?gid=0#gid=0"",""SKU Info &amp; Sales Channel &amp; Inventory Codes!B26:D50""),""SELECT Col3 WHERE Col1 &gt;= 12100"",0)"),"#REF!")</f>
        <v>#REF!</v>
      </c>
      <c r="C4" s="14" t="s">
        <v>16</v>
      </c>
      <c r="D4" s="100">
        <v>0.0</v>
      </c>
      <c r="E4" s="84">
        <v>14312.59842599356</v>
      </c>
      <c r="F4" s="84">
        <f t="shared" ref="F4:F10" si="1">D4*E4</f>
        <v>0</v>
      </c>
      <c r="G4" s="91">
        <v>45809.0</v>
      </c>
      <c r="H4" s="97">
        <f>D4-OB_Feb_2025!D2</f>
        <v>0</v>
      </c>
      <c r="I4" s="98">
        <f>E4/OB_August_2025!E4-1</f>
        <v>0</v>
      </c>
      <c r="J4" s="14" t="s">
        <v>17</v>
      </c>
      <c r="L4" s="8"/>
      <c r="M4" s="4"/>
    </row>
    <row r="5" ht="22.5" customHeight="1">
      <c r="A5" s="14"/>
      <c r="B5" s="15"/>
      <c r="C5" s="14" t="s">
        <v>18</v>
      </c>
      <c r="D5" s="100">
        <v>1020.0</v>
      </c>
      <c r="E5" s="84">
        <v>1050.0509614269383</v>
      </c>
      <c r="F5" s="84">
        <f t="shared" si="1"/>
        <v>1071051.981</v>
      </c>
      <c r="G5" s="91">
        <v>45809.0</v>
      </c>
      <c r="H5" s="97">
        <f>D5-OB_Feb_2025!D3</f>
        <v>1020</v>
      </c>
      <c r="I5" s="98">
        <f>E5/OB_August_2025!E5-1</f>
        <v>0</v>
      </c>
      <c r="J5" s="14" t="s">
        <v>17</v>
      </c>
      <c r="L5" s="8"/>
      <c r="M5" s="4"/>
    </row>
    <row r="6" ht="22.5" customHeight="1">
      <c r="A6" s="14"/>
      <c r="B6" s="15"/>
      <c r="C6" s="14" t="s">
        <v>18</v>
      </c>
      <c r="D6" s="100">
        <v>880.0</v>
      </c>
      <c r="E6" s="84">
        <v>1096.0388213621093</v>
      </c>
      <c r="F6" s="84">
        <f t="shared" si="1"/>
        <v>964514.1628</v>
      </c>
      <c r="G6" s="91">
        <v>45809.0</v>
      </c>
      <c r="H6" s="97">
        <f>D6-OB_Feb_2025!D4</f>
        <v>578</v>
      </c>
      <c r="I6" s="98">
        <f>E6/OB_August_2025!E6-1</f>
        <v>0</v>
      </c>
      <c r="J6" s="14" t="s">
        <v>17</v>
      </c>
      <c r="L6" s="8"/>
      <c r="M6" s="4"/>
    </row>
    <row r="7" ht="22.5" customHeight="1">
      <c r="A7" s="14"/>
      <c r="B7" s="15"/>
      <c r="C7" s="14" t="s">
        <v>19</v>
      </c>
      <c r="D7" s="100">
        <v>0.0</v>
      </c>
      <c r="E7" s="84">
        <v>33.64352307702123</v>
      </c>
      <c r="F7" s="84">
        <f t="shared" si="1"/>
        <v>0</v>
      </c>
      <c r="G7" s="91">
        <v>45809.0</v>
      </c>
      <c r="H7" s="97">
        <f>D7-OB_Feb_2025!D5</f>
        <v>0</v>
      </c>
      <c r="I7" s="98">
        <f>E7/OB_August_2025!E7-1</f>
        <v>-0.0007274891746</v>
      </c>
      <c r="J7" s="14" t="s">
        <v>17</v>
      </c>
      <c r="L7" s="8"/>
      <c r="M7" s="4"/>
    </row>
    <row r="8" ht="22.5" customHeight="1">
      <c r="A8" s="14"/>
      <c r="B8" s="15"/>
      <c r="C8" s="14" t="s">
        <v>19</v>
      </c>
      <c r="D8" s="100">
        <v>15400.0</v>
      </c>
      <c r="E8" s="84">
        <v>39.23836772763494</v>
      </c>
      <c r="F8" s="84">
        <f t="shared" si="1"/>
        <v>604270.863</v>
      </c>
      <c r="G8" s="91">
        <v>45809.0</v>
      </c>
      <c r="H8" s="97">
        <f>D8-OB_Feb_2025!D6</f>
        <v>11400</v>
      </c>
      <c r="I8" s="98">
        <f>E8/OB_August_2025!E8-1</f>
        <v>-0.001043410768</v>
      </c>
      <c r="J8" s="14" t="s">
        <v>17</v>
      </c>
      <c r="L8" s="8"/>
      <c r="M8" s="4"/>
    </row>
    <row r="9" ht="22.5" customHeight="1">
      <c r="A9" s="14"/>
      <c r="B9" s="15"/>
      <c r="C9" s="14" t="s">
        <v>20</v>
      </c>
      <c r="D9" s="100">
        <v>3.0</v>
      </c>
      <c r="E9" s="84">
        <v>13196.35029002618</v>
      </c>
      <c r="F9" s="84">
        <f t="shared" si="1"/>
        <v>39589.05087</v>
      </c>
      <c r="G9" s="91">
        <v>45809.0</v>
      </c>
      <c r="H9" s="97">
        <f>D9-OB_Feb_2025!D7</f>
        <v>3</v>
      </c>
      <c r="I9" s="98">
        <f>E9/OB_August_2025!E9-1</f>
        <v>0</v>
      </c>
      <c r="J9" s="14" t="s">
        <v>17</v>
      </c>
      <c r="L9" s="8"/>
      <c r="M9" s="4"/>
    </row>
    <row r="10" ht="22.5" customHeight="1">
      <c r="A10" s="14"/>
      <c r="B10" s="15"/>
      <c r="C10" s="14" t="s">
        <v>20</v>
      </c>
      <c r="D10" s="100">
        <v>58.0</v>
      </c>
      <c r="E10" s="84">
        <v>172643.65883647767</v>
      </c>
      <c r="F10" s="84">
        <f t="shared" si="1"/>
        <v>10013332.21</v>
      </c>
      <c r="G10" s="91">
        <v>45809.0</v>
      </c>
      <c r="H10" s="97">
        <f>D10-OB_Feb_2025!D8</f>
        <v>18</v>
      </c>
      <c r="I10" s="98">
        <f>E10/OB_August_2025!E10-1</f>
        <v>-0.1156633307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9">
        <f>SUM(OB_Oct_2025!$F$4:$F$10)</f>
        <v>15343618.15</v>
      </c>
      <c r="G2" s="94" t="s">
        <v>51</v>
      </c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 t="str">
        <f>IFERROR(__xludf.DUMMYFUNCTION("QUERY(IMPORTRANGE(""https://docs.google.com/spreadsheets/d/1sOBA95jI3gUTkNtq3pD8Ob7Zb_EY63WYXvHKt7aiQk8/edit?gid=0#gid=0"",""SKU Info &amp; Sales Channel &amp; Inventory Codes!B26:D50""),""SELECT Col1 WHERE Col1 &gt;= 12100"",0)"),"#REF!")</f>
        <v>#REF!</v>
      </c>
      <c r="B4" s="15" t="str">
        <f>IFERROR(__xludf.DUMMYFUNCTION("QUERY(IMPORTRANGE(""https://docs.google.com/spreadsheets/d/1sOBA95jI3gUTkNtq3pD8Ob7Zb_EY63WYXvHKt7aiQk8/edit?gid=0#gid=0"",""SKU Info &amp; Sales Channel &amp; Inventory Codes!B26:D50""),""SELECT Col3 WHERE Col1 &gt;= 12100"",0)"),"#REF!")</f>
        <v>#REF!</v>
      </c>
      <c r="C4" s="14" t="s">
        <v>16</v>
      </c>
      <c r="D4" s="100">
        <v>21.0</v>
      </c>
      <c r="E4" s="84">
        <v>14371.42857142857</v>
      </c>
      <c r="F4" s="84">
        <f t="shared" ref="F4:F10" si="1">D4*E4</f>
        <v>301800</v>
      </c>
      <c r="G4" s="91">
        <v>45809.0</v>
      </c>
      <c r="H4" s="97">
        <f>D4-OB_Feb_2025!D2</f>
        <v>21</v>
      </c>
      <c r="I4" s="98">
        <f>E4/OB_August_2025!E4-1</f>
        <v>0.004110374908</v>
      </c>
      <c r="J4" s="14" t="s">
        <v>17</v>
      </c>
      <c r="L4" s="8"/>
      <c r="M4" s="4"/>
    </row>
    <row r="5" ht="22.5" customHeight="1">
      <c r="A5" s="14"/>
      <c r="B5" s="15"/>
      <c r="C5" s="14" t="s">
        <v>18</v>
      </c>
      <c r="D5" s="100">
        <v>1440.0</v>
      </c>
      <c r="E5" s="84">
        <v>984.5444367680466</v>
      </c>
      <c r="F5" s="84">
        <f t="shared" si="1"/>
        <v>1417743.989</v>
      </c>
      <c r="G5" s="91">
        <v>45809.0</v>
      </c>
      <c r="H5" s="97">
        <f>D5-OB_Feb_2025!D3</f>
        <v>1440</v>
      </c>
      <c r="I5" s="98">
        <f>E5/OB_August_2025!E5-1</f>
        <v>-0.06238413855</v>
      </c>
      <c r="J5" s="14" t="s">
        <v>17</v>
      </c>
      <c r="L5" s="8"/>
      <c r="M5" s="4"/>
    </row>
    <row r="6" ht="22.5" customHeight="1">
      <c r="A6" s="14"/>
      <c r="B6" s="15"/>
      <c r="C6" s="14" t="s">
        <v>18</v>
      </c>
      <c r="D6" s="100">
        <v>1440.0</v>
      </c>
      <c r="E6" s="84">
        <v>1073.3252784868303</v>
      </c>
      <c r="F6" s="84">
        <f t="shared" si="1"/>
        <v>1545588.401</v>
      </c>
      <c r="G6" s="91">
        <v>45809.0</v>
      </c>
      <c r="H6" s="97">
        <f>D6-OB_Feb_2025!D4</f>
        <v>1138</v>
      </c>
      <c r="I6" s="98">
        <f>E6/OB_August_2025!E6-1</f>
        <v>-0.02072330143</v>
      </c>
      <c r="J6" s="14" t="s">
        <v>17</v>
      </c>
      <c r="L6" s="8"/>
      <c r="M6" s="4"/>
    </row>
    <row r="7" ht="22.5" customHeight="1">
      <c r="A7" s="14"/>
      <c r="B7" s="15"/>
      <c r="C7" s="14" t="s">
        <v>19</v>
      </c>
      <c r="D7" s="100">
        <v>0.0</v>
      </c>
      <c r="E7" s="84">
        <v>33.65942028985507</v>
      </c>
      <c r="F7" s="84">
        <f t="shared" si="1"/>
        <v>0</v>
      </c>
      <c r="G7" s="91">
        <v>45809.0</v>
      </c>
      <c r="H7" s="97">
        <f>D7-OB_Feb_2025!D5</f>
        <v>0</v>
      </c>
      <c r="I7" s="98">
        <f>E7/OB_August_2025!E7-1</f>
        <v>-0.0002553136611</v>
      </c>
      <c r="J7" s="14" t="s">
        <v>17</v>
      </c>
      <c r="L7" s="8"/>
      <c r="M7" s="4"/>
    </row>
    <row r="8" ht="22.5" customHeight="1">
      <c r="A8" s="14"/>
      <c r="B8" s="15"/>
      <c r="C8" s="14" t="s">
        <v>19</v>
      </c>
      <c r="D8" s="100">
        <v>80000.0</v>
      </c>
      <c r="E8" s="84">
        <v>39.26536419030585</v>
      </c>
      <c r="F8" s="84">
        <f t="shared" si="1"/>
        <v>3141229.135</v>
      </c>
      <c r="G8" s="91">
        <v>45809.0</v>
      </c>
      <c r="H8" s="97">
        <f>D8-OB_Feb_2025!D6</f>
        <v>76000</v>
      </c>
      <c r="I8" s="98">
        <f>E8/OB_August_2025!E8-1</f>
        <v>-0.0003561167795</v>
      </c>
      <c r="J8" s="14" t="s">
        <v>17</v>
      </c>
      <c r="L8" s="8"/>
      <c r="M8" s="4"/>
    </row>
    <row r="9" ht="22.5" customHeight="1">
      <c r="A9" s="14"/>
      <c r="B9" s="15"/>
      <c r="C9" s="14" t="s">
        <v>20</v>
      </c>
      <c r="D9" s="100">
        <v>10.0</v>
      </c>
      <c r="E9" s="84">
        <v>13243.002211742545</v>
      </c>
      <c r="F9" s="84">
        <f t="shared" si="1"/>
        <v>132430.0221</v>
      </c>
      <c r="G9" s="91">
        <v>45809.0</v>
      </c>
      <c r="H9" s="97">
        <f>D9-OB_Feb_2025!D7</f>
        <v>10</v>
      </c>
      <c r="I9" s="98">
        <f>E9/OB_August_2025!E9-1</f>
        <v>0.003535213956</v>
      </c>
      <c r="J9" s="14" t="s">
        <v>17</v>
      </c>
      <c r="L9" s="8"/>
      <c r="M9" s="4"/>
    </row>
    <row r="10" ht="22.5" customHeight="1">
      <c r="A10" s="14"/>
      <c r="B10" s="15"/>
      <c r="C10" s="14" t="s">
        <v>20</v>
      </c>
      <c r="D10" s="100">
        <v>51.0</v>
      </c>
      <c r="E10" s="84">
        <v>172643.65883647767</v>
      </c>
      <c r="F10" s="84">
        <f t="shared" si="1"/>
        <v>8804826.601</v>
      </c>
      <c r="G10" s="91">
        <v>45809.0</v>
      </c>
      <c r="H10" s="97">
        <f>D10-OB_Feb_2025!D8</f>
        <v>11</v>
      </c>
      <c r="I10" s="98">
        <f>E10/OB_August_2025!E10-1</f>
        <v>-0.1156633307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2.63"/>
    <col customWidth="1" min="2" max="2" width="23.13"/>
    <col customWidth="1" min="3" max="3" width="18.63"/>
    <col customWidth="1" min="4" max="6" width="12.63"/>
    <col customWidth="1" min="8" max="8" width="21.63"/>
    <col customWidth="1" min="9" max="9" width="17.0"/>
  </cols>
  <sheetData>
    <row r="1" ht="15.75" customHeight="1">
      <c r="A1" s="93"/>
      <c r="B1" s="93"/>
      <c r="C1" s="94"/>
      <c r="D1" s="93"/>
      <c r="E1" s="93"/>
      <c r="F1" s="93"/>
      <c r="G1" s="94"/>
      <c r="H1" s="94"/>
      <c r="I1" s="93"/>
    </row>
    <row r="2" ht="15.75" customHeight="1">
      <c r="A2" s="93"/>
      <c r="B2" s="93"/>
      <c r="C2" s="94"/>
      <c r="D2" s="93"/>
      <c r="E2" s="95" t="s">
        <v>47</v>
      </c>
      <c r="F2" s="99">
        <f>SUM(OB_Nov_2025!$F$4:$F$10)</f>
        <v>8810565.513</v>
      </c>
      <c r="G2" s="94" t="s">
        <v>51</v>
      </c>
      <c r="H2" s="94"/>
      <c r="I2" s="93"/>
      <c r="J2" s="93"/>
    </row>
    <row r="3" ht="22.5" customHeight="1">
      <c r="A3" s="47" t="s">
        <v>4</v>
      </c>
      <c r="B3" s="47" t="s">
        <v>5</v>
      </c>
      <c r="C3" s="90" t="s">
        <v>6</v>
      </c>
      <c r="D3" s="47" t="s">
        <v>32</v>
      </c>
      <c r="E3" s="10" t="s">
        <v>11</v>
      </c>
      <c r="F3" s="47" t="s">
        <v>38</v>
      </c>
      <c r="G3" s="90" t="s">
        <v>39</v>
      </c>
      <c r="H3" s="90" t="s">
        <v>48</v>
      </c>
      <c r="I3" s="47" t="s">
        <v>49</v>
      </c>
      <c r="J3" s="47" t="s">
        <v>15</v>
      </c>
    </row>
    <row r="4" ht="22.5" customHeight="1">
      <c r="A4" s="14" t="str">
        <f>IFERROR(__xludf.DUMMYFUNCTION("QUERY(IMPORTRANGE(""https://docs.google.com/spreadsheets/d/1sOBA95jI3gUTkNtq3pD8Ob7Zb_EY63WYXvHKt7aiQk8/edit?gid=0#gid=0"",""SKU Info &amp; Sales Channel &amp; Inventory Codes!B26:D50""),""SELECT Col1 WHERE Col1 &gt;= 12100"",0)"),"#REF!")</f>
        <v>#REF!</v>
      </c>
      <c r="B4" s="15" t="str">
        <f>IFERROR(__xludf.DUMMYFUNCTION("QUERY(IMPORTRANGE(""https://docs.google.com/spreadsheets/d/1sOBA95jI3gUTkNtq3pD8Ob7Zb_EY63WYXvHKt7aiQk8/edit?gid=0#gid=0"",""SKU Info &amp; Sales Channel &amp; Inventory Codes!B26:D50""),""SELECT Col3 WHERE Col1 &gt;= 12100"",0)"),"#REF!")</f>
        <v>#REF!</v>
      </c>
      <c r="C4" s="14" t="s">
        <v>16</v>
      </c>
      <c r="D4" s="100">
        <v>46.6</v>
      </c>
      <c r="E4" s="84">
        <v>14371.42857142857</v>
      </c>
      <c r="F4" s="84">
        <f t="shared" ref="F4:F10" si="1">D4*E4</f>
        <v>669708.5714</v>
      </c>
      <c r="G4" s="91">
        <v>45809.0</v>
      </c>
      <c r="H4" s="97">
        <f>D4-OB_Feb_2025!D2</f>
        <v>46.6</v>
      </c>
      <c r="I4" s="98">
        <f>E4/OB_August_2025!E4-1</f>
        <v>0.004110374908</v>
      </c>
      <c r="J4" s="14" t="s">
        <v>17</v>
      </c>
      <c r="L4" s="8"/>
      <c r="M4" s="4"/>
    </row>
    <row r="5" ht="22.5" customHeight="1">
      <c r="A5" s="14"/>
      <c r="B5" s="15"/>
      <c r="C5" s="14" t="s">
        <v>18</v>
      </c>
      <c r="D5" s="100">
        <v>880.0</v>
      </c>
      <c r="E5" s="84">
        <v>963.0931935190432</v>
      </c>
      <c r="F5" s="84">
        <f t="shared" si="1"/>
        <v>847522.0103</v>
      </c>
      <c r="G5" s="91">
        <v>45809.0</v>
      </c>
      <c r="H5" s="97">
        <f>D5-OB_Feb_2025!D3</f>
        <v>880</v>
      </c>
      <c r="I5" s="98">
        <f>E5/OB_August_2025!E5-1</f>
        <v>-0.08281290252</v>
      </c>
      <c r="J5" s="14" t="s">
        <v>17</v>
      </c>
      <c r="L5" s="8"/>
      <c r="M5" s="4"/>
    </row>
    <row r="6" ht="22.5" customHeight="1">
      <c r="A6" s="14"/>
      <c r="B6" s="15"/>
      <c r="C6" s="14" t="s">
        <v>18</v>
      </c>
      <c r="D6" s="100">
        <v>1640.0</v>
      </c>
      <c r="E6" s="84">
        <v>1064.1245351805335</v>
      </c>
      <c r="F6" s="84">
        <f t="shared" si="1"/>
        <v>1745164.238</v>
      </c>
      <c r="G6" s="91">
        <v>45809.0</v>
      </c>
      <c r="H6" s="97">
        <f>D6-OB_Feb_2025!D4</f>
        <v>1338</v>
      </c>
      <c r="I6" s="98">
        <f>E6/OB_August_2025!E6-1</f>
        <v>-0.02911784287</v>
      </c>
      <c r="J6" s="14" t="s">
        <v>17</v>
      </c>
      <c r="L6" s="8"/>
      <c r="M6" s="4"/>
    </row>
    <row r="7" ht="22.5" customHeight="1">
      <c r="A7" s="14"/>
      <c r="B7" s="15"/>
      <c r="C7" s="14" t="s">
        <v>19</v>
      </c>
      <c r="D7" s="100">
        <v>1500.0</v>
      </c>
      <c r="E7" s="84">
        <v>38.5316091954023</v>
      </c>
      <c r="F7" s="84">
        <f t="shared" si="1"/>
        <v>57797.41379</v>
      </c>
      <c r="G7" s="91">
        <v>45809.0</v>
      </c>
      <c r="H7" s="97">
        <f>D7-OB_Feb_2025!D5</f>
        <v>1500</v>
      </c>
      <c r="I7" s="98">
        <f>E7/OB_August_2025!E7-1</f>
        <v>0.1444573679</v>
      </c>
      <c r="J7" s="14" t="s">
        <v>17</v>
      </c>
      <c r="L7" s="8"/>
      <c r="M7" s="4"/>
    </row>
    <row r="8" ht="22.5" customHeight="1">
      <c r="A8" s="14"/>
      <c r="B8" s="15"/>
      <c r="C8" s="14" t="s">
        <v>19</v>
      </c>
      <c r="D8" s="100">
        <v>13600.0</v>
      </c>
      <c r="E8" s="84">
        <v>41.223590047534266</v>
      </c>
      <c r="F8" s="84">
        <f t="shared" si="1"/>
        <v>560640.8246</v>
      </c>
      <c r="G8" s="91">
        <v>45809.0</v>
      </c>
      <c r="H8" s="97">
        <f>D8-OB_Feb_2025!D6</f>
        <v>9600</v>
      </c>
      <c r="I8" s="98">
        <f>E8/OB_August_2025!E8-1</f>
        <v>0.04949770581</v>
      </c>
      <c r="J8" s="14" t="s">
        <v>17</v>
      </c>
      <c r="L8" s="8"/>
      <c r="M8" s="4"/>
    </row>
    <row r="9" ht="22.5" customHeight="1">
      <c r="A9" s="14"/>
      <c r="B9" s="15"/>
      <c r="C9" s="14" t="s">
        <v>20</v>
      </c>
      <c r="D9" s="100">
        <v>7.0</v>
      </c>
      <c r="E9" s="84">
        <v>13672.858196067878</v>
      </c>
      <c r="F9" s="84">
        <f t="shared" si="1"/>
        <v>95710.00737</v>
      </c>
      <c r="G9" s="91">
        <v>45809.0</v>
      </c>
      <c r="H9" s="97">
        <f>D9-OB_Feb_2025!D7</f>
        <v>7</v>
      </c>
      <c r="I9" s="98">
        <f>E9/OB_August_2025!E9-1</f>
        <v>0.0361090677</v>
      </c>
      <c r="J9" s="14" t="s">
        <v>17</v>
      </c>
      <c r="L9" s="8"/>
      <c r="M9" s="4"/>
    </row>
    <row r="10" ht="22.5" customHeight="1">
      <c r="A10" s="14"/>
      <c r="B10" s="15"/>
      <c r="C10" s="14" t="s">
        <v>20</v>
      </c>
      <c r="D10" s="100">
        <v>28.0</v>
      </c>
      <c r="E10" s="84">
        <v>172643.65883647767</v>
      </c>
      <c r="F10" s="84">
        <f t="shared" si="1"/>
        <v>4834022.447</v>
      </c>
      <c r="G10" s="91">
        <v>45809.0</v>
      </c>
      <c r="H10" s="97">
        <f>D10-OB_Feb_2025!D8</f>
        <v>-12</v>
      </c>
      <c r="I10" s="98">
        <f>E10/OB_August_2025!E10-1</f>
        <v>-0.1156633307</v>
      </c>
      <c r="J10" s="14" t="s">
        <v>17</v>
      </c>
      <c r="L10" s="8"/>
      <c r="M10" s="4"/>
    </row>
    <row r="11" ht="15.75" customHeight="1"/>
    <row r="12" ht="15.75" customHeight="1">
      <c r="M12" s="93" t="s">
        <v>50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>
      <c r="L21" s="8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4:H10">
    <cfRule type="cellIs" dxfId="11" priority="1" operator="greaterThan">
      <formula>0</formula>
    </cfRule>
  </conditionalFormatting>
  <conditionalFormatting sqref="H4:H10">
    <cfRule type="cellIs" dxfId="12" priority="2" operator="lessThanOrEqual">
      <formula>0</formula>
    </cfRule>
  </conditionalFormatting>
  <conditionalFormatting sqref="I4:I10">
    <cfRule type="cellIs" dxfId="11" priority="3" operator="greaterThan">
      <formula>0</formula>
    </cfRule>
  </conditionalFormatting>
  <conditionalFormatting sqref="I4:I10">
    <cfRule type="cellIs" dxfId="12" priority="4" operator="lessThan">
      <formula>0</formula>
    </cfRule>
  </conditionalFormatting>
  <dataValidations>
    <dataValidation type="list" allowBlank="1" sqref="C4:C10">
      <formula1>"Kg,Box,Pack,Cup,Roll,Bag"</formula1>
    </dataValidation>
    <dataValidation type="custom" allowBlank="1" showDropDown="1" sqref="D4:F10 H4:I10">
      <formula1>AND(ISNUMBER(D4),(NOT(OR(NOT(ISERROR(DATEVALUE(D4))), AND(ISNUMBER(D4), LEFT(CELL("format", D4))="D")))))</formula1>
    </dataValidation>
    <dataValidation type="list" allowBlank="1" sqref="J4:J10">
      <formula1>"In stock,Temporarily unavailable,Re-purchase needed,Sold out"</formula1>
    </dataValidation>
  </dataValidations>
  <drawing r:id="rId1"/>
  <tableParts count="1">
    <tablePart r:id="rId3"/>
  </tableParts>
</worksheet>
</file>