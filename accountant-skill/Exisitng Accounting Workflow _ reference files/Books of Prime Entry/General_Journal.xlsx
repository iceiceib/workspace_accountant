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lper" sheetId="1" r:id="rId4"/>
    <sheet state="visible" name="Gen_Journal" sheetId="2" r:id="rId5"/>
  </sheets>
  <definedNames>
    <definedName hidden="1" localSheetId="1" name="_xlnm._FilterDatabase">Gen_Journal!$A$7:$J$378</definedName>
  </definedNames>
  <calcPr/>
  <extLst>
    <ext uri="GoogleSheetsCustomDataVersion2">
      <go:sheetsCustomData xmlns:go="http://customooxmlschemas.google.com/" r:id="rId6" roundtripDataChecksum="xD0xpIYnCcXkg0pzx3wXyOZ567OLO/bnrkqRJCYNjsE="/>
    </ext>
  </extLst>
</workbook>
</file>

<file path=xl/sharedStrings.xml><?xml version="1.0" encoding="utf-8"?>
<sst xmlns="http://schemas.openxmlformats.org/spreadsheetml/2006/main" count="557" uniqueCount="117">
  <si>
    <t>Balance Check</t>
  </si>
  <si>
    <t>Date</t>
  </si>
  <si>
    <t>Journal ID</t>
  </si>
  <si>
    <t>Branch</t>
  </si>
  <si>
    <t>COA Account Number</t>
  </si>
  <si>
    <t>Account Name</t>
  </si>
  <si>
    <t>Description</t>
  </si>
  <si>
    <t>Debit (MMK)</t>
  </si>
  <si>
    <t>Credit (MMK)</t>
  </si>
  <si>
    <t>Net</t>
  </si>
  <si>
    <t>Remark</t>
  </si>
  <si>
    <t>JV-02-001</t>
  </si>
  <si>
    <t xml:space="preserve">Opening Inventory - Raw Materials </t>
  </si>
  <si>
    <t>Opening Inventory for Feb_2025</t>
  </si>
  <si>
    <t>Inventory - Raw Material</t>
  </si>
  <si>
    <t xml:space="preserve">Opening Inventory - Packaging </t>
  </si>
  <si>
    <t>Inventory - Packaging</t>
  </si>
  <si>
    <t>Opening Inventory - Finished Goods</t>
  </si>
  <si>
    <t>Inventory - Finished Goods</t>
  </si>
  <si>
    <t>JV-02-002</t>
  </si>
  <si>
    <t>Closing Inventory - Raw Materials</t>
  </si>
  <si>
    <t>Closing Inventory for Feb_2025</t>
  </si>
  <si>
    <t>Closing Inventory - Packaging</t>
  </si>
  <si>
    <t>Closing Inventory - Finished Goods</t>
  </si>
  <si>
    <t>JV-02-003</t>
  </si>
  <si>
    <t>Accumulated Depreciation - Buildings &amp; Structures</t>
  </si>
  <si>
    <t>Feb 2025 Depreciation charges for buildings</t>
  </si>
  <si>
    <t>Depreciation Expenses - SG&amp;A</t>
  </si>
  <si>
    <t>Accumulated Depreciation - Electrical &amp; Utility Systems</t>
  </si>
  <si>
    <t>Feb 2025 Depreciation charges for Electrical system</t>
  </si>
  <si>
    <t>Accumulated Depreciation - Machinery &amp; Equipment</t>
  </si>
  <si>
    <t>Feb 2025 Depreciation charges for Machinery &amp; Equipment</t>
  </si>
  <si>
    <t>JV-03-001</t>
  </si>
  <si>
    <t>Mar 2025 Depreciation charges for buildings</t>
  </si>
  <si>
    <t>Mar 2025 Depreciation charges for Electrical system</t>
  </si>
  <si>
    <t>Depreciation Expenses - COGS</t>
  </si>
  <si>
    <t>Mar 2025 Depreciation charges for Machinery &amp; Equipment</t>
  </si>
  <si>
    <t>JV-03-002</t>
  </si>
  <si>
    <t>Opening Inventory for Mar_2025</t>
  </si>
  <si>
    <t>JV-03-003</t>
  </si>
  <si>
    <t>Closing Inventory for Mar_2025</t>
  </si>
  <si>
    <t>Inventory Write-off</t>
  </si>
  <si>
    <t>JV-03-004</t>
  </si>
  <si>
    <t>Inventory losses due to earthquake</t>
  </si>
  <si>
    <t>JV-03-005</t>
  </si>
  <si>
    <t>Key Managment Personnel and Director Compensation</t>
  </si>
  <si>
    <t xml:space="preserve">Managment Personnnel compensation 10% of FY 2025 Profit before tax </t>
  </si>
  <si>
    <t>Cash in hand</t>
  </si>
  <si>
    <t>JV-04-001</t>
  </si>
  <si>
    <t>April 2025 Depreciation charges for buildings</t>
  </si>
  <si>
    <t>April 2025 Depreciation charges for Electrical system</t>
  </si>
  <si>
    <t>April 2025 Depreciation charges for Machinery &amp; Equipment</t>
  </si>
  <si>
    <t>JV-04-002</t>
  </si>
  <si>
    <t>Opening Inventory for April_2025</t>
  </si>
  <si>
    <t>JV-04-003</t>
  </si>
  <si>
    <t>Closing Inventory for April_2025</t>
  </si>
  <si>
    <t>JV-05-001</t>
  </si>
  <si>
    <t>May 2025 Depreciation charges for buildings</t>
  </si>
  <si>
    <t>May 2025 Depreciation charges for Electrical system</t>
  </si>
  <si>
    <t>May 2025 Depreciation charges for Machinery &amp; Equipment</t>
  </si>
  <si>
    <t>JV-05-002</t>
  </si>
  <si>
    <t>Opening Inventory for May_2025</t>
  </si>
  <si>
    <t>JV-05-003</t>
  </si>
  <si>
    <t>Closing Inventory for May_2025</t>
  </si>
  <si>
    <t>JV-06-001</t>
  </si>
  <si>
    <t>June 2025 Depreciation charges for buildings</t>
  </si>
  <si>
    <t>June 2025 Depreciation charges for Electrical system</t>
  </si>
  <si>
    <t>June 2025 Depreciation charges for Machinery &amp; Equipment</t>
  </si>
  <si>
    <t>JV-06-002</t>
  </si>
  <si>
    <t>Opening Inventory for June_2025</t>
  </si>
  <si>
    <t>JV-06-003</t>
  </si>
  <si>
    <t>Closing Inventory for June_2025</t>
  </si>
  <si>
    <t>31-Jun-2025</t>
  </si>
  <si>
    <t>JV-07-001</t>
  </si>
  <si>
    <t>July 2025 Depreciation charges for buildings</t>
  </si>
  <si>
    <t>July 2025 Depreciation charges for Electrical system</t>
  </si>
  <si>
    <t>July 2025 Depreciation charges for Machinery &amp; Equipment</t>
  </si>
  <si>
    <t>JV-07-002</t>
  </si>
  <si>
    <t>Opening Inventory for July_2025</t>
  </si>
  <si>
    <t>JV-07-003</t>
  </si>
  <si>
    <t>Closing Inventory for July_2025</t>
  </si>
  <si>
    <t>JV-08-001</t>
  </si>
  <si>
    <t>August 2025 Depreciation charges for buildings</t>
  </si>
  <si>
    <t>August 2025 Depreciation charges for Electrical system</t>
  </si>
  <si>
    <t>August 2025 Depreciation charges for Machinery &amp; Equipment</t>
  </si>
  <si>
    <t>JV-08-002</t>
  </si>
  <si>
    <t>Opening Inventory for August_2025</t>
  </si>
  <si>
    <t>JV-08-003</t>
  </si>
  <si>
    <t>Closing Inventory for August_2025</t>
  </si>
  <si>
    <t>JV-08-004</t>
  </si>
  <si>
    <t>Construction in Progress</t>
  </si>
  <si>
    <t>Construction progress transfer to PPE</t>
  </si>
  <si>
    <t>Buildings &amp; Structures</t>
  </si>
  <si>
    <t>JV-08-005</t>
  </si>
  <si>
    <t>Total Waste or Defects - Packaging</t>
  </si>
  <si>
    <t>JV-09-001</t>
  </si>
  <si>
    <t>September 2025 Depreciation charges for buildings</t>
  </si>
  <si>
    <t>September 2025 Depreciation charges for Electrical system</t>
  </si>
  <si>
    <t>September 2025 Depreciation charges for Machinery &amp; Equipment</t>
  </si>
  <si>
    <t>JV-09-002</t>
  </si>
  <si>
    <t>Opening Inventory for September_2025</t>
  </si>
  <si>
    <t>JV-09-003</t>
  </si>
  <si>
    <t>Closing Inventory for September_2025</t>
  </si>
  <si>
    <t>JV-09-004</t>
  </si>
  <si>
    <t>Advanced Payments</t>
  </si>
  <si>
    <t>Allocation KBZ Building Insurance</t>
  </si>
  <si>
    <t>Factory Buildings &amp; Office Supplies and Maintenance</t>
  </si>
  <si>
    <t>JV-09-005</t>
  </si>
  <si>
    <t>JV-10-001</t>
  </si>
  <si>
    <t>October 2025 Depreciation charges for buildings</t>
  </si>
  <si>
    <t>October 2025 Depreciation charges for Electrical system</t>
  </si>
  <si>
    <t>October 2025 Depreciation charges for Machinery &amp; Equipment</t>
  </si>
  <si>
    <t>JV-10-002</t>
  </si>
  <si>
    <t>Opening Inventory for October_2025</t>
  </si>
  <si>
    <t>JV-10-003</t>
  </si>
  <si>
    <t>Closing Inventory for October_2025</t>
  </si>
  <si>
    <t>JV-10-004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</si>
</sst>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&quot;-&quot;mmm&quot;-&quot;yyyy"/>
    <numFmt numFmtId="165" formatCode="d-mmm-yyyy"/>
    <numFmt numFmtId="166" formatCode="dd/MM/yyyy"/>
    <numFmt numFmtId="167" formatCode="dd/mm/yyyy"/>
  </numFmts>
  <fonts count="4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sz val="10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DD0E1"/>
        <bgColor rgb="FF4DD0E1"/>
      </patternFill>
    </fill>
    <fill>
      <patternFill patternType="solid">
        <fgColor rgb="FFFFFFFF"/>
        <bgColor rgb="FFFFFFFF"/>
      </patternFill>
    </fill>
    <fill>
      <patternFill patternType="solid">
        <fgColor rgb="FFE0F7FA"/>
        <bgColor rgb="FFE0F7FA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3" xfId="0" applyFont="1" applyNumberFormat="1"/>
    <xf borderId="0" fillId="0" fontId="1" numFmtId="0" xfId="0" applyFont="1"/>
    <xf borderId="0" fillId="0" fontId="1" numFmtId="3" xfId="0" applyFont="1" applyNumberFormat="1"/>
    <xf borderId="0" fillId="0" fontId="2" numFmtId="0" xfId="0" applyFont="1"/>
    <xf borderId="0" fillId="0" fontId="1" numFmtId="0" xfId="0" applyAlignment="1" applyFont="1">
      <alignment vertical="bottom"/>
    </xf>
    <xf borderId="0" fillId="2" fontId="3" numFmtId="0" xfId="0" applyAlignment="1" applyFill="1" applyFont="1">
      <alignment shrinkToFit="0" wrapText="1"/>
    </xf>
    <xf borderId="0" fillId="0" fontId="3" numFmtId="0" xfId="0" applyAlignment="1" applyFont="1">
      <alignment shrinkToFit="0" wrapText="1"/>
    </xf>
    <xf borderId="0" fillId="0" fontId="3" numFmtId="49" xfId="0" applyAlignment="1" applyFont="1" applyNumberFormat="1">
      <alignment shrinkToFit="0" wrapText="1"/>
    </xf>
    <xf borderId="0" fillId="3" fontId="1" numFmtId="164" xfId="0" applyAlignment="1" applyFill="1" applyFont="1" applyNumberFormat="1">
      <alignment vertical="bottom"/>
    </xf>
    <xf borderId="0" fillId="3" fontId="1" numFmtId="0" xfId="0" applyAlignment="1" applyFont="1">
      <alignment vertical="bottom"/>
    </xf>
    <xf borderId="0" fillId="3" fontId="1" numFmtId="0" xfId="0" applyFont="1"/>
    <xf borderId="0" fillId="3" fontId="1" numFmtId="4" xfId="0" applyAlignment="1" applyFont="1" applyNumberFormat="1">
      <alignment horizontal="right" vertical="bottom"/>
    </xf>
    <xf borderId="0" fillId="4" fontId="1" numFmtId="164" xfId="0" applyAlignment="1" applyFill="1" applyFont="1" applyNumberFormat="1">
      <alignment vertical="bottom"/>
    </xf>
    <xf borderId="0" fillId="4" fontId="1" numFmtId="0" xfId="0" applyAlignment="1" applyFont="1">
      <alignment vertical="bottom"/>
    </xf>
    <xf borderId="0" fillId="4" fontId="1" numFmtId="0" xfId="0" applyFont="1"/>
    <xf borderId="0" fillId="4" fontId="1" numFmtId="4" xfId="0" applyAlignment="1" applyFont="1" applyNumberFormat="1">
      <alignment horizontal="right" vertical="bottom"/>
    </xf>
    <xf borderId="0" fillId="0" fontId="1" numFmtId="4" xfId="0" applyFont="1" applyNumberFormat="1"/>
    <xf borderId="0" fillId="3" fontId="1" numFmtId="164" xfId="0" applyAlignment="1" applyFont="1" applyNumberFormat="1">
      <alignment horizontal="right"/>
    </xf>
    <xf borderId="0" fillId="4" fontId="1" numFmtId="164" xfId="0" applyAlignment="1" applyFont="1" applyNumberFormat="1">
      <alignment horizontal="right"/>
    </xf>
    <xf borderId="0" fillId="3" fontId="1" numFmtId="4" xfId="0" applyAlignment="1" applyFont="1" applyNumberFormat="1">
      <alignment vertical="bottom"/>
    </xf>
    <xf borderId="0" fillId="4" fontId="1" numFmtId="4" xfId="0" applyAlignment="1" applyFont="1" applyNumberFormat="1">
      <alignment vertical="bottom"/>
    </xf>
    <xf borderId="0" fillId="3" fontId="1" numFmtId="0" xfId="0" applyAlignment="1" applyFont="1">
      <alignment horizontal="right"/>
    </xf>
    <xf borderId="0" fillId="4" fontId="1" numFmtId="0" xfId="0" applyAlignment="1" applyFont="1">
      <alignment horizontal="right"/>
    </xf>
    <xf borderId="0" fillId="3" fontId="1" numFmtId="165" xfId="0" applyAlignment="1" applyFont="1" applyNumberFormat="1">
      <alignment horizontal="right"/>
    </xf>
    <xf borderId="0" fillId="4" fontId="1" numFmtId="165" xfId="0" applyAlignment="1" applyFont="1" applyNumberFormat="1">
      <alignment horizontal="right"/>
    </xf>
    <xf borderId="0" fillId="3" fontId="1" numFmtId="166" xfId="0" applyAlignment="1" applyFont="1" applyNumberFormat="1">
      <alignment horizontal="right" vertical="bottom"/>
    </xf>
    <xf borderId="0" fillId="4" fontId="1" numFmtId="166" xfId="0" applyAlignment="1" applyFont="1" applyNumberFormat="1">
      <alignment horizontal="right" vertical="bottom"/>
    </xf>
    <xf borderId="0" fillId="3" fontId="1" numFmtId="3" xfId="0" applyAlignment="1" applyFont="1" applyNumberFormat="1">
      <alignment vertical="bottom"/>
    </xf>
    <xf borderId="0" fillId="4" fontId="1" numFmtId="3" xfId="0" applyAlignment="1" applyFont="1" applyNumberFormat="1">
      <alignment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3" fontId="1" numFmtId="167" xfId="0" applyAlignment="1" applyFont="1" applyNumberFormat="1">
      <alignment horizontal="right" vertical="bottom"/>
    </xf>
    <xf borderId="0" fillId="4" fontId="1" numFmtId="167" xfId="0" applyAlignment="1" applyFont="1" applyNumberFormat="1">
      <alignment horizontal="righ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</dxfs>
  <tableStyles count="2">
    <tableStyle count="3" pivot="0" name="Helper-style">
      <tableStyleElement dxfId="1" type="headerRow"/>
      <tableStyleElement dxfId="2" type="firstRowStripe"/>
      <tableStyleElement dxfId="3" type="secondRowStripe"/>
    </tableStyle>
    <tableStyle count="3" pivot="0" name="Help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B4:G60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Help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B100:G151" displayName="Table_2" name="Table_2" id="2">
  <tableColumns count="6">
    <tableColumn name="#REF!" id="1"/>
    <tableColumn name="" id="2"/>
    <tableColumn name=" 2" id="3"/>
    <tableColumn name=" 3" id="4"/>
    <tableColumn name=" 4" id="5"/>
    <tableColumn name=" 5" id="6"/>
  </tableColumns>
  <tableStyleInfo name="Help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15.5"/>
    <col customWidth="1" min="3" max="3" width="23.13"/>
    <col customWidth="1" min="4" max="4" width="13.38"/>
    <col customWidth="1" min="5" max="5" width="41.88"/>
    <col customWidth="1" min="6" max="6" width="11.38"/>
    <col customWidth="1" min="7" max="7" width="94.88"/>
  </cols>
  <sheetData>
    <row r="1" ht="15.75" customHeight="1"/>
    <row r="2" ht="15.75" customHeight="1"/>
    <row r="3" ht="15.75" customHeight="1"/>
    <row r="4" ht="15.75" customHeight="1">
      <c r="B4" s="1" t="str">
        <f>IFERROR(__xludf.DUMMYFUNCTION("QUERY(IMPORTRANGE(""https://docs.google.com/spreadsheets/d/1adF9kzeJwHB6KqrhtfLpmr0dQ6S8IrjnRL_EJ2WG2X8/edit?gid=0#gid=0"",""COA!B20:G100""),""SELECT *"",1)"),"#REF!")</f>
        <v>#REF!</v>
      </c>
      <c r="C4" s="1"/>
      <c r="D4" s="1"/>
      <c r="E4" s="1"/>
      <c r="F4" s="1"/>
      <c r="G4" s="1"/>
    </row>
    <row r="5" ht="15.75" customHeight="1">
      <c r="B5" s="1"/>
      <c r="C5" s="1"/>
      <c r="D5" s="1"/>
      <c r="E5" s="1"/>
      <c r="F5" s="2"/>
      <c r="G5" s="1"/>
    </row>
    <row r="6" ht="15.75" customHeight="1">
      <c r="B6" s="1"/>
      <c r="C6" s="1"/>
      <c r="D6" s="1"/>
      <c r="E6" s="1"/>
      <c r="F6" s="2"/>
      <c r="G6" s="1"/>
    </row>
    <row r="7" ht="15.75" customHeight="1">
      <c r="B7" s="1"/>
      <c r="C7" s="1"/>
      <c r="D7" s="1"/>
      <c r="E7" s="1"/>
      <c r="F7" s="2"/>
      <c r="G7" s="1"/>
    </row>
    <row r="8" ht="15.75" customHeight="1">
      <c r="B8" s="1"/>
      <c r="C8" s="1"/>
      <c r="D8" s="1"/>
      <c r="E8" s="1"/>
      <c r="F8" s="2"/>
      <c r="G8" s="1"/>
    </row>
    <row r="9" ht="15.75" customHeight="1">
      <c r="B9" s="1"/>
      <c r="C9" s="1"/>
      <c r="D9" s="1"/>
      <c r="E9" s="1"/>
      <c r="F9" s="2"/>
      <c r="G9" s="1"/>
    </row>
    <row r="10" ht="15.75" customHeight="1">
      <c r="B10" s="1"/>
      <c r="C10" s="1"/>
      <c r="D10" s="1"/>
      <c r="E10" s="1"/>
      <c r="F10" s="2"/>
      <c r="G10" s="1"/>
    </row>
    <row r="11" ht="15.75" customHeight="1">
      <c r="B11" s="1"/>
      <c r="C11" s="1"/>
      <c r="D11" s="1"/>
      <c r="E11" s="1"/>
      <c r="F11" s="2"/>
      <c r="G11" s="1"/>
    </row>
    <row r="12" ht="15.75" customHeight="1">
      <c r="B12" s="1"/>
      <c r="C12" s="1"/>
      <c r="D12" s="1"/>
      <c r="E12" s="1"/>
      <c r="F12" s="2"/>
      <c r="G12" s="1"/>
    </row>
    <row r="13" ht="15.75" customHeight="1">
      <c r="B13" s="1"/>
      <c r="C13" s="1"/>
      <c r="D13" s="1"/>
      <c r="E13" s="1"/>
      <c r="F13" s="2"/>
      <c r="G13" s="1"/>
    </row>
    <row r="14" ht="15.75" customHeight="1">
      <c r="B14" s="1"/>
      <c r="C14" s="1"/>
      <c r="D14" s="1"/>
      <c r="E14" s="1"/>
      <c r="F14" s="2"/>
      <c r="G14" s="1"/>
    </row>
    <row r="15" ht="15.75" customHeight="1">
      <c r="B15" s="1"/>
      <c r="C15" s="1"/>
      <c r="D15" s="1"/>
      <c r="E15" s="1"/>
      <c r="F15" s="2"/>
      <c r="G15" s="1"/>
    </row>
    <row r="16" ht="15.75" customHeight="1">
      <c r="B16" s="1"/>
      <c r="C16" s="1"/>
      <c r="D16" s="1"/>
      <c r="E16" s="1"/>
      <c r="F16" s="2"/>
      <c r="G16" s="1"/>
    </row>
    <row r="17" ht="15.75" customHeight="1">
      <c r="B17" s="1"/>
      <c r="C17" s="1"/>
      <c r="D17" s="1"/>
      <c r="E17" s="1"/>
      <c r="F17" s="2"/>
      <c r="G17" s="1"/>
    </row>
    <row r="18" ht="15.75" customHeight="1">
      <c r="B18" s="1"/>
      <c r="C18" s="1"/>
      <c r="D18" s="1"/>
      <c r="E18" s="1"/>
      <c r="F18" s="2"/>
      <c r="G18" s="1"/>
    </row>
    <row r="19" ht="15.75" customHeight="1">
      <c r="B19" s="1"/>
      <c r="C19" s="1"/>
      <c r="D19" s="1"/>
      <c r="E19" s="1"/>
      <c r="F19" s="2"/>
      <c r="G19" s="1"/>
    </row>
    <row r="20" ht="15.75" customHeight="1">
      <c r="B20" s="1"/>
      <c r="C20" s="1"/>
      <c r="D20" s="1"/>
      <c r="E20" s="1"/>
      <c r="F20" s="2"/>
      <c r="G20" s="1"/>
    </row>
    <row r="21" ht="15.75" customHeight="1">
      <c r="B21" s="1"/>
      <c r="C21" s="1"/>
      <c r="D21" s="1"/>
      <c r="E21" s="1"/>
      <c r="F21" s="2"/>
      <c r="G21" s="1"/>
    </row>
    <row r="22" ht="15.75" customHeight="1">
      <c r="B22" s="1"/>
      <c r="C22" s="1"/>
      <c r="D22" s="1"/>
      <c r="E22" s="1"/>
      <c r="F22" s="2"/>
      <c r="G22" s="1"/>
    </row>
    <row r="23" ht="15.75" customHeight="1">
      <c r="B23" s="1"/>
      <c r="C23" s="1"/>
      <c r="D23" s="1"/>
      <c r="E23" s="1"/>
      <c r="F23" s="2"/>
      <c r="G23" s="1"/>
    </row>
    <row r="24" ht="15.75" customHeight="1">
      <c r="B24" s="1"/>
      <c r="C24" s="1"/>
      <c r="D24" s="1"/>
      <c r="E24" s="1"/>
      <c r="F24" s="2"/>
      <c r="G24" s="1"/>
    </row>
    <row r="25" ht="15.75" customHeight="1">
      <c r="B25" s="1"/>
      <c r="C25" s="1"/>
      <c r="D25" s="1"/>
      <c r="E25" s="1"/>
      <c r="F25" s="2"/>
      <c r="G25" s="1"/>
    </row>
    <row r="26" ht="15.75" customHeight="1">
      <c r="B26" s="1"/>
      <c r="C26" s="1"/>
      <c r="D26" s="1"/>
      <c r="E26" s="1"/>
      <c r="F26" s="2"/>
      <c r="G26" s="1"/>
    </row>
    <row r="27" ht="15.75" customHeight="1">
      <c r="B27" s="1"/>
      <c r="C27" s="1"/>
      <c r="D27" s="1"/>
      <c r="E27" s="1"/>
      <c r="F27" s="2"/>
      <c r="G27" s="1"/>
    </row>
    <row r="28" ht="15.75" customHeight="1">
      <c r="B28" s="1"/>
      <c r="C28" s="1"/>
      <c r="D28" s="1"/>
      <c r="E28" s="1"/>
      <c r="F28" s="2"/>
      <c r="G28" s="1"/>
    </row>
    <row r="29" ht="15.75" customHeight="1">
      <c r="B29" s="1"/>
      <c r="C29" s="1"/>
      <c r="D29" s="1"/>
      <c r="E29" s="1"/>
      <c r="F29" s="2"/>
      <c r="G29" s="1"/>
    </row>
    <row r="30" ht="15.75" customHeight="1">
      <c r="B30" s="1"/>
      <c r="C30" s="1"/>
      <c r="D30" s="1"/>
      <c r="E30" s="1"/>
      <c r="F30" s="2"/>
      <c r="G30" s="1"/>
    </row>
    <row r="31" ht="15.75" customHeight="1">
      <c r="B31" s="1"/>
      <c r="C31" s="1"/>
      <c r="D31" s="1"/>
      <c r="E31" s="1"/>
      <c r="F31" s="2"/>
      <c r="G31" s="1"/>
    </row>
    <row r="32" ht="15.75" customHeight="1">
      <c r="B32" s="1"/>
      <c r="C32" s="1"/>
      <c r="D32" s="1"/>
      <c r="E32" s="1"/>
      <c r="F32" s="2"/>
      <c r="G32" s="1"/>
    </row>
    <row r="33" ht="15.75" customHeight="1">
      <c r="B33" s="1"/>
      <c r="C33" s="1"/>
      <c r="D33" s="1"/>
      <c r="E33" s="1"/>
      <c r="F33" s="2"/>
      <c r="G33" s="1"/>
    </row>
    <row r="34" ht="15.75" customHeight="1">
      <c r="B34" s="1"/>
      <c r="C34" s="1"/>
      <c r="D34" s="1"/>
      <c r="E34" s="1"/>
      <c r="F34" s="2"/>
      <c r="G34" s="1"/>
    </row>
    <row r="35" ht="15.75" customHeight="1">
      <c r="B35" s="1"/>
      <c r="C35" s="1"/>
      <c r="D35" s="1"/>
      <c r="E35" s="1"/>
      <c r="F35" s="2"/>
      <c r="G35" s="1"/>
    </row>
    <row r="36" ht="15.75" customHeight="1">
      <c r="B36" s="1"/>
      <c r="C36" s="1"/>
      <c r="D36" s="1"/>
      <c r="E36" s="1"/>
      <c r="F36" s="2"/>
      <c r="G36" s="1"/>
    </row>
    <row r="37" ht="15.75" customHeight="1">
      <c r="B37" s="1"/>
      <c r="C37" s="1"/>
      <c r="D37" s="1"/>
      <c r="E37" s="1"/>
      <c r="F37" s="2"/>
      <c r="G37" s="1"/>
    </row>
    <row r="38" ht="15.75" customHeight="1">
      <c r="B38" s="1"/>
      <c r="C38" s="1"/>
      <c r="D38" s="1"/>
      <c r="E38" s="1"/>
      <c r="F38" s="2"/>
      <c r="G38" s="1"/>
    </row>
    <row r="39" ht="15.75" customHeight="1">
      <c r="B39" s="1"/>
      <c r="C39" s="1"/>
      <c r="D39" s="1"/>
      <c r="E39" s="1"/>
      <c r="F39" s="2"/>
      <c r="G39" s="1"/>
    </row>
    <row r="40" ht="15.75" customHeight="1">
      <c r="B40" s="1"/>
      <c r="C40" s="1"/>
      <c r="D40" s="1"/>
      <c r="E40" s="1"/>
      <c r="F40" s="2"/>
      <c r="G40" s="1"/>
    </row>
    <row r="41" ht="15.75" customHeight="1">
      <c r="B41" s="1"/>
      <c r="C41" s="1"/>
      <c r="D41" s="1"/>
      <c r="E41" s="1"/>
      <c r="F41" s="2"/>
      <c r="G41" s="1"/>
    </row>
    <row r="42" ht="15.75" customHeight="1">
      <c r="B42" s="1"/>
      <c r="C42" s="1"/>
      <c r="D42" s="1"/>
      <c r="E42" s="1"/>
      <c r="F42" s="2"/>
      <c r="G42" s="1"/>
    </row>
    <row r="43" ht="15.75" customHeight="1">
      <c r="B43" s="1"/>
      <c r="C43" s="1"/>
      <c r="D43" s="1"/>
      <c r="E43" s="1"/>
      <c r="F43" s="2"/>
      <c r="G43" s="1"/>
    </row>
    <row r="44" ht="15.75" customHeight="1">
      <c r="B44" s="1"/>
      <c r="C44" s="1"/>
      <c r="D44" s="1"/>
      <c r="E44" s="1"/>
      <c r="F44" s="2"/>
      <c r="G44" s="1"/>
    </row>
    <row r="45" ht="15.75" customHeight="1">
      <c r="B45" s="1"/>
      <c r="C45" s="1"/>
      <c r="D45" s="1"/>
      <c r="E45" s="1"/>
      <c r="F45" s="2"/>
      <c r="G45" s="1"/>
    </row>
    <row r="46" ht="15.75" customHeight="1">
      <c r="B46" s="1"/>
      <c r="C46" s="1"/>
      <c r="D46" s="1"/>
      <c r="E46" s="1"/>
      <c r="F46" s="2"/>
      <c r="G46" s="1"/>
    </row>
    <row r="47" ht="15.75" customHeight="1">
      <c r="B47" s="1"/>
      <c r="C47" s="1"/>
      <c r="D47" s="1"/>
      <c r="E47" s="1"/>
      <c r="F47" s="2"/>
      <c r="G47" s="1"/>
    </row>
    <row r="48" ht="15.75" customHeight="1">
      <c r="B48" s="1"/>
      <c r="C48" s="1"/>
      <c r="D48" s="1"/>
      <c r="E48" s="1"/>
      <c r="F48" s="2"/>
      <c r="G48" s="1"/>
    </row>
    <row r="49" ht="15.75" customHeight="1">
      <c r="B49" s="1"/>
      <c r="C49" s="1"/>
      <c r="D49" s="1"/>
      <c r="E49" s="1"/>
      <c r="F49" s="2"/>
      <c r="G49" s="1"/>
    </row>
    <row r="50" ht="15.75" customHeight="1">
      <c r="B50" s="1"/>
      <c r="C50" s="1"/>
      <c r="D50" s="1"/>
      <c r="E50" s="1"/>
      <c r="F50" s="2"/>
      <c r="G50" s="1"/>
    </row>
    <row r="51" ht="15.75" customHeight="1">
      <c r="B51" s="1"/>
      <c r="C51" s="1"/>
      <c r="D51" s="1"/>
      <c r="E51" s="1"/>
      <c r="F51" s="2"/>
      <c r="G51" s="1"/>
    </row>
    <row r="52" ht="15.75" customHeight="1">
      <c r="B52" s="1"/>
      <c r="C52" s="1"/>
      <c r="D52" s="1"/>
      <c r="E52" s="1"/>
      <c r="F52" s="2"/>
      <c r="G52" s="1"/>
    </row>
    <row r="53" ht="15.75" customHeight="1">
      <c r="B53" s="1"/>
      <c r="C53" s="1"/>
      <c r="D53" s="1"/>
      <c r="E53" s="1"/>
      <c r="F53" s="2"/>
      <c r="G53" s="1"/>
    </row>
    <row r="54" ht="15.75" customHeight="1">
      <c r="B54" s="1"/>
      <c r="C54" s="1"/>
      <c r="D54" s="1"/>
      <c r="E54" s="1"/>
      <c r="F54" s="2"/>
      <c r="G54" s="1"/>
    </row>
    <row r="55" ht="15.75" customHeight="1">
      <c r="B55" s="1"/>
      <c r="C55" s="1"/>
      <c r="D55" s="1"/>
      <c r="E55" s="1"/>
      <c r="F55" s="2"/>
      <c r="G55" s="1"/>
    </row>
    <row r="56" ht="15.75" customHeight="1">
      <c r="B56" s="1"/>
      <c r="C56" s="1"/>
      <c r="D56" s="1"/>
      <c r="E56" s="1"/>
      <c r="F56" s="2"/>
      <c r="G56" s="1"/>
    </row>
    <row r="57" ht="15.75" customHeight="1">
      <c r="B57" s="1"/>
      <c r="C57" s="1"/>
      <c r="D57" s="1"/>
      <c r="E57" s="1"/>
      <c r="F57" s="2"/>
      <c r="G57" s="1"/>
    </row>
    <row r="58" ht="15.75" customHeight="1">
      <c r="B58" s="1"/>
      <c r="C58" s="1"/>
      <c r="D58" s="1"/>
      <c r="E58" s="1"/>
      <c r="F58" s="2"/>
      <c r="G58" s="1"/>
    </row>
    <row r="59" ht="15.75" customHeight="1">
      <c r="B59" s="1"/>
      <c r="C59" s="1"/>
      <c r="D59" s="1"/>
      <c r="E59" s="1"/>
      <c r="F59" s="2"/>
      <c r="G59" s="1"/>
    </row>
    <row r="60" ht="15.75" customHeight="1">
      <c r="B60" s="1"/>
      <c r="C60" s="1"/>
      <c r="D60" s="1"/>
      <c r="E60" s="1"/>
      <c r="F60" s="2"/>
      <c r="G60" s="1"/>
    </row>
    <row r="61" ht="15.75" customHeight="1">
      <c r="B61" s="3"/>
      <c r="C61" s="3"/>
      <c r="D61" s="3"/>
      <c r="E61" s="3"/>
      <c r="F61" s="4"/>
      <c r="G61" s="3"/>
    </row>
    <row r="62" ht="15.75" customHeight="1">
      <c r="B62" s="3"/>
      <c r="C62" s="3"/>
      <c r="D62" s="3"/>
      <c r="E62" s="3"/>
      <c r="F62" s="4"/>
      <c r="G62" s="3"/>
    </row>
    <row r="63" ht="15.75" customHeight="1">
      <c r="B63" s="3"/>
      <c r="C63" s="3"/>
      <c r="D63" s="3"/>
      <c r="E63" s="3"/>
      <c r="F63" s="4"/>
      <c r="G63" s="3"/>
    </row>
    <row r="64" ht="15.75" customHeight="1">
      <c r="B64" s="3"/>
      <c r="C64" s="3"/>
      <c r="D64" s="3"/>
      <c r="E64" s="3"/>
      <c r="F64" s="4"/>
      <c r="G64" s="3"/>
    </row>
    <row r="65" ht="15.75" customHeight="1">
      <c r="B65" s="3"/>
      <c r="C65" s="3"/>
      <c r="D65" s="3"/>
      <c r="E65" s="3"/>
      <c r="F65" s="4"/>
      <c r="G65" s="3"/>
    </row>
    <row r="66" ht="15.75" customHeight="1">
      <c r="B66" s="3"/>
      <c r="C66" s="3"/>
      <c r="D66" s="3"/>
      <c r="E66" s="3"/>
      <c r="F66" s="4"/>
      <c r="G66" s="3"/>
    </row>
    <row r="67" ht="15.75" customHeight="1">
      <c r="B67" s="3"/>
      <c r="C67" s="3"/>
      <c r="D67" s="3"/>
      <c r="E67" s="3"/>
      <c r="F67" s="4"/>
      <c r="G67" s="3"/>
    </row>
    <row r="68" ht="15.75" customHeight="1">
      <c r="B68" s="3"/>
      <c r="C68" s="3"/>
      <c r="D68" s="3"/>
      <c r="E68" s="3"/>
      <c r="F68" s="4"/>
      <c r="G68" s="3"/>
    </row>
    <row r="69" ht="15.75" customHeight="1">
      <c r="B69" s="3"/>
      <c r="C69" s="3"/>
      <c r="D69" s="3"/>
      <c r="E69" s="3"/>
      <c r="F69" s="4"/>
      <c r="G69" s="3"/>
    </row>
    <row r="70" ht="15.75" customHeight="1">
      <c r="B70" s="3"/>
      <c r="C70" s="3"/>
      <c r="D70" s="3"/>
      <c r="E70" s="3"/>
      <c r="F70" s="4"/>
      <c r="G70" s="3"/>
    </row>
    <row r="71" ht="15.75" customHeight="1">
      <c r="B71" s="3"/>
      <c r="C71" s="3"/>
      <c r="D71" s="3"/>
      <c r="E71" s="3"/>
      <c r="F71" s="4"/>
      <c r="G71" s="3"/>
    </row>
    <row r="72" ht="15.75" customHeight="1">
      <c r="B72" s="3"/>
      <c r="C72" s="3"/>
      <c r="D72" s="3"/>
      <c r="E72" s="3"/>
      <c r="F72" s="4"/>
      <c r="G72" s="3"/>
    </row>
    <row r="73" ht="15.75" customHeight="1">
      <c r="B73" s="3"/>
      <c r="C73" s="3"/>
      <c r="D73" s="3"/>
      <c r="E73" s="3"/>
      <c r="F73" s="4"/>
      <c r="G73" s="3"/>
    </row>
    <row r="74" ht="15.75" customHeight="1">
      <c r="B74" s="3"/>
      <c r="C74" s="3"/>
      <c r="D74" s="3"/>
      <c r="E74" s="3"/>
      <c r="F74" s="4"/>
      <c r="G74" s="3"/>
    </row>
    <row r="75" ht="15.75" customHeight="1">
      <c r="B75" s="3"/>
      <c r="C75" s="3"/>
      <c r="D75" s="3"/>
      <c r="E75" s="3"/>
      <c r="F75" s="4"/>
      <c r="G75" s="3"/>
    </row>
    <row r="76" ht="15.75" customHeight="1">
      <c r="B76" s="3"/>
      <c r="C76" s="3"/>
      <c r="D76" s="3"/>
      <c r="E76" s="3"/>
      <c r="F76" s="4"/>
      <c r="G76" s="3"/>
    </row>
    <row r="77" ht="15.75" customHeight="1">
      <c r="B77" s="3"/>
      <c r="C77" s="3"/>
      <c r="D77" s="3"/>
      <c r="E77" s="3"/>
      <c r="F77" s="4"/>
      <c r="G77" s="3"/>
    </row>
    <row r="78" ht="15.75" customHeight="1">
      <c r="B78" s="3"/>
      <c r="C78" s="3"/>
      <c r="D78" s="3"/>
      <c r="E78" s="3"/>
      <c r="F78" s="4"/>
      <c r="G78" s="3"/>
    </row>
    <row r="79" ht="15.75" customHeight="1">
      <c r="B79" s="3"/>
      <c r="C79" s="3"/>
      <c r="D79" s="3"/>
      <c r="E79" s="3"/>
      <c r="F79" s="4"/>
      <c r="G79" s="3"/>
    </row>
    <row r="80" ht="15.75" customHeight="1">
      <c r="B80" s="3"/>
      <c r="C80" s="3"/>
      <c r="D80" s="3"/>
      <c r="E80" s="3"/>
      <c r="F80" s="4"/>
      <c r="G80" s="3"/>
    </row>
    <row r="81" ht="15.75" customHeight="1">
      <c r="B81" s="3"/>
      <c r="C81" s="3"/>
      <c r="D81" s="3"/>
      <c r="E81" s="3"/>
      <c r="F81" s="4"/>
      <c r="G81" s="3"/>
    </row>
    <row r="82" ht="15.75" customHeight="1">
      <c r="B82" s="3"/>
      <c r="C82" s="3"/>
      <c r="D82" s="3"/>
      <c r="E82" s="3"/>
      <c r="F82" s="4"/>
      <c r="G82" s="3"/>
    </row>
    <row r="83" ht="15.75" customHeight="1">
      <c r="B83" s="3"/>
      <c r="C83" s="3"/>
      <c r="D83" s="3"/>
      <c r="E83" s="3"/>
      <c r="F83" s="4"/>
      <c r="G83" s="3"/>
    </row>
    <row r="84" ht="15.75" customHeight="1">
      <c r="B84" s="3"/>
      <c r="C84" s="3"/>
      <c r="D84" s="3"/>
      <c r="E84" s="3"/>
      <c r="F84" s="4"/>
      <c r="G84" s="3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>
      <c r="B100" s="5" t="str">
        <f>IFERROR(__xludf.DUMMYFUNCTION("QUERY(B4:G95, ""SELECT B, C, D, E, F, G WHERE B IS NOT NULL"", 1)"),"#REF!")</f>
        <v>#REF!</v>
      </c>
      <c r="C100" s="5" t="str">
        <f>IFERROR(__xludf.DUMMYFUNCTION("""COMPUTED_VALUE"""),"")</f>
        <v/>
      </c>
      <c r="D100" s="5" t="str">
        <f>IFERROR(__xludf.DUMMYFUNCTION("""COMPUTED_VALUE"""),"")</f>
        <v/>
      </c>
      <c r="E100" s="5" t="str">
        <f>IFERROR(__xludf.DUMMYFUNCTION("""COMPUTED_VALUE"""),"")</f>
        <v/>
      </c>
      <c r="F100" s="5" t="str">
        <f>IFERROR(__xludf.DUMMYFUNCTION("""COMPUTED_VALUE"""),"")</f>
        <v/>
      </c>
      <c r="G100" s="5" t="str">
        <f>IFERROR(__xludf.DUMMYFUNCTION("""COMPUTED_VALUE"""),"")</f>
        <v/>
      </c>
    </row>
    <row r="101" ht="15.75" customHeight="1">
      <c r="B101" s="1"/>
      <c r="C101" s="1"/>
      <c r="D101" s="1"/>
      <c r="E101" s="1"/>
      <c r="F101" s="2"/>
      <c r="G101" s="1"/>
    </row>
    <row r="102" ht="15.75" customHeight="1">
      <c r="B102" s="1"/>
      <c r="C102" s="1"/>
      <c r="D102" s="1"/>
      <c r="E102" s="1"/>
      <c r="F102" s="2"/>
      <c r="G102" s="1"/>
    </row>
    <row r="103" ht="15.75" customHeight="1">
      <c r="B103" s="1"/>
      <c r="C103" s="1"/>
      <c r="D103" s="1"/>
      <c r="E103" s="1"/>
      <c r="F103" s="2"/>
      <c r="G103" s="1"/>
    </row>
    <row r="104" ht="15.75" customHeight="1">
      <c r="B104" s="1"/>
      <c r="C104" s="1"/>
      <c r="D104" s="1"/>
      <c r="E104" s="1"/>
      <c r="F104" s="2"/>
      <c r="G104" s="1"/>
    </row>
    <row r="105" ht="15.75" customHeight="1">
      <c r="B105" s="1"/>
      <c r="C105" s="1"/>
      <c r="D105" s="1"/>
      <c r="E105" s="1"/>
      <c r="F105" s="2"/>
      <c r="G105" s="1"/>
    </row>
    <row r="106" ht="15.75" customHeight="1">
      <c r="B106" s="1"/>
      <c r="C106" s="1"/>
      <c r="D106" s="1"/>
      <c r="E106" s="1"/>
      <c r="F106" s="2"/>
      <c r="G106" s="1"/>
    </row>
    <row r="107" ht="15.75" customHeight="1">
      <c r="B107" s="1"/>
      <c r="C107" s="1"/>
      <c r="D107" s="1"/>
      <c r="E107" s="1"/>
      <c r="F107" s="2"/>
      <c r="G107" s="1"/>
    </row>
    <row r="108" ht="15.75" customHeight="1">
      <c r="B108" s="1"/>
      <c r="C108" s="1"/>
      <c r="D108" s="1"/>
      <c r="E108" s="1"/>
      <c r="F108" s="2"/>
      <c r="G108" s="1"/>
    </row>
    <row r="109" ht="15.75" customHeight="1">
      <c r="B109" s="1"/>
      <c r="C109" s="1"/>
      <c r="D109" s="1"/>
      <c r="E109" s="1"/>
      <c r="F109" s="2"/>
      <c r="G109" s="1"/>
    </row>
    <row r="110" ht="15.75" customHeight="1">
      <c r="B110" s="1"/>
      <c r="C110" s="1"/>
      <c r="D110" s="1"/>
      <c r="E110" s="1"/>
      <c r="F110" s="2"/>
      <c r="G110" s="1"/>
    </row>
    <row r="111" ht="15.75" customHeight="1">
      <c r="B111" s="1"/>
      <c r="C111" s="1"/>
      <c r="D111" s="1"/>
      <c r="E111" s="1"/>
      <c r="F111" s="2"/>
      <c r="G111" s="1"/>
    </row>
    <row r="112" ht="15.75" customHeight="1">
      <c r="B112" s="1"/>
      <c r="C112" s="1"/>
      <c r="D112" s="1"/>
      <c r="E112" s="1"/>
      <c r="F112" s="2"/>
      <c r="G112" s="1"/>
    </row>
    <row r="113" ht="15.75" customHeight="1">
      <c r="B113" s="1"/>
      <c r="C113" s="1"/>
      <c r="D113" s="1"/>
      <c r="E113" s="1"/>
      <c r="F113" s="2"/>
      <c r="G113" s="1"/>
    </row>
    <row r="114" ht="15.75" customHeight="1">
      <c r="B114" s="1"/>
      <c r="C114" s="1"/>
      <c r="D114" s="1"/>
      <c r="E114" s="1"/>
      <c r="F114" s="2"/>
      <c r="G114" s="1"/>
    </row>
    <row r="115" ht="15.75" customHeight="1">
      <c r="B115" s="1"/>
      <c r="C115" s="1"/>
      <c r="D115" s="1"/>
      <c r="E115" s="1"/>
      <c r="F115" s="2"/>
      <c r="G115" s="1"/>
    </row>
    <row r="116" ht="15.75" customHeight="1">
      <c r="B116" s="1"/>
      <c r="C116" s="1"/>
      <c r="D116" s="1"/>
      <c r="E116" s="1"/>
      <c r="F116" s="2"/>
      <c r="G116" s="1"/>
    </row>
    <row r="117" ht="15.75" customHeight="1">
      <c r="B117" s="1"/>
      <c r="C117" s="1"/>
      <c r="D117" s="1"/>
      <c r="E117" s="1"/>
      <c r="F117" s="2"/>
      <c r="G117" s="1"/>
    </row>
    <row r="118" ht="15.75" customHeight="1">
      <c r="B118" s="1"/>
      <c r="C118" s="1"/>
      <c r="D118" s="1"/>
      <c r="E118" s="1"/>
      <c r="F118" s="2"/>
      <c r="G118" s="1"/>
    </row>
    <row r="119" ht="15.75" customHeight="1">
      <c r="B119" s="1"/>
      <c r="C119" s="1"/>
      <c r="D119" s="1"/>
      <c r="E119" s="1"/>
      <c r="F119" s="2"/>
      <c r="G119" s="1"/>
    </row>
    <row r="120" ht="15.75" customHeight="1">
      <c r="B120" s="1"/>
      <c r="C120" s="1"/>
      <c r="D120" s="1"/>
      <c r="E120" s="1"/>
      <c r="F120" s="2"/>
      <c r="G120" s="1"/>
    </row>
    <row r="121" ht="15.75" customHeight="1">
      <c r="B121" s="1"/>
      <c r="C121" s="1"/>
      <c r="D121" s="1"/>
      <c r="E121" s="1"/>
      <c r="F121" s="2"/>
      <c r="G121" s="1"/>
    </row>
    <row r="122" ht="15.75" customHeight="1">
      <c r="B122" s="1"/>
      <c r="C122" s="1"/>
      <c r="D122" s="1"/>
      <c r="E122" s="1"/>
      <c r="F122" s="2"/>
      <c r="G122" s="1"/>
    </row>
    <row r="123" ht="15.75" customHeight="1">
      <c r="B123" s="1"/>
      <c r="C123" s="1"/>
      <c r="D123" s="1"/>
      <c r="E123" s="1"/>
      <c r="F123" s="2"/>
      <c r="G123" s="1"/>
    </row>
    <row r="124" ht="15.75" customHeight="1">
      <c r="B124" s="1"/>
      <c r="C124" s="1"/>
      <c r="D124" s="1"/>
      <c r="E124" s="1"/>
      <c r="F124" s="2"/>
      <c r="G124" s="1"/>
    </row>
    <row r="125" ht="15.75" customHeight="1">
      <c r="B125" s="1"/>
      <c r="C125" s="1"/>
      <c r="D125" s="1"/>
      <c r="E125" s="1"/>
      <c r="F125" s="2"/>
      <c r="G125" s="1"/>
    </row>
    <row r="126" ht="15.75" customHeight="1">
      <c r="B126" s="1"/>
      <c r="C126" s="1"/>
      <c r="D126" s="1"/>
      <c r="E126" s="1"/>
      <c r="F126" s="2"/>
      <c r="G126" s="1"/>
    </row>
    <row r="127" ht="15.75" customHeight="1">
      <c r="B127" s="1"/>
      <c r="C127" s="1"/>
      <c r="D127" s="1"/>
      <c r="E127" s="1"/>
      <c r="F127" s="2"/>
      <c r="G127" s="1"/>
    </row>
    <row r="128" ht="15.75" customHeight="1">
      <c r="B128" s="1"/>
      <c r="C128" s="1"/>
      <c r="D128" s="1"/>
      <c r="E128" s="1"/>
      <c r="F128" s="2"/>
      <c r="G128" s="1"/>
    </row>
    <row r="129" ht="15.75" customHeight="1">
      <c r="B129" s="1"/>
      <c r="C129" s="1"/>
      <c r="D129" s="1"/>
      <c r="E129" s="1"/>
      <c r="F129" s="2"/>
      <c r="G129" s="1"/>
    </row>
    <row r="130" ht="15.75" customHeight="1">
      <c r="B130" s="1"/>
      <c r="C130" s="1"/>
      <c r="D130" s="1"/>
      <c r="E130" s="1"/>
      <c r="F130" s="2"/>
      <c r="G130" s="1"/>
    </row>
    <row r="131" ht="15.75" customHeight="1">
      <c r="B131" s="1"/>
      <c r="C131" s="1"/>
      <c r="D131" s="1"/>
      <c r="E131" s="1"/>
      <c r="F131" s="2"/>
      <c r="G131" s="1"/>
    </row>
    <row r="132" ht="15.75" customHeight="1">
      <c r="B132" s="1"/>
      <c r="C132" s="1"/>
      <c r="D132" s="1"/>
      <c r="E132" s="1"/>
      <c r="F132" s="2"/>
      <c r="G132" s="1"/>
    </row>
    <row r="133" ht="15.75" customHeight="1">
      <c r="B133" s="1"/>
      <c r="C133" s="1"/>
      <c r="D133" s="1"/>
      <c r="E133" s="1"/>
      <c r="F133" s="2"/>
      <c r="G133" s="1"/>
    </row>
    <row r="134" ht="15.75" customHeight="1">
      <c r="B134" s="1"/>
      <c r="C134" s="1"/>
      <c r="D134" s="1"/>
      <c r="E134" s="1"/>
      <c r="F134" s="2"/>
      <c r="G134" s="1"/>
    </row>
    <row r="135" ht="15.75" customHeight="1">
      <c r="B135" s="1"/>
      <c r="C135" s="1"/>
      <c r="D135" s="1"/>
      <c r="E135" s="1"/>
      <c r="F135" s="2"/>
      <c r="G135" s="1"/>
    </row>
    <row r="136" ht="15.75" customHeight="1">
      <c r="B136" s="1"/>
      <c r="C136" s="1"/>
      <c r="D136" s="1"/>
      <c r="E136" s="1"/>
      <c r="F136" s="2"/>
      <c r="G136" s="1"/>
    </row>
    <row r="137" ht="15.75" customHeight="1">
      <c r="B137" s="1"/>
      <c r="C137" s="1"/>
      <c r="D137" s="1"/>
      <c r="E137" s="1"/>
      <c r="F137" s="2"/>
      <c r="G137" s="1"/>
    </row>
    <row r="138" ht="15.75" customHeight="1">
      <c r="B138" s="1"/>
      <c r="C138" s="1"/>
      <c r="D138" s="1"/>
      <c r="E138" s="1"/>
      <c r="F138" s="2"/>
      <c r="G138" s="1"/>
    </row>
    <row r="139" ht="15.75" customHeight="1">
      <c r="B139" s="1"/>
      <c r="C139" s="1"/>
      <c r="D139" s="1"/>
      <c r="E139" s="1"/>
      <c r="F139" s="2"/>
      <c r="G139" s="1"/>
    </row>
    <row r="140" ht="15.75" customHeight="1">
      <c r="B140" s="1"/>
      <c r="C140" s="1"/>
      <c r="D140" s="1"/>
      <c r="E140" s="1"/>
      <c r="F140" s="2"/>
      <c r="G140" s="1"/>
    </row>
    <row r="141" ht="15.75" customHeight="1">
      <c r="B141" s="1"/>
      <c r="C141" s="1"/>
      <c r="D141" s="1"/>
      <c r="E141" s="1"/>
      <c r="F141" s="2"/>
      <c r="G141" s="1"/>
    </row>
    <row r="142" ht="15.75" customHeight="1">
      <c r="B142" s="1"/>
      <c r="C142" s="1"/>
      <c r="D142" s="1"/>
      <c r="E142" s="1"/>
      <c r="F142" s="2"/>
      <c r="G142" s="1"/>
    </row>
    <row r="143" ht="15.75" customHeight="1">
      <c r="B143" s="1"/>
      <c r="C143" s="1"/>
      <c r="D143" s="1"/>
      <c r="E143" s="1"/>
      <c r="F143" s="2"/>
      <c r="G143" s="1"/>
    </row>
    <row r="144" ht="15.75" customHeight="1">
      <c r="B144" s="1"/>
      <c r="C144" s="1"/>
      <c r="D144" s="1"/>
      <c r="E144" s="1"/>
      <c r="F144" s="2"/>
      <c r="G144" s="1"/>
    </row>
    <row r="145" ht="15.75" customHeight="1">
      <c r="B145" s="1"/>
      <c r="C145" s="1"/>
      <c r="D145" s="1"/>
      <c r="E145" s="1"/>
      <c r="F145" s="2"/>
      <c r="G145" s="1"/>
    </row>
    <row r="146" ht="15.75" customHeight="1">
      <c r="B146" s="1"/>
      <c r="C146" s="1"/>
      <c r="D146" s="1"/>
      <c r="E146" s="1"/>
      <c r="F146" s="2"/>
      <c r="G146" s="1"/>
    </row>
    <row r="147" ht="15.75" customHeight="1">
      <c r="B147" s="1"/>
      <c r="C147" s="1"/>
      <c r="D147" s="1"/>
      <c r="E147" s="1"/>
      <c r="F147" s="2"/>
      <c r="G147" s="1"/>
    </row>
    <row r="148" ht="15.75" customHeight="1">
      <c r="B148" s="1"/>
      <c r="C148" s="1"/>
      <c r="D148" s="1"/>
      <c r="E148" s="1"/>
      <c r="F148" s="2"/>
      <c r="G148" s="1"/>
    </row>
    <row r="149" ht="15.75" customHeight="1">
      <c r="B149" s="1"/>
      <c r="C149" s="1"/>
      <c r="D149" s="1"/>
      <c r="E149" s="1"/>
      <c r="F149" s="2"/>
      <c r="G149" s="1"/>
    </row>
    <row r="150" ht="15.75" customHeight="1">
      <c r="B150" s="1"/>
      <c r="C150" s="1"/>
      <c r="D150" s="1"/>
      <c r="E150" s="1"/>
      <c r="F150" s="2"/>
      <c r="G150" s="1"/>
    </row>
    <row r="151" ht="15.75" customHeight="1">
      <c r="B151" s="1"/>
      <c r="C151" s="1"/>
      <c r="D151" s="1"/>
      <c r="E151" s="1"/>
      <c r="F151" s="2"/>
      <c r="G151" s="1"/>
    </row>
    <row r="152" ht="15.75" customHeight="1">
      <c r="B152" s="3"/>
      <c r="C152" s="3"/>
      <c r="D152" s="3"/>
      <c r="E152" s="3"/>
      <c r="F152" s="4"/>
      <c r="G152" s="3"/>
    </row>
    <row r="153" ht="15.75" customHeight="1">
      <c r="B153" s="3"/>
      <c r="C153" s="3"/>
      <c r="D153" s="3"/>
      <c r="E153" s="3"/>
      <c r="F153" s="4"/>
      <c r="G153" s="3"/>
    </row>
    <row r="154" ht="15.75" customHeight="1">
      <c r="B154" s="3"/>
      <c r="C154" s="3"/>
      <c r="D154" s="3"/>
      <c r="E154" s="3"/>
      <c r="F154" s="4"/>
      <c r="G154" s="3"/>
    </row>
    <row r="155" ht="15.75" customHeight="1">
      <c r="B155" s="3"/>
      <c r="C155" s="3"/>
      <c r="D155" s="3"/>
      <c r="E155" s="3"/>
      <c r="F155" s="4"/>
      <c r="G155" s="3"/>
    </row>
    <row r="156" ht="15.75" customHeight="1">
      <c r="B156" s="3"/>
      <c r="C156" s="3"/>
      <c r="D156" s="3"/>
      <c r="E156" s="3"/>
      <c r="F156" s="4"/>
      <c r="G156" s="3"/>
    </row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4" width="15.25"/>
    <col customWidth="1" min="5" max="5" width="32.13"/>
    <col customWidth="1" min="6" max="6" width="53.25"/>
    <col customWidth="1" min="7" max="9" width="15.25"/>
    <col customWidth="1" min="10" max="10" width="53.25"/>
  </cols>
  <sheetData>
    <row r="1" ht="15.75" customHeight="1"/>
    <row r="2" ht="15.75" customHeight="1"/>
    <row r="3" ht="15.75" customHeight="1">
      <c r="F3" s="6"/>
      <c r="I3" s="6" t="s">
        <v>0</v>
      </c>
      <c r="J3" s="6" t="str">
        <f>IF(SUM(G:G) = SUM(H:H), "✅ Balanced", "⚠️ Unbalanced")</f>
        <v>✅ Balanced</v>
      </c>
    </row>
    <row r="4" ht="15.75" customHeight="1"/>
    <row r="5" ht="15.75" customHeight="1"/>
    <row r="6" ht="15.75" customHeight="1"/>
    <row r="7" ht="39.75" customHeight="1">
      <c r="A7" s="7" t="s">
        <v>1</v>
      </c>
      <c r="B7" s="7" t="s">
        <v>2</v>
      </c>
      <c r="C7" s="7" t="s">
        <v>3</v>
      </c>
      <c r="D7" s="7" t="s">
        <v>4</v>
      </c>
      <c r="E7" s="7" t="s">
        <v>5</v>
      </c>
      <c r="F7" s="7" t="s">
        <v>6</v>
      </c>
      <c r="G7" s="7" t="s">
        <v>7</v>
      </c>
      <c r="H7" s="7" t="s">
        <v>8</v>
      </c>
      <c r="I7" s="7" t="s">
        <v>9</v>
      </c>
      <c r="J7" s="7" t="s">
        <v>10</v>
      </c>
      <c r="K7" s="8"/>
      <c r="L7" s="9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ht="15.75" customHeight="1">
      <c r="A8" s="10">
        <v>45716.0</v>
      </c>
      <c r="B8" s="11" t="s">
        <v>11</v>
      </c>
      <c r="C8" s="12"/>
      <c r="D8" s="12" t="str">
        <f t="array" ref="D8">INDEX(Helper!$D$101:$D$1028,MATCH(E8,Helper!$E$101:$E$1028,0))</f>
        <v>#N/A</v>
      </c>
      <c r="E8" s="12" t="s">
        <v>12</v>
      </c>
      <c r="F8" s="11" t="s">
        <v>13</v>
      </c>
      <c r="G8" s="13">
        <v>5605177.44</v>
      </c>
      <c r="H8" s="13">
        <v>0.0</v>
      </c>
      <c r="I8" s="13">
        <f t="shared" ref="I8:I83" si="1">G8-H8</f>
        <v>5605177.44</v>
      </c>
      <c r="J8" s="12"/>
      <c r="L8" s="9"/>
    </row>
    <row r="9" ht="15.75" customHeight="1">
      <c r="A9" s="14">
        <v>45716.0</v>
      </c>
      <c r="B9" s="15" t="s">
        <v>11</v>
      </c>
      <c r="C9" s="16"/>
      <c r="D9" s="16" t="str">
        <f t="array" ref="D9">INDEX(Helper!$D$101:$D$1028,MATCH(E9,Helper!$E$101:$E$1028,0))</f>
        <v>#N/A</v>
      </c>
      <c r="E9" s="16" t="s">
        <v>14</v>
      </c>
      <c r="F9" s="15" t="s">
        <v>13</v>
      </c>
      <c r="G9" s="17">
        <v>0.0</v>
      </c>
      <c r="H9" s="17">
        <v>5605177.44</v>
      </c>
      <c r="I9" s="17">
        <f t="shared" si="1"/>
        <v>-5605177.44</v>
      </c>
      <c r="J9" s="16"/>
      <c r="L9" s="9"/>
    </row>
    <row r="10" ht="15.75" customHeight="1">
      <c r="A10" s="10">
        <v>45716.0</v>
      </c>
      <c r="B10" s="11" t="s">
        <v>11</v>
      </c>
      <c r="C10" s="12"/>
      <c r="D10" s="12" t="str">
        <f t="array" ref="D10">INDEX(Helper!$D$101:$D$1028,MATCH(E10,Helper!$E$101:$E$1028,0))</f>
        <v>#N/A</v>
      </c>
      <c r="E10" s="12" t="s">
        <v>15</v>
      </c>
      <c r="F10" s="11" t="s">
        <v>13</v>
      </c>
      <c r="G10" s="13">
        <v>7899300.0</v>
      </c>
      <c r="H10" s="13">
        <v>0.0</v>
      </c>
      <c r="I10" s="13">
        <f t="shared" si="1"/>
        <v>7899300</v>
      </c>
      <c r="J10" s="12"/>
      <c r="L10" s="9"/>
    </row>
    <row r="11" ht="15.75" customHeight="1">
      <c r="A11" s="14">
        <v>45716.0</v>
      </c>
      <c r="B11" s="15" t="s">
        <v>11</v>
      </c>
      <c r="C11" s="16"/>
      <c r="D11" s="16" t="str">
        <f t="array" ref="D11">INDEX(Helper!$D$101:$D$1028,MATCH(E11,Helper!$E$101:$E$1028,0))</f>
        <v>#N/A</v>
      </c>
      <c r="E11" s="16" t="s">
        <v>16</v>
      </c>
      <c r="F11" s="15" t="s">
        <v>13</v>
      </c>
      <c r="G11" s="17">
        <v>0.0</v>
      </c>
      <c r="H11" s="17">
        <v>7899300.0</v>
      </c>
      <c r="I11" s="17">
        <f t="shared" si="1"/>
        <v>-7899300</v>
      </c>
      <c r="J11" s="16"/>
      <c r="L11" s="9"/>
    </row>
    <row r="12" ht="15.75" customHeight="1">
      <c r="A12" s="10">
        <v>45716.0</v>
      </c>
      <c r="B12" s="11" t="s">
        <v>11</v>
      </c>
      <c r="C12" s="12"/>
      <c r="D12" s="12" t="str">
        <f t="array" ref="D12">INDEX(Helper!$D$101:$D$1028,MATCH(E12,Helper!$E$101:$E$1028,0))</f>
        <v>#N/A</v>
      </c>
      <c r="E12" s="12" t="s">
        <v>17</v>
      </c>
      <c r="F12" s="11" t="s">
        <v>13</v>
      </c>
      <c r="G12" s="13">
        <v>3.4461646E7</v>
      </c>
      <c r="H12" s="13">
        <v>0.0</v>
      </c>
      <c r="I12" s="13">
        <f t="shared" si="1"/>
        <v>34461646</v>
      </c>
      <c r="J12" s="12"/>
      <c r="L12" s="9"/>
      <c r="M12" s="4"/>
    </row>
    <row r="13" ht="15.75" customHeight="1">
      <c r="A13" s="14">
        <v>45716.0</v>
      </c>
      <c r="B13" s="15" t="s">
        <v>11</v>
      </c>
      <c r="C13" s="16"/>
      <c r="D13" s="16" t="str">
        <f t="array" ref="D13">INDEX(Helper!$D$101:$D$1028,MATCH(E13,Helper!$E$101:$E$1028,0))</f>
        <v>#N/A</v>
      </c>
      <c r="E13" s="16" t="s">
        <v>18</v>
      </c>
      <c r="F13" s="15" t="s">
        <v>13</v>
      </c>
      <c r="G13" s="17">
        <v>0.0</v>
      </c>
      <c r="H13" s="17">
        <v>3.4461646E7</v>
      </c>
      <c r="I13" s="17">
        <f t="shared" si="1"/>
        <v>-34461646</v>
      </c>
      <c r="J13" s="16"/>
      <c r="L13" s="9"/>
      <c r="M13" s="4"/>
    </row>
    <row r="14" ht="15.75" customHeight="1">
      <c r="A14" s="10">
        <v>45716.0</v>
      </c>
      <c r="B14" s="11" t="s">
        <v>19</v>
      </c>
      <c r="C14" s="12"/>
      <c r="D14" s="12" t="str">
        <f t="array" ref="D14">INDEX(Helper!$D$101:$D$1028,MATCH(E14,Helper!$E$101:$E$1028,0))</f>
        <v>#N/A</v>
      </c>
      <c r="E14" s="12" t="s">
        <v>20</v>
      </c>
      <c r="F14" s="11" t="s">
        <v>21</v>
      </c>
      <c r="G14" s="13">
        <v>0.0</v>
      </c>
      <c r="H14" s="13">
        <v>9965463.78</v>
      </c>
      <c r="I14" s="13">
        <f t="shared" si="1"/>
        <v>-9965463.78</v>
      </c>
      <c r="J14" s="12"/>
      <c r="L14" s="9"/>
      <c r="M14" s="4"/>
    </row>
    <row r="15" ht="15.75" customHeight="1">
      <c r="A15" s="14">
        <v>45716.0</v>
      </c>
      <c r="B15" s="15" t="s">
        <v>19</v>
      </c>
      <c r="C15" s="16"/>
      <c r="D15" s="16" t="str">
        <f t="array" ref="D15">INDEX(Helper!$D$101:$D$1028,MATCH(E15,Helper!$E$101:$E$1028,0))</f>
        <v>#N/A</v>
      </c>
      <c r="E15" s="16" t="s">
        <v>14</v>
      </c>
      <c r="F15" s="15" t="s">
        <v>21</v>
      </c>
      <c r="G15" s="17">
        <v>9965463.78</v>
      </c>
      <c r="H15" s="17">
        <v>0.0</v>
      </c>
      <c r="I15" s="17">
        <f t="shared" si="1"/>
        <v>9965463.78</v>
      </c>
      <c r="J15" s="16"/>
      <c r="L15" s="9"/>
    </row>
    <row r="16" ht="15.75" customHeight="1">
      <c r="A16" s="10">
        <v>45716.0</v>
      </c>
      <c r="B16" s="11" t="s">
        <v>19</v>
      </c>
      <c r="C16" s="12"/>
      <c r="D16" s="12" t="str">
        <f t="array" ref="D16">INDEX(Helper!$D$101:$D$1028,MATCH(E16,Helper!$E$101:$E$1028,0))</f>
        <v>#N/A</v>
      </c>
      <c r="E16" s="12" t="s">
        <v>22</v>
      </c>
      <c r="F16" s="11" t="s">
        <v>21</v>
      </c>
      <c r="G16" s="13">
        <v>0.0</v>
      </c>
      <c r="H16" s="13">
        <v>2.280195E7</v>
      </c>
      <c r="I16" s="13">
        <f t="shared" si="1"/>
        <v>-22801950</v>
      </c>
      <c r="J16" s="12"/>
    </row>
    <row r="17" ht="15.75" customHeight="1">
      <c r="A17" s="14">
        <v>45716.0</v>
      </c>
      <c r="B17" s="15" t="s">
        <v>19</v>
      </c>
      <c r="C17" s="16"/>
      <c r="D17" s="16" t="str">
        <f t="array" ref="D17">INDEX(Helper!$D$101:$D$1028,MATCH(E17,Helper!$E$101:$E$1028,0))</f>
        <v>#N/A</v>
      </c>
      <c r="E17" s="16" t="s">
        <v>16</v>
      </c>
      <c r="F17" s="15" t="s">
        <v>21</v>
      </c>
      <c r="G17" s="17">
        <v>2.280195E7</v>
      </c>
      <c r="H17" s="17">
        <v>0.0</v>
      </c>
      <c r="I17" s="17">
        <f t="shared" si="1"/>
        <v>22801950</v>
      </c>
      <c r="J17" s="16"/>
    </row>
    <row r="18" ht="15.75" customHeight="1">
      <c r="A18" s="10">
        <v>45716.0</v>
      </c>
      <c r="B18" s="11" t="s">
        <v>19</v>
      </c>
      <c r="C18" s="12"/>
      <c r="D18" s="12" t="str">
        <f t="array" ref="D18">INDEX(Helper!$D$101:$D$1028,MATCH(E18,Helper!$E$101:$E$1028,0))</f>
        <v>#N/A</v>
      </c>
      <c r="E18" s="12" t="s">
        <v>23</v>
      </c>
      <c r="F18" s="11" t="s">
        <v>21</v>
      </c>
      <c r="G18" s="13">
        <v>0.0</v>
      </c>
      <c r="H18" s="13">
        <v>5.097391277E7</v>
      </c>
      <c r="I18" s="13">
        <f t="shared" si="1"/>
        <v>-50973912.77</v>
      </c>
      <c r="J18" s="12"/>
    </row>
    <row r="19" ht="15.75" customHeight="1">
      <c r="A19" s="14">
        <v>45716.0</v>
      </c>
      <c r="B19" s="15" t="s">
        <v>19</v>
      </c>
      <c r="C19" s="16"/>
      <c r="D19" s="16" t="str">
        <f t="array" ref="D19">INDEX(Helper!$D$101:$D$1028,MATCH(E19,Helper!$E$101:$E$1028,0))</f>
        <v>#N/A</v>
      </c>
      <c r="E19" s="16" t="s">
        <v>18</v>
      </c>
      <c r="F19" s="15" t="s">
        <v>21</v>
      </c>
      <c r="G19" s="17">
        <v>5.097391277E7</v>
      </c>
      <c r="H19" s="17">
        <v>0.0</v>
      </c>
      <c r="I19" s="17">
        <f t="shared" si="1"/>
        <v>50973912.77</v>
      </c>
      <c r="J19" s="16"/>
    </row>
    <row r="20" ht="15.75" customHeight="1">
      <c r="A20" s="10">
        <v>45716.0</v>
      </c>
      <c r="B20" s="11" t="s">
        <v>24</v>
      </c>
      <c r="C20" s="12"/>
      <c r="D20" s="12" t="str">
        <f t="array" ref="D20">INDEX(Helper!$D$101:$D$1028,MATCH(E20,Helper!$E$101:$E$1028,0))</f>
        <v>#N/A</v>
      </c>
      <c r="E20" s="12" t="s">
        <v>25</v>
      </c>
      <c r="F20" s="11" t="s">
        <v>26</v>
      </c>
      <c r="G20" s="13">
        <v>0.0</v>
      </c>
      <c r="H20" s="13">
        <v>554166.67</v>
      </c>
      <c r="I20" s="13">
        <f t="shared" si="1"/>
        <v>-554166.67</v>
      </c>
      <c r="J20" s="12"/>
    </row>
    <row r="21" ht="15.75" customHeight="1">
      <c r="A21" s="14">
        <v>45716.0</v>
      </c>
      <c r="B21" s="15" t="s">
        <v>24</v>
      </c>
      <c r="C21" s="16"/>
      <c r="D21" s="16" t="str">
        <f t="array" ref="D21">INDEX(Helper!$D$101:$D$1028,MATCH(E21,Helper!$E$101:$E$1028,0))</f>
        <v>#N/A</v>
      </c>
      <c r="E21" s="16" t="s">
        <v>27</v>
      </c>
      <c r="F21" s="15" t="s">
        <v>26</v>
      </c>
      <c r="G21" s="17">
        <v>554166.67</v>
      </c>
      <c r="H21" s="17">
        <v>0.0</v>
      </c>
      <c r="I21" s="17">
        <f t="shared" si="1"/>
        <v>554166.67</v>
      </c>
      <c r="J21" s="16"/>
    </row>
    <row r="22" ht="15.75" customHeight="1">
      <c r="A22" s="10">
        <v>45716.0</v>
      </c>
      <c r="B22" s="11" t="s">
        <v>24</v>
      </c>
      <c r="C22" s="12"/>
      <c r="D22" s="12" t="str">
        <f t="array" ref="D22">INDEX(Helper!$D$101:$D$1028,MATCH(E22,Helper!$E$101:$E$1028,0))</f>
        <v>#N/A</v>
      </c>
      <c r="E22" s="11" t="s">
        <v>28</v>
      </c>
      <c r="F22" s="11" t="s">
        <v>29</v>
      </c>
      <c r="G22" s="13">
        <v>0.0</v>
      </c>
      <c r="H22" s="13">
        <v>47500.0</v>
      </c>
      <c r="I22" s="13">
        <f t="shared" si="1"/>
        <v>-47500</v>
      </c>
      <c r="J22" s="11"/>
    </row>
    <row r="23" ht="15.75" customHeight="1">
      <c r="A23" s="14">
        <v>45716.0</v>
      </c>
      <c r="B23" s="15" t="s">
        <v>24</v>
      </c>
      <c r="C23" s="16"/>
      <c r="D23" s="16" t="str">
        <f t="array" ref="D23">INDEX(Helper!$D$101:$D$1028,MATCH(E23,Helper!$E$101:$E$1028,0))</f>
        <v>#N/A</v>
      </c>
      <c r="E23" s="15" t="s">
        <v>27</v>
      </c>
      <c r="F23" s="15" t="s">
        <v>29</v>
      </c>
      <c r="G23" s="17">
        <v>47500.0</v>
      </c>
      <c r="H23" s="17">
        <v>0.0</v>
      </c>
      <c r="I23" s="17">
        <f t="shared" si="1"/>
        <v>47500</v>
      </c>
      <c r="J23" s="15"/>
    </row>
    <row r="24" ht="15.75" customHeight="1">
      <c r="A24" s="10">
        <v>45716.0</v>
      </c>
      <c r="B24" s="11" t="s">
        <v>24</v>
      </c>
      <c r="C24" s="12"/>
      <c r="D24" s="12" t="str">
        <f t="array" ref="D24">INDEX(Helper!$D$101:$D$1028,MATCH(E24,Helper!$E$101:$E$1028,0))</f>
        <v>#N/A</v>
      </c>
      <c r="E24" s="12" t="s">
        <v>30</v>
      </c>
      <c r="F24" s="11" t="s">
        <v>31</v>
      </c>
      <c r="G24" s="13">
        <v>0.0</v>
      </c>
      <c r="H24" s="13">
        <v>343758.33</v>
      </c>
      <c r="I24" s="13">
        <f t="shared" si="1"/>
        <v>-343758.33</v>
      </c>
      <c r="J24" s="12"/>
    </row>
    <row r="25" ht="15.75" customHeight="1">
      <c r="A25" s="14">
        <v>45716.0</v>
      </c>
      <c r="B25" s="15" t="s">
        <v>24</v>
      </c>
      <c r="C25" s="16"/>
      <c r="D25" s="16" t="str">
        <f t="array" ref="D25">INDEX(Helper!$D$101:$D$1028,MATCH(E25,Helper!$E$101:$E$1028,0))</f>
        <v>#N/A</v>
      </c>
      <c r="E25" s="15" t="s">
        <v>25</v>
      </c>
      <c r="F25" s="15" t="s">
        <v>31</v>
      </c>
      <c r="G25" s="17">
        <v>343758.33</v>
      </c>
      <c r="H25" s="17">
        <v>0.0</v>
      </c>
      <c r="I25" s="17">
        <f t="shared" si="1"/>
        <v>343758.33</v>
      </c>
      <c r="J25" s="16"/>
    </row>
    <row r="26" ht="15.75" customHeight="1">
      <c r="A26" s="10">
        <v>45747.0</v>
      </c>
      <c r="B26" s="11" t="s">
        <v>32</v>
      </c>
      <c r="C26" s="12"/>
      <c r="D26" s="12" t="str">
        <f t="array" ref="D26">INDEX(Helper!$D$101:$D$1028,MATCH(E26,Helper!$E$101:$E$1028,0))</f>
        <v>#N/A</v>
      </c>
      <c r="E26" s="11" t="s">
        <v>27</v>
      </c>
      <c r="F26" s="11" t="s">
        <v>33</v>
      </c>
      <c r="G26" s="13">
        <v>0.0</v>
      </c>
      <c r="H26" s="13">
        <v>554166.67</v>
      </c>
      <c r="I26" s="13">
        <f t="shared" si="1"/>
        <v>-554166.67</v>
      </c>
      <c r="J26" s="12"/>
    </row>
    <row r="27" ht="15.75" customHeight="1">
      <c r="A27" s="14">
        <v>45747.0</v>
      </c>
      <c r="B27" s="15" t="s">
        <v>32</v>
      </c>
      <c r="C27" s="16"/>
      <c r="D27" s="16" t="str">
        <f t="array" ref="D27">INDEX(Helper!$D$101:$D$1028,MATCH(E27,Helper!$E$101:$E$1028,0))</f>
        <v>#N/A</v>
      </c>
      <c r="E27" s="15" t="s">
        <v>28</v>
      </c>
      <c r="F27" s="15" t="s">
        <v>33</v>
      </c>
      <c r="G27" s="17">
        <v>554166.67</v>
      </c>
      <c r="H27" s="17">
        <v>0.0</v>
      </c>
      <c r="I27" s="17">
        <f t="shared" si="1"/>
        <v>554166.67</v>
      </c>
      <c r="J27" s="16"/>
    </row>
    <row r="28" ht="15.75" customHeight="1">
      <c r="A28" s="10">
        <v>45747.0</v>
      </c>
      <c r="B28" s="11" t="s">
        <v>32</v>
      </c>
      <c r="C28" s="12"/>
      <c r="D28" s="12" t="str">
        <f t="array" ref="D28">INDEX(Helper!$D$101:$D$1028,MATCH(E28,Helper!$E$101:$E$1028,0))</f>
        <v>#N/A</v>
      </c>
      <c r="E28" s="11" t="s">
        <v>27</v>
      </c>
      <c r="F28" s="11" t="s">
        <v>34</v>
      </c>
      <c r="G28" s="13">
        <v>0.0</v>
      </c>
      <c r="H28" s="13">
        <v>104633.33</v>
      </c>
      <c r="I28" s="13">
        <f t="shared" si="1"/>
        <v>-104633.33</v>
      </c>
      <c r="J28" s="12"/>
    </row>
    <row r="29" ht="15.75" customHeight="1">
      <c r="A29" s="14">
        <v>45747.0</v>
      </c>
      <c r="B29" s="15" t="s">
        <v>32</v>
      </c>
      <c r="C29" s="16"/>
      <c r="D29" s="16" t="str">
        <f t="array" ref="D29">INDEX(Helper!$D$101:$D$1028,MATCH(E29,Helper!$E$101:$E$1028,0))</f>
        <v>#N/A</v>
      </c>
      <c r="E29" s="15" t="s">
        <v>30</v>
      </c>
      <c r="F29" s="15" t="s">
        <v>34</v>
      </c>
      <c r="G29" s="17">
        <v>104633.33</v>
      </c>
      <c r="H29" s="17">
        <v>0.0</v>
      </c>
      <c r="I29" s="17">
        <f t="shared" si="1"/>
        <v>104633.33</v>
      </c>
      <c r="J29" s="16"/>
    </row>
    <row r="30" ht="15.75" customHeight="1">
      <c r="A30" s="10">
        <v>45747.0</v>
      </c>
      <c r="B30" s="11" t="s">
        <v>32</v>
      </c>
      <c r="C30" s="12"/>
      <c r="D30" s="12" t="str">
        <f t="array" ref="D30">INDEX(Helper!$D$101:$D$1028,MATCH(E30,Helper!$E$101:$E$1028,0))</f>
        <v>#N/A</v>
      </c>
      <c r="E30" s="11" t="s">
        <v>35</v>
      </c>
      <c r="F30" s="11" t="s">
        <v>36</v>
      </c>
      <c r="G30" s="13">
        <v>0.0</v>
      </c>
      <c r="H30" s="13">
        <v>356425.0</v>
      </c>
      <c r="I30" s="13">
        <f t="shared" si="1"/>
        <v>-356425</v>
      </c>
      <c r="J30" s="12"/>
    </row>
    <row r="31" ht="15.75" customHeight="1">
      <c r="A31" s="14">
        <v>45747.0</v>
      </c>
      <c r="B31" s="15" t="s">
        <v>32</v>
      </c>
      <c r="C31" s="16"/>
      <c r="D31" s="16" t="str">
        <f t="array" ref="D31">INDEX(Helper!$D$101:$D$1028,MATCH(E31,Helper!$E$101:$E$1028,0))</f>
        <v>#N/A</v>
      </c>
      <c r="E31" s="15" t="s">
        <v>12</v>
      </c>
      <c r="F31" s="15" t="s">
        <v>36</v>
      </c>
      <c r="G31" s="17">
        <v>356425.0</v>
      </c>
      <c r="H31" s="17">
        <v>0.0</v>
      </c>
      <c r="I31" s="17">
        <f t="shared" si="1"/>
        <v>356425</v>
      </c>
      <c r="J31" s="16"/>
      <c r="P31" s="4"/>
    </row>
    <row r="32" ht="15.75" customHeight="1">
      <c r="A32" s="10">
        <v>45747.0</v>
      </c>
      <c r="B32" s="11" t="s">
        <v>37</v>
      </c>
      <c r="C32" s="12"/>
      <c r="D32" s="12" t="str">
        <f t="array" ref="D32">INDEX(Helper!$D$101:$D$1028,MATCH(E32,Helper!$E$101:$E$1028,0))</f>
        <v>#N/A</v>
      </c>
      <c r="E32" s="11" t="s">
        <v>14</v>
      </c>
      <c r="F32" s="11" t="s">
        <v>38</v>
      </c>
      <c r="G32" s="13">
        <v>9965463.78</v>
      </c>
      <c r="H32" s="13">
        <v>0.0</v>
      </c>
      <c r="I32" s="13">
        <f t="shared" si="1"/>
        <v>9965463.78</v>
      </c>
      <c r="J32" s="12"/>
      <c r="P32" s="4"/>
    </row>
    <row r="33" ht="15.75" customHeight="1">
      <c r="A33" s="14">
        <v>45747.0</v>
      </c>
      <c r="B33" s="15" t="s">
        <v>37</v>
      </c>
      <c r="C33" s="16"/>
      <c r="D33" s="16" t="str">
        <f t="array" ref="D33">INDEX(Helper!$D$101:$D$1028,MATCH(E33,Helper!$E$101:$E$1028,0))</f>
        <v>#N/A</v>
      </c>
      <c r="E33" s="15" t="s">
        <v>15</v>
      </c>
      <c r="F33" s="15" t="s">
        <v>38</v>
      </c>
      <c r="G33" s="17">
        <v>0.0</v>
      </c>
      <c r="H33" s="17">
        <v>9965463.78</v>
      </c>
      <c r="I33" s="17">
        <f t="shared" si="1"/>
        <v>-9965463.78</v>
      </c>
      <c r="J33" s="16"/>
      <c r="N33" s="4"/>
    </row>
    <row r="34" ht="15.75" customHeight="1">
      <c r="A34" s="10">
        <v>45747.0</v>
      </c>
      <c r="B34" s="11" t="s">
        <v>37</v>
      </c>
      <c r="C34" s="12"/>
      <c r="D34" s="12" t="str">
        <f t="array" ref="D34">INDEX(Helper!$D$101:$D$1028,MATCH(E34,Helper!$E$101:$E$1028,0))</f>
        <v>#N/A</v>
      </c>
      <c r="E34" s="11" t="s">
        <v>16</v>
      </c>
      <c r="F34" s="11" t="s">
        <v>38</v>
      </c>
      <c r="G34" s="13">
        <v>2.280195E7</v>
      </c>
      <c r="H34" s="13">
        <v>0.0</v>
      </c>
      <c r="I34" s="13">
        <f t="shared" si="1"/>
        <v>22801950</v>
      </c>
      <c r="J34" s="12"/>
      <c r="N34" s="4"/>
    </row>
    <row r="35" ht="15.75" customHeight="1">
      <c r="A35" s="14">
        <v>45747.0</v>
      </c>
      <c r="B35" s="15" t="s">
        <v>37</v>
      </c>
      <c r="C35" s="16"/>
      <c r="D35" s="16" t="str">
        <f t="array" ref="D35">INDEX(Helper!$D$101:$D$1028,MATCH(E35,Helper!$E$101:$E$1028,0))</f>
        <v>#N/A</v>
      </c>
      <c r="E35" s="15" t="s">
        <v>17</v>
      </c>
      <c r="F35" s="15" t="s">
        <v>38</v>
      </c>
      <c r="G35" s="17">
        <v>0.0</v>
      </c>
      <c r="H35" s="17">
        <v>2.280195E7</v>
      </c>
      <c r="I35" s="17">
        <f t="shared" si="1"/>
        <v>-22801950</v>
      </c>
      <c r="J35" s="16"/>
    </row>
    <row r="36" ht="15.75" customHeight="1">
      <c r="A36" s="10">
        <v>45747.0</v>
      </c>
      <c r="B36" s="11" t="s">
        <v>37</v>
      </c>
      <c r="C36" s="12"/>
      <c r="D36" s="12" t="str">
        <f t="array" ref="D36">INDEX(Helper!$D$101:$D$1028,MATCH(E36,Helper!$E$101:$E$1028,0))</f>
        <v>#N/A</v>
      </c>
      <c r="E36" s="11" t="s">
        <v>18</v>
      </c>
      <c r="F36" s="11" t="s">
        <v>38</v>
      </c>
      <c r="G36" s="13">
        <v>5.097391277E7</v>
      </c>
      <c r="H36" s="13">
        <v>0.0</v>
      </c>
      <c r="I36" s="13">
        <f t="shared" si="1"/>
        <v>50973912.77</v>
      </c>
      <c r="J36" s="12"/>
    </row>
    <row r="37" ht="15.75" customHeight="1">
      <c r="A37" s="14">
        <v>45747.0</v>
      </c>
      <c r="B37" s="15" t="s">
        <v>37</v>
      </c>
      <c r="C37" s="16"/>
      <c r="D37" s="16" t="str">
        <f t="array" ref="D37">INDEX(Helper!$D$101:$D$1028,MATCH(E37,Helper!$E$101:$E$1028,0))</f>
        <v>#N/A</v>
      </c>
      <c r="E37" s="15" t="s">
        <v>20</v>
      </c>
      <c r="F37" s="15" t="s">
        <v>38</v>
      </c>
      <c r="G37" s="17">
        <v>0.0</v>
      </c>
      <c r="H37" s="17">
        <v>5.097391277E7</v>
      </c>
      <c r="I37" s="17">
        <f t="shared" si="1"/>
        <v>-50973912.77</v>
      </c>
      <c r="J37" s="16"/>
    </row>
    <row r="38" ht="15.75" customHeight="1">
      <c r="A38" s="10">
        <v>45747.0</v>
      </c>
      <c r="B38" s="11" t="s">
        <v>39</v>
      </c>
      <c r="C38" s="12"/>
      <c r="D38" s="12" t="str">
        <f t="array" ref="D38">INDEX(Helper!$D$101:$D$1028,MATCH(E38,Helper!$E$101:$E$1028,0))</f>
        <v>#N/A</v>
      </c>
      <c r="E38" s="11" t="s">
        <v>14</v>
      </c>
      <c r="F38" s="11" t="s">
        <v>40</v>
      </c>
      <c r="G38" s="13">
        <v>0.0</v>
      </c>
      <c r="H38" s="13">
        <v>8136940.83</v>
      </c>
      <c r="I38" s="13">
        <f t="shared" si="1"/>
        <v>-8136940.83</v>
      </c>
      <c r="J38" s="12"/>
    </row>
    <row r="39" ht="15.75" customHeight="1">
      <c r="A39" s="14">
        <v>45747.0</v>
      </c>
      <c r="B39" s="15" t="s">
        <v>39</v>
      </c>
      <c r="C39" s="16"/>
      <c r="D39" s="16" t="str">
        <f t="array" ref="D39">INDEX(Helper!$D$101:$D$1028,MATCH(E39,Helper!$E$101:$E$1028,0))</f>
        <v>#N/A</v>
      </c>
      <c r="E39" s="15" t="s">
        <v>22</v>
      </c>
      <c r="F39" s="15" t="s">
        <v>40</v>
      </c>
      <c r="G39" s="17">
        <v>8136940.83</v>
      </c>
      <c r="H39" s="17">
        <v>0.0</v>
      </c>
      <c r="I39" s="17">
        <f t="shared" si="1"/>
        <v>8136940.83</v>
      </c>
      <c r="J39" s="16"/>
      <c r="M39" s="18">
        <v>680000.0</v>
      </c>
    </row>
    <row r="40" ht="15.75" customHeight="1">
      <c r="A40" s="10">
        <v>45747.0</v>
      </c>
      <c r="B40" s="11" t="s">
        <v>39</v>
      </c>
      <c r="C40" s="12"/>
      <c r="D40" s="12" t="str">
        <f t="array" ref="D40">INDEX(Helper!$D$101:$D$1028,MATCH(E40,Helper!$E$101:$E$1028,0))</f>
        <v>#N/A</v>
      </c>
      <c r="E40" s="11" t="s">
        <v>16</v>
      </c>
      <c r="F40" s="11" t="s">
        <v>40</v>
      </c>
      <c r="G40" s="13">
        <v>0.0</v>
      </c>
      <c r="H40" s="13">
        <v>2.4876371E7</v>
      </c>
      <c r="I40" s="13">
        <f t="shared" si="1"/>
        <v>-24876371</v>
      </c>
      <c r="J40" s="12"/>
      <c r="M40" s="18">
        <v>1026000.0</v>
      </c>
    </row>
    <row r="41" ht="15.75" customHeight="1">
      <c r="A41" s="14">
        <v>45747.0</v>
      </c>
      <c r="B41" s="15" t="s">
        <v>39</v>
      </c>
      <c r="C41" s="16"/>
      <c r="D41" s="16" t="str">
        <f t="array" ref="D41">INDEX(Helper!$D$101:$D$1028,MATCH(E41,Helper!$E$101:$E$1028,0))</f>
        <v>#N/A</v>
      </c>
      <c r="E41" s="15" t="s">
        <v>23</v>
      </c>
      <c r="F41" s="15" t="s">
        <v>40</v>
      </c>
      <c r="G41" s="17">
        <v>2.4876371E7</v>
      </c>
      <c r="H41" s="17">
        <v>0.0</v>
      </c>
      <c r="I41" s="17">
        <f t="shared" si="1"/>
        <v>24876371</v>
      </c>
      <c r="J41" s="16"/>
    </row>
    <row r="42" ht="15.75" customHeight="1">
      <c r="A42" s="10">
        <v>45747.0</v>
      </c>
      <c r="B42" s="11" t="s">
        <v>39</v>
      </c>
      <c r="C42" s="12"/>
      <c r="D42" s="12" t="str">
        <f t="array" ref="D42">INDEX(Helper!$D$101:$D$1028,MATCH(E42,Helper!$E$101:$E$1028,0))</f>
        <v>#N/A</v>
      </c>
      <c r="E42" s="11" t="s">
        <v>18</v>
      </c>
      <c r="F42" s="11" t="s">
        <v>40</v>
      </c>
      <c r="G42" s="13">
        <v>0.0</v>
      </c>
      <c r="H42" s="13">
        <v>5.369431188E7</v>
      </c>
      <c r="I42" s="13">
        <f t="shared" si="1"/>
        <v>-53694311.88</v>
      </c>
      <c r="J42" s="12"/>
    </row>
    <row r="43" ht="15.75" customHeight="1">
      <c r="A43" s="14">
        <v>45747.0</v>
      </c>
      <c r="B43" s="15" t="s">
        <v>39</v>
      </c>
      <c r="C43" s="16"/>
      <c r="D43" s="16" t="str">
        <f t="array" ref="D43">INDEX(Helper!$D$101:$D$1028,MATCH(E43,Helper!$E$101:$E$1028,0))</f>
        <v>#N/A</v>
      </c>
      <c r="E43" s="15" t="s">
        <v>41</v>
      </c>
      <c r="F43" s="15" t="s">
        <v>40</v>
      </c>
      <c r="G43" s="17">
        <v>5.369431188E7</v>
      </c>
      <c r="H43" s="17">
        <v>0.0</v>
      </c>
      <c r="I43" s="17">
        <f t="shared" si="1"/>
        <v>53694311.88</v>
      </c>
      <c r="J43" s="16"/>
    </row>
    <row r="44" ht="15.75" customHeight="1">
      <c r="A44" s="10">
        <v>45747.0</v>
      </c>
      <c r="B44" s="11" t="s">
        <v>42</v>
      </c>
      <c r="C44" s="12"/>
      <c r="D44" s="12" t="str">
        <f t="array" ref="D44">INDEX(Helper!$D$101:$D$1028,MATCH(E44,Helper!$E$101:$E$1028,0))</f>
        <v>#N/A</v>
      </c>
      <c r="E44" s="11" t="s">
        <v>18</v>
      </c>
      <c r="F44" s="11" t="s">
        <v>43</v>
      </c>
      <c r="G44" s="13">
        <v>1213698.93</v>
      </c>
      <c r="H44" s="13">
        <v>0.0</v>
      </c>
      <c r="I44" s="13">
        <f t="shared" si="1"/>
        <v>1213698.93</v>
      </c>
      <c r="J44" s="12"/>
    </row>
    <row r="45" ht="15.75" customHeight="1">
      <c r="A45" s="14">
        <v>45747.0</v>
      </c>
      <c r="B45" s="15" t="s">
        <v>42</v>
      </c>
      <c r="C45" s="16"/>
      <c r="D45" s="16" t="str">
        <f t="array" ref="D45">INDEX(Helper!$D$101:$D$1028,MATCH(E45,Helper!$E$101:$E$1028,0))</f>
        <v>#N/A</v>
      </c>
      <c r="E45" s="15" t="s">
        <v>35</v>
      </c>
      <c r="F45" s="15" t="s">
        <v>43</v>
      </c>
      <c r="G45" s="17">
        <v>0.0</v>
      </c>
      <c r="H45" s="17">
        <v>1213698.93</v>
      </c>
      <c r="I45" s="17">
        <f t="shared" si="1"/>
        <v>-1213698.93</v>
      </c>
      <c r="J45" s="16"/>
    </row>
    <row r="46" ht="15.75" customHeight="1">
      <c r="A46" s="10">
        <v>45747.0</v>
      </c>
      <c r="B46" s="11" t="s">
        <v>44</v>
      </c>
      <c r="C46" s="12"/>
      <c r="D46" s="12" t="str">
        <f t="array" ref="D46">INDEX(Helper!$D$101:$D$1028,MATCH(E46,Helper!$E$101:$E$1028,0))</f>
        <v>#N/A</v>
      </c>
      <c r="E46" s="11" t="s">
        <v>45</v>
      </c>
      <c r="F46" s="11" t="s">
        <v>46</v>
      </c>
      <c r="G46" s="13">
        <v>107227.03</v>
      </c>
      <c r="H46" s="13">
        <v>0.0</v>
      </c>
      <c r="I46" s="13">
        <f t="shared" si="1"/>
        <v>107227.03</v>
      </c>
      <c r="J46" s="12"/>
    </row>
    <row r="47" ht="15.75" customHeight="1">
      <c r="A47" s="14">
        <v>45747.0</v>
      </c>
      <c r="B47" s="15" t="s">
        <v>44</v>
      </c>
      <c r="C47" s="16"/>
      <c r="D47" s="16" t="str">
        <f t="array" ref="D47">INDEX(Helper!$D$101:$D$1028,MATCH(E47,Helper!$E$101:$E$1028,0))</f>
        <v>#N/A</v>
      </c>
      <c r="E47" s="15" t="s">
        <v>47</v>
      </c>
      <c r="F47" s="15" t="s">
        <v>46</v>
      </c>
      <c r="G47" s="17">
        <v>0.0</v>
      </c>
      <c r="H47" s="17">
        <v>107227.03</v>
      </c>
      <c r="I47" s="17">
        <f t="shared" si="1"/>
        <v>-107227.03</v>
      </c>
      <c r="J47" s="16"/>
    </row>
    <row r="48" ht="15.75" customHeight="1">
      <c r="A48" s="10">
        <v>45777.0</v>
      </c>
      <c r="B48" s="11" t="s">
        <v>48</v>
      </c>
      <c r="C48" s="12"/>
      <c r="D48" s="12" t="str">
        <f t="array" ref="D48">INDEX(Helper!$D$101:$D$1028,MATCH(E48,Helper!$E$101:$E$1028,0))</f>
        <v>#N/A</v>
      </c>
      <c r="E48" s="11" t="s">
        <v>25</v>
      </c>
      <c r="F48" s="11" t="s">
        <v>49</v>
      </c>
      <c r="G48" s="13">
        <v>0.0</v>
      </c>
      <c r="H48" s="13">
        <v>554166.67</v>
      </c>
      <c r="I48" s="13">
        <f t="shared" si="1"/>
        <v>-554166.67</v>
      </c>
      <c r="J48" s="12"/>
    </row>
    <row r="49" ht="15.75" customHeight="1">
      <c r="A49" s="14">
        <v>45777.0</v>
      </c>
      <c r="B49" s="15" t="s">
        <v>48</v>
      </c>
      <c r="C49" s="16"/>
      <c r="D49" s="16" t="str">
        <f t="array" ref="D49">INDEX(Helper!$D$101:$D$1028,MATCH(E49,Helper!$E$101:$E$1028,0))</f>
        <v>#N/A</v>
      </c>
      <c r="E49" s="15" t="s">
        <v>27</v>
      </c>
      <c r="F49" s="15" t="s">
        <v>49</v>
      </c>
      <c r="G49" s="17">
        <v>554166.67</v>
      </c>
      <c r="H49" s="17">
        <v>0.0</v>
      </c>
      <c r="I49" s="17">
        <f t="shared" si="1"/>
        <v>554166.67</v>
      </c>
      <c r="J49" s="16"/>
    </row>
    <row r="50" ht="15.75" customHeight="1">
      <c r="A50" s="10">
        <v>45777.0</v>
      </c>
      <c r="B50" s="11" t="s">
        <v>48</v>
      </c>
      <c r="C50" s="12"/>
      <c r="D50" s="12" t="str">
        <f t="array" ref="D50">INDEX(Helper!$D$101:$D$1028,MATCH(E50,Helper!$E$101:$E$1028,0))</f>
        <v>#N/A</v>
      </c>
      <c r="E50" s="11" t="s">
        <v>28</v>
      </c>
      <c r="F50" s="11" t="s">
        <v>50</v>
      </c>
      <c r="G50" s="13">
        <v>0.0</v>
      </c>
      <c r="H50" s="13">
        <v>406462.0</v>
      </c>
      <c r="I50" s="13">
        <f t="shared" si="1"/>
        <v>-406462</v>
      </c>
      <c r="J50" s="12"/>
    </row>
    <row r="51" ht="15.75" customHeight="1">
      <c r="A51" s="14">
        <v>45777.0</v>
      </c>
      <c r="B51" s="15" t="s">
        <v>48</v>
      </c>
      <c r="C51" s="16"/>
      <c r="D51" s="16" t="str">
        <f t="array" ref="D51">INDEX(Helper!$D$101:$D$1028,MATCH(E51,Helper!$E$101:$E$1028,0))</f>
        <v>#N/A</v>
      </c>
      <c r="E51" s="15" t="s">
        <v>27</v>
      </c>
      <c r="F51" s="15" t="s">
        <v>50</v>
      </c>
      <c r="G51" s="17">
        <v>406462.0</v>
      </c>
      <c r="H51" s="17">
        <v>0.0</v>
      </c>
      <c r="I51" s="17">
        <f t="shared" si="1"/>
        <v>406462</v>
      </c>
      <c r="J51" s="16"/>
    </row>
    <row r="52" ht="15.75" customHeight="1">
      <c r="A52" s="10">
        <v>45777.0</v>
      </c>
      <c r="B52" s="11" t="s">
        <v>48</v>
      </c>
      <c r="C52" s="12"/>
      <c r="D52" s="12" t="str">
        <f t="array" ref="D52">INDEX(Helper!$D$101:$D$1028,MATCH(E52,Helper!$E$101:$E$1028,0))</f>
        <v>#N/A</v>
      </c>
      <c r="E52" s="11" t="s">
        <v>30</v>
      </c>
      <c r="F52" s="11" t="s">
        <v>51</v>
      </c>
      <c r="G52" s="13">
        <v>0.0</v>
      </c>
      <c r="H52" s="13">
        <v>1828151.0</v>
      </c>
      <c r="I52" s="13">
        <f t="shared" si="1"/>
        <v>-1828151</v>
      </c>
      <c r="J52" s="12"/>
    </row>
    <row r="53" ht="15.75" customHeight="1">
      <c r="A53" s="14">
        <v>45777.0</v>
      </c>
      <c r="B53" s="15" t="s">
        <v>48</v>
      </c>
      <c r="C53" s="16"/>
      <c r="D53" s="16" t="str">
        <f t="array" ref="D53">INDEX(Helper!$D$101:$D$1028,MATCH(E53,Helper!$E$101:$E$1028,0))</f>
        <v>#N/A</v>
      </c>
      <c r="E53" s="15" t="s">
        <v>35</v>
      </c>
      <c r="F53" s="15" t="s">
        <v>51</v>
      </c>
      <c r="G53" s="17">
        <v>1828151.0</v>
      </c>
      <c r="H53" s="17">
        <v>0.0</v>
      </c>
      <c r="I53" s="17">
        <f t="shared" si="1"/>
        <v>1828151</v>
      </c>
      <c r="J53" s="16"/>
    </row>
    <row r="54" ht="15.75" customHeight="1">
      <c r="A54" s="10">
        <v>45777.0</v>
      </c>
      <c r="B54" s="11" t="s">
        <v>52</v>
      </c>
      <c r="C54" s="12"/>
      <c r="D54" s="12" t="str">
        <f t="array" ref="D54">INDEX(Helper!$D$101:$D$1028,MATCH(E54,Helper!$E$101:$E$1028,0))</f>
        <v>#N/A</v>
      </c>
      <c r="E54" s="12" t="s">
        <v>12</v>
      </c>
      <c r="F54" s="11" t="s">
        <v>53</v>
      </c>
      <c r="G54" s="13">
        <v>8136940.83</v>
      </c>
      <c r="H54" s="13">
        <v>0.0</v>
      </c>
      <c r="I54" s="13">
        <f t="shared" si="1"/>
        <v>8136940.83</v>
      </c>
      <c r="J54" s="12"/>
    </row>
    <row r="55" ht="15.75" customHeight="1">
      <c r="A55" s="14">
        <v>45777.0</v>
      </c>
      <c r="B55" s="15" t="s">
        <v>52</v>
      </c>
      <c r="C55" s="16"/>
      <c r="D55" s="16" t="str">
        <f t="array" ref="D55">INDEX(Helper!$D$101:$D$1028,MATCH(E55,Helper!$E$101:$E$1028,0))</f>
        <v>#N/A</v>
      </c>
      <c r="E55" s="16" t="s">
        <v>14</v>
      </c>
      <c r="F55" s="15" t="s">
        <v>53</v>
      </c>
      <c r="G55" s="17">
        <v>0.0</v>
      </c>
      <c r="H55" s="17">
        <v>8136940.83</v>
      </c>
      <c r="I55" s="17">
        <f t="shared" si="1"/>
        <v>-8136940.83</v>
      </c>
      <c r="J55" s="16"/>
    </row>
    <row r="56" ht="15.75" customHeight="1">
      <c r="A56" s="10">
        <v>45777.0</v>
      </c>
      <c r="B56" s="11" t="s">
        <v>52</v>
      </c>
      <c r="C56" s="12"/>
      <c r="D56" s="12" t="str">
        <f t="array" ref="D56">INDEX(Helper!$D$101:$D$1028,MATCH(E56,Helper!$E$101:$E$1028,0))</f>
        <v>#N/A</v>
      </c>
      <c r="E56" s="12" t="s">
        <v>15</v>
      </c>
      <c r="F56" s="11" t="s">
        <v>53</v>
      </c>
      <c r="G56" s="13">
        <v>2.4876371E7</v>
      </c>
      <c r="H56" s="13">
        <v>0.0</v>
      </c>
      <c r="I56" s="13">
        <f t="shared" si="1"/>
        <v>24876371</v>
      </c>
      <c r="J56" s="12"/>
    </row>
    <row r="57" ht="15.75" customHeight="1">
      <c r="A57" s="14">
        <v>45777.0</v>
      </c>
      <c r="B57" s="15" t="s">
        <v>52</v>
      </c>
      <c r="C57" s="16"/>
      <c r="D57" s="16" t="str">
        <f t="array" ref="D57">INDEX(Helper!$D$101:$D$1028,MATCH(E57,Helper!$E$101:$E$1028,0))</f>
        <v>#N/A</v>
      </c>
      <c r="E57" s="16" t="s">
        <v>16</v>
      </c>
      <c r="F57" s="15" t="s">
        <v>53</v>
      </c>
      <c r="G57" s="17">
        <v>0.0</v>
      </c>
      <c r="H57" s="17">
        <v>2.4876371E7</v>
      </c>
      <c r="I57" s="17">
        <f t="shared" si="1"/>
        <v>-24876371</v>
      </c>
      <c r="J57" s="16"/>
    </row>
    <row r="58" ht="15.75" customHeight="1">
      <c r="A58" s="10">
        <v>45777.0</v>
      </c>
      <c r="B58" s="11" t="s">
        <v>52</v>
      </c>
      <c r="C58" s="12"/>
      <c r="D58" s="12" t="str">
        <f t="array" ref="D58">INDEX(Helper!$D$101:$D$1028,MATCH(E58,Helper!$E$101:$E$1028,0))</f>
        <v>#N/A</v>
      </c>
      <c r="E58" s="12" t="s">
        <v>17</v>
      </c>
      <c r="F58" s="11" t="s">
        <v>53</v>
      </c>
      <c r="G58" s="13">
        <v>5.248061295E7</v>
      </c>
      <c r="H58" s="13">
        <v>0.0</v>
      </c>
      <c r="I58" s="13">
        <f t="shared" si="1"/>
        <v>52480612.95</v>
      </c>
      <c r="J58" s="12"/>
    </row>
    <row r="59" ht="15.75" customHeight="1">
      <c r="A59" s="14">
        <v>45777.0</v>
      </c>
      <c r="B59" s="15" t="s">
        <v>52</v>
      </c>
      <c r="C59" s="16"/>
      <c r="D59" s="16" t="str">
        <f t="array" ref="D59">INDEX(Helper!$D$101:$D$1028,MATCH(E59,Helper!$E$101:$E$1028,0))</f>
        <v>#N/A</v>
      </c>
      <c r="E59" s="16" t="s">
        <v>18</v>
      </c>
      <c r="F59" s="15" t="s">
        <v>53</v>
      </c>
      <c r="G59" s="17">
        <v>0.0</v>
      </c>
      <c r="H59" s="17">
        <v>5.248061295E7</v>
      </c>
      <c r="I59" s="17">
        <f t="shared" si="1"/>
        <v>-52480612.95</v>
      </c>
      <c r="J59" s="16"/>
    </row>
    <row r="60" ht="15.75" customHeight="1">
      <c r="A60" s="10">
        <v>45777.0</v>
      </c>
      <c r="B60" s="11" t="s">
        <v>54</v>
      </c>
      <c r="C60" s="12"/>
      <c r="D60" s="12" t="str">
        <f t="array" ref="D60">INDEX(Helper!$D$101:$D$1028,MATCH(E60,Helper!$E$101:$E$1028,0))</f>
        <v>#N/A</v>
      </c>
      <c r="E60" s="12" t="s">
        <v>20</v>
      </c>
      <c r="F60" s="11" t="s">
        <v>55</v>
      </c>
      <c r="G60" s="13">
        <v>0.0</v>
      </c>
      <c r="H60" s="13">
        <v>8212072.36</v>
      </c>
      <c r="I60" s="13">
        <f t="shared" si="1"/>
        <v>-8212072.36</v>
      </c>
      <c r="J60" s="12"/>
    </row>
    <row r="61" ht="15.75" customHeight="1">
      <c r="A61" s="14">
        <v>45777.0</v>
      </c>
      <c r="B61" s="15" t="s">
        <v>54</v>
      </c>
      <c r="C61" s="16"/>
      <c r="D61" s="16" t="str">
        <f t="array" ref="D61">INDEX(Helper!$D$101:$D$1028,MATCH(E61,Helper!$E$101:$E$1028,0))</f>
        <v>#N/A</v>
      </c>
      <c r="E61" s="16" t="s">
        <v>14</v>
      </c>
      <c r="F61" s="15" t="s">
        <v>55</v>
      </c>
      <c r="G61" s="17">
        <v>8212072.36</v>
      </c>
      <c r="H61" s="17">
        <v>0.0</v>
      </c>
      <c r="I61" s="17">
        <f t="shared" si="1"/>
        <v>8212072.36</v>
      </c>
      <c r="J61" s="16"/>
    </row>
    <row r="62" ht="15.75" customHeight="1">
      <c r="A62" s="10">
        <v>45777.0</v>
      </c>
      <c r="B62" s="11" t="s">
        <v>54</v>
      </c>
      <c r="C62" s="12"/>
      <c r="D62" s="12" t="str">
        <f t="array" ref="D62">INDEX(Helper!$D$101:$D$1028,MATCH(E62,Helper!$E$101:$E$1028,0))</f>
        <v>#N/A</v>
      </c>
      <c r="E62" s="12" t="s">
        <v>22</v>
      </c>
      <c r="F62" s="11" t="s">
        <v>55</v>
      </c>
      <c r="G62" s="13">
        <v>0.0</v>
      </c>
      <c r="H62" s="13">
        <v>2.3855351E7</v>
      </c>
      <c r="I62" s="13">
        <f t="shared" si="1"/>
        <v>-23855351</v>
      </c>
      <c r="J62" s="12"/>
    </row>
    <row r="63" ht="15.75" customHeight="1">
      <c r="A63" s="14">
        <v>45777.0</v>
      </c>
      <c r="B63" s="15" t="s">
        <v>54</v>
      </c>
      <c r="C63" s="16"/>
      <c r="D63" s="16" t="str">
        <f t="array" ref="D63">INDEX(Helper!$D$101:$D$1028,MATCH(E63,Helper!$E$101:$E$1028,0))</f>
        <v>#N/A</v>
      </c>
      <c r="E63" s="16" t="s">
        <v>16</v>
      </c>
      <c r="F63" s="15" t="s">
        <v>55</v>
      </c>
      <c r="G63" s="17">
        <v>2.3855351E7</v>
      </c>
      <c r="H63" s="17">
        <v>0.0</v>
      </c>
      <c r="I63" s="17">
        <f t="shared" si="1"/>
        <v>23855351</v>
      </c>
      <c r="J63" s="16"/>
    </row>
    <row r="64" ht="15.75" customHeight="1">
      <c r="A64" s="10">
        <v>45777.0</v>
      </c>
      <c r="B64" s="11" t="s">
        <v>54</v>
      </c>
      <c r="C64" s="12"/>
      <c r="D64" s="12" t="str">
        <f t="array" ref="D64">INDEX(Helper!$D$101:$D$1028,MATCH(E64,Helper!$E$101:$E$1028,0))</f>
        <v>#N/A</v>
      </c>
      <c r="E64" s="12" t="s">
        <v>23</v>
      </c>
      <c r="F64" s="11" t="s">
        <v>55</v>
      </c>
      <c r="G64" s="13">
        <v>0.0</v>
      </c>
      <c r="H64" s="13">
        <v>2.975698431E7</v>
      </c>
      <c r="I64" s="13">
        <f t="shared" si="1"/>
        <v>-29756984.31</v>
      </c>
      <c r="J64" s="12"/>
    </row>
    <row r="65" ht="15.75" customHeight="1">
      <c r="A65" s="14">
        <v>45777.0</v>
      </c>
      <c r="B65" s="15" t="s">
        <v>54</v>
      </c>
      <c r="C65" s="16"/>
      <c r="D65" s="16" t="str">
        <f t="array" ref="D65">INDEX(Helper!$D$101:$D$1028,MATCH(E65,Helper!$E$101:$E$1028,0))</f>
        <v>#N/A</v>
      </c>
      <c r="E65" s="16" t="s">
        <v>18</v>
      </c>
      <c r="F65" s="15" t="s">
        <v>55</v>
      </c>
      <c r="G65" s="17">
        <v>2.975698431E7</v>
      </c>
      <c r="H65" s="17">
        <v>0.0</v>
      </c>
      <c r="I65" s="17">
        <f t="shared" si="1"/>
        <v>29756984.31</v>
      </c>
      <c r="J65" s="16"/>
    </row>
    <row r="66" ht="15.75" customHeight="1">
      <c r="A66" s="19">
        <v>45808.0</v>
      </c>
      <c r="B66" s="11" t="s">
        <v>56</v>
      </c>
      <c r="C66" s="12"/>
      <c r="D66" s="12" t="str">
        <f t="array" ref="D66">INDEX(Helper!$D$101:$D$1028,MATCH(E66,Helper!$E$101:$E$1028,0))</f>
        <v>#N/A</v>
      </c>
      <c r="E66" s="11" t="s">
        <v>25</v>
      </c>
      <c r="F66" s="11" t="s">
        <v>57</v>
      </c>
      <c r="G66" s="13">
        <v>0.0</v>
      </c>
      <c r="H66" s="13">
        <v>554166.67</v>
      </c>
      <c r="I66" s="13">
        <f t="shared" si="1"/>
        <v>-554166.67</v>
      </c>
      <c r="J66" s="12"/>
    </row>
    <row r="67" ht="15.75" customHeight="1">
      <c r="A67" s="20">
        <v>45808.0</v>
      </c>
      <c r="B67" s="15" t="s">
        <v>56</v>
      </c>
      <c r="C67" s="16"/>
      <c r="D67" s="16" t="str">
        <f t="array" ref="D67">INDEX(Helper!$D$101:$D$1028,MATCH(E67,Helper!$E$101:$E$1028,0))</f>
        <v>#N/A</v>
      </c>
      <c r="E67" s="15" t="s">
        <v>27</v>
      </c>
      <c r="F67" s="15" t="s">
        <v>57</v>
      </c>
      <c r="G67" s="17">
        <v>554166.67</v>
      </c>
      <c r="H67" s="17">
        <v>0.0</v>
      </c>
      <c r="I67" s="17">
        <f t="shared" si="1"/>
        <v>554166.67</v>
      </c>
      <c r="J67" s="16"/>
    </row>
    <row r="68" ht="15.75" customHeight="1">
      <c r="A68" s="19">
        <v>45808.0</v>
      </c>
      <c r="B68" s="11" t="s">
        <v>56</v>
      </c>
      <c r="C68" s="12"/>
      <c r="D68" s="12" t="str">
        <f t="array" ref="D68">INDEX(Helper!$D$101:$D$1028,MATCH(E68,Helper!$E$101:$E$1028,0))</f>
        <v>#N/A</v>
      </c>
      <c r="E68" s="11" t="s">
        <v>28</v>
      </c>
      <c r="F68" s="11" t="s">
        <v>58</v>
      </c>
      <c r="G68" s="13">
        <v>0.0</v>
      </c>
      <c r="H68" s="13">
        <v>392913.0</v>
      </c>
      <c r="I68" s="13">
        <f t="shared" si="1"/>
        <v>-392913</v>
      </c>
      <c r="J68" s="12"/>
    </row>
    <row r="69" ht="15.75" customHeight="1">
      <c r="A69" s="20">
        <v>45808.0</v>
      </c>
      <c r="B69" s="15" t="s">
        <v>56</v>
      </c>
      <c r="C69" s="16"/>
      <c r="D69" s="16" t="str">
        <f t="array" ref="D69">INDEX(Helper!$D$101:$D$1028,MATCH(E69,Helper!$E$101:$E$1028,0))</f>
        <v>#N/A</v>
      </c>
      <c r="E69" s="15" t="s">
        <v>27</v>
      </c>
      <c r="F69" s="15" t="s">
        <v>58</v>
      </c>
      <c r="G69" s="17">
        <v>392913.0</v>
      </c>
      <c r="H69" s="17">
        <v>0.0</v>
      </c>
      <c r="I69" s="17">
        <f t="shared" si="1"/>
        <v>392913</v>
      </c>
      <c r="J69" s="16"/>
    </row>
    <row r="70" ht="15.75" customHeight="1">
      <c r="A70" s="19">
        <v>45808.0</v>
      </c>
      <c r="B70" s="11" t="s">
        <v>56</v>
      </c>
      <c r="C70" s="12"/>
      <c r="D70" s="12" t="str">
        <f t="array" ref="D70">INDEX(Helper!$D$101:$D$1028,MATCH(E70,Helper!$E$101:$E$1028,0))</f>
        <v>#N/A</v>
      </c>
      <c r="E70" s="11" t="s">
        <v>30</v>
      </c>
      <c r="F70" s="11" t="s">
        <v>59</v>
      </c>
      <c r="G70" s="13">
        <v>0.0</v>
      </c>
      <c r="H70" s="13">
        <v>1767212.0</v>
      </c>
      <c r="I70" s="13">
        <f t="shared" si="1"/>
        <v>-1767212</v>
      </c>
      <c r="J70" s="12"/>
    </row>
    <row r="71" ht="15.75" customHeight="1">
      <c r="A71" s="20">
        <v>45808.0</v>
      </c>
      <c r="B71" s="15" t="s">
        <v>56</v>
      </c>
      <c r="C71" s="16"/>
      <c r="D71" s="16" t="str">
        <f t="array" ref="D71">INDEX(Helper!$D$101:$D$1028,MATCH(E71,Helper!$E$101:$E$1028,0))</f>
        <v>#N/A</v>
      </c>
      <c r="E71" s="15" t="s">
        <v>35</v>
      </c>
      <c r="F71" s="15" t="s">
        <v>59</v>
      </c>
      <c r="G71" s="17">
        <v>1767212.0</v>
      </c>
      <c r="H71" s="17">
        <v>0.0</v>
      </c>
      <c r="I71" s="17">
        <f t="shared" si="1"/>
        <v>1767212</v>
      </c>
      <c r="J71" s="16"/>
    </row>
    <row r="72" ht="15.75" customHeight="1">
      <c r="A72" s="19">
        <v>45808.0</v>
      </c>
      <c r="B72" s="11" t="s">
        <v>60</v>
      </c>
      <c r="C72" s="12"/>
      <c r="D72" s="12" t="str">
        <f t="array" ref="D72">INDEX(Helper!$D$101:$D$1028,MATCH(E72,Helper!$E$101:$E$1028,0))</f>
        <v>#N/A</v>
      </c>
      <c r="E72" s="12" t="s">
        <v>12</v>
      </c>
      <c r="F72" s="11" t="s">
        <v>61</v>
      </c>
      <c r="G72" s="21">
        <v>8212072.36</v>
      </c>
      <c r="H72" s="13">
        <v>0.0</v>
      </c>
      <c r="I72" s="13">
        <f t="shared" si="1"/>
        <v>8212072.36</v>
      </c>
      <c r="J72" s="12"/>
    </row>
    <row r="73" ht="15.75" customHeight="1">
      <c r="A73" s="20">
        <v>45808.0</v>
      </c>
      <c r="B73" s="15" t="s">
        <v>60</v>
      </c>
      <c r="C73" s="16"/>
      <c r="D73" s="16" t="str">
        <f t="array" ref="D73">INDEX(Helper!$D$101:$D$1028,MATCH(E73,Helper!$E$101:$E$1028,0))</f>
        <v>#N/A</v>
      </c>
      <c r="E73" s="16" t="s">
        <v>14</v>
      </c>
      <c r="F73" s="15" t="s">
        <v>61</v>
      </c>
      <c r="G73" s="17">
        <v>0.0</v>
      </c>
      <c r="H73" s="22">
        <v>8212072.36</v>
      </c>
      <c r="I73" s="17">
        <f t="shared" si="1"/>
        <v>-8212072.36</v>
      </c>
      <c r="J73" s="16"/>
    </row>
    <row r="74" ht="15.75" customHeight="1">
      <c r="A74" s="19">
        <v>45808.0</v>
      </c>
      <c r="B74" s="11" t="s">
        <v>60</v>
      </c>
      <c r="C74" s="12"/>
      <c r="D74" s="12" t="str">
        <f t="array" ref="D74">INDEX(Helper!$D$101:$D$1028,MATCH(E74,Helper!$E$101:$E$1028,0))</f>
        <v>#N/A</v>
      </c>
      <c r="E74" s="12" t="s">
        <v>15</v>
      </c>
      <c r="F74" s="11" t="s">
        <v>61</v>
      </c>
      <c r="G74" s="21">
        <v>2.3855351E7</v>
      </c>
      <c r="H74" s="13">
        <v>0.0</v>
      </c>
      <c r="I74" s="13">
        <f t="shared" si="1"/>
        <v>23855351</v>
      </c>
      <c r="J74" s="12"/>
    </row>
    <row r="75" ht="15.75" customHeight="1">
      <c r="A75" s="20">
        <v>45808.0</v>
      </c>
      <c r="B75" s="15" t="s">
        <v>60</v>
      </c>
      <c r="C75" s="16"/>
      <c r="D75" s="16" t="str">
        <f t="array" ref="D75">INDEX(Helper!$D$101:$D$1028,MATCH(E75,Helper!$E$101:$E$1028,0))</f>
        <v>#N/A</v>
      </c>
      <c r="E75" s="16" t="s">
        <v>16</v>
      </c>
      <c r="F75" s="15" t="s">
        <v>61</v>
      </c>
      <c r="G75" s="17">
        <v>0.0</v>
      </c>
      <c r="H75" s="22">
        <v>2.3855351E7</v>
      </c>
      <c r="I75" s="17">
        <f t="shared" si="1"/>
        <v>-23855351</v>
      </c>
      <c r="J75" s="16"/>
    </row>
    <row r="76" ht="15.75" customHeight="1">
      <c r="A76" s="19">
        <v>45808.0</v>
      </c>
      <c r="B76" s="11" t="s">
        <v>60</v>
      </c>
      <c r="C76" s="12"/>
      <c r="D76" s="12" t="str">
        <f t="array" ref="D76">INDEX(Helper!$D$101:$D$1028,MATCH(E76,Helper!$E$101:$E$1028,0))</f>
        <v>#N/A</v>
      </c>
      <c r="E76" s="12" t="s">
        <v>17</v>
      </c>
      <c r="F76" s="11" t="s">
        <v>61</v>
      </c>
      <c r="G76" s="21">
        <v>2.975698431E7</v>
      </c>
      <c r="H76" s="13">
        <v>0.0</v>
      </c>
      <c r="I76" s="13">
        <f t="shared" si="1"/>
        <v>29756984.31</v>
      </c>
      <c r="J76" s="12"/>
    </row>
    <row r="77" ht="15.75" customHeight="1">
      <c r="A77" s="20">
        <v>45808.0</v>
      </c>
      <c r="B77" s="15" t="s">
        <v>60</v>
      </c>
      <c r="C77" s="16"/>
      <c r="D77" s="16" t="str">
        <f t="array" ref="D77">INDEX(Helper!$D$101:$D$1028,MATCH(E77,Helper!$E$101:$E$1028,0))</f>
        <v>#N/A</v>
      </c>
      <c r="E77" s="16" t="s">
        <v>18</v>
      </c>
      <c r="F77" s="15" t="s">
        <v>61</v>
      </c>
      <c r="G77" s="17">
        <v>0.0</v>
      </c>
      <c r="H77" s="22">
        <v>2.975698431E7</v>
      </c>
      <c r="I77" s="17">
        <f t="shared" si="1"/>
        <v>-29756984.31</v>
      </c>
      <c r="J77" s="16"/>
    </row>
    <row r="78" ht="15.75" customHeight="1">
      <c r="A78" s="19">
        <v>45808.0</v>
      </c>
      <c r="B78" s="11" t="s">
        <v>62</v>
      </c>
      <c r="C78" s="12"/>
      <c r="D78" s="12" t="str">
        <f t="array" ref="D78">INDEX(Helper!$D$101:$D$1028,MATCH(E78,Helper!$E$101:$E$1028,0))</f>
        <v>#N/A</v>
      </c>
      <c r="E78" s="12" t="s">
        <v>20</v>
      </c>
      <c r="F78" s="11" t="s">
        <v>63</v>
      </c>
      <c r="G78" s="13">
        <v>0.0</v>
      </c>
      <c r="H78" s="21">
        <v>5597336.1</v>
      </c>
      <c r="I78" s="13">
        <f t="shared" si="1"/>
        <v>-5597336.1</v>
      </c>
      <c r="J78" s="12"/>
    </row>
    <row r="79" ht="15.75" customHeight="1">
      <c r="A79" s="20">
        <v>45808.0</v>
      </c>
      <c r="B79" s="15" t="s">
        <v>62</v>
      </c>
      <c r="C79" s="16"/>
      <c r="D79" s="16" t="str">
        <f t="array" ref="D79">INDEX(Helper!$D$101:$D$1028,MATCH(E79,Helper!$E$101:$E$1028,0))</f>
        <v>#N/A</v>
      </c>
      <c r="E79" s="16" t="s">
        <v>14</v>
      </c>
      <c r="F79" s="15" t="s">
        <v>63</v>
      </c>
      <c r="G79" s="22">
        <v>5597336.1</v>
      </c>
      <c r="H79" s="17">
        <v>0.0</v>
      </c>
      <c r="I79" s="17">
        <f t="shared" si="1"/>
        <v>5597336.1</v>
      </c>
      <c r="J79" s="16"/>
    </row>
    <row r="80" ht="15.75" customHeight="1">
      <c r="A80" s="19">
        <v>45808.0</v>
      </c>
      <c r="B80" s="11" t="s">
        <v>62</v>
      </c>
      <c r="C80" s="12"/>
      <c r="D80" s="12" t="str">
        <f t="array" ref="D80">INDEX(Helper!$D$101:$D$1028,MATCH(E80,Helper!$E$101:$E$1028,0))</f>
        <v>#N/A</v>
      </c>
      <c r="E80" s="12" t="s">
        <v>22</v>
      </c>
      <c r="F80" s="11" t="s">
        <v>63</v>
      </c>
      <c r="G80" s="13">
        <v>0.0</v>
      </c>
      <c r="H80" s="21">
        <v>2.223546871E7</v>
      </c>
      <c r="I80" s="13">
        <f t="shared" si="1"/>
        <v>-22235468.71</v>
      </c>
      <c r="J80" s="12"/>
    </row>
    <row r="81" ht="15.75" customHeight="1">
      <c r="A81" s="20">
        <v>45808.0</v>
      </c>
      <c r="B81" s="15" t="s">
        <v>62</v>
      </c>
      <c r="C81" s="16"/>
      <c r="D81" s="16" t="str">
        <f t="array" ref="D81">INDEX(Helper!$D$101:$D$1028,MATCH(E81,Helper!$E$101:$E$1028,0))</f>
        <v>#N/A</v>
      </c>
      <c r="E81" s="16" t="s">
        <v>16</v>
      </c>
      <c r="F81" s="15" t="s">
        <v>63</v>
      </c>
      <c r="G81" s="22">
        <v>2.223546871E7</v>
      </c>
      <c r="H81" s="17">
        <v>0.0</v>
      </c>
      <c r="I81" s="17">
        <f t="shared" si="1"/>
        <v>22235468.71</v>
      </c>
      <c r="J81" s="16"/>
    </row>
    <row r="82" ht="15.75" customHeight="1">
      <c r="A82" s="19">
        <v>45808.0</v>
      </c>
      <c r="B82" s="11" t="s">
        <v>62</v>
      </c>
      <c r="C82" s="12"/>
      <c r="D82" s="12" t="str">
        <f t="array" ref="D82">INDEX(Helper!$D$101:$D$1028,MATCH(E82,Helper!$E$101:$E$1028,0))</f>
        <v>#N/A</v>
      </c>
      <c r="E82" s="12" t="s">
        <v>23</v>
      </c>
      <c r="F82" s="11" t="s">
        <v>63</v>
      </c>
      <c r="G82" s="13">
        <v>0.0</v>
      </c>
      <c r="H82" s="21">
        <v>3.41856191E7</v>
      </c>
      <c r="I82" s="13">
        <f t="shared" si="1"/>
        <v>-34185619.1</v>
      </c>
      <c r="J82" s="12"/>
    </row>
    <row r="83" ht="15.75" customHeight="1">
      <c r="A83" s="20">
        <v>45808.0</v>
      </c>
      <c r="B83" s="15" t="s">
        <v>62</v>
      </c>
      <c r="C83" s="16"/>
      <c r="D83" s="16" t="str">
        <f t="array" ref="D83">INDEX(Helper!$D$101:$D$1028,MATCH(E83,Helper!$E$101:$E$1028,0))</f>
        <v>#N/A</v>
      </c>
      <c r="E83" s="16" t="s">
        <v>18</v>
      </c>
      <c r="F83" s="15" t="s">
        <v>63</v>
      </c>
      <c r="G83" s="22">
        <v>3.41856191E7</v>
      </c>
      <c r="H83" s="17">
        <v>0.0</v>
      </c>
      <c r="I83" s="17">
        <f t="shared" si="1"/>
        <v>34185619.1</v>
      </c>
      <c r="J83" s="16"/>
    </row>
    <row r="84" ht="15.75" customHeight="1">
      <c r="A84" s="19">
        <v>45838.0</v>
      </c>
      <c r="B84" s="11" t="s">
        <v>64</v>
      </c>
      <c r="C84" s="12"/>
      <c r="D84" s="12" t="str">
        <f t="array" ref="D84">INDEX(Helper!$D$101:$D$1028,MATCH(E84,Helper!$E$101:$E$1028,0))</f>
        <v>#N/A</v>
      </c>
      <c r="E84" s="11" t="s">
        <v>25</v>
      </c>
      <c r="F84" s="11" t="s">
        <v>65</v>
      </c>
      <c r="G84" s="21"/>
      <c r="H84" s="21">
        <v>554167.0</v>
      </c>
      <c r="I84" s="11"/>
      <c r="J84" s="12"/>
    </row>
    <row r="85" ht="15.75" customHeight="1">
      <c r="A85" s="20">
        <v>45838.0</v>
      </c>
      <c r="B85" s="15" t="s">
        <v>64</v>
      </c>
      <c r="C85" s="16"/>
      <c r="D85" s="16" t="str">
        <f t="array" ref="D85">INDEX(Helper!$D$101:$D$1028,MATCH(E85,Helper!$E$101:$E$1028,0))</f>
        <v>#N/A</v>
      </c>
      <c r="E85" s="15" t="s">
        <v>27</v>
      </c>
      <c r="F85" s="15" t="s">
        <v>65</v>
      </c>
      <c r="G85" s="22">
        <v>554167.0</v>
      </c>
      <c r="H85" s="22"/>
      <c r="I85" s="15"/>
      <c r="J85" s="16"/>
    </row>
    <row r="86" ht="15.75" customHeight="1">
      <c r="A86" s="19">
        <v>45838.0</v>
      </c>
      <c r="B86" s="11" t="s">
        <v>64</v>
      </c>
      <c r="C86" s="12"/>
      <c r="D86" s="12" t="str">
        <f t="array" ref="D86">INDEX(Helper!$D$101:$D$1028,MATCH(E86,Helper!$E$101:$E$1028,0))</f>
        <v>#N/A</v>
      </c>
      <c r="E86" s="11" t="s">
        <v>28</v>
      </c>
      <c r="F86" s="11" t="s">
        <v>66</v>
      </c>
      <c r="G86" s="21"/>
      <c r="H86" s="21">
        <v>379816.0</v>
      </c>
      <c r="I86" s="11"/>
      <c r="J86" s="12"/>
    </row>
    <row r="87" ht="15.75" customHeight="1">
      <c r="A87" s="20">
        <v>45838.0</v>
      </c>
      <c r="B87" s="15" t="s">
        <v>64</v>
      </c>
      <c r="C87" s="16"/>
      <c r="D87" s="16" t="str">
        <f t="array" ref="D87">INDEX(Helper!$D$101:$D$1028,MATCH(E87,Helper!$E$101:$E$1028,0))</f>
        <v>#N/A</v>
      </c>
      <c r="E87" s="15" t="s">
        <v>27</v>
      </c>
      <c r="F87" s="15" t="s">
        <v>66</v>
      </c>
      <c r="G87" s="22">
        <v>379816.0</v>
      </c>
      <c r="H87" s="22"/>
      <c r="I87" s="15"/>
      <c r="J87" s="16"/>
    </row>
    <row r="88" ht="15.75" customHeight="1">
      <c r="A88" s="19">
        <v>45838.0</v>
      </c>
      <c r="B88" s="11" t="s">
        <v>64</v>
      </c>
      <c r="C88" s="12"/>
      <c r="D88" s="12" t="str">
        <f t="array" ref="D88">INDEX(Helper!$D$101:$D$1028,MATCH(E88,Helper!$E$101:$E$1028,0))</f>
        <v>#N/A</v>
      </c>
      <c r="E88" s="11" t="s">
        <v>30</v>
      </c>
      <c r="F88" s="11" t="s">
        <v>67</v>
      </c>
      <c r="G88" s="21"/>
      <c r="H88" s="21">
        <v>1708305.0</v>
      </c>
      <c r="I88" s="11"/>
      <c r="J88" s="12"/>
    </row>
    <row r="89" ht="15.75" customHeight="1">
      <c r="A89" s="20">
        <v>45838.0</v>
      </c>
      <c r="B89" s="15" t="s">
        <v>64</v>
      </c>
      <c r="C89" s="16"/>
      <c r="D89" s="16" t="str">
        <f t="array" ref="D89">INDEX(Helper!$D$101:$D$1028,MATCH(E89,Helper!$E$101:$E$1028,0))</f>
        <v>#N/A</v>
      </c>
      <c r="E89" s="15" t="s">
        <v>35</v>
      </c>
      <c r="F89" s="15" t="s">
        <v>67</v>
      </c>
      <c r="G89" s="22">
        <v>1708305.0</v>
      </c>
      <c r="H89" s="22"/>
      <c r="I89" s="15"/>
      <c r="J89" s="16"/>
    </row>
    <row r="90" ht="15.75" customHeight="1">
      <c r="A90" s="19">
        <v>45838.0</v>
      </c>
      <c r="B90" s="11" t="s">
        <v>68</v>
      </c>
      <c r="C90" s="12"/>
      <c r="D90" s="12" t="str">
        <f t="array" ref="D90">INDEX(Helper!$D$101:$D$1028,MATCH(E90,Helper!$E$101:$E$1028,0))</f>
        <v>#N/A</v>
      </c>
      <c r="E90" s="12" t="s">
        <v>12</v>
      </c>
      <c r="F90" s="11" t="s">
        <v>69</v>
      </c>
      <c r="G90" s="21">
        <v>5597336.1</v>
      </c>
      <c r="H90" s="21"/>
      <c r="I90" s="11"/>
      <c r="J90" s="12"/>
    </row>
    <row r="91" ht="15.75" customHeight="1">
      <c r="A91" s="20">
        <v>45838.0</v>
      </c>
      <c r="B91" s="15" t="s">
        <v>68</v>
      </c>
      <c r="C91" s="16"/>
      <c r="D91" s="16" t="str">
        <f t="array" ref="D91">INDEX(Helper!$D$101:$D$1028,MATCH(E91,Helper!$E$101:$E$1028,0))</f>
        <v>#N/A</v>
      </c>
      <c r="E91" s="16" t="s">
        <v>14</v>
      </c>
      <c r="F91" s="15" t="s">
        <v>69</v>
      </c>
      <c r="G91" s="22"/>
      <c r="H91" s="22">
        <v>5597336.1</v>
      </c>
      <c r="I91" s="15"/>
      <c r="J91" s="16"/>
    </row>
    <row r="92" ht="15.75" customHeight="1">
      <c r="A92" s="19">
        <v>45838.0</v>
      </c>
      <c r="B92" s="11" t="s">
        <v>68</v>
      </c>
      <c r="C92" s="12"/>
      <c r="D92" s="12" t="str">
        <f t="array" ref="D92">INDEX(Helper!$D$101:$D$1028,MATCH(E92,Helper!$E$101:$E$1028,0))</f>
        <v>#N/A</v>
      </c>
      <c r="E92" s="12" t="s">
        <v>15</v>
      </c>
      <c r="F92" s="11" t="s">
        <v>69</v>
      </c>
      <c r="G92" s="21">
        <v>2.2235469E7</v>
      </c>
      <c r="H92" s="21"/>
      <c r="I92" s="11"/>
      <c r="J92" s="12"/>
    </row>
    <row r="93" ht="15.75" customHeight="1">
      <c r="A93" s="20">
        <v>45838.0</v>
      </c>
      <c r="B93" s="15" t="s">
        <v>68</v>
      </c>
      <c r="C93" s="16"/>
      <c r="D93" s="16" t="str">
        <f t="array" ref="D93">INDEX(Helper!$D$101:$D$1028,MATCH(E93,Helper!$E$101:$E$1028,0))</f>
        <v>#N/A</v>
      </c>
      <c r="E93" s="16" t="s">
        <v>16</v>
      </c>
      <c r="F93" s="15" t="s">
        <v>69</v>
      </c>
      <c r="G93" s="22"/>
      <c r="H93" s="22">
        <v>2.2235469E7</v>
      </c>
      <c r="I93" s="15"/>
      <c r="J93" s="16"/>
    </row>
    <row r="94" ht="15.75" customHeight="1">
      <c r="A94" s="19">
        <v>45838.0</v>
      </c>
      <c r="B94" s="11" t="s">
        <v>68</v>
      </c>
      <c r="C94" s="12"/>
      <c r="D94" s="12" t="str">
        <f t="array" ref="D94">INDEX(Helper!$D$101:$D$1028,MATCH(E94,Helper!$E$101:$E$1028,0))</f>
        <v>#N/A</v>
      </c>
      <c r="E94" s="12" t="s">
        <v>17</v>
      </c>
      <c r="F94" s="11" t="s">
        <v>69</v>
      </c>
      <c r="G94" s="21">
        <v>3.41856191E7</v>
      </c>
      <c r="H94" s="21"/>
      <c r="I94" s="11"/>
      <c r="J94" s="12"/>
    </row>
    <row r="95" ht="15.75" customHeight="1">
      <c r="A95" s="20">
        <v>45838.0</v>
      </c>
      <c r="B95" s="15" t="s">
        <v>68</v>
      </c>
      <c r="C95" s="16"/>
      <c r="D95" s="16" t="str">
        <f t="array" ref="D95">INDEX(Helper!$D$101:$D$1028,MATCH(E95,Helper!$E$101:$E$1028,0))</f>
        <v>#N/A</v>
      </c>
      <c r="E95" s="16" t="s">
        <v>18</v>
      </c>
      <c r="F95" s="15" t="s">
        <v>69</v>
      </c>
      <c r="G95" s="22"/>
      <c r="H95" s="22">
        <v>3.41856191E7</v>
      </c>
      <c r="I95" s="15"/>
      <c r="J95" s="16"/>
    </row>
    <row r="96" ht="15.75" customHeight="1">
      <c r="A96" s="19">
        <v>45838.0</v>
      </c>
      <c r="B96" s="11" t="s">
        <v>70</v>
      </c>
      <c r="C96" s="12"/>
      <c r="D96" s="12" t="str">
        <f t="array" ref="D96">INDEX(Helper!$D$101:$D$1028,MATCH(E96,Helper!$E$101:$E$1028,0))</f>
        <v>#N/A</v>
      </c>
      <c r="E96" s="12" t="s">
        <v>20</v>
      </c>
      <c r="F96" s="11" t="s">
        <v>71</v>
      </c>
      <c r="G96" s="21"/>
      <c r="H96" s="21">
        <v>5914124.0</v>
      </c>
      <c r="I96" s="11"/>
      <c r="J96" s="12"/>
    </row>
    <row r="97" ht="15.75" customHeight="1">
      <c r="A97" s="20">
        <v>45838.0</v>
      </c>
      <c r="B97" s="15" t="s">
        <v>70</v>
      </c>
      <c r="C97" s="16"/>
      <c r="D97" s="16" t="str">
        <f t="array" ref="D97">INDEX(Helper!$D$101:$D$1028,MATCH(E97,Helper!$E$101:$E$1028,0))</f>
        <v>#N/A</v>
      </c>
      <c r="E97" s="16" t="s">
        <v>14</v>
      </c>
      <c r="F97" s="15" t="s">
        <v>71</v>
      </c>
      <c r="G97" s="22">
        <v>5914124.0</v>
      </c>
      <c r="H97" s="22"/>
      <c r="I97" s="15"/>
      <c r="J97" s="16"/>
    </row>
    <row r="98" ht="15.75" customHeight="1">
      <c r="A98" s="19">
        <v>45838.0</v>
      </c>
      <c r="B98" s="11" t="s">
        <v>70</v>
      </c>
      <c r="C98" s="12"/>
      <c r="D98" s="12" t="str">
        <f t="array" ref="D98">INDEX(Helper!$D$101:$D$1028,MATCH(E98,Helper!$E$101:$E$1028,0))</f>
        <v>#N/A</v>
      </c>
      <c r="E98" s="12" t="s">
        <v>22</v>
      </c>
      <c r="F98" s="11" t="s">
        <v>71</v>
      </c>
      <c r="G98" s="21"/>
      <c r="H98" s="21">
        <v>9216388.0</v>
      </c>
      <c r="I98" s="11"/>
      <c r="J98" s="12"/>
    </row>
    <row r="99" ht="15.75" customHeight="1">
      <c r="A99" s="20">
        <v>45838.0</v>
      </c>
      <c r="B99" s="15" t="s">
        <v>70</v>
      </c>
      <c r="C99" s="16"/>
      <c r="D99" s="16" t="str">
        <f t="array" ref="D99">INDEX(Helper!$D$101:$D$1028,MATCH(E99,Helper!$E$101:$E$1028,0))</f>
        <v>#N/A</v>
      </c>
      <c r="E99" s="16" t="s">
        <v>16</v>
      </c>
      <c r="F99" s="15" t="s">
        <v>71</v>
      </c>
      <c r="G99" s="22">
        <v>9216388.0</v>
      </c>
      <c r="H99" s="22"/>
      <c r="I99" s="15"/>
      <c r="J99" s="16"/>
      <c r="M99" s="18">
        <f>L100-G77</f>
        <v>22790806.76</v>
      </c>
    </row>
    <row r="100" ht="15.75" customHeight="1">
      <c r="A100" s="19">
        <v>45838.0</v>
      </c>
      <c r="B100" s="11" t="s">
        <v>70</v>
      </c>
      <c r="C100" s="12"/>
      <c r="D100" s="12" t="str">
        <f t="array" ref="D100">INDEX(Helper!$D$101:$D$1028,MATCH(E100,Helper!$E$101:$E$1028,0))</f>
        <v>#N/A</v>
      </c>
      <c r="E100" s="12" t="s">
        <v>23</v>
      </c>
      <c r="F100" s="11" t="s">
        <v>71</v>
      </c>
      <c r="G100" s="21"/>
      <c r="H100" s="21">
        <v>3.3723472E7</v>
      </c>
      <c r="I100" s="11"/>
      <c r="J100" s="12"/>
      <c r="L100" s="3">
        <v>2.279080676E7</v>
      </c>
    </row>
    <row r="101" ht="15.75" customHeight="1">
      <c r="A101" s="20">
        <v>45838.0</v>
      </c>
      <c r="B101" s="15" t="s">
        <v>70</v>
      </c>
      <c r="C101" s="16"/>
      <c r="D101" s="16" t="str">
        <f t="array" ref="D101">INDEX(Helper!$D$101:$D$1028,MATCH(E101,Helper!$E$101:$E$1028,0))</f>
        <v>#N/A</v>
      </c>
      <c r="E101" s="16" t="s">
        <v>18</v>
      </c>
      <c r="F101" s="15" t="s">
        <v>71</v>
      </c>
      <c r="G101" s="22">
        <v>3.3723472E7</v>
      </c>
      <c r="H101" s="22"/>
      <c r="I101" s="15"/>
      <c r="J101" s="16"/>
    </row>
    <row r="102" ht="15.75" customHeight="1">
      <c r="A102" s="23" t="s">
        <v>72</v>
      </c>
      <c r="B102" s="11" t="s">
        <v>73</v>
      </c>
      <c r="C102" s="12"/>
      <c r="D102" s="12" t="str">
        <f t="array" ref="D102">INDEX(Helper!$D$101:$D$1028,MATCH(E102,Helper!$E$101:$E$1028,0))</f>
        <v>#N/A</v>
      </c>
      <c r="E102" s="11" t="s">
        <v>25</v>
      </c>
      <c r="F102" s="11" t="s">
        <v>74</v>
      </c>
      <c r="G102" s="21"/>
      <c r="H102" s="21">
        <v>554167.0</v>
      </c>
      <c r="I102" s="11"/>
      <c r="J102" s="12"/>
    </row>
    <row r="103" ht="15.75" customHeight="1">
      <c r="A103" s="24" t="s">
        <v>72</v>
      </c>
      <c r="B103" s="15" t="s">
        <v>73</v>
      </c>
      <c r="C103" s="16"/>
      <c r="D103" s="16" t="str">
        <f t="array" ref="D103">INDEX(Helper!$D$101:$D$1028,MATCH(E103,Helper!$E$101:$E$1028,0))</f>
        <v>#N/A</v>
      </c>
      <c r="E103" s="15" t="s">
        <v>27</v>
      </c>
      <c r="F103" s="15" t="s">
        <v>74</v>
      </c>
      <c r="G103" s="22">
        <v>554167.0</v>
      </c>
      <c r="H103" s="22"/>
      <c r="I103" s="15"/>
      <c r="J103" s="16"/>
    </row>
    <row r="104" ht="15.75" customHeight="1">
      <c r="A104" s="23" t="s">
        <v>72</v>
      </c>
      <c r="B104" s="11" t="s">
        <v>73</v>
      </c>
      <c r="C104" s="12"/>
      <c r="D104" s="12" t="str">
        <f t="array" ref="D104">INDEX(Helper!$D$101:$D$1028,MATCH(E104,Helper!$E$101:$E$1028,0))</f>
        <v>#N/A</v>
      </c>
      <c r="E104" s="11" t="s">
        <v>28</v>
      </c>
      <c r="F104" s="11" t="s">
        <v>75</v>
      </c>
      <c r="G104" s="21"/>
      <c r="H104" s="21">
        <v>367156.0</v>
      </c>
      <c r="I104" s="11"/>
      <c r="J104" s="12"/>
    </row>
    <row r="105" ht="15.75" customHeight="1">
      <c r="A105" s="24" t="s">
        <v>72</v>
      </c>
      <c r="B105" s="15" t="s">
        <v>73</v>
      </c>
      <c r="C105" s="16"/>
      <c r="D105" s="16" t="str">
        <f t="array" ref="D105">INDEX(Helper!$D$101:$D$1028,MATCH(E105,Helper!$E$101:$E$1028,0))</f>
        <v>#N/A</v>
      </c>
      <c r="E105" s="15" t="s">
        <v>27</v>
      </c>
      <c r="F105" s="15" t="s">
        <v>75</v>
      </c>
      <c r="G105" s="22">
        <v>367156.0</v>
      </c>
      <c r="H105" s="22"/>
      <c r="I105" s="15"/>
      <c r="J105" s="16"/>
    </row>
    <row r="106" ht="15.75" customHeight="1">
      <c r="A106" s="23" t="s">
        <v>72</v>
      </c>
      <c r="B106" s="11" t="s">
        <v>73</v>
      </c>
      <c r="C106" s="12"/>
      <c r="D106" s="12" t="str">
        <f t="array" ref="D106">INDEX(Helper!$D$101:$D$1028,MATCH(E106,Helper!$E$101:$E$1028,0))</f>
        <v>#N/A</v>
      </c>
      <c r="E106" s="11" t="s">
        <v>30</v>
      </c>
      <c r="F106" s="11" t="s">
        <v>76</v>
      </c>
      <c r="G106" s="21"/>
      <c r="H106" s="21">
        <v>1651362.0</v>
      </c>
      <c r="I106" s="11"/>
      <c r="J106" s="12"/>
    </row>
    <row r="107" ht="15.75" customHeight="1">
      <c r="A107" s="24" t="s">
        <v>72</v>
      </c>
      <c r="B107" s="15" t="s">
        <v>73</v>
      </c>
      <c r="C107" s="16"/>
      <c r="D107" s="16" t="str">
        <f t="array" ref="D107">INDEX(Helper!$D$101:$D$1028,MATCH(E107,Helper!$E$101:$E$1028,0))</f>
        <v>#N/A</v>
      </c>
      <c r="E107" s="15" t="s">
        <v>35</v>
      </c>
      <c r="F107" s="15" t="s">
        <v>76</v>
      </c>
      <c r="G107" s="22">
        <v>1651362.0</v>
      </c>
      <c r="H107" s="22"/>
      <c r="I107" s="15"/>
      <c r="J107" s="16"/>
    </row>
    <row r="108" ht="15.75" customHeight="1">
      <c r="A108" s="23" t="s">
        <v>72</v>
      </c>
      <c r="B108" s="11" t="s">
        <v>77</v>
      </c>
      <c r="C108" s="12"/>
      <c r="D108" s="12" t="str">
        <f t="array" ref="D108">INDEX(Helper!$D$101:$D$1028,MATCH(E108,Helper!$E$101:$E$1028,0))</f>
        <v>#N/A</v>
      </c>
      <c r="E108" s="12" t="s">
        <v>12</v>
      </c>
      <c r="F108" s="11" t="s">
        <v>78</v>
      </c>
      <c r="G108" s="21">
        <v>5914124.0</v>
      </c>
      <c r="H108" s="21"/>
      <c r="I108" s="11"/>
      <c r="J108" s="12"/>
    </row>
    <row r="109" ht="15.75" customHeight="1">
      <c r="A109" s="24" t="s">
        <v>72</v>
      </c>
      <c r="B109" s="15" t="s">
        <v>77</v>
      </c>
      <c r="C109" s="16"/>
      <c r="D109" s="16" t="str">
        <f t="array" ref="D109">INDEX(Helper!$D$101:$D$1028,MATCH(E109,Helper!$E$101:$E$1028,0))</f>
        <v>#N/A</v>
      </c>
      <c r="E109" s="16" t="s">
        <v>14</v>
      </c>
      <c r="F109" s="15" t="s">
        <v>78</v>
      </c>
      <c r="G109" s="22"/>
      <c r="H109" s="22">
        <v>5914124.0</v>
      </c>
      <c r="I109" s="15"/>
      <c r="J109" s="16"/>
    </row>
    <row r="110" ht="15.75" customHeight="1">
      <c r="A110" s="23" t="s">
        <v>72</v>
      </c>
      <c r="B110" s="11" t="s">
        <v>77</v>
      </c>
      <c r="C110" s="12"/>
      <c r="D110" s="12" t="str">
        <f t="array" ref="D110">INDEX(Helper!$D$101:$D$1028,MATCH(E110,Helper!$E$101:$E$1028,0))</f>
        <v>#N/A</v>
      </c>
      <c r="E110" s="12" t="s">
        <v>15</v>
      </c>
      <c r="F110" s="11" t="s">
        <v>78</v>
      </c>
      <c r="G110" s="21">
        <v>9216388.0</v>
      </c>
      <c r="H110" s="21"/>
      <c r="I110" s="11"/>
      <c r="J110" s="12"/>
    </row>
    <row r="111" ht="15.75" customHeight="1">
      <c r="A111" s="24" t="s">
        <v>72</v>
      </c>
      <c r="B111" s="15" t="s">
        <v>77</v>
      </c>
      <c r="C111" s="16"/>
      <c r="D111" s="16" t="str">
        <f t="array" ref="D111">INDEX(Helper!$D$101:$D$1028,MATCH(E111,Helper!$E$101:$E$1028,0))</f>
        <v>#N/A</v>
      </c>
      <c r="E111" s="16" t="s">
        <v>16</v>
      </c>
      <c r="F111" s="15" t="s">
        <v>78</v>
      </c>
      <c r="G111" s="22"/>
      <c r="H111" s="22">
        <v>9216388.0</v>
      </c>
      <c r="I111" s="15"/>
      <c r="J111" s="16"/>
    </row>
    <row r="112" ht="15.75" customHeight="1">
      <c r="A112" s="23" t="s">
        <v>72</v>
      </c>
      <c r="B112" s="11" t="s">
        <v>77</v>
      </c>
      <c r="C112" s="12"/>
      <c r="D112" s="12" t="str">
        <f t="array" ref="D112">INDEX(Helper!$D$101:$D$1028,MATCH(E112,Helper!$E$101:$E$1028,0))</f>
        <v>#N/A</v>
      </c>
      <c r="E112" s="12" t="s">
        <v>17</v>
      </c>
      <c r="F112" s="11" t="s">
        <v>78</v>
      </c>
      <c r="G112" s="21">
        <v>3.3723472E7</v>
      </c>
      <c r="H112" s="21"/>
      <c r="I112" s="11"/>
      <c r="J112" s="12"/>
    </row>
    <row r="113" ht="15.75" customHeight="1">
      <c r="A113" s="24" t="s">
        <v>72</v>
      </c>
      <c r="B113" s="15" t="s">
        <v>77</v>
      </c>
      <c r="C113" s="16"/>
      <c r="D113" s="16" t="str">
        <f t="array" ref="D113">INDEX(Helper!$D$101:$D$1028,MATCH(E113,Helper!$E$101:$E$1028,0))</f>
        <v>#N/A</v>
      </c>
      <c r="E113" s="16" t="s">
        <v>18</v>
      </c>
      <c r="F113" s="15" t="s">
        <v>78</v>
      </c>
      <c r="G113" s="22"/>
      <c r="H113" s="22">
        <v>3.3723472E7</v>
      </c>
      <c r="I113" s="15"/>
      <c r="J113" s="16"/>
    </row>
    <row r="114" ht="15.75" customHeight="1">
      <c r="A114" s="23" t="s">
        <v>72</v>
      </c>
      <c r="B114" s="11" t="s">
        <v>79</v>
      </c>
      <c r="C114" s="12"/>
      <c r="D114" s="12" t="str">
        <f t="array" ref="D114">INDEX(Helper!$D$101:$D$1028,MATCH(E114,Helper!$E$101:$E$1028,0))</f>
        <v>#N/A</v>
      </c>
      <c r="E114" s="12" t="s">
        <v>20</v>
      </c>
      <c r="F114" s="11" t="s">
        <v>80</v>
      </c>
      <c r="G114" s="21"/>
      <c r="H114" s="21">
        <v>4790395.09</v>
      </c>
      <c r="I114" s="11"/>
      <c r="J114" s="12"/>
    </row>
    <row r="115" ht="15.75" customHeight="1">
      <c r="A115" s="24" t="s">
        <v>72</v>
      </c>
      <c r="B115" s="15" t="s">
        <v>79</v>
      </c>
      <c r="C115" s="16"/>
      <c r="D115" s="16" t="str">
        <f t="array" ref="D115">INDEX(Helper!$D$101:$D$1028,MATCH(E115,Helper!$E$101:$E$1028,0))</f>
        <v>#N/A</v>
      </c>
      <c r="E115" s="16" t="s">
        <v>14</v>
      </c>
      <c r="F115" s="15" t="s">
        <v>80</v>
      </c>
      <c r="G115" s="22">
        <v>4790395.09</v>
      </c>
      <c r="H115" s="22"/>
      <c r="I115" s="15"/>
      <c r="J115" s="16"/>
    </row>
    <row r="116" ht="15.75" customHeight="1">
      <c r="A116" s="23" t="s">
        <v>72</v>
      </c>
      <c r="B116" s="11" t="s">
        <v>79</v>
      </c>
      <c r="C116" s="12"/>
      <c r="D116" s="12" t="str">
        <f t="array" ref="D116">INDEX(Helper!$D$101:$D$1028,MATCH(E116,Helper!$E$101:$E$1028,0))</f>
        <v>#N/A</v>
      </c>
      <c r="E116" s="12" t="s">
        <v>22</v>
      </c>
      <c r="F116" s="11" t="s">
        <v>80</v>
      </c>
      <c r="G116" s="21"/>
      <c r="H116" s="21">
        <v>7452014.79</v>
      </c>
      <c r="I116" s="11"/>
      <c r="J116" s="12"/>
    </row>
    <row r="117" ht="15.75" customHeight="1">
      <c r="A117" s="24" t="s">
        <v>72</v>
      </c>
      <c r="B117" s="15" t="s">
        <v>79</v>
      </c>
      <c r="C117" s="16"/>
      <c r="D117" s="16" t="str">
        <f t="array" ref="D117">INDEX(Helper!$D$101:$D$1028,MATCH(E117,Helper!$E$101:$E$1028,0))</f>
        <v>#N/A</v>
      </c>
      <c r="E117" s="16" t="s">
        <v>16</v>
      </c>
      <c r="F117" s="15" t="s">
        <v>80</v>
      </c>
      <c r="G117" s="22">
        <v>7452014.79</v>
      </c>
      <c r="H117" s="22"/>
      <c r="I117" s="15"/>
      <c r="J117" s="16"/>
    </row>
    <row r="118" ht="15.75" customHeight="1">
      <c r="A118" s="23" t="s">
        <v>72</v>
      </c>
      <c r="B118" s="11" t="s">
        <v>79</v>
      </c>
      <c r="C118" s="12"/>
      <c r="D118" s="12" t="str">
        <f t="array" ref="D118">INDEX(Helper!$D$101:$D$1028,MATCH(E118,Helper!$E$101:$E$1028,0))</f>
        <v>#N/A</v>
      </c>
      <c r="E118" s="12" t="s">
        <v>23</v>
      </c>
      <c r="F118" s="11" t="s">
        <v>80</v>
      </c>
      <c r="G118" s="21"/>
      <c r="H118" s="21">
        <v>3.746713149E7</v>
      </c>
      <c r="I118" s="11"/>
      <c r="J118" s="12"/>
    </row>
    <row r="119" ht="15.75" customHeight="1">
      <c r="A119" s="24" t="s">
        <v>72</v>
      </c>
      <c r="B119" s="15" t="s">
        <v>79</v>
      </c>
      <c r="C119" s="16"/>
      <c r="D119" s="16" t="str">
        <f t="array" ref="D119">INDEX(Helper!$D$101:$D$1028,MATCH(E119,Helper!$E$101:$E$1028,0))</f>
        <v>#N/A</v>
      </c>
      <c r="E119" s="16" t="s">
        <v>18</v>
      </c>
      <c r="F119" s="15" t="s">
        <v>80</v>
      </c>
      <c r="G119" s="22">
        <v>3.746713149E7</v>
      </c>
      <c r="H119" s="22"/>
      <c r="I119" s="15"/>
      <c r="J119" s="16"/>
    </row>
    <row r="120" ht="15.75" customHeight="1">
      <c r="A120" s="25">
        <v>45900.0</v>
      </c>
      <c r="B120" s="11" t="s">
        <v>81</v>
      </c>
      <c r="C120" s="12"/>
      <c r="D120" s="12" t="str">
        <f t="array" ref="D120">INDEX(Helper!$D$101:$D$1028,MATCH(E120,Helper!$E$101:$E$1028,0))</f>
        <v>#N/A</v>
      </c>
      <c r="E120" s="11" t="s">
        <v>25</v>
      </c>
      <c r="F120" s="11" t="s">
        <v>82</v>
      </c>
      <c r="G120" s="21"/>
      <c r="H120" s="21">
        <v>554167.0</v>
      </c>
      <c r="I120" s="11"/>
      <c r="J120" s="12"/>
    </row>
    <row r="121" ht="15.75" customHeight="1">
      <c r="A121" s="26">
        <v>45900.0</v>
      </c>
      <c r="B121" s="15" t="s">
        <v>81</v>
      </c>
      <c r="C121" s="16"/>
      <c r="D121" s="16" t="str">
        <f t="array" ref="D121">INDEX(Helper!$D$101:$D$1028,MATCH(E121,Helper!$E$101:$E$1028,0))</f>
        <v>#N/A</v>
      </c>
      <c r="E121" s="15" t="s">
        <v>27</v>
      </c>
      <c r="F121" s="15" t="s">
        <v>82</v>
      </c>
      <c r="G121" s="22">
        <v>554167.0</v>
      </c>
      <c r="H121" s="22"/>
      <c r="I121" s="15"/>
      <c r="J121" s="16"/>
    </row>
    <row r="122" ht="15.75" customHeight="1">
      <c r="A122" s="25">
        <v>45900.0</v>
      </c>
      <c r="B122" s="11" t="s">
        <v>81</v>
      </c>
      <c r="C122" s="12"/>
      <c r="D122" s="12" t="str">
        <f t="array" ref="D122">INDEX(Helper!$D$101:$D$1028,MATCH(E122,Helper!$E$101:$E$1028,0))</f>
        <v>#N/A</v>
      </c>
      <c r="E122" s="11" t="s">
        <v>28</v>
      </c>
      <c r="F122" s="11" t="s">
        <v>83</v>
      </c>
      <c r="G122" s="21"/>
      <c r="H122" s="21">
        <v>354917.0</v>
      </c>
      <c r="I122" s="11"/>
      <c r="J122" s="12"/>
    </row>
    <row r="123" ht="15.75" customHeight="1">
      <c r="A123" s="26">
        <v>45900.0</v>
      </c>
      <c r="B123" s="15" t="s">
        <v>81</v>
      </c>
      <c r="C123" s="16"/>
      <c r="D123" s="16" t="str">
        <f t="array" ref="D123">INDEX(Helper!$D$101:$D$1028,MATCH(E123,Helper!$E$101:$E$1028,0))</f>
        <v>#N/A</v>
      </c>
      <c r="E123" s="15" t="s">
        <v>27</v>
      </c>
      <c r="F123" s="15" t="s">
        <v>83</v>
      </c>
      <c r="G123" s="22">
        <v>354917.0</v>
      </c>
      <c r="H123" s="22"/>
      <c r="I123" s="15"/>
      <c r="J123" s="16"/>
    </row>
    <row r="124" ht="15.75" customHeight="1">
      <c r="A124" s="25">
        <v>45900.0</v>
      </c>
      <c r="B124" s="11" t="s">
        <v>81</v>
      </c>
      <c r="C124" s="12"/>
      <c r="D124" s="12" t="str">
        <f t="array" ref="D124">INDEX(Helper!$D$101:$D$1028,MATCH(E124,Helper!$E$101:$E$1028,0))</f>
        <v>#N/A</v>
      </c>
      <c r="E124" s="11" t="s">
        <v>30</v>
      </c>
      <c r="F124" s="11" t="s">
        <v>84</v>
      </c>
      <c r="G124" s="21"/>
      <c r="H124" s="21">
        <v>1596316.0</v>
      </c>
      <c r="I124" s="11"/>
      <c r="J124" s="12"/>
    </row>
    <row r="125" ht="15.75" customHeight="1">
      <c r="A125" s="26">
        <v>45900.0</v>
      </c>
      <c r="B125" s="15" t="s">
        <v>81</v>
      </c>
      <c r="C125" s="16"/>
      <c r="D125" s="16" t="str">
        <f t="array" ref="D125">INDEX(Helper!$D$101:$D$1028,MATCH(E125,Helper!$E$101:$E$1028,0))</f>
        <v>#N/A</v>
      </c>
      <c r="E125" s="15" t="s">
        <v>35</v>
      </c>
      <c r="F125" s="15" t="s">
        <v>84</v>
      </c>
      <c r="G125" s="22">
        <v>1596316.0</v>
      </c>
      <c r="H125" s="22"/>
      <c r="I125" s="15"/>
      <c r="J125" s="16"/>
    </row>
    <row r="126" ht="15.75" customHeight="1">
      <c r="A126" s="25">
        <v>45900.0</v>
      </c>
      <c r="B126" s="11" t="s">
        <v>85</v>
      </c>
      <c r="C126" s="12"/>
      <c r="D126" s="12" t="str">
        <f t="array" ref="D126">INDEX(Helper!$D$101:$D$1028,MATCH(E126,Helper!$E$101:$E$1028,0))</f>
        <v>#N/A</v>
      </c>
      <c r="E126" s="12" t="s">
        <v>12</v>
      </c>
      <c r="F126" s="11" t="s">
        <v>86</v>
      </c>
      <c r="G126" s="21">
        <v>4790395.09</v>
      </c>
      <c r="H126" s="21"/>
      <c r="I126" s="11"/>
      <c r="J126" s="12"/>
    </row>
    <row r="127" ht="15.75" customHeight="1">
      <c r="A127" s="26">
        <v>45900.0</v>
      </c>
      <c r="B127" s="15" t="s">
        <v>85</v>
      </c>
      <c r="C127" s="16"/>
      <c r="D127" s="16" t="str">
        <f t="array" ref="D127">INDEX(Helper!$D$101:$D$1028,MATCH(E127,Helper!$E$101:$E$1028,0))</f>
        <v>#N/A</v>
      </c>
      <c r="E127" s="16" t="s">
        <v>14</v>
      </c>
      <c r="F127" s="15" t="s">
        <v>86</v>
      </c>
      <c r="G127" s="22"/>
      <c r="H127" s="22">
        <v>4790395.09</v>
      </c>
      <c r="I127" s="15"/>
      <c r="J127" s="16"/>
    </row>
    <row r="128" ht="15.75" customHeight="1">
      <c r="A128" s="25">
        <v>45900.0</v>
      </c>
      <c r="B128" s="11" t="s">
        <v>85</v>
      </c>
      <c r="C128" s="12"/>
      <c r="D128" s="12" t="str">
        <f t="array" ref="D128">INDEX(Helper!$D$101:$D$1028,MATCH(E128,Helper!$E$101:$E$1028,0))</f>
        <v>#N/A</v>
      </c>
      <c r="E128" s="12" t="s">
        <v>15</v>
      </c>
      <c r="F128" s="11" t="s">
        <v>86</v>
      </c>
      <c r="G128" s="21">
        <v>7452014.79</v>
      </c>
      <c r="H128" s="21"/>
      <c r="I128" s="11"/>
      <c r="J128" s="12"/>
    </row>
    <row r="129" ht="15.75" customHeight="1">
      <c r="A129" s="26">
        <v>45900.0</v>
      </c>
      <c r="B129" s="15" t="s">
        <v>85</v>
      </c>
      <c r="C129" s="16"/>
      <c r="D129" s="16" t="str">
        <f t="array" ref="D129">INDEX(Helper!$D$101:$D$1028,MATCH(E129,Helper!$E$101:$E$1028,0))</f>
        <v>#N/A</v>
      </c>
      <c r="E129" s="16" t="s">
        <v>16</v>
      </c>
      <c r="F129" s="15" t="s">
        <v>86</v>
      </c>
      <c r="G129" s="22"/>
      <c r="H129" s="22">
        <v>7452014.79</v>
      </c>
      <c r="I129" s="15"/>
      <c r="J129" s="16"/>
    </row>
    <row r="130" ht="15.75" customHeight="1">
      <c r="A130" s="25">
        <v>45900.0</v>
      </c>
      <c r="B130" s="11" t="s">
        <v>85</v>
      </c>
      <c r="C130" s="12"/>
      <c r="D130" s="12" t="str">
        <f t="array" ref="D130">INDEX(Helper!$D$101:$D$1028,MATCH(E130,Helper!$E$101:$E$1028,0))</f>
        <v>#N/A</v>
      </c>
      <c r="E130" s="12" t="s">
        <v>17</v>
      </c>
      <c r="F130" s="11" t="s">
        <v>86</v>
      </c>
      <c r="G130" s="21">
        <v>3.746713149E7</v>
      </c>
      <c r="H130" s="21"/>
      <c r="I130" s="11"/>
      <c r="J130" s="12"/>
    </row>
    <row r="131" ht="15.75" customHeight="1">
      <c r="A131" s="26">
        <v>45900.0</v>
      </c>
      <c r="B131" s="15" t="s">
        <v>85</v>
      </c>
      <c r="C131" s="16"/>
      <c r="D131" s="16" t="str">
        <f t="array" ref="D131">INDEX(Helper!$D$101:$D$1028,MATCH(E131,Helper!$E$101:$E$1028,0))</f>
        <v>#N/A</v>
      </c>
      <c r="E131" s="16" t="s">
        <v>18</v>
      </c>
      <c r="F131" s="15" t="s">
        <v>86</v>
      </c>
      <c r="G131" s="22"/>
      <c r="H131" s="22">
        <v>3.746713149E7</v>
      </c>
      <c r="I131" s="15"/>
      <c r="J131" s="16"/>
    </row>
    <row r="132" ht="15.75" customHeight="1">
      <c r="A132" s="25">
        <v>45900.0</v>
      </c>
      <c r="B132" s="11" t="s">
        <v>87</v>
      </c>
      <c r="C132" s="12"/>
      <c r="D132" s="12" t="str">
        <f t="array" ref="D132">INDEX(Helper!$D$101:$D$1028,MATCH(E132,Helper!$E$101:$E$1028,0))</f>
        <v>#N/A</v>
      </c>
      <c r="E132" s="12" t="s">
        <v>20</v>
      </c>
      <c r="F132" s="11" t="s">
        <v>88</v>
      </c>
      <c r="G132" s="21"/>
      <c r="H132" s="21">
        <v>7190701.0</v>
      </c>
      <c r="I132" s="11"/>
      <c r="J132" s="12"/>
    </row>
    <row r="133" ht="15.75" customHeight="1">
      <c r="A133" s="26">
        <v>45900.0</v>
      </c>
      <c r="B133" s="15" t="s">
        <v>87</v>
      </c>
      <c r="C133" s="16"/>
      <c r="D133" s="16" t="str">
        <f t="array" ref="D133">INDEX(Helper!$D$101:$D$1028,MATCH(E133,Helper!$E$101:$E$1028,0))</f>
        <v>#N/A</v>
      </c>
      <c r="E133" s="16" t="s">
        <v>14</v>
      </c>
      <c r="F133" s="15" t="s">
        <v>88</v>
      </c>
      <c r="G133" s="22">
        <v>7190701.0</v>
      </c>
      <c r="H133" s="22"/>
      <c r="I133" s="15"/>
      <c r="J133" s="16"/>
    </row>
    <row r="134" ht="15.75" customHeight="1">
      <c r="A134" s="25">
        <v>45900.0</v>
      </c>
      <c r="B134" s="11" t="s">
        <v>87</v>
      </c>
      <c r="C134" s="12"/>
      <c r="D134" s="12" t="str">
        <f t="array" ref="D134">INDEX(Helper!$D$101:$D$1028,MATCH(E134,Helper!$E$101:$E$1028,0))</f>
        <v>#N/A</v>
      </c>
      <c r="E134" s="12" t="s">
        <v>22</v>
      </c>
      <c r="F134" s="11" t="s">
        <v>88</v>
      </c>
      <c r="G134" s="21"/>
      <c r="H134" s="21">
        <v>1.269275827E7</v>
      </c>
      <c r="I134" s="11"/>
      <c r="J134" s="12"/>
    </row>
    <row r="135" ht="15.75" customHeight="1">
      <c r="A135" s="26">
        <v>45900.0</v>
      </c>
      <c r="B135" s="15" t="s">
        <v>87</v>
      </c>
      <c r="C135" s="16"/>
      <c r="D135" s="16" t="str">
        <f t="array" ref="D135">INDEX(Helper!$D$101:$D$1028,MATCH(E135,Helper!$E$101:$E$1028,0))</f>
        <v>#N/A</v>
      </c>
      <c r="E135" s="16" t="s">
        <v>16</v>
      </c>
      <c r="F135" s="15" t="s">
        <v>88</v>
      </c>
      <c r="G135" s="22">
        <v>1.269275827E7</v>
      </c>
      <c r="H135" s="22"/>
      <c r="I135" s="15"/>
      <c r="J135" s="16"/>
    </row>
    <row r="136" ht="15.75" customHeight="1">
      <c r="A136" s="25">
        <v>45900.0</v>
      </c>
      <c r="B136" s="11" t="s">
        <v>87</v>
      </c>
      <c r="C136" s="12"/>
      <c r="D136" s="12" t="str">
        <f t="array" ref="D136">INDEX(Helper!$D$101:$D$1028,MATCH(E136,Helper!$E$101:$E$1028,0))</f>
        <v>#N/A</v>
      </c>
      <c r="E136" s="12" t="s">
        <v>23</v>
      </c>
      <c r="F136" s="11" t="s">
        <v>88</v>
      </c>
      <c r="G136" s="21"/>
      <c r="H136" s="21">
        <v>3.2444705E7</v>
      </c>
      <c r="I136" s="11"/>
      <c r="J136" s="12"/>
    </row>
    <row r="137" ht="15.75" customHeight="1">
      <c r="A137" s="26">
        <v>45900.0</v>
      </c>
      <c r="B137" s="15" t="s">
        <v>87</v>
      </c>
      <c r="C137" s="16"/>
      <c r="D137" s="16" t="str">
        <f t="array" ref="D137">INDEX(Helper!$D$101:$D$1028,MATCH(E137,Helper!$E$101:$E$1028,0))</f>
        <v>#N/A</v>
      </c>
      <c r="E137" s="16" t="s">
        <v>18</v>
      </c>
      <c r="F137" s="15" t="s">
        <v>88</v>
      </c>
      <c r="G137" s="22">
        <v>3.2444705E7</v>
      </c>
      <c r="H137" s="22"/>
      <c r="I137" s="15"/>
      <c r="J137" s="16"/>
    </row>
    <row r="138" ht="15.75" customHeight="1">
      <c r="A138" s="25">
        <v>45900.0</v>
      </c>
      <c r="B138" s="11" t="s">
        <v>89</v>
      </c>
      <c r="C138" s="12"/>
      <c r="D138" s="12" t="str">
        <f t="array" ref="D138">INDEX(Helper!$D$101:$D$1028,MATCH(E138,Helper!$E$101:$E$1028,0))</f>
        <v>#N/A</v>
      </c>
      <c r="E138" s="11" t="s">
        <v>90</v>
      </c>
      <c r="F138" s="12" t="s">
        <v>91</v>
      </c>
      <c r="G138" s="21"/>
      <c r="H138" s="21">
        <v>3.16445E8</v>
      </c>
      <c r="I138" s="11"/>
      <c r="J138" s="12"/>
    </row>
    <row r="139" ht="15.75" customHeight="1">
      <c r="A139" s="26">
        <v>45900.0</v>
      </c>
      <c r="B139" s="15" t="s">
        <v>89</v>
      </c>
      <c r="C139" s="16"/>
      <c r="D139" s="16" t="str">
        <f t="array" ref="D139">INDEX(Helper!$D$101:$D$1028,MATCH(E139,Helper!$E$101:$E$1028,0))</f>
        <v>#N/A</v>
      </c>
      <c r="E139" s="15" t="s">
        <v>92</v>
      </c>
      <c r="F139" s="16" t="s">
        <v>91</v>
      </c>
      <c r="G139" s="22">
        <v>3.16445E8</v>
      </c>
      <c r="H139" s="22"/>
      <c r="I139" s="15"/>
      <c r="J139" s="16"/>
    </row>
    <row r="140" ht="15.75" customHeight="1">
      <c r="A140" s="25">
        <v>45900.0</v>
      </c>
      <c r="B140" s="11" t="s">
        <v>93</v>
      </c>
      <c r="C140" s="12"/>
      <c r="D140" s="12" t="str">
        <f t="array" ref="D140">INDEX(Helper!$D$101:$D$1028,MATCH(E140,Helper!$E$101:$E$1028,0))</f>
        <v>#N/A</v>
      </c>
      <c r="E140" s="11" t="s">
        <v>41</v>
      </c>
      <c r="F140" s="11" t="s">
        <v>94</v>
      </c>
      <c r="G140" s="21">
        <v>1729739.0</v>
      </c>
      <c r="H140" s="21"/>
      <c r="I140" s="11"/>
      <c r="J140" s="12"/>
    </row>
    <row r="141" ht="15.75" customHeight="1">
      <c r="A141" s="26">
        <v>45900.0</v>
      </c>
      <c r="B141" s="15" t="s">
        <v>93</v>
      </c>
      <c r="C141" s="16"/>
      <c r="D141" s="16" t="str">
        <f t="array" ref="D141">INDEX(Helper!$D$101:$D$1028,MATCH(E141,Helper!$E$101:$E$1028,0))</f>
        <v>#N/A</v>
      </c>
      <c r="E141" s="15" t="s">
        <v>22</v>
      </c>
      <c r="F141" s="15" t="s">
        <v>94</v>
      </c>
      <c r="G141" s="22"/>
      <c r="H141" s="22">
        <v>1729739.0</v>
      </c>
      <c r="I141" s="15"/>
      <c r="J141" s="16"/>
    </row>
    <row r="142" ht="15.75" customHeight="1">
      <c r="A142" s="25">
        <v>45930.0</v>
      </c>
      <c r="B142" s="11" t="s">
        <v>95</v>
      </c>
      <c r="C142" s="12"/>
      <c r="D142" s="12" t="str">
        <f t="array" ref="D142">INDEX(Helper!$D$101:$D$1028,MATCH(E142,Helper!$E$101:$E$1028,0))</f>
        <v>#N/A</v>
      </c>
      <c r="E142" s="11" t="s">
        <v>25</v>
      </c>
      <c r="F142" s="11" t="s">
        <v>96</v>
      </c>
      <c r="G142" s="21"/>
      <c r="H142" s="21">
        <v>554167.0</v>
      </c>
      <c r="I142" s="11"/>
      <c r="J142" s="12"/>
    </row>
    <row r="143" ht="15.75" customHeight="1">
      <c r="A143" s="26">
        <v>45930.0</v>
      </c>
      <c r="B143" s="15" t="s">
        <v>95</v>
      </c>
      <c r="C143" s="16"/>
      <c r="D143" s="16" t="str">
        <f t="array" ref="D143">INDEX(Helper!$D$101:$D$1028,MATCH(E143,Helper!$E$101:$E$1028,0))</f>
        <v>#N/A</v>
      </c>
      <c r="E143" s="15" t="s">
        <v>27</v>
      </c>
      <c r="F143" s="15" t="s">
        <v>96</v>
      </c>
      <c r="G143" s="22">
        <v>554167.0</v>
      </c>
      <c r="H143" s="22"/>
      <c r="I143" s="15"/>
      <c r="J143" s="16"/>
    </row>
    <row r="144" ht="15.75" customHeight="1">
      <c r="A144" s="25">
        <v>45930.0</v>
      </c>
      <c r="B144" s="11" t="s">
        <v>95</v>
      </c>
      <c r="C144" s="12"/>
      <c r="D144" s="12" t="str">
        <f t="array" ref="D144">INDEX(Helper!$D$101:$D$1028,MATCH(E144,Helper!$E$101:$E$1028,0))</f>
        <v>#N/A</v>
      </c>
      <c r="E144" s="11" t="s">
        <v>28</v>
      </c>
      <c r="F144" s="11" t="s">
        <v>97</v>
      </c>
      <c r="G144" s="21"/>
      <c r="H144" s="21">
        <v>343087.0</v>
      </c>
      <c r="I144" s="11"/>
      <c r="J144" s="12"/>
    </row>
    <row r="145" ht="15.75" customHeight="1">
      <c r="A145" s="26">
        <v>45930.0</v>
      </c>
      <c r="B145" s="15" t="s">
        <v>95</v>
      </c>
      <c r="C145" s="16"/>
      <c r="D145" s="16" t="str">
        <f t="array" ref="D145">INDEX(Helper!$D$101:$D$1028,MATCH(E145,Helper!$E$101:$E$1028,0))</f>
        <v>#N/A</v>
      </c>
      <c r="E145" s="15" t="s">
        <v>27</v>
      </c>
      <c r="F145" s="15" t="s">
        <v>97</v>
      </c>
      <c r="G145" s="22">
        <v>343087.0</v>
      </c>
      <c r="H145" s="22"/>
      <c r="I145" s="15"/>
      <c r="J145" s="16"/>
    </row>
    <row r="146" ht="15.75" customHeight="1">
      <c r="A146" s="25">
        <v>45930.0</v>
      </c>
      <c r="B146" s="11" t="s">
        <v>95</v>
      </c>
      <c r="C146" s="12"/>
      <c r="D146" s="12" t="str">
        <f t="array" ref="D146">INDEX(Helper!$D$101:$D$1028,MATCH(E146,Helper!$E$101:$E$1028,0))</f>
        <v>#N/A</v>
      </c>
      <c r="E146" s="11" t="s">
        <v>30</v>
      </c>
      <c r="F146" s="11" t="s">
        <v>98</v>
      </c>
      <c r="G146" s="21"/>
      <c r="H146" s="21">
        <v>1543106.0</v>
      </c>
      <c r="I146" s="11"/>
      <c r="J146" s="12"/>
    </row>
    <row r="147" ht="15.75" customHeight="1">
      <c r="A147" s="26">
        <v>45930.0</v>
      </c>
      <c r="B147" s="15" t="s">
        <v>95</v>
      </c>
      <c r="C147" s="16"/>
      <c r="D147" s="16" t="str">
        <f t="array" ref="D147">INDEX(Helper!$D$101:$D$1028,MATCH(E147,Helper!$E$101:$E$1028,0))</f>
        <v>#N/A</v>
      </c>
      <c r="E147" s="15" t="s">
        <v>35</v>
      </c>
      <c r="F147" s="15" t="s">
        <v>98</v>
      </c>
      <c r="G147" s="22">
        <v>1543106.0</v>
      </c>
      <c r="H147" s="22"/>
      <c r="I147" s="15"/>
      <c r="J147" s="16"/>
    </row>
    <row r="148" ht="15.75" customHeight="1">
      <c r="A148" s="25">
        <v>45930.0</v>
      </c>
      <c r="B148" s="11" t="s">
        <v>99</v>
      </c>
      <c r="C148" s="12"/>
      <c r="D148" s="12" t="str">
        <f t="array" ref="D148">INDEX(Helper!$D$101:$D$1028,MATCH(E148,Helper!$E$101:$E$1028,0))</f>
        <v>#N/A</v>
      </c>
      <c r="E148" s="12" t="s">
        <v>12</v>
      </c>
      <c r="F148" s="11" t="s">
        <v>100</v>
      </c>
      <c r="G148" s="21">
        <v>7190701.0</v>
      </c>
      <c r="H148" s="21"/>
      <c r="I148" s="11"/>
      <c r="J148" s="12"/>
    </row>
    <row r="149" ht="15.75" customHeight="1">
      <c r="A149" s="26">
        <v>45930.0</v>
      </c>
      <c r="B149" s="15" t="s">
        <v>99</v>
      </c>
      <c r="C149" s="16"/>
      <c r="D149" s="16" t="str">
        <f t="array" ref="D149">INDEX(Helper!$D$101:$D$1028,MATCH(E149,Helper!$E$101:$E$1028,0))</f>
        <v>#N/A</v>
      </c>
      <c r="E149" s="16" t="s">
        <v>14</v>
      </c>
      <c r="F149" s="15" t="s">
        <v>100</v>
      </c>
      <c r="G149" s="22"/>
      <c r="H149" s="22">
        <v>7190701.0</v>
      </c>
      <c r="I149" s="15"/>
      <c r="J149" s="16"/>
    </row>
    <row r="150" ht="15.75" customHeight="1">
      <c r="A150" s="25">
        <v>45930.0</v>
      </c>
      <c r="B150" s="11" t="s">
        <v>99</v>
      </c>
      <c r="C150" s="12"/>
      <c r="D150" s="12" t="str">
        <f t="array" ref="D150">INDEX(Helper!$D$101:$D$1028,MATCH(E150,Helper!$E$101:$E$1028,0))</f>
        <v>#N/A</v>
      </c>
      <c r="E150" s="12" t="s">
        <v>15</v>
      </c>
      <c r="F150" s="11" t="s">
        <v>100</v>
      </c>
      <c r="G150" s="21">
        <v>1.269275827E7</v>
      </c>
      <c r="H150" s="21"/>
      <c r="I150" s="11"/>
      <c r="J150" s="12"/>
    </row>
    <row r="151" ht="15.75" customHeight="1">
      <c r="A151" s="26">
        <v>45930.0</v>
      </c>
      <c r="B151" s="15" t="s">
        <v>99</v>
      </c>
      <c r="C151" s="16"/>
      <c r="D151" s="16" t="str">
        <f t="array" ref="D151">INDEX(Helper!$D$101:$D$1028,MATCH(E151,Helper!$E$101:$E$1028,0))</f>
        <v>#N/A</v>
      </c>
      <c r="E151" s="16" t="s">
        <v>16</v>
      </c>
      <c r="F151" s="15" t="s">
        <v>100</v>
      </c>
      <c r="G151" s="22"/>
      <c r="H151" s="22">
        <v>1.269275827E7</v>
      </c>
      <c r="I151" s="15"/>
      <c r="J151" s="16"/>
    </row>
    <row r="152" ht="15.75" customHeight="1">
      <c r="A152" s="25">
        <v>45930.0</v>
      </c>
      <c r="B152" s="11" t="s">
        <v>99</v>
      </c>
      <c r="C152" s="12"/>
      <c r="D152" s="12" t="str">
        <f t="array" ref="D152">INDEX(Helper!$D$101:$D$1028,MATCH(E152,Helper!$E$101:$E$1028,0))</f>
        <v>#N/A</v>
      </c>
      <c r="E152" s="12" t="s">
        <v>17</v>
      </c>
      <c r="F152" s="11" t="s">
        <v>100</v>
      </c>
      <c r="G152" s="21">
        <v>3.351142949E7</v>
      </c>
      <c r="H152" s="21"/>
      <c r="I152" s="11"/>
      <c r="J152" s="12"/>
    </row>
    <row r="153" ht="15.75" customHeight="1">
      <c r="A153" s="26">
        <v>45930.0</v>
      </c>
      <c r="B153" s="15" t="s">
        <v>99</v>
      </c>
      <c r="C153" s="16"/>
      <c r="D153" s="16" t="str">
        <f t="array" ref="D153">INDEX(Helper!$D$101:$D$1028,MATCH(E153,Helper!$E$101:$E$1028,0))</f>
        <v>#N/A</v>
      </c>
      <c r="E153" s="16" t="s">
        <v>18</v>
      </c>
      <c r="F153" s="15" t="s">
        <v>100</v>
      </c>
      <c r="G153" s="22"/>
      <c r="H153" s="22">
        <v>3.351142949E7</v>
      </c>
      <c r="I153" s="15"/>
      <c r="J153" s="16"/>
    </row>
    <row r="154" ht="15.75" customHeight="1">
      <c r="A154" s="25">
        <v>45930.0</v>
      </c>
      <c r="B154" s="11" t="s">
        <v>101</v>
      </c>
      <c r="C154" s="12"/>
      <c r="D154" s="12" t="str">
        <f t="array" ref="D154">INDEX(Helper!$D$101:$D$1028,MATCH(E154,Helper!$E$101:$E$1028,0))</f>
        <v>#N/A</v>
      </c>
      <c r="E154" s="12" t="s">
        <v>20</v>
      </c>
      <c r="F154" s="11" t="s">
        <v>102</v>
      </c>
      <c r="G154" s="21"/>
      <c r="H154" s="21">
        <v>6515831.8</v>
      </c>
      <c r="I154" s="11"/>
      <c r="J154" s="12"/>
    </row>
    <row r="155" ht="15.75" customHeight="1">
      <c r="A155" s="26">
        <v>45930.0</v>
      </c>
      <c r="B155" s="15" t="s">
        <v>101</v>
      </c>
      <c r="C155" s="16"/>
      <c r="D155" s="16" t="str">
        <f t="array" ref="D155">INDEX(Helper!$D$101:$D$1028,MATCH(E155,Helper!$E$101:$E$1028,0))</f>
        <v>#N/A</v>
      </c>
      <c r="E155" s="16" t="s">
        <v>14</v>
      </c>
      <c r="F155" s="15" t="s">
        <v>102</v>
      </c>
      <c r="G155" s="22">
        <v>6515831.8</v>
      </c>
      <c r="H155" s="22"/>
      <c r="I155" s="15"/>
      <c r="J155" s="16"/>
    </row>
    <row r="156" ht="15.75" customHeight="1">
      <c r="A156" s="25">
        <v>45930.0</v>
      </c>
      <c r="B156" s="11" t="s">
        <v>101</v>
      </c>
      <c r="C156" s="12"/>
      <c r="D156" s="12" t="str">
        <f t="array" ref="D156">INDEX(Helper!$D$101:$D$1028,MATCH(E156,Helper!$E$101:$E$1028,0))</f>
        <v>#N/A</v>
      </c>
      <c r="E156" s="12" t="s">
        <v>22</v>
      </c>
      <c r="F156" s="11" t="s">
        <v>102</v>
      </c>
      <c r="G156" s="21"/>
      <c r="H156" s="21">
        <v>1.5343618E7</v>
      </c>
      <c r="I156" s="11"/>
      <c r="J156" s="12"/>
    </row>
    <row r="157" ht="15.75" customHeight="1">
      <c r="A157" s="26">
        <v>45930.0</v>
      </c>
      <c r="B157" s="15" t="s">
        <v>101</v>
      </c>
      <c r="C157" s="16"/>
      <c r="D157" s="16" t="str">
        <f t="array" ref="D157">INDEX(Helper!$D$101:$D$1028,MATCH(E157,Helper!$E$101:$E$1028,0))</f>
        <v>#N/A</v>
      </c>
      <c r="E157" s="16" t="s">
        <v>16</v>
      </c>
      <c r="F157" s="15" t="s">
        <v>102</v>
      </c>
      <c r="G157" s="22">
        <v>1.5343618E7</v>
      </c>
      <c r="H157" s="22"/>
      <c r="I157" s="15"/>
      <c r="J157" s="16"/>
    </row>
    <row r="158" ht="15.75" customHeight="1">
      <c r="A158" s="25">
        <v>45930.0</v>
      </c>
      <c r="B158" s="11" t="s">
        <v>101</v>
      </c>
      <c r="C158" s="12"/>
      <c r="D158" s="12" t="str">
        <f t="array" ref="D158">INDEX(Helper!$D$101:$D$1028,MATCH(E158,Helper!$E$101:$E$1028,0))</f>
        <v>#N/A</v>
      </c>
      <c r="E158" s="12" t="s">
        <v>23</v>
      </c>
      <c r="F158" s="11" t="s">
        <v>102</v>
      </c>
      <c r="G158" s="21"/>
      <c r="H158" s="21">
        <v>1.7720747E7</v>
      </c>
      <c r="I158" s="11"/>
      <c r="J158" s="12"/>
    </row>
    <row r="159" ht="15.75" customHeight="1">
      <c r="A159" s="26">
        <v>45930.0</v>
      </c>
      <c r="B159" s="15" t="s">
        <v>101</v>
      </c>
      <c r="C159" s="16"/>
      <c r="D159" s="16" t="str">
        <f t="array" ref="D159">INDEX(Helper!$D$101:$D$1028,MATCH(E159,Helper!$E$101:$E$1028,0))</f>
        <v>#N/A</v>
      </c>
      <c r="E159" s="16" t="s">
        <v>18</v>
      </c>
      <c r="F159" s="15" t="s">
        <v>102</v>
      </c>
      <c r="G159" s="22">
        <v>1.7720747E7</v>
      </c>
      <c r="H159" s="22"/>
      <c r="I159" s="15"/>
      <c r="J159" s="16"/>
    </row>
    <row r="160" ht="15.75" customHeight="1">
      <c r="A160" s="25">
        <v>45930.0</v>
      </c>
      <c r="B160" s="11" t="s">
        <v>103</v>
      </c>
      <c r="C160" s="12"/>
      <c r="D160" s="12" t="str">
        <f t="array" ref="D160">INDEX(Helper!$D$101:$D$1028,MATCH(E160,Helper!$E$101:$E$1028,0))</f>
        <v>#N/A</v>
      </c>
      <c r="E160" s="11" t="s">
        <v>104</v>
      </c>
      <c r="F160" s="12" t="s">
        <v>105</v>
      </c>
      <c r="G160" s="21"/>
      <c r="H160" s="21">
        <v>274898.0</v>
      </c>
      <c r="I160" s="11"/>
      <c r="J160" s="12"/>
    </row>
    <row r="161" ht="15.75" customHeight="1">
      <c r="A161" s="26">
        <v>45930.0</v>
      </c>
      <c r="B161" s="15" t="s">
        <v>103</v>
      </c>
      <c r="C161" s="16"/>
      <c r="D161" s="16" t="str">
        <f t="array" ref="D161">INDEX(Helper!$D$101:$D$1028,MATCH(E161,Helper!$E$101:$E$1028,0))</f>
        <v>#N/A</v>
      </c>
      <c r="E161" s="15" t="s">
        <v>106</v>
      </c>
      <c r="F161" s="16" t="s">
        <v>105</v>
      </c>
      <c r="G161" s="22">
        <v>274898.0</v>
      </c>
      <c r="H161" s="22"/>
      <c r="I161" s="15"/>
      <c r="J161" s="16"/>
    </row>
    <row r="162" ht="15.75" customHeight="1">
      <c r="A162" s="25">
        <v>45930.0</v>
      </c>
      <c r="B162" s="11" t="s">
        <v>107</v>
      </c>
      <c r="C162" s="12"/>
      <c r="D162" s="12" t="str">
        <f t="array" ref="D162">INDEX(Helper!$D$101:$D$1028,MATCH(E162,Helper!$E$101:$E$1028,0))</f>
        <v>#N/A</v>
      </c>
      <c r="E162" s="11" t="s">
        <v>41</v>
      </c>
      <c r="F162" s="11" t="s">
        <v>94</v>
      </c>
      <c r="G162" s="21">
        <v>1340478.0</v>
      </c>
      <c r="H162" s="21"/>
      <c r="I162" s="11"/>
      <c r="J162" s="12"/>
    </row>
    <row r="163" ht="15.75" customHeight="1">
      <c r="A163" s="26">
        <v>45930.0</v>
      </c>
      <c r="B163" s="15" t="s">
        <v>107</v>
      </c>
      <c r="C163" s="16"/>
      <c r="D163" s="16" t="str">
        <f t="array" ref="D163">INDEX(Helper!$D$101:$D$1028,MATCH(E163,Helper!$E$101:$E$1028,0))</f>
        <v>#N/A</v>
      </c>
      <c r="E163" s="15" t="s">
        <v>22</v>
      </c>
      <c r="F163" s="15" t="s">
        <v>94</v>
      </c>
      <c r="G163" s="22"/>
      <c r="H163" s="22">
        <v>1340478.0</v>
      </c>
      <c r="I163" s="15"/>
      <c r="J163" s="16"/>
    </row>
    <row r="164" ht="15.75" customHeight="1">
      <c r="A164" s="25">
        <v>45961.0</v>
      </c>
      <c r="B164" s="11" t="s">
        <v>108</v>
      </c>
      <c r="C164" s="12"/>
      <c r="D164" s="12">
        <v>15110.0</v>
      </c>
      <c r="E164" s="11" t="s">
        <v>25</v>
      </c>
      <c r="F164" s="12" t="s">
        <v>109</v>
      </c>
      <c r="G164" s="21"/>
      <c r="H164" s="21">
        <v>554167.0</v>
      </c>
      <c r="I164" s="11"/>
      <c r="J164" s="12"/>
    </row>
    <row r="165" ht="15.75" customHeight="1">
      <c r="A165" s="26">
        <v>45961.0</v>
      </c>
      <c r="B165" s="15" t="s">
        <v>108</v>
      </c>
      <c r="C165" s="16"/>
      <c r="D165" s="16">
        <v>66000.0</v>
      </c>
      <c r="E165" s="15" t="s">
        <v>27</v>
      </c>
      <c r="F165" s="16" t="s">
        <v>109</v>
      </c>
      <c r="G165" s="22">
        <v>554167.0</v>
      </c>
      <c r="H165" s="22"/>
      <c r="I165" s="15"/>
      <c r="J165" s="16"/>
    </row>
    <row r="166" ht="15.75" customHeight="1">
      <c r="A166" s="25">
        <v>45961.0</v>
      </c>
      <c r="B166" s="11" t="s">
        <v>108</v>
      </c>
      <c r="C166" s="12"/>
      <c r="D166" s="12">
        <v>15410.0</v>
      </c>
      <c r="E166" s="11" t="s">
        <v>28</v>
      </c>
      <c r="F166" s="12" t="s">
        <v>110</v>
      </c>
      <c r="G166" s="21"/>
      <c r="H166" s="21">
        <v>331650.0</v>
      </c>
      <c r="I166" s="11"/>
      <c r="J166" s="12"/>
    </row>
    <row r="167" ht="15.75" customHeight="1">
      <c r="A167" s="26">
        <v>45961.0</v>
      </c>
      <c r="B167" s="15" t="s">
        <v>108</v>
      </c>
      <c r="C167" s="16"/>
      <c r="D167" s="16">
        <v>66000.0</v>
      </c>
      <c r="E167" s="15" t="s">
        <v>27</v>
      </c>
      <c r="F167" s="16" t="s">
        <v>110</v>
      </c>
      <c r="G167" s="22">
        <v>331650.0</v>
      </c>
      <c r="H167" s="22"/>
      <c r="I167" s="15"/>
      <c r="J167" s="16"/>
    </row>
    <row r="168" ht="15.75" customHeight="1">
      <c r="A168" s="25">
        <v>45961.0</v>
      </c>
      <c r="B168" s="11" t="s">
        <v>108</v>
      </c>
      <c r="C168" s="12"/>
      <c r="D168" s="12">
        <v>15210.0</v>
      </c>
      <c r="E168" s="11" t="s">
        <v>30</v>
      </c>
      <c r="F168" s="12" t="s">
        <v>111</v>
      </c>
      <c r="G168" s="21"/>
      <c r="H168" s="21">
        <v>1491669.0</v>
      </c>
      <c r="I168" s="11"/>
      <c r="J168" s="12"/>
    </row>
    <row r="169" ht="15.75" customHeight="1">
      <c r="A169" s="26">
        <v>45961.0</v>
      </c>
      <c r="B169" s="15" t="s">
        <v>108</v>
      </c>
      <c r="C169" s="16"/>
      <c r="D169" s="16">
        <v>53300.0</v>
      </c>
      <c r="E169" s="15" t="s">
        <v>35</v>
      </c>
      <c r="F169" s="16" t="s">
        <v>111</v>
      </c>
      <c r="G169" s="22">
        <v>1491669.0</v>
      </c>
      <c r="H169" s="22"/>
      <c r="I169" s="15"/>
      <c r="J169" s="16"/>
    </row>
    <row r="170" ht="15.75" customHeight="1">
      <c r="A170" s="25">
        <v>45961.0</v>
      </c>
      <c r="B170" s="11" t="s">
        <v>112</v>
      </c>
      <c r="C170" s="12"/>
      <c r="D170" s="12">
        <v>50000.0</v>
      </c>
      <c r="E170" s="11" t="s">
        <v>12</v>
      </c>
      <c r="F170" s="12" t="s">
        <v>113</v>
      </c>
      <c r="G170" s="21">
        <v>6515831.8</v>
      </c>
      <c r="H170" s="21"/>
      <c r="I170" s="11"/>
      <c r="J170" s="12"/>
    </row>
    <row r="171" ht="15.75" customHeight="1">
      <c r="A171" s="26">
        <v>45961.0</v>
      </c>
      <c r="B171" s="15" t="s">
        <v>112</v>
      </c>
      <c r="C171" s="16"/>
      <c r="D171" s="16">
        <v>12000.0</v>
      </c>
      <c r="E171" s="15" t="s">
        <v>14</v>
      </c>
      <c r="F171" s="16" t="s">
        <v>113</v>
      </c>
      <c r="G171" s="22"/>
      <c r="H171" s="22">
        <v>6515831.8</v>
      </c>
      <c r="I171" s="15"/>
      <c r="J171" s="16"/>
    </row>
    <row r="172" ht="15.75" customHeight="1">
      <c r="A172" s="25">
        <v>45961.0</v>
      </c>
      <c r="B172" s="11" t="s">
        <v>112</v>
      </c>
      <c r="C172" s="12"/>
      <c r="D172" s="12">
        <v>50100.0</v>
      </c>
      <c r="E172" s="11" t="s">
        <v>15</v>
      </c>
      <c r="F172" s="12" t="s">
        <v>113</v>
      </c>
      <c r="G172" s="21">
        <v>1.5343618E7</v>
      </c>
      <c r="H172" s="21"/>
      <c r="I172" s="11"/>
      <c r="J172" s="12"/>
    </row>
    <row r="173" ht="15.75" customHeight="1">
      <c r="A173" s="26">
        <v>45961.0</v>
      </c>
      <c r="B173" s="15" t="s">
        <v>112</v>
      </c>
      <c r="C173" s="16"/>
      <c r="D173" s="16">
        <v>12100.0</v>
      </c>
      <c r="E173" s="15" t="s">
        <v>16</v>
      </c>
      <c r="F173" s="16" t="s">
        <v>113</v>
      </c>
      <c r="G173" s="22"/>
      <c r="H173" s="22">
        <v>1.5343618E7</v>
      </c>
      <c r="I173" s="15"/>
      <c r="J173" s="16"/>
    </row>
    <row r="174" ht="15.75" customHeight="1">
      <c r="A174" s="25">
        <v>45961.0</v>
      </c>
      <c r="B174" s="11" t="s">
        <v>112</v>
      </c>
      <c r="C174" s="12"/>
      <c r="D174" s="12">
        <v>50200.0</v>
      </c>
      <c r="E174" s="11" t="s">
        <v>17</v>
      </c>
      <c r="F174" s="12" t="s">
        <v>113</v>
      </c>
      <c r="G174" s="21">
        <v>1.7720747E7</v>
      </c>
      <c r="H174" s="21"/>
      <c r="I174" s="11"/>
      <c r="J174" s="12"/>
    </row>
    <row r="175" ht="15.75" customHeight="1">
      <c r="A175" s="26">
        <v>45961.0</v>
      </c>
      <c r="B175" s="15" t="s">
        <v>112</v>
      </c>
      <c r="C175" s="16"/>
      <c r="D175" s="16">
        <v>12200.0</v>
      </c>
      <c r="E175" s="15" t="s">
        <v>18</v>
      </c>
      <c r="F175" s="16" t="s">
        <v>113</v>
      </c>
      <c r="G175" s="22"/>
      <c r="H175" s="22">
        <v>1.7720747E7</v>
      </c>
      <c r="I175" s="15"/>
      <c r="J175" s="16"/>
    </row>
    <row r="176" ht="15.75" customHeight="1">
      <c r="A176" s="25">
        <v>45961.0</v>
      </c>
      <c r="B176" s="11" t="s">
        <v>114</v>
      </c>
      <c r="C176" s="12"/>
      <c r="D176" s="12">
        <v>50020.0</v>
      </c>
      <c r="E176" s="11" t="s">
        <v>20</v>
      </c>
      <c r="F176" s="12" t="s">
        <v>115</v>
      </c>
      <c r="H176" s="21">
        <v>8507511.76</v>
      </c>
      <c r="I176" s="11"/>
      <c r="J176" s="12"/>
    </row>
    <row r="177" ht="15.75" customHeight="1">
      <c r="A177" s="26">
        <v>45961.0</v>
      </c>
      <c r="B177" s="15" t="s">
        <v>114</v>
      </c>
      <c r="C177" s="16"/>
      <c r="D177" s="16">
        <v>12000.0</v>
      </c>
      <c r="E177" s="15" t="s">
        <v>14</v>
      </c>
      <c r="F177" s="16" t="s">
        <v>115</v>
      </c>
      <c r="G177" s="22">
        <v>8507511.76</v>
      </c>
      <c r="I177" s="15"/>
      <c r="J177" s="16"/>
    </row>
    <row r="178" ht="15.75" customHeight="1">
      <c r="A178" s="25">
        <v>45961.0</v>
      </c>
      <c r="B178" s="11" t="s">
        <v>114</v>
      </c>
      <c r="C178" s="12"/>
      <c r="D178" s="12">
        <v>50120.0</v>
      </c>
      <c r="E178" s="11" t="s">
        <v>22</v>
      </c>
      <c r="F178" s="12" t="s">
        <v>115</v>
      </c>
      <c r="H178" s="21">
        <v>8810565.51</v>
      </c>
      <c r="I178" s="11"/>
      <c r="J178" s="12"/>
    </row>
    <row r="179" ht="15.75" customHeight="1">
      <c r="A179" s="26">
        <v>45961.0</v>
      </c>
      <c r="B179" s="15" t="s">
        <v>114</v>
      </c>
      <c r="C179" s="16"/>
      <c r="D179" s="16">
        <v>12100.0</v>
      </c>
      <c r="E179" s="15" t="s">
        <v>16</v>
      </c>
      <c r="F179" s="16" t="s">
        <v>115</v>
      </c>
      <c r="G179" s="22">
        <v>8810565.51</v>
      </c>
      <c r="I179" s="15"/>
      <c r="J179" s="16"/>
    </row>
    <row r="180" ht="15.75" customHeight="1">
      <c r="A180" s="25">
        <v>45961.0</v>
      </c>
      <c r="B180" s="11" t="s">
        <v>114</v>
      </c>
      <c r="C180" s="12"/>
      <c r="D180" s="12">
        <v>50220.0</v>
      </c>
      <c r="E180" s="11" t="s">
        <v>23</v>
      </c>
      <c r="F180" s="12" t="s">
        <v>115</v>
      </c>
      <c r="H180" s="21">
        <v>2.326910502E7</v>
      </c>
      <c r="I180" s="11"/>
      <c r="J180" s="12"/>
    </row>
    <row r="181" ht="15.75" customHeight="1">
      <c r="A181" s="26">
        <v>45961.0</v>
      </c>
      <c r="B181" s="15" t="s">
        <v>114</v>
      </c>
      <c r="C181" s="16"/>
      <c r="D181" s="16">
        <v>12200.0</v>
      </c>
      <c r="E181" s="15" t="s">
        <v>18</v>
      </c>
      <c r="F181" s="16" t="s">
        <v>115</v>
      </c>
      <c r="G181" s="22">
        <v>2.326910502E7</v>
      </c>
      <c r="I181" s="15"/>
      <c r="J181" s="16"/>
    </row>
    <row r="182" ht="15.75" customHeight="1">
      <c r="A182" s="25">
        <v>45961.0</v>
      </c>
      <c r="B182" s="11" t="s">
        <v>116</v>
      </c>
      <c r="C182" s="12"/>
      <c r="D182" s="12">
        <v>13000.0</v>
      </c>
      <c r="E182" s="11" t="s">
        <v>104</v>
      </c>
      <c r="F182" s="12" t="s">
        <v>105</v>
      </c>
      <c r="G182" s="21"/>
      <c r="H182" s="21">
        <v>274898.0</v>
      </c>
      <c r="I182" s="11"/>
      <c r="J182" s="12"/>
    </row>
    <row r="183" ht="15.75" customHeight="1">
      <c r="A183" s="26">
        <v>45961.0</v>
      </c>
      <c r="B183" s="15" t="s">
        <v>116</v>
      </c>
      <c r="C183" s="16"/>
      <c r="D183" s="16">
        <v>65000.0</v>
      </c>
      <c r="E183" s="15" t="s">
        <v>106</v>
      </c>
      <c r="F183" s="16" t="s">
        <v>105</v>
      </c>
      <c r="G183" s="22">
        <v>274898.0</v>
      </c>
      <c r="H183" s="22"/>
      <c r="I183" s="15"/>
      <c r="J183" s="16"/>
    </row>
    <row r="184" ht="15.75" customHeight="1">
      <c r="A184" s="27"/>
      <c r="B184" s="11"/>
      <c r="C184" s="12"/>
      <c r="D184" s="12"/>
      <c r="E184" s="11"/>
      <c r="F184" s="12"/>
      <c r="G184" s="21"/>
      <c r="H184" s="21"/>
      <c r="I184" s="11"/>
      <c r="J184" s="12"/>
    </row>
    <row r="185" ht="15.75" customHeight="1">
      <c r="A185" s="28"/>
      <c r="B185" s="15"/>
      <c r="C185" s="16"/>
      <c r="D185" s="16"/>
      <c r="E185" s="15"/>
      <c r="F185" s="16"/>
      <c r="G185" s="22"/>
      <c r="H185" s="22"/>
      <c r="I185" s="15"/>
      <c r="J185" s="16"/>
    </row>
    <row r="186" ht="15.75" customHeight="1">
      <c r="A186" s="27"/>
      <c r="B186" s="11"/>
      <c r="C186" s="12"/>
      <c r="D186" s="12"/>
      <c r="E186" s="11"/>
      <c r="F186" s="12"/>
      <c r="G186" s="21"/>
      <c r="H186" s="21"/>
      <c r="I186" s="11"/>
      <c r="J186" s="12"/>
    </row>
    <row r="187" ht="15.75" customHeight="1">
      <c r="A187" s="28"/>
      <c r="B187" s="15"/>
      <c r="C187" s="16"/>
      <c r="D187" s="16"/>
      <c r="E187" s="15"/>
      <c r="F187" s="16"/>
      <c r="G187" s="22"/>
      <c r="H187" s="22"/>
      <c r="I187" s="15"/>
      <c r="J187" s="16"/>
    </row>
    <row r="188" ht="15.75" customHeight="1">
      <c r="A188" s="27"/>
      <c r="B188" s="11"/>
      <c r="C188" s="12"/>
      <c r="D188" s="12"/>
      <c r="E188" s="11"/>
      <c r="F188" s="12"/>
      <c r="G188" s="21"/>
      <c r="H188" s="21"/>
      <c r="I188" s="11"/>
      <c r="J188" s="12"/>
    </row>
    <row r="189" ht="15.75" customHeight="1">
      <c r="A189" s="28"/>
      <c r="B189" s="15"/>
      <c r="C189" s="16"/>
      <c r="D189" s="16"/>
      <c r="E189" s="15"/>
      <c r="F189" s="16"/>
      <c r="G189" s="22"/>
      <c r="H189" s="22"/>
      <c r="I189" s="15"/>
      <c r="J189" s="16"/>
    </row>
    <row r="190" ht="15.75" customHeight="1">
      <c r="A190" s="27"/>
      <c r="B190" s="11"/>
      <c r="C190" s="12"/>
      <c r="D190" s="12"/>
      <c r="E190" s="11"/>
      <c r="F190" s="12"/>
      <c r="G190" s="21"/>
      <c r="H190" s="21"/>
      <c r="I190" s="11"/>
      <c r="J190" s="12"/>
    </row>
    <row r="191" ht="15.75" customHeight="1">
      <c r="A191" s="28"/>
      <c r="B191" s="15"/>
      <c r="C191" s="16"/>
      <c r="D191" s="16"/>
      <c r="E191" s="15"/>
      <c r="F191" s="16"/>
      <c r="G191" s="22"/>
      <c r="H191" s="22"/>
      <c r="I191" s="15"/>
      <c r="J191" s="16"/>
    </row>
    <row r="192" ht="15.75" customHeight="1">
      <c r="A192" s="27"/>
      <c r="B192" s="11"/>
      <c r="C192" s="12"/>
      <c r="D192" s="12"/>
      <c r="E192" s="11"/>
      <c r="F192" s="12"/>
      <c r="G192" s="21"/>
      <c r="H192" s="21"/>
      <c r="I192" s="11"/>
      <c r="J192" s="12"/>
    </row>
    <row r="193" ht="15.75" customHeight="1">
      <c r="A193" s="28"/>
      <c r="B193" s="15"/>
      <c r="C193" s="16"/>
      <c r="D193" s="16"/>
      <c r="E193" s="15"/>
      <c r="F193" s="16"/>
      <c r="G193" s="22"/>
      <c r="H193" s="22"/>
      <c r="I193" s="15"/>
      <c r="J193" s="16"/>
    </row>
    <row r="194" ht="15.75" customHeight="1">
      <c r="A194" s="27"/>
      <c r="B194" s="11"/>
      <c r="C194" s="12"/>
      <c r="D194" s="12"/>
      <c r="E194" s="11"/>
      <c r="F194" s="12"/>
      <c r="G194" s="21"/>
      <c r="H194" s="21"/>
      <c r="I194" s="11"/>
      <c r="J194" s="12"/>
    </row>
    <row r="195" ht="15.75" customHeight="1">
      <c r="A195" s="28"/>
      <c r="B195" s="15"/>
      <c r="C195" s="16"/>
      <c r="D195" s="16"/>
      <c r="E195" s="15"/>
      <c r="F195" s="16"/>
      <c r="G195" s="22"/>
      <c r="H195" s="22"/>
      <c r="I195" s="15"/>
      <c r="J195" s="16"/>
    </row>
    <row r="196" ht="15.75" customHeight="1">
      <c r="A196" s="27"/>
      <c r="B196" s="11"/>
      <c r="C196" s="12"/>
      <c r="D196" s="12"/>
      <c r="E196" s="11"/>
      <c r="F196" s="12"/>
      <c r="G196" s="21"/>
      <c r="H196" s="21"/>
      <c r="I196" s="11"/>
      <c r="J196" s="12"/>
    </row>
    <row r="197" ht="15.75" customHeight="1">
      <c r="A197" s="28"/>
      <c r="B197" s="15"/>
      <c r="C197" s="16"/>
      <c r="D197" s="16"/>
      <c r="E197" s="15"/>
      <c r="F197" s="16"/>
      <c r="G197" s="22"/>
      <c r="H197" s="22"/>
      <c r="I197" s="15"/>
      <c r="J197" s="16"/>
    </row>
    <row r="198" ht="15.75" customHeight="1">
      <c r="A198" s="27"/>
      <c r="B198" s="11"/>
      <c r="C198" s="12"/>
      <c r="D198" s="12"/>
      <c r="E198" s="11"/>
      <c r="F198" s="12"/>
      <c r="G198" s="21"/>
      <c r="H198" s="21"/>
      <c r="I198" s="11"/>
      <c r="J198" s="12"/>
    </row>
    <row r="199" ht="15.75" customHeight="1">
      <c r="A199" s="28"/>
      <c r="B199" s="15"/>
      <c r="C199" s="16"/>
      <c r="D199" s="16"/>
      <c r="E199" s="15"/>
      <c r="F199" s="16"/>
      <c r="G199" s="22"/>
      <c r="H199" s="22"/>
      <c r="I199" s="15"/>
      <c r="J199" s="16"/>
    </row>
    <row r="200" ht="15.75" customHeight="1">
      <c r="A200" s="27"/>
      <c r="B200" s="11"/>
      <c r="C200" s="12"/>
      <c r="D200" s="12"/>
      <c r="E200" s="11"/>
      <c r="F200" s="12"/>
      <c r="G200" s="21"/>
      <c r="H200" s="21"/>
      <c r="I200" s="11"/>
      <c r="J200" s="12"/>
    </row>
    <row r="201" ht="15.75" customHeight="1">
      <c r="A201" s="28"/>
      <c r="B201" s="15"/>
      <c r="C201" s="16"/>
      <c r="D201" s="16"/>
      <c r="E201" s="15"/>
      <c r="F201" s="16"/>
      <c r="G201" s="22"/>
      <c r="H201" s="22"/>
      <c r="I201" s="15"/>
      <c r="J201" s="16"/>
    </row>
    <row r="202" ht="15.75" customHeight="1">
      <c r="A202" s="27"/>
      <c r="B202" s="11"/>
      <c r="C202" s="12"/>
      <c r="D202" s="12"/>
      <c r="E202" s="11"/>
      <c r="F202" s="12"/>
      <c r="G202" s="21"/>
      <c r="H202" s="21"/>
      <c r="I202" s="11"/>
      <c r="J202" s="12"/>
    </row>
    <row r="203" ht="15.75" customHeight="1">
      <c r="A203" s="28"/>
      <c r="B203" s="15"/>
      <c r="C203" s="16"/>
      <c r="D203" s="16"/>
      <c r="E203" s="15"/>
      <c r="F203" s="16"/>
      <c r="G203" s="22"/>
      <c r="H203" s="22"/>
      <c r="I203" s="15"/>
      <c r="J203" s="16"/>
    </row>
    <row r="204" ht="15.75" customHeight="1">
      <c r="A204" s="27"/>
      <c r="B204" s="11"/>
      <c r="C204" s="12"/>
      <c r="D204" s="12"/>
      <c r="E204" s="11"/>
      <c r="F204" s="12"/>
      <c r="G204" s="21"/>
      <c r="H204" s="21"/>
      <c r="I204" s="11"/>
      <c r="J204" s="12"/>
    </row>
    <row r="205" ht="15.75" customHeight="1">
      <c r="A205" s="28"/>
      <c r="B205" s="15"/>
      <c r="C205" s="16"/>
      <c r="D205" s="16"/>
      <c r="E205" s="15"/>
      <c r="F205" s="16"/>
      <c r="G205" s="22"/>
      <c r="H205" s="22"/>
      <c r="I205" s="15"/>
      <c r="J205" s="16"/>
    </row>
    <row r="206" ht="15.75" customHeight="1">
      <c r="A206" s="27"/>
      <c r="B206" s="11"/>
      <c r="C206" s="12"/>
      <c r="D206" s="12"/>
      <c r="E206" s="11"/>
      <c r="F206" s="12"/>
      <c r="G206" s="21"/>
      <c r="H206" s="21"/>
      <c r="I206" s="11"/>
      <c r="J206" s="12"/>
    </row>
    <row r="207" ht="15.75" customHeight="1">
      <c r="A207" s="28"/>
      <c r="B207" s="15"/>
      <c r="C207" s="16"/>
      <c r="D207" s="16"/>
      <c r="E207" s="15"/>
      <c r="F207" s="16"/>
      <c r="G207" s="22"/>
      <c r="H207" s="22"/>
      <c r="I207" s="15"/>
      <c r="J207" s="16"/>
    </row>
    <row r="208" ht="15.75" customHeight="1">
      <c r="A208" s="27"/>
      <c r="B208" s="11"/>
      <c r="C208" s="12"/>
      <c r="D208" s="12"/>
      <c r="E208" s="11"/>
      <c r="F208" s="12"/>
      <c r="G208" s="21"/>
      <c r="H208" s="21"/>
      <c r="I208" s="11"/>
      <c r="J208" s="12"/>
    </row>
    <row r="209" ht="15.75" customHeight="1">
      <c r="A209" s="28"/>
      <c r="B209" s="15"/>
      <c r="C209" s="16"/>
      <c r="D209" s="16"/>
      <c r="E209" s="15"/>
      <c r="F209" s="16"/>
      <c r="G209" s="22"/>
      <c r="H209" s="22"/>
      <c r="I209" s="15"/>
      <c r="J209" s="16"/>
    </row>
    <row r="210" ht="15.75" customHeight="1">
      <c r="A210" s="27"/>
      <c r="B210" s="11"/>
      <c r="C210" s="12"/>
      <c r="D210" s="12"/>
      <c r="E210" s="11"/>
      <c r="F210" s="12"/>
      <c r="G210" s="21"/>
      <c r="H210" s="21"/>
      <c r="I210" s="11"/>
      <c r="J210" s="12"/>
    </row>
    <row r="211" ht="15.75" customHeight="1">
      <c r="A211" s="28"/>
      <c r="B211" s="15"/>
      <c r="C211" s="16"/>
      <c r="D211" s="16"/>
      <c r="E211" s="15"/>
      <c r="F211" s="16"/>
      <c r="G211" s="22"/>
      <c r="H211" s="22"/>
      <c r="I211" s="15"/>
      <c r="J211" s="16"/>
    </row>
    <row r="212" ht="15.75" customHeight="1">
      <c r="A212" s="27"/>
      <c r="B212" s="11"/>
      <c r="C212" s="12"/>
      <c r="D212" s="12"/>
      <c r="E212" s="11"/>
      <c r="F212" s="12"/>
      <c r="G212" s="21"/>
      <c r="H212" s="21"/>
      <c r="I212" s="11"/>
      <c r="J212" s="12"/>
    </row>
    <row r="213" ht="15.75" customHeight="1">
      <c r="A213" s="28"/>
      <c r="B213" s="15"/>
      <c r="C213" s="16"/>
      <c r="D213" s="16"/>
      <c r="E213" s="15"/>
      <c r="F213" s="16"/>
      <c r="G213" s="22"/>
      <c r="H213" s="22"/>
      <c r="I213" s="15"/>
      <c r="J213" s="16"/>
    </row>
    <row r="214" ht="15.75" customHeight="1">
      <c r="A214" s="27"/>
      <c r="B214" s="11"/>
      <c r="C214" s="12"/>
      <c r="D214" s="12"/>
      <c r="E214" s="11"/>
      <c r="F214" s="12"/>
      <c r="G214" s="21"/>
      <c r="H214" s="21"/>
      <c r="I214" s="11"/>
      <c r="J214" s="12"/>
    </row>
    <row r="215" ht="15.75" customHeight="1">
      <c r="A215" s="28"/>
      <c r="B215" s="15"/>
      <c r="C215" s="16"/>
      <c r="D215" s="16"/>
      <c r="E215" s="15"/>
      <c r="F215" s="16"/>
      <c r="G215" s="22"/>
      <c r="H215" s="22"/>
      <c r="I215" s="15"/>
      <c r="J215" s="16"/>
    </row>
    <row r="216" ht="15.75" customHeight="1">
      <c r="A216" s="27"/>
      <c r="B216" s="11"/>
      <c r="C216" s="12"/>
      <c r="D216" s="12"/>
      <c r="E216" s="11"/>
      <c r="F216" s="12"/>
      <c r="G216" s="21"/>
      <c r="H216" s="21"/>
      <c r="I216" s="11"/>
      <c r="J216" s="12"/>
    </row>
    <row r="217" ht="15.75" customHeight="1">
      <c r="A217" s="28"/>
      <c r="B217" s="15"/>
      <c r="C217" s="16"/>
      <c r="D217" s="16"/>
      <c r="E217" s="15"/>
      <c r="F217" s="16"/>
      <c r="G217" s="22"/>
      <c r="H217" s="22"/>
      <c r="I217" s="15"/>
      <c r="J217" s="16"/>
    </row>
    <row r="218" ht="15.75" customHeight="1">
      <c r="A218" s="27"/>
      <c r="B218" s="11"/>
      <c r="C218" s="12"/>
      <c r="D218" s="12"/>
      <c r="E218" s="11"/>
      <c r="F218" s="12"/>
      <c r="G218" s="21"/>
      <c r="H218" s="21"/>
      <c r="I218" s="11"/>
      <c r="J218" s="12"/>
    </row>
    <row r="219" ht="15.75" customHeight="1">
      <c r="A219" s="28"/>
      <c r="B219" s="15"/>
      <c r="C219" s="16"/>
      <c r="D219" s="16"/>
      <c r="E219" s="15"/>
      <c r="F219" s="16"/>
      <c r="G219" s="22"/>
      <c r="H219" s="22"/>
      <c r="I219" s="15"/>
      <c r="J219" s="16"/>
    </row>
    <row r="220" ht="15.75" customHeight="1">
      <c r="A220" s="27"/>
      <c r="B220" s="11"/>
      <c r="C220" s="12"/>
      <c r="D220" s="12"/>
      <c r="E220" s="11"/>
      <c r="F220" s="12"/>
      <c r="G220" s="21"/>
      <c r="H220" s="21"/>
      <c r="I220" s="11"/>
      <c r="J220" s="12"/>
    </row>
    <row r="221" ht="15.75" customHeight="1">
      <c r="A221" s="28"/>
      <c r="B221" s="15"/>
      <c r="C221" s="16"/>
      <c r="D221" s="16"/>
      <c r="E221" s="15"/>
      <c r="F221" s="16"/>
      <c r="G221" s="22"/>
      <c r="H221" s="22"/>
      <c r="I221" s="15"/>
      <c r="J221" s="16"/>
    </row>
    <row r="222" ht="15.75" customHeight="1">
      <c r="A222" s="27"/>
      <c r="B222" s="11"/>
      <c r="C222" s="12"/>
      <c r="D222" s="12"/>
      <c r="E222" s="11"/>
      <c r="F222" s="12"/>
      <c r="G222" s="21"/>
      <c r="H222" s="21"/>
      <c r="I222" s="11"/>
      <c r="J222" s="12"/>
    </row>
    <row r="223" ht="15.75" customHeight="1">
      <c r="A223" s="28"/>
      <c r="B223" s="15"/>
      <c r="C223" s="16"/>
      <c r="D223" s="16"/>
      <c r="E223" s="15"/>
      <c r="F223" s="16"/>
      <c r="G223" s="22"/>
      <c r="H223" s="22"/>
      <c r="I223" s="15"/>
      <c r="J223" s="16"/>
    </row>
    <row r="224" ht="15.75" customHeight="1">
      <c r="A224" s="27"/>
      <c r="B224" s="11"/>
      <c r="C224" s="12"/>
      <c r="D224" s="12"/>
      <c r="E224" s="11"/>
      <c r="F224" s="12"/>
      <c r="G224" s="21"/>
      <c r="H224" s="21"/>
      <c r="I224" s="11"/>
      <c r="J224" s="12"/>
    </row>
    <row r="225" ht="15.75" customHeight="1">
      <c r="A225" s="28"/>
      <c r="B225" s="15"/>
      <c r="C225" s="16"/>
      <c r="D225" s="16"/>
      <c r="E225" s="15"/>
      <c r="F225" s="16"/>
      <c r="G225" s="22"/>
      <c r="H225" s="22"/>
      <c r="I225" s="15"/>
      <c r="J225" s="16"/>
    </row>
    <row r="226" ht="15.75" customHeight="1">
      <c r="A226" s="27"/>
      <c r="B226" s="11"/>
      <c r="C226" s="12"/>
      <c r="D226" s="12"/>
      <c r="E226" s="11"/>
      <c r="F226" s="12"/>
      <c r="G226" s="21"/>
      <c r="H226" s="21"/>
      <c r="I226" s="11"/>
      <c r="J226" s="12"/>
    </row>
    <row r="227" ht="15.75" customHeight="1">
      <c r="A227" s="28"/>
      <c r="B227" s="15"/>
      <c r="C227" s="16"/>
      <c r="D227" s="16"/>
      <c r="E227" s="15"/>
      <c r="F227" s="16"/>
      <c r="G227" s="22"/>
      <c r="H227" s="22"/>
      <c r="I227" s="15"/>
      <c r="J227" s="16"/>
    </row>
    <row r="228" ht="15.75" customHeight="1">
      <c r="A228" s="27"/>
      <c r="B228" s="11"/>
      <c r="C228" s="12"/>
      <c r="D228" s="12"/>
      <c r="E228" s="11"/>
      <c r="F228" s="12"/>
      <c r="G228" s="21"/>
      <c r="H228" s="21"/>
      <c r="I228" s="11"/>
      <c r="J228" s="12"/>
    </row>
    <row r="229" ht="15.75" customHeight="1">
      <c r="A229" s="28"/>
      <c r="B229" s="15"/>
      <c r="C229" s="16"/>
      <c r="D229" s="16"/>
      <c r="E229" s="15"/>
      <c r="F229" s="16"/>
      <c r="G229" s="22"/>
      <c r="H229" s="22"/>
      <c r="I229" s="15"/>
      <c r="J229" s="16"/>
    </row>
    <row r="230" ht="15.75" customHeight="1">
      <c r="A230" s="27"/>
      <c r="B230" s="11"/>
      <c r="C230" s="12"/>
      <c r="D230" s="12"/>
      <c r="E230" s="11"/>
      <c r="F230" s="12"/>
      <c r="G230" s="21"/>
      <c r="H230" s="21"/>
      <c r="I230" s="11"/>
      <c r="J230" s="12"/>
    </row>
    <row r="231" ht="15.75" customHeight="1">
      <c r="A231" s="28"/>
      <c r="B231" s="15"/>
      <c r="C231" s="16"/>
      <c r="D231" s="16"/>
      <c r="E231" s="15"/>
      <c r="F231" s="16"/>
      <c r="G231" s="22"/>
      <c r="H231" s="22"/>
      <c r="I231" s="15"/>
      <c r="J231" s="16"/>
    </row>
    <row r="232" ht="15.75" customHeight="1">
      <c r="A232" s="27"/>
      <c r="B232" s="11"/>
      <c r="C232" s="12"/>
      <c r="D232" s="12"/>
      <c r="E232" s="11"/>
      <c r="F232" s="12"/>
      <c r="G232" s="21"/>
      <c r="H232" s="21"/>
      <c r="I232" s="11"/>
      <c r="J232" s="12"/>
    </row>
    <row r="233" ht="15.75" customHeight="1">
      <c r="A233" s="28"/>
      <c r="B233" s="15"/>
      <c r="C233" s="16"/>
      <c r="D233" s="16"/>
      <c r="E233" s="15"/>
      <c r="F233" s="16"/>
      <c r="G233" s="22"/>
      <c r="H233" s="22"/>
      <c r="I233" s="15"/>
      <c r="J233" s="16"/>
    </row>
    <row r="234" ht="15.75" customHeight="1">
      <c r="A234" s="27"/>
      <c r="B234" s="11"/>
      <c r="C234" s="12"/>
      <c r="D234" s="12"/>
      <c r="E234" s="11"/>
      <c r="F234" s="12"/>
      <c r="G234" s="21"/>
      <c r="H234" s="21"/>
      <c r="I234" s="11"/>
      <c r="J234" s="12"/>
    </row>
    <row r="235" ht="15.75" customHeight="1">
      <c r="A235" s="28"/>
      <c r="B235" s="15"/>
      <c r="C235" s="16"/>
      <c r="D235" s="16"/>
      <c r="E235" s="15"/>
      <c r="F235" s="16"/>
      <c r="G235" s="22"/>
      <c r="H235" s="22"/>
      <c r="I235" s="15"/>
      <c r="J235" s="16"/>
    </row>
    <row r="236" ht="15.75" customHeight="1">
      <c r="A236" s="27"/>
      <c r="B236" s="11"/>
      <c r="C236" s="12"/>
      <c r="D236" s="12"/>
      <c r="E236" s="11"/>
      <c r="F236" s="12"/>
      <c r="G236" s="21"/>
      <c r="H236" s="21"/>
      <c r="I236" s="11"/>
      <c r="J236" s="12"/>
    </row>
    <row r="237" ht="15.75" customHeight="1">
      <c r="A237" s="28"/>
      <c r="B237" s="15"/>
      <c r="C237" s="16"/>
      <c r="D237" s="16"/>
      <c r="E237" s="15"/>
      <c r="F237" s="16"/>
      <c r="G237" s="22"/>
      <c r="H237" s="22"/>
      <c r="I237" s="15"/>
      <c r="J237" s="16"/>
    </row>
    <row r="238" ht="15.75" customHeight="1">
      <c r="A238" s="27"/>
      <c r="B238" s="11"/>
      <c r="C238" s="12"/>
      <c r="D238" s="12"/>
      <c r="E238" s="11"/>
      <c r="F238" s="12"/>
      <c r="G238" s="21"/>
      <c r="H238" s="21"/>
      <c r="I238" s="11"/>
      <c r="J238" s="12"/>
    </row>
    <row r="239" ht="15.75" customHeight="1">
      <c r="A239" s="28"/>
      <c r="B239" s="15"/>
      <c r="C239" s="16"/>
      <c r="D239" s="16"/>
      <c r="E239" s="15"/>
      <c r="F239" s="16"/>
      <c r="G239" s="22"/>
      <c r="H239" s="22"/>
      <c r="I239" s="15"/>
      <c r="J239" s="16"/>
    </row>
    <row r="240" ht="15.75" customHeight="1">
      <c r="A240" s="27"/>
      <c r="B240" s="11"/>
      <c r="C240" s="12"/>
      <c r="D240" s="12"/>
      <c r="E240" s="11"/>
      <c r="F240" s="12"/>
      <c r="G240" s="21"/>
      <c r="H240" s="21"/>
      <c r="I240" s="11"/>
      <c r="J240" s="12"/>
    </row>
    <row r="241" ht="15.75" customHeight="1">
      <c r="A241" s="28"/>
      <c r="B241" s="15"/>
      <c r="C241" s="16"/>
      <c r="D241" s="16"/>
      <c r="E241" s="15"/>
      <c r="F241" s="16"/>
      <c r="G241" s="22"/>
      <c r="H241" s="22"/>
      <c r="I241" s="15"/>
      <c r="J241" s="16"/>
    </row>
    <row r="242" ht="15.75" customHeight="1">
      <c r="A242" s="27"/>
      <c r="B242" s="11"/>
      <c r="C242" s="12"/>
      <c r="D242" s="12"/>
      <c r="E242" s="11"/>
      <c r="F242" s="12"/>
      <c r="G242" s="21"/>
      <c r="H242" s="21"/>
      <c r="I242" s="11"/>
      <c r="J242" s="12"/>
    </row>
    <row r="243" ht="15.75" customHeight="1">
      <c r="A243" s="28"/>
      <c r="B243" s="15"/>
      <c r="C243" s="16"/>
      <c r="D243" s="16"/>
      <c r="E243" s="15"/>
      <c r="F243" s="16"/>
      <c r="G243" s="22"/>
      <c r="H243" s="22"/>
      <c r="I243" s="15"/>
      <c r="J243" s="16"/>
    </row>
    <row r="244" ht="15.75" customHeight="1">
      <c r="A244" s="27"/>
      <c r="B244" s="11"/>
      <c r="C244" s="12"/>
      <c r="D244" s="12"/>
      <c r="E244" s="11"/>
      <c r="F244" s="12"/>
      <c r="G244" s="21"/>
      <c r="H244" s="21"/>
      <c r="I244" s="11"/>
      <c r="J244" s="12"/>
    </row>
    <row r="245" ht="15.75" customHeight="1">
      <c r="A245" s="28"/>
      <c r="B245" s="15"/>
      <c r="C245" s="16"/>
      <c r="D245" s="16"/>
      <c r="E245" s="15"/>
      <c r="F245" s="16"/>
      <c r="G245" s="22"/>
      <c r="H245" s="22"/>
      <c r="I245" s="15"/>
      <c r="J245" s="16"/>
    </row>
    <row r="246" ht="15.75" customHeight="1">
      <c r="A246" s="27"/>
      <c r="B246" s="11"/>
      <c r="C246" s="12"/>
      <c r="D246" s="12"/>
      <c r="E246" s="11"/>
      <c r="F246" s="12"/>
      <c r="G246" s="29"/>
      <c r="H246" s="21"/>
      <c r="I246" s="11"/>
      <c r="J246" s="12"/>
    </row>
    <row r="247" ht="15.75" customHeight="1">
      <c r="A247" s="28"/>
      <c r="B247" s="15"/>
      <c r="C247" s="16"/>
      <c r="D247" s="16"/>
      <c r="E247" s="15"/>
      <c r="F247" s="16"/>
      <c r="G247" s="22"/>
      <c r="H247" s="30"/>
      <c r="I247" s="15"/>
      <c r="J247" s="16"/>
    </row>
    <row r="248" ht="15.75" customHeight="1">
      <c r="A248" s="27"/>
      <c r="B248" s="11"/>
      <c r="C248" s="12"/>
      <c r="D248" s="12"/>
      <c r="E248" s="11"/>
      <c r="F248" s="12"/>
      <c r="G248" s="29"/>
      <c r="H248" s="21"/>
      <c r="I248" s="11"/>
      <c r="J248" s="12"/>
    </row>
    <row r="249" ht="15.75" customHeight="1">
      <c r="A249" s="28"/>
      <c r="B249" s="15"/>
      <c r="C249" s="16"/>
      <c r="D249" s="16"/>
      <c r="E249" s="15"/>
      <c r="F249" s="16"/>
      <c r="G249" s="22"/>
      <c r="H249" s="30"/>
      <c r="I249" s="15"/>
      <c r="J249" s="16"/>
    </row>
    <row r="250" ht="15.75" customHeight="1">
      <c r="A250" s="27"/>
      <c r="B250" s="11"/>
      <c r="C250" s="12"/>
      <c r="D250" s="12"/>
      <c r="E250" s="11"/>
      <c r="F250" s="12"/>
      <c r="G250" s="29"/>
      <c r="H250" s="21"/>
      <c r="I250" s="11"/>
      <c r="J250" s="12"/>
    </row>
    <row r="251" ht="15.75" customHeight="1">
      <c r="A251" s="28"/>
      <c r="B251" s="15"/>
      <c r="C251" s="16"/>
      <c r="D251" s="16"/>
      <c r="E251" s="15"/>
      <c r="F251" s="16"/>
      <c r="G251" s="22"/>
      <c r="H251" s="30"/>
      <c r="I251" s="15"/>
      <c r="J251" s="16"/>
    </row>
    <row r="252" ht="15.75" customHeight="1">
      <c r="A252" s="27"/>
      <c r="B252" s="11"/>
      <c r="C252" s="12"/>
      <c r="D252" s="12"/>
      <c r="E252" s="11"/>
      <c r="F252" s="12"/>
      <c r="G252" s="29"/>
      <c r="H252" s="21"/>
      <c r="I252" s="11"/>
      <c r="J252" s="12"/>
    </row>
    <row r="253" ht="15.75" customHeight="1">
      <c r="A253" s="28"/>
      <c r="B253" s="15"/>
      <c r="C253" s="16"/>
      <c r="D253" s="16"/>
      <c r="E253" s="15"/>
      <c r="F253" s="16"/>
      <c r="G253" s="22"/>
      <c r="H253" s="30"/>
      <c r="I253" s="15"/>
      <c r="J253" s="16"/>
    </row>
    <row r="254" ht="15.75" customHeight="1">
      <c r="A254" s="27"/>
      <c r="B254" s="11"/>
      <c r="C254" s="31"/>
      <c r="D254" s="31"/>
      <c r="E254" s="11"/>
      <c r="F254" s="12"/>
      <c r="G254" s="21"/>
      <c r="H254" s="21"/>
      <c r="I254" s="11"/>
      <c r="J254" s="12"/>
    </row>
    <row r="255" ht="15.75" customHeight="1">
      <c r="A255" s="28"/>
      <c r="B255" s="15"/>
      <c r="C255" s="32"/>
      <c r="D255" s="32"/>
      <c r="E255" s="15"/>
      <c r="F255" s="16"/>
      <c r="G255" s="22"/>
      <c r="H255" s="22"/>
      <c r="I255" s="15"/>
      <c r="J255" s="16"/>
    </row>
    <row r="256" ht="15.75" customHeight="1">
      <c r="A256" s="27"/>
      <c r="B256" s="11"/>
      <c r="C256" s="31"/>
      <c r="D256" s="31"/>
      <c r="E256" s="11"/>
      <c r="G256" s="21"/>
      <c r="H256" s="21"/>
      <c r="I256" s="11"/>
      <c r="J256" s="12"/>
    </row>
    <row r="257" ht="15.75" customHeight="1">
      <c r="A257" s="28"/>
      <c r="B257" s="15"/>
      <c r="C257" s="32"/>
      <c r="D257" s="32"/>
      <c r="E257" s="15"/>
      <c r="G257" s="22"/>
      <c r="H257" s="22"/>
      <c r="I257" s="15"/>
      <c r="J257" s="16"/>
    </row>
    <row r="258" ht="15.75" customHeight="1">
      <c r="A258" s="27"/>
      <c r="B258" s="11"/>
      <c r="C258" s="31"/>
      <c r="D258" s="31"/>
      <c r="E258" s="11"/>
      <c r="F258" s="12"/>
      <c r="G258" s="21"/>
      <c r="H258" s="21"/>
      <c r="I258" s="11"/>
      <c r="J258" s="12"/>
    </row>
    <row r="259" ht="15.75" customHeight="1">
      <c r="A259" s="28"/>
      <c r="B259" s="15"/>
      <c r="C259" s="32"/>
      <c r="D259" s="32"/>
      <c r="E259" s="15"/>
      <c r="F259" s="16"/>
      <c r="G259" s="22"/>
      <c r="H259" s="22"/>
      <c r="I259" s="15"/>
      <c r="J259" s="16"/>
    </row>
    <row r="260" ht="15.75" customHeight="1">
      <c r="A260" s="27"/>
      <c r="B260" s="11"/>
      <c r="C260" s="31"/>
      <c r="D260" s="31"/>
      <c r="E260" s="11"/>
      <c r="F260" s="12"/>
      <c r="G260" s="21"/>
      <c r="H260" s="21"/>
      <c r="I260" s="11"/>
      <c r="J260" s="12"/>
    </row>
    <row r="261" ht="15.75" customHeight="1">
      <c r="A261" s="28"/>
      <c r="B261" s="15"/>
      <c r="C261" s="32"/>
      <c r="D261" s="32"/>
      <c r="E261" s="15"/>
      <c r="F261" s="16"/>
      <c r="G261" s="22"/>
      <c r="H261" s="22"/>
      <c r="I261" s="15"/>
      <c r="J261" s="16"/>
    </row>
    <row r="262" ht="15.75" customHeight="1">
      <c r="A262" s="27"/>
      <c r="B262" s="11"/>
      <c r="C262" s="31"/>
      <c r="D262" s="31"/>
      <c r="E262" s="11"/>
      <c r="F262" s="12"/>
      <c r="G262" s="21"/>
      <c r="H262" s="21"/>
      <c r="I262" s="11"/>
      <c r="J262" s="12"/>
    </row>
    <row r="263" ht="15.75" customHeight="1">
      <c r="A263" s="28"/>
      <c r="B263" s="15"/>
      <c r="C263" s="32"/>
      <c r="D263" s="32"/>
      <c r="E263" s="15"/>
      <c r="F263" s="16"/>
      <c r="G263" s="22"/>
      <c r="H263" s="22"/>
      <c r="I263" s="15"/>
      <c r="J263" s="16"/>
    </row>
    <row r="264" ht="15.75" customHeight="1">
      <c r="A264" s="27"/>
      <c r="B264" s="11"/>
      <c r="C264" s="31"/>
      <c r="D264" s="31"/>
      <c r="E264" s="11"/>
      <c r="F264" s="12"/>
      <c r="G264" s="21"/>
      <c r="H264" s="21"/>
      <c r="I264" s="11"/>
      <c r="J264" s="12"/>
    </row>
    <row r="265" ht="15.75" customHeight="1">
      <c r="A265" s="28"/>
      <c r="B265" s="15"/>
      <c r="C265" s="32"/>
      <c r="D265" s="32"/>
      <c r="E265" s="15"/>
      <c r="F265" s="16"/>
      <c r="G265" s="22"/>
      <c r="H265" s="22"/>
      <c r="I265" s="15"/>
      <c r="J265" s="16"/>
    </row>
    <row r="266" ht="15.75" customHeight="1">
      <c r="A266" s="27"/>
      <c r="B266" s="11"/>
      <c r="C266" s="31"/>
      <c r="D266" s="31"/>
      <c r="E266" s="11"/>
      <c r="F266" s="12"/>
      <c r="G266" s="21"/>
      <c r="H266" s="21"/>
      <c r="I266" s="11"/>
      <c r="J266" s="12"/>
    </row>
    <row r="267" ht="15.75" customHeight="1">
      <c r="A267" s="28"/>
      <c r="B267" s="15"/>
      <c r="C267" s="32"/>
      <c r="D267" s="32"/>
      <c r="E267" s="15"/>
      <c r="F267" s="16"/>
      <c r="G267" s="22"/>
      <c r="H267" s="22"/>
      <c r="I267" s="15"/>
      <c r="J267" s="16"/>
    </row>
    <row r="268" ht="15.75" customHeight="1">
      <c r="A268" s="27"/>
      <c r="B268" s="11"/>
      <c r="C268" s="31"/>
      <c r="D268" s="31"/>
      <c r="E268" s="11"/>
      <c r="F268" s="12"/>
      <c r="G268" s="21"/>
      <c r="H268" s="21"/>
      <c r="I268" s="11"/>
      <c r="J268" s="12"/>
    </row>
    <row r="269" ht="15.75" customHeight="1">
      <c r="A269" s="28"/>
      <c r="B269" s="15"/>
      <c r="C269" s="32"/>
      <c r="D269" s="32"/>
      <c r="E269" s="15"/>
      <c r="F269" s="16"/>
      <c r="G269" s="22"/>
      <c r="H269" s="22"/>
      <c r="I269" s="15"/>
      <c r="J269" s="16"/>
    </row>
    <row r="270" ht="15.75" customHeight="1">
      <c r="A270" s="27"/>
      <c r="B270" s="11"/>
      <c r="C270" s="31"/>
      <c r="D270" s="31"/>
      <c r="E270" s="11"/>
      <c r="F270" s="12"/>
      <c r="G270" s="21"/>
      <c r="H270" s="21"/>
      <c r="I270" s="11"/>
      <c r="J270" s="12"/>
    </row>
    <row r="271" ht="15.75" customHeight="1">
      <c r="A271" s="28"/>
      <c r="B271" s="15"/>
      <c r="C271" s="32"/>
      <c r="D271" s="32"/>
      <c r="E271" s="15"/>
      <c r="F271" s="16"/>
      <c r="G271" s="22"/>
      <c r="H271" s="22"/>
      <c r="I271" s="15"/>
      <c r="J271" s="16"/>
    </row>
    <row r="272" ht="15.75" customHeight="1">
      <c r="A272" s="27"/>
      <c r="B272" s="11"/>
      <c r="C272" s="12"/>
      <c r="D272" s="12"/>
      <c r="E272" s="11"/>
      <c r="F272" s="12"/>
      <c r="G272" s="21"/>
      <c r="H272" s="21"/>
      <c r="I272" s="11"/>
      <c r="J272" s="12"/>
    </row>
    <row r="273" ht="15.75" customHeight="1">
      <c r="A273" s="28"/>
      <c r="B273" s="15"/>
      <c r="C273" s="16"/>
      <c r="D273" s="16"/>
      <c r="E273" s="15"/>
      <c r="F273" s="16"/>
      <c r="G273" s="22"/>
      <c r="H273" s="22"/>
      <c r="I273" s="15"/>
      <c r="J273" s="16"/>
    </row>
    <row r="274" ht="15.75" customHeight="1">
      <c r="A274" s="27"/>
      <c r="B274" s="11"/>
      <c r="C274" s="12"/>
      <c r="D274" s="12"/>
      <c r="E274" s="11"/>
      <c r="F274" s="12"/>
      <c r="G274" s="21"/>
      <c r="H274" s="21"/>
      <c r="I274" s="11"/>
      <c r="J274" s="12"/>
    </row>
    <row r="275" ht="15.75" customHeight="1">
      <c r="A275" s="28"/>
      <c r="B275" s="15"/>
      <c r="C275" s="16"/>
      <c r="D275" s="16"/>
      <c r="E275" s="15"/>
      <c r="F275" s="16"/>
      <c r="G275" s="22"/>
      <c r="H275" s="22"/>
      <c r="I275" s="15"/>
      <c r="J275" s="16"/>
    </row>
    <row r="276" ht="15.75" customHeight="1">
      <c r="A276" s="27"/>
      <c r="B276" s="11"/>
      <c r="C276" s="12"/>
      <c r="D276" s="12"/>
      <c r="E276" s="11"/>
      <c r="F276" s="12"/>
      <c r="G276" s="21"/>
      <c r="H276" s="21"/>
      <c r="I276" s="11"/>
      <c r="J276" s="12"/>
    </row>
    <row r="277" ht="15.75" customHeight="1">
      <c r="A277" s="28"/>
      <c r="B277" s="15"/>
      <c r="C277" s="16"/>
      <c r="D277" s="16"/>
      <c r="E277" s="15"/>
      <c r="F277" s="16"/>
      <c r="G277" s="22"/>
      <c r="H277" s="22"/>
      <c r="I277" s="15"/>
      <c r="J277" s="16"/>
    </row>
    <row r="278" ht="15.75" customHeight="1">
      <c r="A278" s="27"/>
      <c r="B278" s="11"/>
      <c r="C278" s="12"/>
      <c r="D278" s="12"/>
      <c r="E278" s="11"/>
      <c r="F278" s="12"/>
      <c r="G278" s="21"/>
      <c r="H278" s="21"/>
      <c r="I278" s="11"/>
      <c r="J278" s="12"/>
    </row>
    <row r="279" ht="15.75" customHeight="1">
      <c r="A279" s="28"/>
      <c r="B279" s="15"/>
      <c r="C279" s="16"/>
      <c r="D279" s="16"/>
      <c r="E279" s="15"/>
      <c r="F279" s="16"/>
      <c r="G279" s="22"/>
      <c r="H279" s="22"/>
      <c r="I279" s="15"/>
      <c r="J279" s="16"/>
    </row>
    <row r="280" ht="15.75" customHeight="1">
      <c r="A280" s="27"/>
      <c r="B280" s="11"/>
      <c r="C280" s="12"/>
      <c r="D280" s="12"/>
      <c r="E280" s="11"/>
      <c r="F280" s="12"/>
      <c r="G280" s="21"/>
      <c r="H280" s="21"/>
      <c r="I280" s="11"/>
      <c r="J280" s="12"/>
    </row>
    <row r="281" ht="15.75" customHeight="1">
      <c r="A281" s="28"/>
      <c r="B281" s="15"/>
      <c r="C281" s="16"/>
      <c r="D281" s="16"/>
      <c r="E281" s="15"/>
      <c r="F281" s="16"/>
      <c r="G281" s="22"/>
      <c r="H281" s="22"/>
      <c r="I281" s="15"/>
      <c r="J281" s="16"/>
    </row>
    <row r="282" ht="15.75" customHeight="1">
      <c r="A282" s="27"/>
      <c r="B282" s="11"/>
      <c r="C282" s="12"/>
      <c r="D282" s="12"/>
      <c r="E282" s="11"/>
      <c r="F282" s="12"/>
      <c r="G282" s="21"/>
      <c r="H282" s="21"/>
      <c r="I282" s="11"/>
      <c r="J282" s="12"/>
    </row>
    <row r="283" ht="15.75" customHeight="1">
      <c r="A283" s="28"/>
      <c r="B283" s="15"/>
      <c r="C283" s="16"/>
      <c r="D283" s="16"/>
      <c r="E283" s="15"/>
      <c r="F283" s="16"/>
      <c r="G283" s="22"/>
      <c r="H283" s="22"/>
      <c r="I283" s="15"/>
      <c r="J283" s="16"/>
    </row>
    <row r="284" ht="15.75" customHeight="1">
      <c r="A284" s="27"/>
      <c r="B284" s="11"/>
      <c r="C284" s="12"/>
      <c r="D284" s="12"/>
      <c r="E284" s="11"/>
      <c r="F284" s="12"/>
      <c r="G284" s="21"/>
      <c r="H284" s="21"/>
      <c r="I284" s="11"/>
      <c r="J284" s="12"/>
    </row>
    <row r="285" ht="15.75" customHeight="1">
      <c r="A285" s="28"/>
      <c r="B285" s="15"/>
      <c r="C285" s="16"/>
      <c r="D285" s="16"/>
      <c r="E285" s="15"/>
      <c r="F285" s="16"/>
      <c r="G285" s="22"/>
      <c r="H285" s="22"/>
      <c r="I285" s="15"/>
      <c r="J285" s="16"/>
    </row>
    <row r="286" ht="15.75" customHeight="1">
      <c r="A286" s="27"/>
      <c r="B286" s="11"/>
      <c r="C286" s="12"/>
      <c r="D286" s="12"/>
      <c r="E286" s="11"/>
      <c r="F286" s="12"/>
      <c r="G286" s="21"/>
      <c r="H286" s="21"/>
      <c r="I286" s="11"/>
      <c r="J286" s="12"/>
    </row>
    <row r="287" ht="15.75" customHeight="1">
      <c r="A287" s="28"/>
      <c r="B287" s="15"/>
      <c r="C287" s="16"/>
      <c r="D287" s="16"/>
      <c r="E287" s="15"/>
      <c r="F287" s="16"/>
      <c r="G287" s="22"/>
      <c r="H287" s="22"/>
      <c r="I287" s="15"/>
      <c r="J287" s="16"/>
    </row>
    <row r="288" ht="15.75" customHeight="1">
      <c r="A288" s="27"/>
      <c r="B288" s="11"/>
      <c r="C288" s="12"/>
      <c r="D288" s="12"/>
      <c r="E288" s="11"/>
      <c r="F288" s="12"/>
      <c r="G288" s="21"/>
      <c r="H288" s="21"/>
      <c r="I288" s="11"/>
      <c r="J288" s="12"/>
    </row>
    <row r="289" ht="15.75" customHeight="1">
      <c r="A289" s="28"/>
      <c r="B289" s="15"/>
      <c r="C289" s="16"/>
      <c r="D289" s="16"/>
      <c r="E289" s="15"/>
      <c r="F289" s="16"/>
      <c r="G289" s="22"/>
      <c r="H289" s="22"/>
      <c r="I289" s="15"/>
      <c r="J289" s="16"/>
    </row>
    <row r="290" ht="15.75" customHeight="1">
      <c r="A290" s="27"/>
      <c r="B290" s="11"/>
      <c r="C290" s="12"/>
      <c r="D290" s="12"/>
      <c r="E290" s="11"/>
      <c r="F290" s="12"/>
      <c r="G290" s="21"/>
      <c r="H290" s="21"/>
      <c r="I290" s="11"/>
      <c r="J290" s="12"/>
    </row>
    <row r="291" ht="15.75" customHeight="1">
      <c r="A291" s="28"/>
      <c r="B291" s="15"/>
      <c r="C291" s="16"/>
      <c r="D291" s="16"/>
      <c r="E291" s="15"/>
      <c r="F291" s="16"/>
      <c r="G291" s="22"/>
      <c r="H291" s="22"/>
      <c r="I291" s="15"/>
      <c r="J291" s="16"/>
    </row>
    <row r="292" ht="15.75" customHeight="1">
      <c r="A292" s="27"/>
      <c r="B292" s="11"/>
      <c r="C292" s="12"/>
      <c r="D292" s="12"/>
      <c r="E292" s="11"/>
      <c r="F292" s="12"/>
      <c r="G292" s="21"/>
      <c r="H292" s="21"/>
      <c r="I292" s="11"/>
      <c r="J292" s="12"/>
    </row>
    <row r="293" ht="15.75" customHeight="1">
      <c r="A293" s="28"/>
      <c r="B293" s="15"/>
      <c r="C293" s="16"/>
      <c r="D293" s="16"/>
      <c r="E293" s="15"/>
      <c r="F293" s="16"/>
      <c r="G293" s="22"/>
      <c r="H293" s="22"/>
      <c r="I293" s="15"/>
      <c r="J293" s="16"/>
    </row>
    <row r="294" ht="15.75" customHeight="1">
      <c r="A294" s="27"/>
      <c r="B294" s="11"/>
      <c r="C294" s="12"/>
      <c r="D294" s="12"/>
      <c r="E294" s="11"/>
      <c r="F294" s="12"/>
      <c r="G294" s="21"/>
      <c r="H294" s="21"/>
      <c r="I294" s="11"/>
      <c r="J294" s="12"/>
    </row>
    <row r="295" ht="15.75" customHeight="1">
      <c r="A295" s="28"/>
      <c r="B295" s="15"/>
      <c r="C295" s="16"/>
      <c r="D295" s="16"/>
      <c r="E295" s="15"/>
      <c r="F295" s="16"/>
      <c r="G295" s="22"/>
      <c r="H295" s="22"/>
      <c r="I295" s="15"/>
      <c r="J295" s="16"/>
    </row>
    <row r="296" ht="15.75" customHeight="1">
      <c r="A296" s="27"/>
      <c r="B296" s="11"/>
      <c r="C296" s="12"/>
      <c r="D296" s="12"/>
      <c r="E296" s="11"/>
      <c r="F296" s="12"/>
      <c r="G296" s="21"/>
      <c r="H296" s="21"/>
      <c r="I296" s="11"/>
      <c r="J296" s="12"/>
    </row>
    <row r="297" ht="15.75" customHeight="1">
      <c r="A297" s="28"/>
      <c r="B297" s="15"/>
      <c r="C297" s="16"/>
      <c r="D297" s="16"/>
      <c r="E297" s="15"/>
      <c r="F297" s="16"/>
      <c r="G297" s="22"/>
      <c r="H297" s="22"/>
      <c r="I297" s="15"/>
      <c r="J297" s="16"/>
    </row>
    <row r="298" ht="15.75" customHeight="1">
      <c r="A298" s="27"/>
      <c r="B298" s="11"/>
      <c r="C298" s="12"/>
      <c r="D298" s="12"/>
      <c r="E298" s="11"/>
      <c r="F298" s="12"/>
      <c r="G298" s="21"/>
      <c r="H298" s="21"/>
      <c r="I298" s="11"/>
      <c r="J298" s="12"/>
    </row>
    <row r="299" ht="15.75" customHeight="1">
      <c r="A299" s="28"/>
      <c r="B299" s="15"/>
      <c r="C299" s="16"/>
      <c r="D299" s="16"/>
      <c r="E299" s="15"/>
      <c r="F299" s="16"/>
      <c r="G299" s="22"/>
      <c r="H299" s="22"/>
      <c r="I299" s="15"/>
      <c r="J299" s="16"/>
    </row>
    <row r="300" ht="15.75" customHeight="1">
      <c r="A300" s="27"/>
      <c r="B300" s="11"/>
      <c r="C300" s="12"/>
      <c r="D300" s="12"/>
      <c r="E300" s="11"/>
      <c r="F300" s="12"/>
      <c r="G300" s="21"/>
      <c r="H300" s="21"/>
      <c r="I300" s="11"/>
      <c r="J300" s="12"/>
    </row>
    <row r="301" ht="15.75" customHeight="1">
      <c r="A301" s="28"/>
      <c r="B301" s="15"/>
      <c r="C301" s="16"/>
      <c r="D301" s="16"/>
      <c r="E301" s="15"/>
      <c r="F301" s="16"/>
      <c r="G301" s="22"/>
      <c r="H301" s="22"/>
      <c r="I301" s="15"/>
      <c r="J301" s="16"/>
    </row>
    <row r="302" ht="15.75" customHeight="1">
      <c r="A302" s="27"/>
      <c r="B302" s="11"/>
      <c r="C302" s="12"/>
      <c r="D302" s="12"/>
      <c r="E302" s="11"/>
      <c r="F302" s="12"/>
      <c r="G302" s="21"/>
      <c r="H302" s="21"/>
      <c r="I302" s="11"/>
      <c r="J302" s="12"/>
    </row>
    <row r="303" ht="15.75" customHeight="1">
      <c r="A303" s="28"/>
      <c r="B303" s="15"/>
      <c r="C303" s="16"/>
      <c r="D303" s="16"/>
      <c r="E303" s="15"/>
      <c r="F303" s="16"/>
      <c r="G303" s="22"/>
      <c r="H303" s="22"/>
      <c r="I303" s="15"/>
      <c r="J303" s="16"/>
    </row>
    <row r="304" ht="15.75" customHeight="1">
      <c r="A304" s="27"/>
      <c r="B304" s="11"/>
      <c r="C304" s="12"/>
      <c r="D304" s="12"/>
      <c r="E304" s="11"/>
      <c r="F304" s="12"/>
      <c r="G304" s="21"/>
      <c r="H304" s="21"/>
      <c r="I304" s="11"/>
      <c r="J304" s="12"/>
    </row>
    <row r="305" ht="15.75" customHeight="1">
      <c r="A305" s="28"/>
      <c r="B305" s="15"/>
      <c r="C305" s="16"/>
      <c r="D305" s="16"/>
      <c r="E305" s="15"/>
      <c r="F305" s="16"/>
      <c r="G305" s="22"/>
      <c r="H305" s="22"/>
      <c r="I305" s="15"/>
      <c r="J305" s="16"/>
    </row>
    <row r="306" ht="15.75" customHeight="1">
      <c r="A306" s="27"/>
      <c r="B306" s="11"/>
      <c r="C306" s="12"/>
      <c r="D306" s="12"/>
      <c r="E306" s="11"/>
      <c r="F306" s="12"/>
      <c r="G306" s="21"/>
      <c r="H306" s="21"/>
      <c r="I306" s="11"/>
      <c r="J306" s="12"/>
    </row>
    <row r="307" ht="15.75" customHeight="1">
      <c r="A307" s="28"/>
      <c r="B307" s="15"/>
      <c r="C307" s="16"/>
      <c r="D307" s="16"/>
      <c r="E307" s="15"/>
      <c r="F307" s="16"/>
      <c r="G307" s="22"/>
      <c r="H307" s="22"/>
      <c r="I307" s="15"/>
      <c r="J307" s="16"/>
    </row>
    <row r="308" ht="15.75" customHeight="1">
      <c r="A308" s="27"/>
      <c r="B308" s="11"/>
      <c r="C308" s="12"/>
      <c r="D308" s="12"/>
      <c r="E308" s="11"/>
      <c r="F308" s="12"/>
      <c r="G308" s="21"/>
      <c r="H308" s="21"/>
      <c r="I308" s="11"/>
      <c r="J308" s="12"/>
    </row>
    <row r="309" ht="15.75" customHeight="1">
      <c r="A309" s="28"/>
      <c r="B309" s="15"/>
      <c r="C309" s="16"/>
      <c r="D309" s="16"/>
      <c r="E309" s="15"/>
      <c r="F309" s="16"/>
      <c r="G309" s="22"/>
      <c r="H309" s="22"/>
      <c r="I309" s="15"/>
      <c r="J309" s="16"/>
    </row>
    <row r="310" ht="15.75" customHeight="1">
      <c r="A310" s="27"/>
      <c r="B310" s="11"/>
      <c r="C310" s="12"/>
      <c r="D310" s="12"/>
      <c r="E310" s="11"/>
      <c r="F310" s="12"/>
      <c r="G310" s="21"/>
      <c r="H310" s="21"/>
      <c r="I310" s="11"/>
      <c r="J310" s="12"/>
    </row>
    <row r="311" ht="15.75" customHeight="1">
      <c r="A311" s="28"/>
      <c r="B311" s="15"/>
      <c r="C311" s="16"/>
      <c r="D311" s="16"/>
      <c r="E311" s="15"/>
      <c r="F311" s="16"/>
      <c r="G311" s="22"/>
      <c r="H311" s="22"/>
      <c r="I311" s="15"/>
      <c r="J311" s="16"/>
    </row>
    <row r="312" ht="15.75" customHeight="1">
      <c r="A312" s="27"/>
      <c r="B312" s="11"/>
      <c r="C312" s="12"/>
      <c r="D312" s="12"/>
      <c r="E312" s="11"/>
      <c r="F312" s="12"/>
      <c r="G312" s="21"/>
      <c r="H312" s="21"/>
      <c r="I312" s="11"/>
      <c r="J312" s="12"/>
    </row>
    <row r="313" ht="15.75" customHeight="1">
      <c r="A313" s="28"/>
      <c r="B313" s="15"/>
      <c r="C313" s="16"/>
      <c r="D313" s="16"/>
      <c r="E313" s="15"/>
      <c r="F313" s="16"/>
      <c r="G313" s="22"/>
      <c r="H313" s="22"/>
      <c r="I313" s="15"/>
      <c r="J313" s="16"/>
    </row>
    <row r="314" ht="15.75" customHeight="1">
      <c r="A314" s="27"/>
      <c r="B314" s="11"/>
      <c r="C314" s="12"/>
      <c r="D314" s="12"/>
      <c r="E314" s="11"/>
      <c r="F314" s="12"/>
      <c r="G314" s="21"/>
      <c r="H314" s="21"/>
      <c r="I314" s="11"/>
      <c r="J314" s="12"/>
    </row>
    <row r="315" ht="15.75" customHeight="1">
      <c r="A315" s="28"/>
      <c r="B315" s="15"/>
      <c r="C315" s="16"/>
      <c r="D315" s="16"/>
      <c r="E315" s="15"/>
      <c r="F315" s="16"/>
      <c r="G315" s="22"/>
      <c r="H315" s="22"/>
      <c r="I315" s="15"/>
      <c r="J315" s="16"/>
    </row>
    <row r="316" ht="15.75" customHeight="1">
      <c r="A316" s="27"/>
      <c r="B316" s="11"/>
      <c r="C316" s="12"/>
      <c r="D316" s="12"/>
      <c r="E316" s="11"/>
      <c r="F316" s="12"/>
      <c r="G316" s="21"/>
      <c r="H316" s="21"/>
      <c r="I316" s="11"/>
      <c r="J316" s="12"/>
    </row>
    <row r="317" ht="15.75" customHeight="1">
      <c r="A317" s="28"/>
      <c r="B317" s="15"/>
      <c r="C317" s="16"/>
      <c r="D317" s="16"/>
      <c r="E317" s="15"/>
      <c r="F317" s="16"/>
      <c r="G317" s="22"/>
      <c r="H317" s="22"/>
      <c r="I317" s="15"/>
      <c r="J317" s="16"/>
    </row>
    <row r="318" ht="15.75" customHeight="1">
      <c r="A318" s="27"/>
      <c r="B318" s="11"/>
      <c r="C318" s="12"/>
      <c r="D318" s="12"/>
      <c r="E318" s="11"/>
      <c r="F318" s="12"/>
      <c r="G318" s="21"/>
      <c r="H318" s="21"/>
      <c r="I318" s="11"/>
      <c r="J318" s="12"/>
    </row>
    <row r="319" ht="15.75" customHeight="1">
      <c r="A319" s="28"/>
      <c r="B319" s="15"/>
      <c r="C319" s="16"/>
      <c r="D319" s="16"/>
      <c r="E319" s="15"/>
      <c r="F319" s="16"/>
      <c r="G319" s="22"/>
      <c r="H319" s="22"/>
      <c r="I319" s="15"/>
      <c r="J319" s="16"/>
    </row>
    <row r="320" ht="15.75" customHeight="1">
      <c r="A320" s="27"/>
      <c r="B320" s="11"/>
      <c r="C320" s="12"/>
      <c r="D320" s="12"/>
      <c r="E320" s="11"/>
      <c r="F320" s="12"/>
      <c r="G320" s="21"/>
      <c r="H320" s="21"/>
      <c r="I320" s="11"/>
      <c r="J320" s="12"/>
    </row>
    <row r="321" ht="15.75" customHeight="1">
      <c r="A321" s="28"/>
      <c r="B321" s="15"/>
      <c r="C321" s="16"/>
      <c r="D321" s="16"/>
      <c r="E321" s="15"/>
      <c r="F321" s="16"/>
      <c r="G321" s="22"/>
      <c r="H321" s="22"/>
      <c r="I321" s="15"/>
      <c r="J321" s="16"/>
    </row>
    <row r="322" ht="15.75" customHeight="1">
      <c r="A322" s="27"/>
      <c r="B322" s="11"/>
      <c r="C322" s="12"/>
      <c r="D322" s="12"/>
      <c r="E322" s="11"/>
      <c r="F322" s="12"/>
      <c r="G322" s="21"/>
      <c r="H322" s="21"/>
      <c r="I322" s="11"/>
      <c r="J322" s="12"/>
    </row>
    <row r="323" ht="15.75" customHeight="1">
      <c r="A323" s="28"/>
      <c r="B323" s="15"/>
      <c r="C323" s="16"/>
      <c r="D323" s="16"/>
      <c r="E323" s="15"/>
      <c r="F323" s="16"/>
      <c r="G323" s="22"/>
      <c r="H323" s="22"/>
      <c r="I323" s="15"/>
      <c r="J323" s="16"/>
    </row>
    <row r="324" ht="15.75" customHeight="1">
      <c r="A324" s="33"/>
      <c r="B324" s="11"/>
      <c r="C324" s="12"/>
      <c r="D324" s="12"/>
      <c r="E324" s="11"/>
      <c r="F324" s="12"/>
      <c r="G324" s="21"/>
      <c r="H324" s="21"/>
      <c r="I324" s="11"/>
      <c r="J324" s="12"/>
    </row>
    <row r="325" ht="15.75" customHeight="1">
      <c r="A325" s="34"/>
      <c r="B325" s="15"/>
      <c r="C325" s="16"/>
      <c r="D325" s="16"/>
      <c r="E325" s="15"/>
      <c r="F325" s="16"/>
      <c r="G325" s="22"/>
      <c r="H325" s="22"/>
      <c r="I325" s="15"/>
      <c r="J325" s="16"/>
    </row>
    <row r="326" ht="15.75" customHeight="1">
      <c r="A326" s="33"/>
      <c r="B326" s="11"/>
      <c r="C326" s="12"/>
      <c r="D326" s="12"/>
      <c r="E326" s="11"/>
      <c r="F326" s="12"/>
      <c r="G326" s="21"/>
      <c r="H326" s="21"/>
      <c r="I326" s="11"/>
      <c r="J326" s="12"/>
    </row>
    <row r="327" ht="15.75" customHeight="1">
      <c r="A327" s="34"/>
      <c r="B327" s="15"/>
      <c r="C327" s="16"/>
      <c r="D327" s="16"/>
      <c r="E327" s="15"/>
      <c r="F327" s="16"/>
      <c r="G327" s="22"/>
      <c r="H327" s="22"/>
      <c r="I327" s="15"/>
      <c r="J327" s="16"/>
    </row>
    <row r="328" ht="15.75" customHeight="1">
      <c r="A328" s="33"/>
      <c r="B328" s="11"/>
      <c r="C328" s="12"/>
      <c r="D328" s="12"/>
      <c r="E328" s="11"/>
      <c r="F328" s="12"/>
      <c r="G328" s="21"/>
      <c r="H328" s="21"/>
      <c r="I328" s="11"/>
      <c r="J328" s="12"/>
    </row>
    <row r="329" ht="15.75" customHeight="1">
      <c r="A329" s="34"/>
      <c r="B329" s="15"/>
      <c r="C329" s="16"/>
      <c r="D329" s="16"/>
      <c r="E329" s="15"/>
      <c r="F329" s="16"/>
      <c r="G329" s="22"/>
      <c r="H329" s="22"/>
      <c r="I329" s="15"/>
      <c r="J329" s="16"/>
    </row>
    <row r="330" ht="15.75" customHeight="1">
      <c r="A330" s="33"/>
      <c r="B330" s="11"/>
      <c r="C330" s="12"/>
      <c r="D330" s="12"/>
      <c r="E330" s="11"/>
      <c r="F330" s="12"/>
      <c r="G330" s="21"/>
      <c r="H330" s="21"/>
      <c r="I330" s="11"/>
      <c r="J330" s="12"/>
    </row>
    <row r="331" ht="15.75" customHeight="1">
      <c r="A331" s="34"/>
      <c r="B331" s="15"/>
      <c r="C331" s="16"/>
      <c r="D331" s="16"/>
      <c r="E331" s="15"/>
      <c r="F331" s="16"/>
      <c r="G331" s="22"/>
      <c r="H331" s="22"/>
      <c r="I331" s="15"/>
      <c r="J331" s="16"/>
    </row>
    <row r="332" ht="15.75" customHeight="1">
      <c r="A332" s="33"/>
      <c r="B332" s="11"/>
      <c r="C332" s="12"/>
      <c r="D332" s="12"/>
      <c r="E332" s="11"/>
      <c r="F332" s="12"/>
      <c r="G332" s="21"/>
      <c r="H332" s="21"/>
      <c r="I332" s="11"/>
      <c r="J332" s="12"/>
    </row>
    <row r="333" ht="15.75" customHeight="1">
      <c r="A333" s="34"/>
      <c r="B333" s="15"/>
      <c r="C333" s="16"/>
      <c r="D333" s="16"/>
      <c r="E333" s="15"/>
      <c r="F333" s="16"/>
      <c r="G333" s="22"/>
      <c r="H333" s="22"/>
      <c r="I333" s="15"/>
      <c r="J333" s="16"/>
    </row>
    <row r="334" ht="15.75" customHeight="1">
      <c r="A334" s="33"/>
      <c r="B334" s="11"/>
      <c r="C334" s="12"/>
      <c r="D334" s="12"/>
      <c r="E334" s="11"/>
      <c r="F334" s="12"/>
      <c r="G334" s="21"/>
      <c r="H334" s="21"/>
      <c r="I334" s="11"/>
      <c r="J334" s="12"/>
    </row>
    <row r="335" ht="15.75" customHeight="1">
      <c r="A335" s="34"/>
      <c r="B335" s="15"/>
      <c r="C335" s="16"/>
      <c r="D335" s="16"/>
      <c r="E335" s="15"/>
      <c r="F335" s="16"/>
      <c r="G335" s="22"/>
      <c r="H335" s="22"/>
      <c r="I335" s="15"/>
      <c r="J335" s="16"/>
    </row>
    <row r="336" ht="15.75" customHeight="1">
      <c r="A336" s="33"/>
      <c r="B336" s="11"/>
      <c r="C336" s="12"/>
      <c r="D336" s="12"/>
      <c r="E336" s="11"/>
      <c r="F336" s="12"/>
      <c r="G336" s="21"/>
      <c r="H336" s="21"/>
      <c r="I336" s="11"/>
      <c r="J336" s="12"/>
    </row>
    <row r="337" ht="15.75" customHeight="1">
      <c r="A337" s="34"/>
      <c r="B337" s="15"/>
      <c r="C337" s="16"/>
      <c r="D337" s="16"/>
      <c r="E337" s="15"/>
      <c r="F337" s="16"/>
      <c r="G337" s="22"/>
      <c r="H337" s="22"/>
      <c r="I337" s="15"/>
      <c r="J337" s="16"/>
    </row>
    <row r="338" ht="15.75" customHeight="1">
      <c r="A338" s="33"/>
      <c r="B338" s="11"/>
      <c r="C338" s="12"/>
      <c r="D338" s="12"/>
      <c r="E338" s="11"/>
      <c r="F338" s="12"/>
      <c r="G338" s="21"/>
      <c r="H338" s="21"/>
      <c r="I338" s="11"/>
      <c r="J338" s="12"/>
    </row>
    <row r="339" ht="15.75" customHeight="1">
      <c r="A339" s="34"/>
      <c r="B339" s="15"/>
      <c r="C339" s="16"/>
      <c r="D339" s="16"/>
      <c r="E339" s="15"/>
      <c r="F339" s="16"/>
      <c r="G339" s="22"/>
      <c r="H339" s="22"/>
      <c r="I339" s="15"/>
      <c r="J339" s="16"/>
    </row>
    <row r="340" ht="15.75" customHeight="1">
      <c r="A340" s="33"/>
      <c r="B340" s="11"/>
      <c r="C340" s="12"/>
      <c r="D340" s="12"/>
      <c r="E340" s="11"/>
      <c r="F340" s="12"/>
      <c r="G340" s="21"/>
      <c r="H340" s="21"/>
      <c r="I340" s="11"/>
      <c r="J340" s="12"/>
    </row>
    <row r="341" ht="15.75" customHeight="1">
      <c r="A341" s="34"/>
      <c r="B341" s="15"/>
      <c r="C341" s="16"/>
      <c r="D341" s="16"/>
      <c r="E341" s="15"/>
      <c r="F341" s="16"/>
      <c r="G341" s="22"/>
      <c r="H341" s="22"/>
      <c r="I341" s="15"/>
      <c r="J341" s="16"/>
    </row>
    <row r="342" ht="15.75" customHeight="1">
      <c r="A342" s="33"/>
      <c r="B342" s="11"/>
      <c r="C342" s="12"/>
      <c r="D342" s="12"/>
      <c r="E342" s="11"/>
      <c r="F342" s="12"/>
      <c r="G342" s="21"/>
      <c r="H342" s="21"/>
      <c r="I342" s="11"/>
      <c r="J342" s="12"/>
    </row>
    <row r="343" ht="15.75" customHeight="1">
      <c r="A343" s="34"/>
      <c r="B343" s="15"/>
      <c r="C343" s="16"/>
      <c r="D343" s="16"/>
      <c r="E343" s="15"/>
      <c r="F343" s="16"/>
      <c r="G343" s="22"/>
      <c r="H343" s="22"/>
      <c r="I343" s="15"/>
      <c r="J343" s="16"/>
    </row>
    <row r="344" ht="15.75" customHeight="1">
      <c r="A344" s="33"/>
      <c r="B344" s="11"/>
      <c r="C344" s="12"/>
      <c r="D344" s="12"/>
      <c r="E344" s="11"/>
      <c r="F344" s="12"/>
      <c r="G344" s="21"/>
      <c r="H344" s="21"/>
      <c r="I344" s="11"/>
      <c r="J344" s="12"/>
    </row>
    <row r="345" ht="15.75" customHeight="1">
      <c r="A345" s="34"/>
      <c r="B345" s="15"/>
      <c r="C345" s="16"/>
      <c r="D345" s="16"/>
      <c r="E345" s="15"/>
      <c r="F345" s="16"/>
      <c r="G345" s="22"/>
      <c r="H345" s="22"/>
      <c r="I345" s="15"/>
      <c r="J345" s="16"/>
    </row>
    <row r="346" ht="15.75" customHeight="1">
      <c r="A346" s="33"/>
      <c r="B346" s="11"/>
      <c r="C346" s="12"/>
      <c r="D346" s="12"/>
      <c r="E346" s="11"/>
      <c r="F346" s="12"/>
      <c r="G346" s="21"/>
      <c r="H346" s="21"/>
      <c r="I346" s="11"/>
      <c r="J346" s="12"/>
    </row>
    <row r="347" ht="15.75" customHeight="1">
      <c r="A347" s="34"/>
      <c r="B347" s="15"/>
      <c r="C347" s="16"/>
      <c r="D347" s="16"/>
      <c r="E347" s="15"/>
      <c r="F347" s="16"/>
      <c r="G347" s="22"/>
      <c r="H347" s="22"/>
      <c r="I347" s="15"/>
      <c r="J347" s="16"/>
    </row>
    <row r="348" ht="15.75" customHeight="1">
      <c r="A348" s="33"/>
      <c r="B348" s="11"/>
      <c r="C348" s="12"/>
      <c r="D348" s="12"/>
      <c r="E348" s="11"/>
      <c r="F348" s="12"/>
      <c r="G348" s="21"/>
      <c r="H348" s="21"/>
      <c r="I348" s="11"/>
      <c r="J348" s="12"/>
    </row>
    <row r="349" ht="15.75" customHeight="1">
      <c r="A349" s="34"/>
      <c r="B349" s="15"/>
      <c r="C349" s="16"/>
      <c r="D349" s="16"/>
      <c r="E349" s="15"/>
      <c r="F349" s="16"/>
      <c r="G349" s="22"/>
      <c r="H349" s="22"/>
      <c r="I349" s="15"/>
      <c r="J349" s="16"/>
    </row>
    <row r="350" ht="15.75" customHeight="1">
      <c r="A350" s="33"/>
      <c r="B350" s="11"/>
      <c r="C350" s="12"/>
      <c r="D350" s="12"/>
      <c r="E350" s="11"/>
      <c r="F350" s="12"/>
      <c r="G350" s="21"/>
      <c r="H350" s="21"/>
      <c r="I350" s="11"/>
      <c r="J350" s="12"/>
    </row>
    <row r="351" ht="15.75" customHeight="1">
      <c r="A351" s="34"/>
      <c r="B351" s="15"/>
      <c r="C351" s="16"/>
      <c r="D351" s="16"/>
      <c r="E351" s="15"/>
      <c r="F351" s="16"/>
      <c r="G351" s="22"/>
      <c r="H351" s="22"/>
      <c r="I351" s="15"/>
      <c r="J351" s="16"/>
    </row>
    <row r="352" ht="15.75" customHeight="1">
      <c r="A352" s="33"/>
      <c r="B352" s="11"/>
      <c r="C352" s="12"/>
      <c r="D352" s="12"/>
      <c r="E352" s="11"/>
      <c r="F352" s="12"/>
      <c r="G352" s="21"/>
      <c r="H352" s="21"/>
      <c r="I352" s="11"/>
      <c r="J352" s="12"/>
    </row>
    <row r="353" ht="15.75" customHeight="1">
      <c r="A353" s="34"/>
      <c r="B353" s="15"/>
      <c r="C353" s="16"/>
      <c r="D353" s="16"/>
      <c r="E353" s="15"/>
      <c r="F353" s="16"/>
      <c r="G353" s="22"/>
      <c r="H353" s="22"/>
      <c r="I353" s="15"/>
      <c r="J353" s="16"/>
    </row>
    <row r="354" ht="15.75" customHeight="1">
      <c r="A354" s="33"/>
      <c r="B354" s="11"/>
      <c r="C354" s="12"/>
      <c r="D354" s="12"/>
      <c r="E354" s="11"/>
      <c r="F354" s="12"/>
      <c r="G354" s="21"/>
      <c r="H354" s="21"/>
      <c r="I354" s="11"/>
      <c r="J354" s="12"/>
    </row>
    <row r="355" ht="15.75" customHeight="1">
      <c r="A355" s="34"/>
      <c r="B355" s="15"/>
      <c r="C355" s="16"/>
      <c r="D355" s="16"/>
      <c r="E355" s="15"/>
      <c r="F355" s="16"/>
      <c r="G355" s="22"/>
      <c r="H355" s="22"/>
      <c r="I355" s="15"/>
      <c r="J355" s="16"/>
    </row>
    <row r="356" ht="15.75" customHeight="1">
      <c r="A356" s="33"/>
      <c r="B356" s="11"/>
      <c r="C356" s="12"/>
      <c r="D356" s="12"/>
      <c r="E356" s="11"/>
      <c r="F356" s="12"/>
      <c r="G356" s="21"/>
      <c r="H356" s="21"/>
      <c r="I356" s="11"/>
      <c r="J356" s="12"/>
    </row>
    <row r="357" ht="15.75" customHeight="1">
      <c r="A357" s="34"/>
      <c r="B357" s="15"/>
      <c r="C357" s="16"/>
      <c r="D357" s="16"/>
      <c r="E357" s="15"/>
      <c r="F357" s="16"/>
      <c r="G357" s="22"/>
      <c r="H357" s="22"/>
      <c r="I357" s="15"/>
      <c r="J357" s="16"/>
    </row>
    <row r="358" ht="15.75" customHeight="1">
      <c r="A358" s="33"/>
      <c r="B358" s="11"/>
      <c r="C358" s="12"/>
      <c r="D358" s="12"/>
      <c r="E358" s="11"/>
      <c r="F358" s="12"/>
      <c r="G358" s="21"/>
      <c r="H358" s="21"/>
      <c r="I358" s="11"/>
      <c r="J358" s="12"/>
    </row>
    <row r="359" ht="15.75" customHeight="1">
      <c r="A359" s="34"/>
      <c r="B359" s="15"/>
      <c r="C359" s="16"/>
      <c r="D359" s="16"/>
      <c r="E359" s="15"/>
      <c r="F359" s="16"/>
      <c r="G359" s="22"/>
      <c r="H359" s="22"/>
      <c r="I359" s="15"/>
      <c r="J359" s="16"/>
    </row>
    <row r="360" ht="15.75" customHeight="1">
      <c r="A360" s="33"/>
      <c r="B360" s="11"/>
      <c r="C360" s="12"/>
      <c r="D360" s="12"/>
      <c r="E360" s="11"/>
      <c r="F360" s="12"/>
      <c r="G360" s="21"/>
      <c r="H360" s="21"/>
      <c r="I360" s="11"/>
      <c r="J360" s="12"/>
    </row>
    <row r="361" ht="15.75" customHeight="1">
      <c r="A361" s="34"/>
      <c r="B361" s="15"/>
      <c r="C361" s="16"/>
      <c r="D361" s="16"/>
      <c r="E361" s="15"/>
      <c r="F361" s="16"/>
      <c r="G361" s="22"/>
      <c r="H361" s="22"/>
      <c r="I361" s="15"/>
      <c r="J361" s="16"/>
    </row>
    <row r="362" ht="15.75" customHeight="1">
      <c r="A362" s="33"/>
      <c r="B362" s="11"/>
      <c r="C362" s="12"/>
      <c r="D362" s="12"/>
      <c r="E362" s="11"/>
      <c r="F362" s="12"/>
      <c r="G362" s="21"/>
      <c r="H362" s="21"/>
      <c r="I362" s="11"/>
      <c r="J362" s="12"/>
    </row>
    <row r="363" ht="15.75" customHeight="1">
      <c r="A363" s="34"/>
      <c r="B363" s="15"/>
      <c r="C363" s="16"/>
      <c r="D363" s="16"/>
      <c r="E363" s="15"/>
      <c r="F363" s="16"/>
      <c r="G363" s="22"/>
      <c r="H363" s="22"/>
      <c r="I363" s="15"/>
      <c r="J363" s="16"/>
    </row>
    <row r="364" ht="15.75" customHeight="1">
      <c r="A364" s="33"/>
      <c r="B364" s="11"/>
      <c r="C364" s="12"/>
      <c r="D364" s="12"/>
      <c r="E364" s="11"/>
      <c r="F364" s="12"/>
      <c r="G364" s="29"/>
      <c r="H364" s="21"/>
      <c r="I364" s="11"/>
      <c r="J364" s="12"/>
    </row>
    <row r="365" ht="15.75" customHeight="1">
      <c r="A365" s="34"/>
      <c r="B365" s="15"/>
      <c r="C365" s="16"/>
      <c r="D365" s="16"/>
      <c r="E365" s="15"/>
      <c r="F365" s="16"/>
      <c r="G365" s="22"/>
      <c r="H365" s="30"/>
      <c r="I365" s="15"/>
      <c r="J365" s="16"/>
      <c r="O365" s="18">
        <v>663000.0</v>
      </c>
      <c r="T365" s="4">
        <v>3636500.0</v>
      </c>
    </row>
    <row r="366" ht="15.75" customHeight="1">
      <c r="A366" s="33"/>
      <c r="B366" s="11"/>
      <c r="C366" s="12"/>
      <c r="D366" s="12"/>
      <c r="E366" s="11"/>
      <c r="F366" s="12"/>
      <c r="G366" s="21"/>
      <c r="H366" s="21"/>
      <c r="I366" s="11"/>
      <c r="J366" s="12"/>
      <c r="O366" s="4">
        <v>2113000.0</v>
      </c>
      <c r="R366" s="4">
        <v>3636500.0</v>
      </c>
      <c r="T366" s="4">
        <v>8221500.0</v>
      </c>
    </row>
    <row r="367" ht="15.75" customHeight="1">
      <c r="A367" s="34"/>
      <c r="B367" s="15"/>
      <c r="C367" s="16"/>
      <c r="D367" s="16"/>
      <c r="E367" s="15"/>
      <c r="F367" s="16"/>
      <c r="G367" s="22"/>
      <c r="H367" s="22"/>
      <c r="I367" s="15"/>
      <c r="J367" s="16"/>
      <c r="O367" s="18">
        <f>O365+O366</f>
        <v>2776000</v>
      </c>
      <c r="R367" s="4">
        <v>8221500.0</v>
      </c>
      <c r="T367" s="4">
        <v>551000.0</v>
      </c>
    </row>
    <row r="368" ht="15.75" customHeight="1">
      <c r="A368" s="33"/>
      <c r="B368" s="11"/>
      <c r="C368" s="12"/>
      <c r="D368" s="12"/>
      <c r="E368" s="11"/>
      <c r="F368" s="12"/>
      <c r="G368" s="21"/>
      <c r="H368" s="21"/>
      <c r="I368" s="11"/>
      <c r="J368" s="12"/>
      <c r="R368" s="4"/>
      <c r="T368" s="4">
        <f>SUM(T365:T367)</f>
        <v>12409000</v>
      </c>
    </row>
    <row r="369" ht="15.75" customHeight="1">
      <c r="A369" s="34"/>
      <c r="B369" s="15"/>
      <c r="C369" s="16"/>
      <c r="D369" s="16"/>
      <c r="E369" s="15"/>
      <c r="F369" s="16"/>
      <c r="G369" s="22"/>
      <c r="H369" s="22"/>
      <c r="I369" s="15"/>
      <c r="J369" s="16"/>
      <c r="R369" s="4">
        <v>551000.0</v>
      </c>
    </row>
    <row r="370" ht="15.75" customHeight="1">
      <c r="A370" s="33"/>
      <c r="B370" s="11"/>
      <c r="C370" s="12"/>
      <c r="D370" s="12"/>
      <c r="E370" s="11"/>
      <c r="F370" s="12"/>
      <c r="G370" s="21"/>
      <c r="H370" s="21"/>
      <c r="I370" s="11"/>
      <c r="J370" s="12"/>
      <c r="R370" s="4">
        <v>2113000.0</v>
      </c>
    </row>
    <row r="371" ht="15.75" customHeight="1">
      <c r="A371" s="34"/>
      <c r="B371" s="15"/>
      <c r="C371" s="16"/>
      <c r="D371" s="16"/>
      <c r="E371" s="15"/>
      <c r="F371" s="16"/>
      <c r="G371" s="22"/>
      <c r="H371" s="22"/>
      <c r="I371" s="15"/>
      <c r="J371" s="16"/>
      <c r="R371" s="4">
        <f>SUM(R366:R370)</f>
        <v>14522000</v>
      </c>
    </row>
    <row r="372" ht="15.75" customHeight="1">
      <c r="A372" s="33"/>
      <c r="B372" s="11"/>
      <c r="C372" s="12"/>
      <c r="D372" s="12"/>
      <c r="E372" s="11"/>
      <c r="F372" s="12"/>
      <c r="G372" s="21"/>
      <c r="H372" s="21"/>
      <c r="I372" s="11"/>
      <c r="J372" s="12"/>
    </row>
    <row r="373" ht="15.75" customHeight="1">
      <c r="A373" s="34"/>
      <c r="B373" s="15"/>
      <c r="C373" s="16"/>
      <c r="D373" s="16"/>
      <c r="E373" s="15"/>
      <c r="F373" s="16"/>
      <c r="G373" s="22"/>
      <c r="H373" s="22"/>
      <c r="I373" s="15"/>
      <c r="J373" s="16"/>
    </row>
    <row r="374" ht="15.75" customHeight="1">
      <c r="A374" s="33"/>
      <c r="B374" s="11"/>
      <c r="C374" s="12"/>
      <c r="D374" s="12"/>
      <c r="E374" s="11"/>
      <c r="F374" s="12"/>
      <c r="G374" s="21"/>
      <c r="H374" s="21"/>
      <c r="I374" s="11"/>
      <c r="J374" s="12"/>
    </row>
    <row r="375" ht="15.75" customHeight="1">
      <c r="A375" s="34"/>
      <c r="B375" s="15"/>
      <c r="C375" s="16"/>
      <c r="D375" s="16"/>
      <c r="E375" s="15"/>
      <c r="F375" s="16"/>
      <c r="G375" s="22"/>
      <c r="H375" s="22"/>
      <c r="I375" s="15"/>
      <c r="J375" s="16"/>
    </row>
    <row r="376" ht="15.75" customHeight="1">
      <c r="A376" s="33"/>
      <c r="B376" s="11"/>
      <c r="C376" s="12"/>
      <c r="D376" s="12"/>
      <c r="E376" s="11"/>
      <c r="F376" s="12"/>
      <c r="G376" s="21"/>
      <c r="H376" s="21"/>
      <c r="I376" s="11"/>
      <c r="J376" s="12"/>
    </row>
    <row r="377" ht="15.75" customHeight="1">
      <c r="A377" s="34"/>
      <c r="B377" s="15"/>
      <c r="C377" s="16"/>
      <c r="D377" s="16"/>
      <c r="E377" s="15"/>
      <c r="F377" s="16"/>
      <c r="G377" s="22"/>
      <c r="H377" s="22"/>
      <c r="I377" s="15"/>
      <c r="J377" s="16"/>
    </row>
    <row r="378" ht="15.75" customHeight="1">
      <c r="A378" s="31"/>
      <c r="B378" s="11"/>
      <c r="C378" s="12"/>
      <c r="D378" s="12"/>
      <c r="E378" s="11"/>
      <c r="F378" s="12"/>
      <c r="G378" s="21"/>
      <c r="H378" s="21"/>
      <c r="I378" s="11"/>
      <c r="J378" s="12"/>
    </row>
    <row r="379" ht="15.75" customHeight="1">
      <c r="G379" s="18"/>
      <c r="H379" s="18"/>
    </row>
    <row r="380" ht="15.75" customHeight="1">
      <c r="G380" s="18"/>
      <c r="H380" s="18"/>
    </row>
    <row r="381" ht="15.75" customHeight="1">
      <c r="G381" s="18"/>
      <c r="H381" s="18"/>
    </row>
    <row r="382" ht="15.75" customHeight="1">
      <c r="G382" s="18"/>
      <c r="H382" s="18"/>
    </row>
    <row r="383" ht="15.75" customHeight="1">
      <c r="G383" s="18"/>
      <c r="H383" s="18"/>
    </row>
    <row r="384" ht="15.75" customHeight="1">
      <c r="G384" s="18"/>
      <c r="H384" s="18"/>
    </row>
    <row r="385" ht="15.75" customHeight="1">
      <c r="G385" s="18"/>
      <c r="H385" s="18"/>
    </row>
    <row r="386" ht="15.75" customHeight="1">
      <c r="G386" s="18"/>
      <c r="H386" s="18"/>
    </row>
    <row r="387" ht="15.75" customHeight="1">
      <c r="G387" s="18"/>
      <c r="H387" s="18"/>
    </row>
    <row r="388" ht="15.75" customHeight="1">
      <c r="G388" s="18"/>
      <c r="H388" s="18"/>
    </row>
    <row r="389" ht="15.75" customHeight="1">
      <c r="G389" s="18"/>
      <c r="H389" s="18"/>
    </row>
    <row r="390" ht="15.75" customHeight="1">
      <c r="G390" s="18"/>
      <c r="H390" s="18"/>
    </row>
    <row r="391" ht="15.75" customHeight="1">
      <c r="G391" s="18"/>
      <c r="H391" s="18"/>
    </row>
    <row r="392" ht="15.75" customHeight="1">
      <c r="G392" s="18"/>
      <c r="H392" s="18"/>
    </row>
    <row r="393" ht="15.75" customHeight="1">
      <c r="G393" s="18"/>
      <c r="H393" s="18"/>
    </row>
    <row r="394" ht="15.75" customHeight="1">
      <c r="G394" s="18"/>
      <c r="H394" s="18"/>
    </row>
    <row r="395" ht="15.75" customHeight="1">
      <c r="G395" s="18"/>
      <c r="H395" s="18"/>
    </row>
    <row r="396" ht="15.75" customHeight="1">
      <c r="G396" s="18"/>
      <c r="H396" s="18"/>
    </row>
    <row r="397" ht="15.75" customHeight="1">
      <c r="G397" s="18"/>
      <c r="H397" s="18"/>
    </row>
    <row r="398" ht="15.75" customHeight="1">
      <c r="G398" s="18"/>
      <c r="H398" s="18"/>
    </row>
    <row r="399" ht="15.75" customHeight="1">
      <c r="G399" s="18"/>
      <c r="H399" s="18"/>
    </row>
    <row r="400" ht="15.75" customHeight="1">
      <c r="G400" s="18"/>
      <c r="H400" s="18"/>
    </row>
    <row r="401" ht="15.75" customHeight="1">
      <c r="G401" s="18"/>
      <c r="H401" s="18"/>
    </row>
    <row r="402" ht="15.75" customHeight="1">
      <c r="G402" s="18"/>
      <c r="H402" s="18"/>
    </row>
    <row r="403" ht="15.75" customHeight="1">
      <c r="G403" s="18"/>
      <c r="H403" s="18"/>
    </row>
    <row r="404" ht="15.75" customHeight="1">
      <c r="G404" s="18"/>
      <c r="H404" s="18"/>
    </row>
    <row r="405" ht="15.75" customHeight="1">
      <c r="G405" s="18"/>
      <c r="H405" s="18"/>
    </row>
    <row r="406" ht="15.75" customHeight="1">
      <c r="G406" s="18"/>
      <c r="H406" s="18"/>
    </row>
    <row r="407" ht="15.75" customHeight="1">
      <c r="G407" s="18"/>
      <c r="H407" s="18"/>
    </row>
    <row r="408" ht="15.75" customHeight="1">
      <c r="G408" s="18"/>
      <c r="H408" s="18"/>
    </row>
    <row r="409" ht="15.75" customHeight="1">
      <c r="G409" s="18"/>
      <c r="H409" s="18"/>
    </row>
    <row r="410" ht="15.75" customHeight="1">
      <c r="G410" s="18"/>
      <c r="H410" s="18"/>
    </row>
    <row r="411" ht="15.75" customHeight="1">
      <c r="G411" s="18"/>
      <c r="H411" s="18"/>
    </row>
    <row r="412" ht="15.75" customHeight="1">
      <c r="G412" s="18"/>
      <c r="H412" s="18"/>
    </row>
    <row r="413" ht="15.75" customHeight="1">
      <c r="G413" s="18"/>
      <c r="H413" s="18"/>
    </row>
    <row r="414" ht="15.75" customHeight="1">
      <c r="G414" s="18"/>
      <c r="H414" s="18"/>
    </row>
    <row r="415" ht="15.75" customHeight="1">
      <c r="G415" s="18"/>
      <c r="H415" s="18"/>
    </row>
    <row r="416" ht="15.75" customHeight="1">
      <c r="G416" s="18"/>
      <c r="H416" s="18"/>
    </row>
    <row r="417" ht="15.75" customHeight="1">
      <c r="G417" s="18"/>
      <c r="H417" s="18"/>
    </row>
    <row r="418" ht="15.75" customHeight="1">
      <c r="G418" s="18"/>
      <c r="H418" s="18"/>
    </row>
    <row r="419" ht="15.75" customHeight="1">
      <c r="G419" s="18"/>
      <c r="H419" s="18"/>
    </row>
    <row r="420" ht="15.75" customHeight="1">
      <c r="G420" s="18"/>
      <c r="H420" s="18"/>
    </row>
    <row r="421" ht="15.75" customHeight="1">
      <c r="G421" s="18"/>
      <c r="H421" s="18"/>
    </row>
    <row r="422" ht="15.75" customHeight="1">
      <c r="G422" s="18"/>
      <c r="H422" s="18"/>
    </row>
    <row r="423" ht="15.75" customHeight="1">
      <c r="G423" s="18"/>
      <c r="H423" s="18"/>
    </row>
    <row r="424" ht="15.75" customHeight="1">
      <c r="G424" s="18"/>
      <c r="H424" s="18"/>
    </row>
    <row r="425" ht="15.75" customHeight="1">
      <c r="G425" s="18"/>
      <c r="H425" s="18"/>
    </row>
    <row r="426" ht="15.75" customHeight="1">
      <c r="G426" s="18"/>
      <c r="H426" s="18"/>
    </row>
    <row r="427" ht="15.75" customHeight="1">
      <c r="G427" s="18"/>
      <c r="H427" s="18"/>
    </row>
    <row r="428" ht="15.75" customHeight="1">
      <c r="G428" s="18"/>
      <c r="H428" s="18"/>
    </row>
    <row r="429" ht="15.75" customHeight="1">
      <c r="G429" s="18"/>
      <c r="H429" s="18"/>
    </row>
    <row r="430" ht="15.75" customHeight="1">
      <c r="G430" s="18"/>
      <c r="H430" s="18"/>
    </row>
    <row r="431" ht="15.75" customHeight="1">
      <c r="G431" s="18"/>
      <c r="H431" s="18"/>
    </row>
    <row r="432" ht="15.75" customHeight="1">
      <c r="G432" s="18"/>
      <c r="H432" s="18"/>
    </row>
    <row r="433" ht="15.75" customHeight="1">
      <c r="G433" s="18"/>
      <c r="H433" s="18"/>
    </row>
    <row r="434" ht="15.75" customHeight="1">
      <c r="G434" s="18"/>
      <c r="H434" s="18"/>
    </row>
    <row r="435" ht="15.75" customHeight="1">
      <c r="G435" s="18"/>
      <c r="H435" s="18"/>
    </row>
    <row r="436" ht="15.75" customHeight="1">
      <c r="G436" s="18"/>
      <c r="H436" s="18"/>
    </row>
    <row r="437" ht="15.75" customHeight="1">
      <c r="G437" s="18"/>
      <c r="H437" s="18"/>
    </row>
    <row r="438" ht="15.75" customHeight="1">
      <c r="G438" s="18"/>
      <c r="H438" s="18"/>
    </row>
    <row r="439" ht="15.75" customHeight="1">
      <c r="G439" s="18"/>
      <c r="H439" s="18"/>
    </row>
    <row r="440" ht="15.75" customHeight="1">
      <c r="G440" s="18"/>
      <c r="H440" s="18"/>
    </row>
    <row r="441" ht="15.75" customHeight="1">
      <c r="G441" s="18"/>
      <c r="H441" s="18"/>
    </row>
    <row r="442" ht="15.75" customHeight="1">
      <c r="G442" s="18"/>
      <c r="H442" s="18"/>
    </row>
    <row r="443" ht="15.75" customHeight="1">
      <c r="G443" s="18"/>
      <c r="H443" s="18"/>
    </row>
    <row r="444" ht="15.75" customHeight="1">
      <c r="G444" s="18"/>
      <c r="H444" s="18"/>
    </row>
    <row r="445" ht="15.75" customHeight="1">
      <c r="G445" s="18"/>
      <c r="H445" s="18"/>
    </row>
    <row r="446" ht="15.75" customHeight="1">
      <c r="G446" s="18"/>
      <c r="H446" s="18"/>
    </row>
    <row r="447" ht="15.75" customHeight="1">
      <c r="G447" s="18"/>
      <c r="H447" s="18"/>
    </row>
    <row r="448" ht="15.75" customHeight="1">
      <c r="G448" s="18"/>
      <c r="H448" s="18"/>
    </row>
    <row r="449" ht="15.75" customHeight="1">
      <c r="G449" s="18"/>
      <c r="H449" s="18"/>
    </row>
    <row r="450" ht="15.75" customHeight="1">
      <c r="G450" s="18"/>
      <c r="H450" s="18"/>
    </row>
    <row r="451" ht="15.75" customHeight="1">
      <c r="G451" s="18"/>
      <c r="H451" s="18"/>
    </row>
    <row r="452" ht="15.75" customHeight="1">
      <c r="G452" s="18"/>
      <c r="H452" s="18"/>
    </row>
    <row r="453" ht="15.75" customHeight="1">
      <c r="G453" s="18"/>
      <c r="H453" s="18"/>
    </row>
    <row r="454" ht="15.75" customHeight="1">
      <c r="G454" s="18"/>
      <c r="H454" s="18"/>
    </row>
    <row r="455" ht="15.75" customHeight="1">
      <c r="G455" s="18"/>
      <c r="H455" s="18"/>
    </row>
    <row r="456" ht="15.75" customHeight="1">
      <c r="G456" s="18"/>
      <c r="H456" s="18"/>
    </row>
    <row r="457" ht="15.75" customHeight="1">
      <c r="G457" s="18"/>
      <c r="H457" s="18"/>
    </row>
    <row r="458" ht="15.75" customHeight="1">
      <c r="G458" s="18"/>
      <c r="H458" s="18"/>
    </row>
    <row r="459" ht="15.75" customHeight="1">
      <c r="G459" s="18"/>
      <c r="H459" s="18"/>
    </row>
    <row r="460" ht="15.75" customHeight="1">
      <c r="G460" s="18"/>
      <c r="H460" s="18"/>
    </row>
    <row r="461" ht="15.75" customHeight="1">
      <c r="G461" s="18"/>
      <c r="H461" s="18"/>
    </row>
    <row r="462" ht="15.75" customHeight="1">
      <c r="G462" s="18"/>
      <c r="H462" s="18"/>
    </row>
    <row r="463" ht="15.75" customHeight="1">
      <c r="G463" s="18"/>
      <c r="H463" s="18"/>
    </row>
    <row r="464" ht="15.75" customHeight="1">
      <c r="G464" s="18"/>
      <c r="H464" s="18"/>
    </row>
    <row r="465" ht="15.75" customHeight="1">
      <c r="G465" s="18"/>
      <c r="H465" s="18"/>
    </row>
    <row r="466" ht="15.75" customHeight="1">
      <c r="G466" s="18"/>
      <c r="H466" s="18"/>
    </row>
    <row r="467" ht="15.75" customHeight="1">
      <c r="G467" s="18"/>
      <c r="H467" s="18"/>
    </row>
    <row r="468" ht="15.75" customHeight="1">
      <c r="G468" s="18"/>
      <c r="H468" s="18"/>
    </row>
    <row r="469" ht="15.75" customHeight="1">
      <c r="G469" s="18"/>
      <c r="H469" s="18"/>
    </row>
    <row r="470" ht="15.75" customHeight="1">
      <c r="G470" s="18"/>
      <c r="H470" s="18"/>
    </row>
    <row r="471" ht="15.75" customHeight="1">
      <c r="G471" s="18"/>
      <c r="H471" s="18"/>
    </row>
    <row r="472" ht="15.75" customHeight="1">
      <c r="G472" s="18"/>
      <c r="H472" s="18"/>
    </row>
    <row r="473" ht="15.75" customHeight="1">
      <c r="G473" s="18"/>
      <c r="H473" s="18"/>
    </row>
    <row r="474" ht="15.75" customHeight="1">
      <c r="G474" s="18"/>
      <c r="H474" s="18"/>
    </row>
    <row r="475" ht="15.75" customHeight="1">
      <c r="G475" s="18"/>
      <c r="H475" s="18"/>
    </row>
    <row r="476" ht="15.75" customHeight="1">
      <c r="G476" s="18"/>
      <c r="H476" s="18"/>
    </row>
    <row r="477" ht="15.75" customHeight="1">
      <c r="G477" s="18"/>
      <c r="H477" s="18"/>
    </row>
    <row r="478" ht="15.75" customHeight="1">
      <c r="G478" s="18"/>
      <c r="H478" s="18"/>
    </row>
    <row r="479" ht="15.75" customHeight="1">
      <c r="G479" s="18"/>
      <c r="H479" s="18"/>
    </row>
    <row r="480" ht="15.75" customHeight="1">
      <c r="G480" s="18"/>
      <c r="H480" s="18"/>
    </row>
    <row r="481" ht="15.75" customHeight="1">
      <c r="G481" s="18"/>
      <c r="H481" s="18"/>
    </row>
    <row r="482" ht="15.75" customHeight="1">
      <c r="G482" s="18"/>
      <c r="H482" s="18"/>
    </row>
    <row r="483" ht="15.75" customHeight="1">
      <c r="G483" s="18"/>
      <c r="H483" s="18"/>
    </row>
    <row r="484" ht="15.75" customHeight="1">
      <c r="G484" s="18"/>
      <c r="H484" s="18"/>
    </row>
    <row r="485" ht="15.75" customHeight="1">
      <c r="G485" s="18"/>
      <c r="H485" s="18"/>
    </row>
    <row r="486" ht="15.75" customHeight="1">
      <c r="G486" s="18"/>
      <c r="H486" s="18"/>
    </row>
    <row r="487" ht="15.75" customHeight="1">
      <c r="G487" s="18"/>
      <c r="H487" s="18"/>
    </row>
    <row r="488" ht="15.75" customHeight="1">
      <c r="G488" s="18"/>
      <c r="H488" s="18"/>
    </row>
    <row r="489" ht="15.75" customHeight="1">
      <c r="G489" s="18"/>
      <c r="H489" s="18"/>
    </row>
    <row r="490" ht="15.75" customHeight="1">
      <c r="G490" s="18"/>
      <c r="H490" s="18"/>
    </row>
    <row r="491" ht="15.75" customHeight="1">
      <c r="G491" s="18"/>
      <c r="H491" s="18"/>
    </row>
    <row r="492" ht="15.75" customHeight="1">
      <c r="G492" s="18"/>
      <c r="H492" s="18"/>
    </row>
    <row r="493" ht="15.75" customHeight="1">
      <c r="G493" s="18"/>
      <c r="H493" s="18"/>
    </row>
    <row r="494" ht="15.75" customHeight="1">
      <c r="G494" s="18"/>
      <c r="H494" s="18"/>
    </row>
    <row r="495" ht="15.75" customHeight="1">
      <c r="G495" s="18"/>
      <c r="H495" s="18"/>
    </row>
    <row r="496" ht="15.75" customHeight="1">
      <c r="G496" s="18"/>
      <c r="H496" s="18"/>
    </row>
    <row r="497" ht="15.75" customHeight="1">
      <c r="G497" s="18"/>
      <c r="H497" s="18"/>
    </row>
    <row r="498" ht="15.75" customHeight="1">
      <c r="G498" s="18"/>
      <c r="H498" s="18"/>
    </row>
    <row r="499" ht="15.75" customHeight="1">
      <c r="G499" s="18"/>
      <c r="H499" s="18"/>
    </row>
    <row r="500" ht="15.75" customHeight="1">
      <c r="G500" s="18"/>
      <c r="H500" s="18"/>
    </row>
    <row r="501" ht="15.75" customHeight="1">
      <c r="G501" s="18"/>
      <c r="H501" s="18"/>
    </row>
    <row r="502" ht="15.75" customHeight="1">
      <c r="G502" s="18"/>
      <c r="H502" s="18"/>
    </row>
    <row r="503" ht="15.75" customHeight="1">
      <c r="G503" s="18"/>
      <c r="H503" s="18"/>
    </row>
    <row r="504" ht="15.75" customHeight="1">
      <c r="G504" s="18"/>
      <c r="H504" s="18"/>
    </row>
    <row r="505" ht="15.75" customHeight="1">
      <c r="G505" s="18"/>
      <c r="H505" s="18"/>
    </row>
    <row r="506" ht="15.75" customHeight="1">
      <c r="G506" s="18"/>
      <c r="H506" s="18"/>
    </row>
    <row r="507" ht="15.75" customHeight="1">
      <c r="G507" s="18"/>
      <c r="H507" s="18"/>
    </row>
    <row r="508" ht="15.75" customHeight="1">
      <c r="G508" s="18"/>
      <c r="H508" s="18"/>
    </row>
    <row r="509" ht="15.75" customHeight="1">
      <c r="G509" s="18"/>
      <c r="H509" s="18"/>
    </row>
    <row r="510" ht="15.75" customHeight="1">
      <c r="G510" s="18"/>
      <c r="H510" s="18"/>
    </row>
    <row r="511" ht="15.75" customHeight="1">
      <c r="G511" s="18"/>
      <c r="H511" s="18"/>
    </row>
    <row r="512" ht="15.75" customHeight="1">
      <c r="G512" s="18"/>
      <c r="H512" s="18"/>
    </row>
    <row r="513" ht="15.75" customHeight="1">
      <c r="G513" s="18"/>
      <c r="H513" s="18"/>
    </row>
    <row r="514" ht="15.75" customHeight="1">
      <c r="G514" s="18"/>
      <c r="H514" s="18"/>
    </row>
    <row r="515" ht="15.75" customHeight="1">
      <c r="G515" s="18"/>
      <c r="H515" s="18"/>
    </row>
    <row r="516" ht="15.75" customHeight="1">
      <c r="G516" s="18"/>
      <c r="H516" s="18"/>
    </row>
    <row r="517" ht="15.75" customHeight="1">
      <c r="G517" s="18"/>
      <c r="H517" s="18"/>
    </row>
    <row r="518" ht="15.75" customHeight="1">
      <c r="G518" s="18"/>
      <c r="H518" s="18"/>
    </row>
    <row r="519" ht="15.75" customHeight="1">
      <c r="G519" s="18"/>
      <c r="H519" s="18"/>
    </row>
    <row r="520" ht="15.75" customHeight="1">
      <c r="G520" s="18"/>
      <c r="H520" s="18"/>
    </row>
    <row r="521" ht="15.75" customHeight="1">
      <c r="G521" s="18"/>
      <c r="H521" s="18"/>
    </row>
    <row r="522" ht="15.75" customHeight="1">
      <c r="G522" s="18"/>
      <c r="H522" s="18"/>
    </row>
    <row r="523" ht="15.75" customHeight="1">
      <c r="G523" s="18"/>
      <c r="H523" s="18"/>
    </row>
    <row r="524" ht="15.75" customHeight="1">
      <c r="G524" s="18"/>
      <c r="H524" s="18"/>
    </row>
    <row r="525" ht="15.75" customHeight="1">
      <c r="G525" s="18"/>
      <c r="H525" s="18"/>
    </row>
    <row r="526" ht="15.75" customHeight="1">
      <c r="G526" s="18"/>
      <c r="H526" s="18"/>
    </row>
    <row r="527" ht="15.75" customHeight="1">
      <c r="G527" s="18"/>
      <c r="H527" s="18"/>
    </row>
    <row r="528" ht="15.75" customHeight="1">
      <c r="G528" s="18"/>
      <c r="H528" s="18"/>
    </row>
    <row r="529" ht="15.75" customHeight="1">
      <c r="G529" s="18"/>
      <c r="H529" s="18"/>
    </row>
    <row r="530" ht="15.75" customHeight="1">
      <c r="G530" s="18"/>
      <c r="H530" s="18"/>
    </row>
    <row r="531" ht="15.75" customHeight="1">
      <c r="G531" s="18"/>
      <c r="H531" s="18"/>
    </row>
    <row r="532" ht="15.75" customHeight="1">
      <c r="G532" s="18"/>
      <c r="H532" s="18"/>
    </row>
    <row r="533" ht="15.75" customHeight="1">
      <c r="G533" s="18"/>
      <c r="H533" s="18"/>
    </row>
    <row r="534" ht="15.75" customHeight="1">
      <c r="G534" s="18"/>
      <c r="H534" s="18"/>
    </row>
    <row r="535" ht="15.75" customHeight="1">
      <c r="G535" s="18"/>
      <c r="H535" s="18"/>
    </row>
    <row r="536" ht="15.75" customHeight="1">
      <c r="G536" s="18"/>
      <c r="H536" s="18"/>
    </row>
    <row r="537" ht="15.75" customHeight="1">
      <c r="G537" s="18"/>
      <c r="H537" s="18"/>
    </row>
    <row r="538" ht="15.75" customHeight="1">
      <c r="G538" s="18"/>
      <c r="H538" s="18"/>
    </row>
    <row r="539" ht="15.75" customHeight="1">
      <c r="G539" s="18"/>
      <c r="H539" s="18"/>
    </row>
    <row r="540" ht="15.75" customHeight="1">
      <c r="G540" s="18"/>
      <c r="H540" s="18"/>
    </row>
    <row r="541" ht="15.75" customHeight="1">
      <c r="G541" s="18"/>
      <c r="H541" s="18"/>
    </row>
    <row r="542" ht="15.75" customHeight="1">
      <c r="G542" s="18"/>
      <c r="H542" s="18"/>
    </row>
    <row r="543" ht="15.75" customHeight="1">
      <c r="G543" s="18"/>
      <c r="H543" s="18"/>
    </row>
    <row r="544" ht="15.75" customHeight="1">
      <c r="G544" s="18"/>
      <c r="H544" s="18"/>
    </row>
    <row r="545" ht="15.75" customHeight="1">
      <c r="G545" s="18"/>
      <c r="H545" s="18"/>
    </row>
    <row r="546" ht="15.75" customHeight="1">
      <c r="G546" s="18"/>
      <c r="H546" s="18"/>
    </row>
    <row r="547" ht="15.75" customHeight="1">
      <c r="G547" s="18"/>
      <c r="H547" s="18"/>
    </row>
    <row r="548" ht="15.75" customHeight="1">
      <c r="G548" s="18"/>
      <c r="H548" s="18"/>
    </row>
    <row r="549" ht="15.75" customHeight="1">
      <c r="G549" s="18"/>
      <c r="H549" s="18"/>
    </row>
    <row r="550" ht="15.75" customHeight="1">
      <c r="G550" s="18"/>
      <c r="H550" s="18"/>
    </row>
    <row r="551" ht="15.75" customHeight="1">
      <c r="G551" s="18"/>
      <c r="H551" s="18"/>
    </row>
    <row r="552" ht="15.75" customHeight="1">
      <c r="G552" s="18"/>
      <c r="H552" s="18"/>
    </row>
    <row r="553" ht="15.75" customHeight="1">
      <c r="G553" s="18"/>
      <c r="H553" s="18"/>
    </row>
    <row r="554" ht="15.75" customHeight="1">
      <c r="G554" s="18"/>
      <c r="H554" s="18"/>
    </row>
    <row r="555" ht="15.75" customHeight="1">
      <c r="G555" s="18"/>
      <c r="H555" s="18"/>
    </row>
    <row r="556" ht="15.75" customHeight="1">
      <c r="G556" s="18"/>
      <c r="H556" s="18"/>
    </row>
    <row r="557" ht="15.75" customHeight="1">
      <c r="G557" s="18"/>
      <c r="H557" s="18"/>
    </row>
    <row r="558" ht="15.75" customHeight="1">
      <c r="G558" s="18"/>
      <c r="H558" s="18"/>
    </row>
    <row r="559" ht="15.75" customHeight="1">
      <c r="G559" s="18"/>
      <c r="H559" s="18"/>
    </row>
    <row r="560" ht="15.75" customHeight="1">
      <c r="G560" s="18"/>
      <c r="H560" s="18"/>
    </row>
    <row r="561" ht="15.75" customHeight="1">
      <c r="G561" s="18"/>
      <c r="H561" s="18"/>
    </row>
    <row r="562" ht="15.75" customHeight="1">
      <c r="G562" s="18"/>
      <c r="H562" s="18"/>
    </row>
    <row r="563" ht="15.75" customHeight="1">
      <c r="G563" s="18"/>
      <c r="H563" s="18"/>
    </row>
    <row r="564" ht="15.75" customHeight="1">
      <c r="G564" s="18"/>
      <c r="H564" s="18"/>
    </row>
    <row r="565" ht="15.75" customHeight="1">
      <c r="G565" s="18"/>
      <c r="H565" s="18"/>
    </row>
    <row r="566" ht="15.75" customHeight="1">
      <c r="G566" s="18"/>
      <c r="H566" s="18"/>
    </row>
    <row r="567" ht="15.75" customHeight="1">
      <c r="G567" s="18"/>
      <c r="H567" s="18"/>
    </row>
    <row r="568" ht="15.75" customHeight="1">
      <c r="G568" s="18"/>
      <c r="H568" s="18"/>
    </row>
    <row r="569" ht="15.75" customHeight="1">
      <c r="G569" s="18"/>
      <c r="H569" s="18"/>
    </row>
    <row r="570" ht="15.75" customHeight="1">
      <c r="G570" s="18"/>
      <c r="H570" s="18"/>
    </row>
    <row r="571" ht="15.75" customHeight="1">
      <c r="G571" s="18"/>
      <c r="H571" s="18"/>
    </row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7:$J$378"/>
  <dataValidations>
    <dataValidation type="list" allowBlank="1" showErrorMessage="1" sqref="E8:E377">
      <formula1>Helper!$E$101:$E$152</formula1>
    </dataValidation>
  </dataValidations>
  <drawing r:id="rId1"/>
</worksheet>
</file>