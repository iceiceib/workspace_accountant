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_Fixed_Asset_Register_List" sheetId="1" r:id="rId5"/>
    <sheet state="visible" name="MR_Depreciation_Schedule" sheetId="2" r:id="rId6"/>
    <sheet state="visible" name="IRD_Fixed_Asset_Register_List" sheetId="3" r:id="rId7"/>
    <sheet state="visible" name="IRD_Depreciation_Schedule" sheetId="4" r:id="rId8"/>
    <sheet state="visible" name="Sheet5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9">
      <text>
        <t xml:space="preserve">operation not started yet
</t>
      </text>
    </comment>
  </commentList>
</comments>
</file>

<file path=xl/sharedStrings.xml><?xml version="1.0" encoding="utf-8"?>
<sst xmlns="http://schemas.openxmlformats.org/spreadsheetml/2006/main" count="397" uniqueCount="105">
  <si>
    <t>Accounts</t>
  </si>
  <si>
    <t>Prior Net Book Value ($)</t>
  </si>
  <si>
    <t>Land</t>
  </si>
  <si>
    <t xml:space="preserve"> </t>
  </si>
  <si>
    <t>Buildings &amp; Structures</t>
  </si>
  <si>
    <t>Machinery &amp; Equipment</t>
  </si>
  <si>
    <t>Office &amp; Facility Equipment</t>
  </si>
  <si>
    <t>Electrical &amp; Utility Systems</t>
  </si>
  <si>
    <t>Total Value</t>
  </si>
  <si>
    <t>Asset ID</t>
  </si>
  <si>
    <t>Asset Name</t>
  </si>
  <si>
    <t>COA</t>
  </si>
  <si>
    <t>Purchase Date</t>
  </si>
  <si>
    <t>Opening Balance Date</t>
  </si>
  <si>
    <t>Cost (MMK)</t>
  </si>
  <si>
    <t>Useful Life (Years)</t>
  </si>
  <si>
    <t>Depreciation Rate</t>
  </si>
  <si>
    <t>Depreciation Method</t>
  </si>
  <si>
    <t>Prior Accumulated Depreciation (MMK)</t>
  </si>
  <si>
    <t>Prior Net Book Value Mar-25 (MMK)</t>
  </si>
  <si>
    <t>Status</t>
  </si>
  <si>
    <t>Location</t>
  </si>
  <si>
    <t>၁၀၇ ပေ  x ၁၀၀ ပေ အုတ်ခြံစည်းရိုးနှစ်ဖက်ပါ မြေကွက်</t>
  </si>
  <si>
    <t>Active</t>
  </si>
  <si>
    <t xml:space="preserve"> သူဌေးကုန်းစက်ရုံ</t>
  </si>
  <si>
    <t>စက်ရုံပင်မအဆောက်အဦး ၄၅ ပေ  x  ၆၀ ပေ</t>
  </si>
  <si>
    <t>Straight-Line</t>
  </si>
  <si>
    <t>ဝန်ထမ်းအဆောက်အဦး ၃၀ ပေ  x ၂၀ ပေ</t>
  </si>
  <si>
    <t>ရေသန့်စက် ၂ထပ်အဆောက်အဦး နှင့် အုပ်ကန်ကြီး</t>
  </si>
  <si>
    <t>အုတ်ခြံစည်းရိုးနှစ်ဖက်</t>
  </si>
  <si>
    <t>၁ တန်ကျ ရေသန့်စက် (၁)လုံး ပစ္စည်းအစုံ</t>
  </si>
  <si>
    <t>Double-Declining Method</t>
  </si>
  <si>
    <t>မီတာ (၂) လုံး - Soft Drink Factory</t>
  </si>
  <si>
    <t>မီးအားမြှင့်စက် (15 KV) - ၂ လုံး</t>
  </si>
  <si>
    <t>အချိုရည် (၂)လုံးကျ စက်ပစ္စည်းစုံ -  ၂ စက်</t>
  </si>
  <si>
    <t>အဲယားကွန်း</t>
  </si>
  <si>
    <t>ရေမော်တာ ၃ လုံး</t>
  </si>
  <si>
    <t>ရေနွေးကျို စတီးလ်အိုးကြီး</t>
  </si>
  <si>
    <t>၂ ကောင်အား ရေမော်တာ နှင့်  Compressor</t>
  </si>
  <si>
    <t>Yankin Land</t>
  </si>
  <si>
    <t>ရန်ကင်းစက်ရုံ</t>
  </si>
  <si>
    <t>မီတာ (၂) လုံး - Yankin Drinking Water Facility</t>
  </si>
  <si>
    <t>1000 လီတာ စတီးအိုး လဲး</t>
  </si>
  <si>
    <t>200 KVA Transformer</t>
  </si>
  <si>
    <t>R.O Water Treatment System-5 Tons/HR</t>
  </si>
  <si>
    <t>120' x 50' Main Factory Building and 15' x 50' Two-storey building</t>
  </si>
  <si>
    <t xml:space="preserve">Pressure pumps with accessories </t>
  </si>
  <si>
    <t>Total Depreciation Expenses for the Period</t>
  </si>
  <si>
    <t>Yearly Depreciation Rate</t>
  </si>
  <si>
    <t>Monthly Depreciation Rate</t>
  </si>
  <si>
    <t>Used Years</t>
  </si>
  <si>
    <t>Used Months</t>
  </si>
  <si>
    <t>Prior Net Book Value</t>
  </si>
  <si>
    <t>Monthly Depreciation Expense</t>
  </si>
  <si>
    <t>Total Accumulated Depreciation</t>
  </si>
  <si>
    <t>FA-002</t>
  </si>
  <si>
    <t>FA-003</t>
  </si>
  <si>
    <t>FA-004</t>
  </si>
  <si>
    <t>FA-005</t>
  </si>
  <si>
    <t>FA-006</t>
  </si>
  <si>
    <t>FA-007</t>
  </si>
  <si>
    <t>FA-008</t>
  </si>
  <si>
    <t>FA-009</t>
  </si>
  <si>
    <t>FA-010</t>
  </si>
  <si>
    <t>FA-011</t>
  </si>
  <si>
    <t>FA-012</t>
  </si>
  <si>
    <t>FA-013</t>
  </si>
  <si>
    <t>FA-014</t>
  </si>
  <si>
    <t>FA-015</t>
  </si>
  <si>
    <t>FA-016</t>
  </si>
  <si>
    <t>FA-017</t>
  </si>
  <si>
    <t>FA-018</t>
  </si>
  <si>
    <t>FA-019</t>
  </si>
  <si>
    <t>FA-020</t>
  </si>
  <si>
    <t>FA-021</t>
  </si>
  <si>
    <t>Opening Balance</t>
  </si>
  <si>
    <t>Monthly Depreciation Expenses</t>
  </si>
  <si>
    <t>Net Book Value for Feb-25</t>
  </si>
  <si>
    <t>Net Book Value for Mar-25</t>
  </si>
  <si>
    <t>Net Book Value for April-25</t>
  </si>
  <si>
    <t>Net Book Value for May-25</t>
  </si>
  <si>
    <t>Prior Accumulated Depreciation Expenses</t>
  </si>
  <si>
    <t>၂၅-၇-၂၀၂၅ ရက်နေ့အထိ ခြံစည်းရိုး၊ (ပေ ၁၂၀  x ပေ ၅၀ ) စက်ရုံ၊ (ပေ ၁၅ , ပေ ၅၀) နှစ်ထပ်, ရေကန်၊ သန့်စင်ခန်းအဆောက်အဉီးအတွက် သုံးစွဲမှု ကနဦးကုန်ကျစရိတ်</t>
  </si>
  <si>
    <t xml:space="preserve">စဉ် </t>
  </si>
  <si>
    <t>အသုံးပြုပစ္စည်း အမျိုးအစား</t>
  </si>
  <si>
    <t>ဝယ်ယူကုန်ကျစရိတ်</t>
  </si>
  <si>
    <t>မှတ်ချက်</t>
  </si>
  <si>
    <t>ဘိလပ်မြေဝယ်ယူမှု (၁၄၀၀) အိတ်</t>
  </si>
  <si>
    <t>သဲဝယ်ယူရမှု ၅ ကျင်းကား (၄၇) စီး</t>
  </si>
  <si>
    <t>သစ်၊ အထပ်သား (ကျောက်ပုံး၊ ကျောက်ခွက်)</t>
  </si>
  <si>
    <t>ခြံစည်းရိုးဝါးကပ်ကာရံမှု</t>
  </si>
  <si>
    <t>ဘင့် Hollow သံ သွပ် ဒက်ရှိ</t>
  </si>
  <si>
    <t>သံတိုင်၊ Hollow ဆေးသုတ်ခြင်း</t>
  </si>
  <si>
    <t>PVC တံခါးများ တပ်ဆင်မှု</t>
  </si>
  <si>
    <t>ကျောက်စရစ်ဝယ်ယူမှု ၅ ကျင်းကား (၁၃) စီး</t>
  </si>
  <si>
    <t>အုတ်ဝယ်ယူမှု (၉၀၃၀၀)</t>
  </si>
  <si>
    <t>အသေးသုံး (အထွေထွေ)</t>
  </si>
  <si>
    <t>၁၂၀ ပေ , ၅၀ ပေ လုပ်အားခ ( ၁ စတုရန်းပေ x 9000)</t>
  </si>
  <si>
    <t>၁၅ ပေ, ၅၀ ပေ (အောက်ထပ်) လုပ်အားခ (၁ စတုရန်းပေ x ၉၀၀၀)</t>
  </si>
  <si>
    <t>၁၅ ပေ, ၅၀ ပေ (အပေါထပ်) လုပ်အားခ (၁ စတုရန်းပေ x ၁၈၀၀၀)</t>
  </si>
  <si>
    <t>အုတ်ခြံစည်းရိုး  (၁၀၀ ပေ x ၆ပေ) လုပ်အားခ ( ၁ ပေ x 15000 x 100 )</t>
  </si>
  <si>
    <t>ရေကန် (၆ပေ, ၁၀ပေ, ၂၀ပေ) လုပ်အားခ</t>
  </si>
  <si>
    <t>သန့်စင်ခန်း + ရေကန် (စက်ရုံဘေး) လုပ်အားခ</t>
  </si>
  <si>
    <t>စက်ရုံအတွင်းဆေးသုတ်ခြင်း OE အမျိုးအစား (ပစ္စည်း + လုပ်အားခ)</t>
  </si>
  <si>
    <t>စုစုပေါင်း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</si>
</sst>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m-d"/>
    <numFmt numFmtId="166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Pyidaungsu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4" xfId="0" applyBorder="1" applyFont="1" applyNumberFormat="1"/>
    <xf borderId="1" fillId="0" fontId="2" numFmtId="3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1" numFmtId="164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10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Alignment="1" applyFon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2" fontId="1" numFmtId="3" xfId="0" applyAlignment="1" applyBorder="1" applyFill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3" xfId="0" applyFont="1" applyNumberFormat="1"/>
    <xf borderId="0" fillId="0" fontId="1" numFmtId="10" xfId="0" applyFont="1" applyNumberFormat="1"/>
    <xf borderId="0" fillId="2" fontId="1" numFmtId="0" xfId="0" applyFont="1"/>
    <xf borderId="0" fillId="3" fontId="1" numFmtId="3" xfId="0" applyAlignment="1" applyFill="1" applyFont="1" applyNumberFormat="1">
      <alignment readingOrder="0"/>
    </xf>
    <xf borderId="0" fillId="0" fontId="1" numFmtId="9" xfId="0" applyFont="1" applyNumberFormat="1"/>
    <xf borderId="0" fillId="3" fontId="1" numFmtId="0" xfId="0" applyAlignment="1" applyFont="1">
      <alignment readingOrder="0"/>
    </xf>
    <xf borderId="0" fillId="0" fontId="1" numFmtId="0" xfId="0" applyFont="1"/>
    <xf borderId="1" fillId="0" fontId="2" numFmtId="3" xfId="0" applyBorder="1" applyFont="1" applyNumberFormat="1"/>
    <xf borderId="0" fillId="0" fontId="1" numFmtId="4" xfId="0" applyFont="1" applyNumberFormat="1"/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8">
    <tableStyle count="3" pivot="0" name="MR_Fixed_Asset_Register_List-style">
      <tableStyleElement dxfId="1" type="headerRow"/>
      <tableStyleElement dxfId="2" type="firstRowStripe"/>
      <tableStyleElement dxfId="3" type="secondRowStripe"/>
    </tableStyle>
    <tableStyle count="3" pivot="0" name="MR_Fixed_Asset_Register_List-style 2">
      <tableStyleElement dxfId="1" type="headerRow"/>
      <tableStyleElement dxfId="2" type="firstRowStripe"/>
      <tableStyleElement dxfId="3" type="secondRowStripe"/>
    </tableStyle>
    <tableStyle count="3" pivot="0" name="MR_Depreciation_Schedule-style">
      <tableStyleElement dxfId="1" type="headerRow"/>
      <tableStyleElement dxfId="2" type="firstRowStripe"/>
      <tableStyleElement dxfId="3" type="secondRowStripe"/>
    </tableStyle>
    <tableStyle count="3" pivot="0" name="MR_Depreciation_Schedule-style 2">
      <tableStyleElement dxfId="4" type="headerRow"/>
      <tableStyleElement dxfId="2" type="firstRowStripe"/>
      <tableStyleElement dxfId="5" type="secondRowStripe"/>
    </tableStyle>
    <tableStyle count="3" pivot="0" name="IRD_Fixed_Asset_Register_List-style">
      <tableStyleElement dxfId="1" type="headerRow"/>
      <tableStyleElement dxfId="2" type="firstRowStripe"/>
      <tableStyleElement dxfId="3" type="secondRowStripe"/>
    </tableStyle>
    <tableStyle count="3" pivot="0" name="IRD_Fixed_Asset_Register_List-style 2">
      <tableStyleElement dxfId="1" type="headerRow"/>
      <tableStyleElement dxfId="2" type="firstRowStripe"/>
      <tableStyleElement dxfId="3" type="secondRowStripe"/>
    </tableStyle>
    <tableStyle count="3" pivot="0" name="IRD_Depreciation_Schedule-style">
      <tableStyleElement dxfId="1" type="headerRow"/>
      <tableStyleElement dxfId="2" type="firstRowStripe"/>
      <tableStyleElement dxfId="3" type="secondRowStripe"/>
    </tableStyle>
    <tableStyle count="3" pivot="0" name="IRD_Depreciation_Schedule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M2:CT8" displayName="Table_1" name="Table_1" id="1">
  <tableColumns count="8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</tableColumns>
  <tableStyleInfo name="MR_Fixed_Asset_Register_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1:W32" displayName="Table_2" name="Table_2" id="2">
  <tableColumns count="23">
    <tableColumn name="Asset ID" id="1"/>
    <tableColumn name="Asset Name" id="2"/>
    <tableColumn name="Accounts" id="3"/>
    <tableColumn name="COA" id="4"/>
    <tableColumn name="Purchase Date" id="5"/>
    <tableColumn name="Opening Balance Date" id="6"/>
    <tableColumn name="Cost (MMK)" id="7"/>
    <tableColumn name="Useful Life (Years)" id="8"/>
    <tableColumn name="Depreciation Rate" id="9"/>
    <tableColumn name="Depreciation Method" id="10"/>
    <tableColumn name="Prior Accumulated Depreciation (MMK)" id="11"/>
    <tableColumn name="Prior Net Book Value Mar-25 (MMK)" id="12"/>
    <tableColumn name="Status" id="13"/>
    <tableColumn name="Location" id="14"/>
    <tableColumn name="Net Book Value Apr-25" id="15"/>
    <tableColumn name="Net Book Value May-25" id="16"/>
    <tableColumn name="Net Book Value Jun-25" id="17"/>
    <tableColumn name="Net Book Value Jul-25" id="18"/>
    <tableColumn name="Net Book Value Aug-25" id="19"/>
    <tableColumn name="Net Book Value Sep-25" id="20"/>
    <tableColumn name="Net Book Value Oct-25" id="21"/>
    <tableColumn name="Net Book Value Nov-25" id="22"/>
    <tableColumn name="Net Book Value Dec-25" id="23"/>
  </tableColumns>
  <tableStyleInfo name="MR_Fixed_Asset_Register_List-style 2" showColumnStripes="0" showFirstColumn="1" showLastColumn="1" showRowStripes="1"/>
</table>
</file>

<file path=xl/tables/table3.xml><?xml version="1.0" encoding="utf-8"?>
<table xmlns="http://schemas.openxmlformats.org/spreadsheetml/2006/main" ref="M2:CS8" displayName="Table_3" name="Table_3" id="3">
  <tableColumns count="85">
    <tableColumn name="Accounts" id="1"/>
    <tableColumn name="Apr-2025" id="2"/>
    <tableColumn name="May-2025" id="3"/>
    <tableColumn name="Jun-2025" id="4"/>
    <tableColumn name="Jul-2025" id="5"/>
    <tableColumn name="Aug-2025" id="6"/>
    <tableColumn name="Sep-2025" id="7"/>
    <tableColumn name="Oct-2025" id="8"/>
    <tableColumn name="Nov-2025" id="9"/>
    <tableColumn name="Dec-2025" id="10"/>
    <tableColumn name="Jan-2026" id="11"/>
    <tableColumn name="Feb-2026" id="12"/>
    <tableColumn name="Mar-2026" id="13"/>
    <tableColumn name="Apr-2026" id="14"/>
    <tableColumn name="May-2026" id="15"/>
    <tableColumn name="Jun-2026" id="16"/>
    <tableColumn name="Jul-2026" id="17"/>
    <tableColumn name="Aug-2026" id="18"/>
    <tableColumn name="Sep-2026" id="19"/>
    <tableColumn name="Oct-2026" id="20"/>
    <tableColumn name="Nov-2026" id="21"/>
    <tableColumn name="Dec-2026" id="22"/>
    <tableColumn name="Jan-2027" id="23"/>
    <tableColumn name="Feb-2027" id="24"/>
    <tableColumn name="Mar-2027" id="25"/>
    <tableColumn name="Apr-2027" id="26"/>
    <tableColumn name="May-2027" id="27"/>
    <tableColumn name="Jun-2027" id="28"/>
    <tableColumn name="Jul-2027" id="29"/>
    <tableColumn name="Aug-2027" id="30"/>
    <tableColumn name="Sep-2027" id="31"/>
    <tableColumn name="Oct-2027" id="32"/>
    <tableColumn name="Nov-2027" id="33"/>
    <tableColumn name="Dec-2027" id="34"/>
    <tableColumn name="Jan-2028" id="35"/>
    <tableColumn name="Feb-2028" id="36"/>
    <tableColumn name="Mar-2028" id="37"/>
    <tableColumn name="Apr-2028" id="38"/>
    <tableColumn name="May-2028" id="39"/>
    <tableColumn name="Jun-2028" id="40"/>
    <tableColumn name="Jul-2028" id="41"/>
    <tableColumn name="Aug-2028" id="42"/>
    <tableColumn name="Sep-2028" id="43"/>
    <tableColumn name="Oct-2028" id="44"/>
    <tableColumn name="Nov-2028" id="45"/>
    <tableColumn name="Dec-2028" id="46"/>
    <tableColumn name="Jan-2029" id="47"/>
    <tableColumn name="Feb-2029" id="48"/>
    <tableColumn name="Mar-2029" id="49"/>
    <tableColumn name="Apr-2029" id="50"/>
    <tableColumn name="May-2029" id="51"/>
    <tableColumn name="Jun-2029" id="52"/>
    <tableColumn name="Jul-2029" id="53"/>
    <tableColumn name="Aug-2029" id="54"/>
    <tableColumn name="Sep-2029" id="55"/>
    <tableColumn name="Oct-2029" id="56"/>
    <tableColumn name="Nov-2029" id="57"/>
    <tableColumn name="Dec-2029" id="58"/>
    <tableColumn name="Jan-2030" id="59"/>
    <tableColumn name="Feb-2030" id="60"/>
    <tableColumn name="Mar-2030" id="61"/>
    <tableColumn name="Apr-2030" id="62"/>
    <tableColumn name="May-2030" id="63"/>
    <tableColumn name="Jun-2030" id="64"/>
    <tableColumn name="Jul-2030" id="65"/>
    <tableColumn name="Aug-2030" id="66"/>
    <tableColumn name="Sep-2030" id="67"/>
    <tableColumn name="Oct-2030" id="68"/>
    <tableColumn name="Nov-2030" id="69"/>
    <tableColumn name="Dec-2030" id="70"/>
    <tableColumn name="Jan-2031" id="71"/>
    <tableColumn name="Feb-2031" id="72"/>
    <tableColumn name="Mar-2031" id="73"/>
    <tableColumn name="Apr-2031" id="74"/>
    <tableColumn name="May-2031" id="75"/>
    <tableColumn name="Jun-2031" id="76"/>
    <tableColumn name="Jul-2031" id="77"/>
    <tableColumn name="Aug-2031" id="78"/>
    <tableColumn name="Sep-2031" id="79"/>
    <tableColumn name="Oct-2031" id="80"/>
    <tableColumn name="Nov-2031" id="81"/>
    <tableColumn name="Dec-2031" id="82"/>
    <tableColumn name="Jan-2032" id="83"/>
    <tableColumn name="Feb-2032" id="84"/>
    <tableColumn name="Mar-2032" id="85"/>
  </tableColumns>
  <tableStyleInfo name="MR_Depreciation_Schedule-style" showColumnStripes="0" showFirstColumn="1" showLastColumn="1" showRowStripes="1"/>
</table>
</file>

<file path=xl/tables/table4.xml><?xml version="1.0" encoding="utf-8"?>
<table xmlns="http://schemas.openxmlformats.org/spreadsheetml/2006/main" ref="A11:CT31" displayName="Table_4" name="Table_4" id="4">
  <tableColumns count="98">
    <tableColumn name="Asset ID" id="1"/>
    <tableColumn name="Asset Name" id="2"/>
    <tableColumn name="Accounts" id="3"/>
    <tableColumn name="COA" id="4"/>
    <tableColumn name="Purchase Date" id="5"/>
    <tableColumn name="Cost (MMK)" id="6"/>
    <tableColumn name="Useful Life (Years)" id="7"/>
    <tableColumn name="Yearly Depreciation Rate" id="8"/>
    <tableColumn name="Monthly Depreciation Rate" id="9"/>
    <tableColumn name="Used Years" id="10"/>
    <tableColumn name="Used Months" id="11"/>
    <tableColumn name="Prior Net Book Value" id="12"/>
    <tableColumn name="Monthly Depreciation Expense" id="13"/>
    <tableColumn name="Apr-2025" id="14"/>
    <tableColumn name="May-2025" id="15"/>
    <tableColumn name="Jun-2025" id="16"/>
    <tableColumn name="Jul-2025" id="17"/>
    <tableColumn name="Aug-2025" id="18"/>
    <tableColumn name="Sep-2025" id="19"/>
    <tableColumn name="Oct-2025" id="20"/>
    <tableColumn name="Nov-2025" id="21"/>
    <tableColumn name="Dec-2025" id="22"/>
    <tableColumn name="Jan-2026" id="23"/>
    <tableColumn name="Feb-2026" id="24"/>
    <tableColumn name="Mar-2026" id="25"/>
    <tableColumn name="Apr-2026" id="26"/>
    <tableColumn name="May-2026" id="27"/>
    <tableColumn name="Jun-2026" id="28"/>
    <tableColumn name="Jul-2026" id="29"/>
    <tableColumn name="Aug-2026" id="30"/>
    <tableColumn name="Sep-2026" id="31"/>
    <tableColumn name="Oct-2026" id="32"/>
    <tableColumn name="Nov-2026" id="33"/>
    <tableColumn name="Dec-2026" id="34"/>
    <tableColumn name="Jan-2027" id="35"/>
    <tableColumn name="Feb-2027" id="36"/>
    <tableColumn name="Mar-2027" id="37"/>
    <tableColumn name="Apr-2027" id="38"/>
    <tableColumn name="May-2027" id="39"/>
    <tableColumn name="Jun-2027" id="40"/>
    <tableColumn name="Jul-2027" id="41"/>
    <tableColumn name="Aug-2027" id="42"/>
    <tableColumn name="Sep-2027" id="43"/>
    <tableColumn name="Oct-2027" id="44"/>
    <tableColumn name="Nov-2027" id="45"/>
    <tableColumn name="Dec-2027" id="46"/>
    <tableColumn name="Jan-2028" id="47"/>
    <tableColumn name="Feb-2028" id="48"/>
    <tableColumn name="Mar-2028" id="49"/>
    <tableColumn name="Apr-2028" id="50"/>
    <tableColumn name="May-2028" id="51"/>
    <tableColumn name="Jun-2028" id="52"/>
    <tableColumn name="Jul-2028" id="53"/>
    <tableColumn name="Aug-2028" id="54"/>
    <tableColumn name="Sep-2028" id="55"/>
    <tableColumn name="Oct-2028" id="56"/>
    <tableColumn name="Nov-2028" id="57"/>
    <tableColumn name="Dec-2028" id="58"/>
    <tableColumn name="Jan-2029" id="59"/>
    <tableColumn name="Feb-2029" id="60"/>
    <tableColumn name="Mar-2029" id="61"/>
    <tableColumn name="Apr-2029" id="62"/>
    <tableColumn name="May-2029" id="63"/>
    <tableColumn name="Jun-2029" id="64"/>
    <tableColumn name="Jul-2029" id="65"/>
    <tableColumn name="Aug-2029" id="66"/>
    <tableColumn name="Sep-2029" id="67"/>
    <tableColumn name="Oct-2029" id="68"/>
    <tableColumn name="Nov-2029" id="69"/>
    <tableColumn name="Dec-2029" id="70"/>
    <tableColumn name="Jan-2030" id="71"/>
    <tableColumn name="Feb-2030" id="72"/>
    <tableColumn name="Mar-2030" id="73"/>
    <tableColumn name="Apr-2030" id="74"/>
    <tableColumn name="May-2030" id="75"/>
    <tableColumn name="Jun-2030" id="76"/>
    <tableColumn name="Jul-2030" id="77"/>
    <tableColumn name="Aug-2030" id="78"/>
    <tableColumn name="Sep-2030" id="79"/>
    <tableColumn name="Oct-2030" id="80"/>
    <tableColumn name="Nov-2030" id="81"/>
    <tableColumn name="Dec-2030" id="82"/>
    <tableColumn name="Jan-2031" id="83"/>
    <tableColumn name="Feb-2031" id="84"/>
    <tableColumn name="Mar-2031" id="85"/>
    <tableColumn name="Apr-2031" id="86"/>
    <tableColumn name="May-2031" id="87"/>
    <tableColumn name="Jun-2031" id="88"/>
    <tableColumn name="Jul-2031" id="89"/>
    <tableColumn name="Aug-2031" id="90"/>
    <tableColumn name="Sep-2031" id="91"/>
    <tableColumn name="Oct-2031" id="92"/>
    <tableColumn name="Nov-2031" id="93"/>
    <tableColumn name="Dec-2031" id="94"/>
    <tableColumn name="Jan-2032" id="95"/>
    <tableColumn name="Feb-2032" id="96"/>
    <tableColumn name="Mar-2032" id="97"/>
    <tableColumn name="Total Accumulated Depreciation" id="98"/>
  </tableColumns>
  <tableStyleInfo name="MR_Depreciation_Schedule-style 2" showColumnStripes="0" showFirstColumn="1" showLastColumn="1" showRowStripes="1"/>
</table>
</file>

<file path=xl/tables/table5.xml><?xml version="1.0" encoding="utf-8"?>
<table xmlns="http://schemas.openxmlformats.org/spreadsheetml/2006/main" headerRowCount="0" ref="M2:CU8" displayName="Table_5" name="Table_5" id="5">
  <tableColumns count="8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</tableColumns>
  <tableStyleInfo name="IRD_Fixed_Asset_Register_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3:S29" displayName="Table_6" name="Table_6" id="6">
  <tableColumns count="19">
    <tableColumn name="Asset ID" id="1"/>
    <tableColumn name="Asset Name" id="2"/>
    <tableColumn name="Accounts" id="3"/>
    <tableColumn name="COA" id="4"/>
    <tableColumn name="Purchase Date" id="5"/>
    <tableColumn name="Opening Balance Date" id="6"/>
    <tableColumn name="Cost (MMK)" id="7"/>
    <tableColumn name="Useful Life (Years)" id="8"/>
    <tableColumn name="Depreciation Rate" id="9"/>
    <tableColumn name="Depreciation Method" id="10"/>
    <tableColumn name="Prior Accumulated Depreciation (MMK)" id="11"/>
    <tableColumn name="Prior Net Book Value ($)" id="12"/>
    <tableColumn name="Status" id="13"/>
    <tableColumn name="Location" id="14"/>
    <tableColumn name="Monthly Depreciation Expenses" id="15"/>
    <tableColumn name="Net Book Value for Feb-25" id="16"/>
    <tableColumn name="Net Book Value for Mar-25" id="17"/>
    <tableColumn name="Net Book Value for April-25" id="18"/>
    <tableColumn name="Net Book Value for May-25" id="19"/>
  </tableColumns>
  <tableStyleInfo name="IRD_Fixed_Asset_Register_List-style 2" showColumnStripes="0" showFirstColumn="1" showLastColumn="1" showRowStripes="1"/>
</table>
</file>

<file path=xl/tables/table7.xml><?xml version="1.0" encoding="utf-8"?>
<table xmlns="http://schemas.openxmlformats.org/spreadsheetml/2006/main" ref="N2:CT8" displayName="Table_7" name="Table_7" id="7">
  <tableColumns count="85">
    <tableColumn name="Accounts" id="1"/>
    <tableColumn name="Feb-2025" id="2"/>
    <tableColumn name="Mar-2025" id="3"/>
    <tableColumn name="Apr-2025" id="4"/>
    <tableColumn name="May-2025" id="5"/>
    <tableColumn name="Jun-2025" id="6"/>
    <tableColumn name="Jul-2025" id="7"/>
    <tableColumn name="Aug-2025" id="8"/>
    <tableColumn name="Sep-2025" id="9"/>
    <tableColumn name="Oct-2025" id="10"/>
    <tableColumn name="Nov-2025" id="11"/>
    <tableColumn name="Dec-2025" id="12"/>
    <tableColumn name="Jan-2026" id="13"/>
    <tableColumn name="Feb-2026" id="14"/>
    <tableColumn name="Mar-2026" id="15"/>
    <tableColumn name="Apr-2026" id="16"/>
    <tableColumn name="May-2026" id="17"/>
    <tableColumn name="Jun-2026" id="18"/>
    <tableColumn name="Jul-2026" id="19"/>
    <tableColumn name="Aug-2026" id="20"/>
    <tableColumn name="Sep-2026" id="21"/>
    <tableColumn name="Oct-2026" id="22"/>
    <tableColumn name="Nov-2026" id="23"/>
    <tableColumn name="Dec-2026" id="24"/>
    <tableColumn name="Jan-2027" id="25"/>
    <tableColumn name="Feb-2027" id="26"/>
    <tableColumn name="Mar-2027" id="27"/>
    <tableColumn name="Apr-2027" id="28"/>
    <tableColumn name="May-2027" id="29"/>
    <tableColumn name="Jun-2027" id="30"/>
    <tableColumn name="Jul-2027" id="31"/>
    <tableColumn name="Aug-2027" id="32"/>
    <tableColumn name="Sep-2027" id="33"/>
    <tableColumn name="Oct-2027" id="34"/>
    <tableColumn name="Nov-2027" id="35"/>
    <tableColumn name="Dec-2027" id="36"/>
    <tableColumn name="Jan-2028" id="37"/>
    <tableColumn name="Feb-2028" id="38"/>
    <tableColumn name="Mar-2028" id="39"/>
    <tableColumn name="Apr-2028" id="40"/>
    <tableColumn name="May-2028" id="41"/>
    <tableColumn name="Jun-2028" id="42"/>
    <tableColumn name="Jul-2028" id="43"/>
    <tableColumn name="Aug-2028" id="44"/>
    <tableColumn name="Sep-2028" id="45"/>
    <tableColumn name="Oct-2028" id="46"/>
    <tableColumn name="Nov-2028" id="47"/>
    <tableColumn name="Dec-2028" id="48"/>
    <tableColumn name="Jan-2029" id="49"/>
    <tableColumn name="Feb-2029" id="50"/>
    <tableColumn name="Mar-2029" id="51"/>
    <tableColumn name="Apr-2029" id="52"/>
    <tableColumn name="May-2029" id="53"/>
    <tableColumn name="Jun-2029" id="54"/>
    <tableColumn name="Jul-2029" id="55"/>
    <tableColumn name="Aug-2029" id="56"/>
    <tableColumn name="Sep-2029" id="57"/>
    <tableColumn name="Oct-2029" id="58"/>
    <tableColumn name="Nov-2029" id="59"/>
    <tableColumn name="Dec-2029" id="60"/>
    <tableColumn name="Jan-2030" id="61"/>
    <tableColumn name="Feb-2030" id="62"/>
    <tableColumn name="Mar-2030" id="63"/>
    <tableColumn name="Apr-2030" id="64"/>
    <tableColumn name="May-2030" id="65"/>
    <tableColumn name="Jun-2030" id="66"/>
    <tableColumn name="Jul-2030" id="67"/>
    <tableColumn name="Aug-2030" id="68"/>
    <tableColumn name="Sep-2030" id="69"/>
    <tableColumn name="Oct-2030" id="70"/>
    <tableColumn name="Nov-2030" id="71"/>
    <tableColumn name="Dec-2030" id="72"/>
    <tableColumn name="Jan-2031" id="73"/>
    <tableColumn name="Feb-2031" id="74"/>
    <tableColumn name="Mar-2031" id="75"/>
    <tableColumn name="Apr-2031" id="76"/>
    <tableColumn name="May-2031" id="77"/>
    <tableColumn name="Jun-2031" id="78"/>
    <tableColumn name="Jul-2031" id="79"/>
    <tableColumn name="Aug-2031" id="80"/>
    <tableColumn name="Sep-2031" id="81"/>
    <tableColumn name="Oct-2031" id="82"/>
    <tableColumn name="Nov-2031" id="83"/>
    <tableColumn name="Dec-2031" id="84"/>
    <tableColumn name="Jan-2032" id="85"/>
  </tableColumns>
  <tableStyleInfo name="IRD_Depreciation_Schedule-style" showColumnStripes="0" showFirstColumn="1" showLastColumn="1" showRowStripes="1"/>
</table>
</file>

<file path=xl/tables/table8.xml><?xml version="1.0" encoding="utf-8"?>
<table xmlns="http://schemas.openxmlformats.org/spreadsheetml/2006/main" ref="A12:CU27" displayName="Table_8" name="Table_8" id="8">
  <tableColumns count="99">
    <tableColumn name="Asset ID" id="1"/>
    <tableColumn name="Asset Name" id="2"/>
    <tableColumn name="Accounts" id="3"/>
    <tableColumn name="COA" id="4"/>
    <tableColumn name="Purchase Date" id="5"/>
    <tableColumn name="Cost (MMK)" id="6"/>
    <tableColumn name="Useful Life (Years)" id="7"/>
    <tableColumn name="Yearly Depreciation Rate" id="8"/>
    <tableColumn name="Monthly Depreciation Rate" id="9"/>
    <tableColumn name="Used Years" id="10"/>
    <tableColumn name="Used Months" id="11"/>
    <tableColumn name="Prior Accumulated Depreciation Expenses" id="12"/>
    <tableColumn name="Prior Net Book Value" id="13"/>
    <tableColumn name="Monthly Depreciation Expense" id="14"/>
    <tableColumn name="Feb-2025" id="15"/>
    <tableColumn name="Mar-2025" id="16"/>
    <tableColumn name="Apr-2025" id="17"/>
    <tableColumn name="May-2025" id="18"/>
    <tableColumn name="Jun-2025" id="19"/>
    <tableColumn name="Jul-2025" id="20"/>
    <tableColumn name="Aug-2025" id="21"/>
    <tableColumn name="Sep-2025" id="22"/>
    <tableColumn name="Oct-2025" id="23"/>
    <tableColumn name="Nov-2025" id="24"/>
    <tableColumn name="Dec-2025" id="25"/>
    <tableColumn name="Jan-2026" id="26"/>
    <tableColumn name="Feb-2026" id="27"/>
    <tableColumn name="Mar-2026" id="28"/>
    <tableColumn name="Apr-2026" id="29"/>
    <tableColumn name="May-2026" id="30"/>
    <tableColumn name="Jun-2026" id="31"/>
    <tableColumn name="Jul-2026" id="32"/>
    <tableColumn name="Aug-2026" id="33"/>
    <tableColumn name="Sep-2026" id="34"/>
    <tableColumn name="Oct-2026" id="35"/>
    <tableColumn name="Nov-2026" id="36"/>
    <tableColumn name="Dec-2026" id="37"/>
    <tableColumn name="Jan-2027" id="38"/>
    <tableColumn name="Feb-2027" id="39"/>
    <tableColumn name="Mar-2027" id="40"/>
    <tableColumn name="Apr-2027" id="41"/>
    <tableColumn name="May-2027" id="42"/>
    <tableColumn name="Jun-2027" id="43"/>
    <tableColumn name="Jul-2027" id="44"/>
    <tableColumn name="Aug-2027" id="45"/>
    <tableColumn name="Sep-2027" id="46"/>
    <tableColumn name="Oct-2027" id="47"/>
    <tableColumn name="Nov-2027" id="48"/>
    <tableColumn name="Dec-2027" id="49"/>
    <tableColumn name="Jan-2028" id="50"/>
    <tableColumn name="Feb-2028" id="51"/>
    <tableColumn name="Mar-2028" id="52"/>
    <tableColumn name="Apr-2028" id="53"/>
    <tableColumn name="May-2028" id="54"/>
    <tableColumn name="Jun-2028" id="55"/>
    <tableColumn name="Jul-2028" id="56"/>
    <tableColumn name="Aug-2028" id="57"/>
    <tableColumn name="Sep-2028" id="58"/>
    <tableColumn name="Oct-2028" id="59"/>
    <tableColumn name="Nov-2028" id="60"/>
    <tableColumn name="Dec-2028" id="61"/>
    <tableColumn name="Jan-2029" id="62"/>
    <tableColumn name="Feb-2029" id="63"/>
    <tableColumn name="Mar-2029" id="64"/>
    <tableColumn name="Apr-2029" id="65"/>
    <tableColumn name="May-2029" id="66"/>
    <tableColumn name="Jun-2029" id="67"/>
    <tableColumn name="Jul-2029" id="68"/>
    <tableColumn name="Aug-2029" id="69"/>
    <tableColumn name="Sep-2029" id="70"/>
    <tableColumn name="Oct-2029" id="71"/>
    <tableColumn name="Nov-2029" id="72"/>
    <tableColumn name="Dec-2029" id="73"/>
    <tableColumn name="Jan-2030" id="74"/>
    <tableColumn name="Feb-2030" id="75"/>
    <tableColumn name="Mar-2030" id="76"/>
    <tableColumn name="Apr-2030" id="77"/>
    <tableColumn name="May-2030" id="78"/>
    <tableColumn name="Jun-2030" id="79"/>
    <tableColumn name="Jul-2030" id="80"/>
    <tableColumn name="Aug-2030" id="81"/>
    <tableColumn name="Sep-2030" id="82"/>
    <tableColumn name="Oct-2030" id="83"/>
    <tableColumn name="Nov-2030" id="84"/>
    <tableColumn name="Dec-2030" id="85"/>
    <tableColumn name="Jan-2031" id="86"/>
    <tableColumn name="Feb-2031" id="87"/>
    <tableColumn name="Mar-2031" id="88"/>
    <tableColumn name="Apr-2031" id="89"/>
    <tableColumn name="May-2031" id="90"/>
    <tableColumn name="Jun-2031" id="91"/>
    <tableColumn name="Jul-2031" id="92"/>
    <tableColumn name="Aug-2031" id="93"/>
    <tableColumn name="Sep-2031" id="94"/>
    <tableColumn name="Oct-2031" id="95"/>
    <tableColumn name="Nov-2031" id="96"/>
    <tableColumn name="Dec-2031" id="97"/>
    <tableColumn name="Jan-2032" id="98"/>
    <tableColumn name="Total Accumulated Depreciation" id="99"/>
  </tableColumns>
  <tableStyleInfo name="IRD_Depreciation_Schedul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Col="1"/>
  <cols>
    <col customWidth="1" min="1" max="1" width="17.5"/>
    <col customWidth="1" min="2" max="2" width="40.38"/>
    <col customWidth="1" min="3" max="3" width="32.25"/>
    <col customWidth="1" min="4" max="6" width="12.63" outlineLevel="1"/>
    <col customWidth="1" min="7" max="7" width="17.88" outlineLevel="1"/>
    <col customWidth="1" min="8" max="9" width="15.5" outlineLevel="1"/>
    <col customWidth="1" min="10" max="10" width="17.5" outlineLevel="1"/>
    <col customWidth="1" min="11" max="11" width="22.75" outlineLevel="1"/>
    <col customWidth="1" min="12" max="12" width="17.63"/>
    <col customWidth="1" min="13" max="13" width="25.63"/>
    <col customWidth="1" min="14" max="14" width="17.88"/>
    <col customWidth="1" min="15" max="15" width="21.5"/>
    <col customWidth="1" min="16" max="16" width="19.0"/>
    <col customWidth="1" min="17" max="17" width="20.25"/>
    <col customWidth="1" min="18" max="18" width="19.63"/>
    <col customWidth="1" min="19" max="19" width="19.0"/>
    <col customWidth="1" min="20" max="20" width="20.0"/>
    <col customWidth="1" min="21" max="21" width="19.0"/>
    <col customWidth="1" min="22" max="22" width="18.25"/>
  </cols>
  <sheetData>
    <row r="2">
      <c r="M2" s="1" t="s">
        <v>0</v>
      </c>
      <c r="N2" s="1" t="s">
        <v>1</v>
      </c>
      <c r="O2" s="1" t="str">
        <f t="shared" ref="O2:V2" si="1">O11</f>
        <v>Net Book Value Apr-25</v>
      </c>
      <c r="P2" s="1" t="str">
        <f t="shared" si="1"/>
        <v>Net Book Value May-25</v>
      </c>
      <c r="Q2" s="1" t="str">
        <f t="shared" si="1"/>
        <v>Net Book Value Jun-25</v>
      </c>
      <c r="R2" s="1" t="str">
        <f t="shared" si="1"/>
        <v>Net Book Value Jul-25</v>
      </c>
      <c r="S2" s="1" t="str">
        <f t="shared" si="1"/>
        <v>Net Book Value Aug-25</v>
      </c>
      <c r="T2" s="1" t="str">
        <f t="shared" si="1"/>
        <v>Net Book Value Sep-25</v>
      </c>
      <c r="U2" s="1" t="str">
        <f t="shared" si="1"/>
        <v>Net Book Value Oct-25</v>
      </c>
      <c r="V2" s="1" t="str">
        <f t="shared" si="1"/>
        <v>Net Book Value Nov-25</v>
      </c>
      <c r="W2" s="1" t="str">
        <f t="shared" ref="W2:CT2" si="2">W10</f>
        <v/>
      </c>
      <c r="X2" s="1" t="str">
        <f t="shared" si="2"/>
        <v/>
      </c>
      <c r="Y2" s="1" t="str">
        <f t="shared" si="2"/>
        <v/>
      </c>
      <c r="Z2" s="1" t="str">
        <f t="shared" si="2"/>
        <v/>
      </c>
      <c r="AA2" s="1" t="str">
        <f t="shared" si="2"/>
        <v/>
      </c>
      <c r="AB2" s="1" t="str">
        <f t="shared" si="2"/>
        <v/>
      </c>
      <c r="AC2" s="1" t="str">
        <f t="shared" si="2"/>
        <v/>
      </c>
      <c r="AD2" s="1" t="str">
        <f t="shared" si="2"/>
        <v/>
      </c>
      <c r="AE2" s="1" t="str">
        <f t="shared" si="2"/>
        <v/>
      </c>
      <c r="AF2" s="1" t="str">
        <f t="shared" si="2"/>
        <v/>
      </c>
      <c r="AG2" s="1" t="str">
        <f t="shared" si="2"/>
        <v/>
      </c>
      <c r="AH2" s="1" t="str">
        <f t="shared" si="2"/>
        <v/>
      </c>
      <c r="AI2" s="1" t="str">
        <f t="shared" si="2"/>
        <v/>
      </c>
      <c r="AJ2" s="1" t="str">
        <f t="shared" si="2"/>
        <v/>
      </c>
      <c r="AK2" s="1" t="str">
        <f t="shared" si="2"/>
        <v/>
      </c>
      <c r="AL2" s="1" t="str">
        <f t="shared" si="2"/>
        <v/>
      </c>
      <c r="AM2" s="1" t="str">
        <f t="shared" si="2"/>
        <v/>
      </c>
      <c r="AN2" s="1" t="str">
        <f t="shared" si="2"/>
        <v/>
      </c>
      <c r="AO2" s="1" t="str">
        <f t="shared" si="2"/>
        <v/>
      </c>
      <c r="AP2" s="1" t="str">
        <f t="shared" si="2"/>
        <v/>
      </c>
      <c r="AQ2" s="1" t="str">
        <f t="shared" si="2"/>
        <v/>
      </c>
      <c r="AR2" s="1" t="str">
        <f t="shared" si="2"/>
        <v/>
      </c>
      <c r="AS2" s="1" t="str">
        <f t="shared" si="2"/>
        <v/>
      </c>
      <c r="AT2" s="1" t="str">
        <f t="shared" si="2"/>
        <v/>
      </c>
      <c r="AU2" s="1" t="str">
        <f t="shared" si="2"/>
        <v/>
      </c>
      <c r="AV2" s="1" t="str">
        <f t="shared" si="2"/>
        <v/>
      </c>
      <c r="AW2" s="1" t="str">
        <f t="shared" si="2"/>
        <v/>
      </c>
      <c r="AX2" s="1" t="str">
        <f t="shared" si="2"/>
        <v/>
      </c>
      <c r="AY2" s="1" t="str">
        <f t="shared" si="2"/>
        <v/>
      </c>
      <c r="AZ2" s="1" t="str">
        <f t="shared" si="2"/>
        <v/>
      </c>
      <c r="BA2" s="1" t="str">
        <f t="shared" si="2"/>
        <v/>
      </c>
      <c r="BB2" s="1" t="str">
        <f t="shared" si="2"/>
        <v/>
      </c>
      <c r="BC2" s="1" t="str">
        <f t="shared" si="2"/>
        <v/>
      </c>
      <c r="BD2" s="1" t="str">
        <f t="shared" si="2"/>
        <v/>
      </c>
      <c r="BE2" s="1" t="str">
        <f t="shared" si="2"/>
        <v/>
      </c>
      <c r="BF2" s="1" t="str">
        <f t="shared" si="2"/>
        <v/>
      </c>
      <c r="BG2" s="1" t="str">
        <f t="shared" si="2"/>
        <v/>
      </c>
      <c r="BH2" s="1" t="str">
        <f t="shared" si="2"/>
        <v/>
      </c>
      <c r="BI2" s="1" t="str">
        <f t="shared" si="2"/>
        <v/>
      </c>
      <c r="BJ2" s="1" t="str">
        <f t="shared" si="2"/>
        <v/>
      </c>
      <c r="BK2" s="1" t="str">
        <f t="shared" si="2"/>
        <v/>
      </c>
      <c r="BL2" s="1" t="str">
        <f t="shared" si="2"/>
        <v/>
      </c>
      <c r="BM2" s="1" t="str">
        <f t="shared" si="2"/>
        <v/>
      </c>
      <c r="BN2" s="1" t="str">
        <f t="shared" si="2"/>
        <v/>
      </c>
      <c r="BO2" s="1" t="str">
        <f t="shared" si="2"/>
        <v/>
      </c>
      <c r="BP2" s="1" t="str">
        <f t="shared" si="2"/>
        <v/>
      </c>
      <c r="BQ2" s="1" t="str">
        <f t="shared" si="2"/>
        <v/>
      </c>
      <c r="BR2" s="1" t="str">
        <f t="shared" si="2"/>
        <v/>
      </c>
      <c r="BS2" s="1" t="str">
        <f t="shared" si="2"/>
        <v/>
      </c>
      <c r="BT2" s="1" t="str">
        <f t="shared" si="2"/>
        <v/>
      </c>
      <c r="BU2" s="1" t="str">
        <f t="shared" si="2"/>
        <v/>
      </c>
      <c r="BV2" s="1" t="str">
        <f t="shared" si="2"/>
        <v/>
      </c>
      <c r="BW2" s="1" t="str">
        <f t="shared" si="2"/>
        <v/>
      </c>
      <c r="BX2" s="1" t="str">
        <f t="shared" si="2"/>
        <v/>
      </c>
      <c r="BY2" s="1" t="str">
        <f t="shared" si="2"/>
        <v/>
      </c>
      <c r="BZ2" s="1" t="str">
        <f t="shared" si="2"/>
        <v/>
      </c>
      <c r="CA2" s="1" t="str">
        <f t="shared" si="2"/>
        <v/>
      </c>
      <c r="CB2" s="1" t="str">
        <f t="shared" si="2"/>
        <v/>
      </c>
      <c r="CC2" s="1" t="str">
        <f t="shared" si="2"/>
        <v/>
      </c>
      <c r="CD2" s="1" t="str">
        <f t="shared" si="2"/>
        <v/>
      </c>
      <c r="CE2" s="1" t="str">
        <f t="shared" si="2"/>
        <v/>
      </c>
      <c r="CF2" s="1" t="str">
        <f t="shared" si="2"/>
        <v/>
      </c>
      <c r="CG2" s="1" t="str">
        <f t="shared" si="2"/>
        <v/>
      </c>
      <c r="CH2" s="1" t="str">
        <f t="shared" si="2"/>
        <v/>
      </c>
      <c r="CI2" s="1" t="str">
        <f t="shared" si="2"/>
        <v/>
      </c>
      <c r="CJ2" s="1" t="str">
        <f t="shared" si="2"/>
        <v/>
      </c>
      <c r="CK2" s="1" t="str">
        <f t="shared" si="2"/>
        <v/>
      </c>
      <c r="CL2" s="1" t="str">
        <f t="shared" si="2"/>
        <v/>
      </c>
      <c r="CM2" s="1" t="str">
        <f t="shared" si="2"/>
        <v/>
      </c>
      <c r="CN2" s="1" t="str">
        <f t="shared" si="2"/>
        <v/>
      </c>
      <c r="CO2" s="1" t="str">
        <f t="shared" si="2"/>
        <v/>
      </c>
      <c r="CP2" s="1" t="str">
        <f t="shared" si="2"/>
        <v/>
      </c>
      <c r="CQ2" s="1" t="str">
        <f t="shared" si="2"/>
        <v/>
      </c>
      <c r="CR2" s="1" t="str">
        <f t="shared" si="2"/>
        <v/>
      </c>
      <c r="CS2" s="1" t="str">
        <f t="shared" si="2"/>
        <v/>
      </c>
      <c r="CT2" s="1" t="str">
        <f t="shared" si="2"/>
        <v/>
      </c>
    </row>
    <row r="3">
      <c r="M3" s="1" t="s">
        <v>2</v>
      </c>
      <c r="N3" s="2">
        <f t="shared" ref="N3:N7" si="5">SUMIF($C$12:$C$29,$M3,L$12:L$29)</f>
        <v>429290000</v>
      </c>
      <c r="O3" s="3">
        <f t="shared" ref="O3:T3" si="3">SUMIF($C:$C,$M3,O:O)</f>
        <v>429290000</v>
      </c>
      <c r="P3" s="3">
        <f t="shared" si="3"/>
        <v>429290000</v>
      </c>
      <c r="Q3" s="3">
        <f t="shared" si="3"/>
        <v>429290000</v>
      </c>
      <c r="R3" s="3">
        <f t="shared" si="3"/>
        <v>429290000</v>
      </c>
      <c r="S3" s="3">
        <f t="shared" si="3"/>
        <v>429290000</v>
      </c>
      <c r="T3" s="3">
        <f t="shared" si="3"/>
        <v>429290000</v>
      </c>
      <c r="U3" s="3">
        <f t="shared" ref="U3:U7" si="7">SUMIF($C$12:$C$29,$M3,U$12:U$29)</f>
        <v>429290000</v>
      </c>
      <c r="V3" s="3">
        <f t="shared" ref="V3:V7" si="8">SUMIF($C$11:$C$25,#REF!,V$11:V$25)</f>
        <v>0</v>
      </c>
      <c r="W3" s="3" t="s">
        <v>3</v>
      </c>
      <c r="X3" s="3">
        <f t="shared" ref="X3:CT3" si="4">SUMIF($C$11:$C$25,#REF!,X$11:X$25)</f>
        <v>0</v>
      </c>
      <c r="Y3" s="3">
        <f t="shared" si="4"/>
        <v>0</v>
      </c>
      <c r="Z3" s="3">
        <f t="shared" si="4"/>
        <v>0</v>
      </c>
      <c r="AA3" s="3">
        <f t="shared" si="4"/>
        <v>0</v>
      </c>
      <c r="AB3" s="3">
        <f t="shared" si="4"/>
        <v>0</v>
      </c>
      <c r="AC3" s="3">
        <f t="shared" si="4"/>
        <v>0</v>
      </c>
      <c r="AD3" s="3">
        <f t="shared" si="4"/>
        <v>0</v>
      </c>
      <c r="AE3" s="3">
        <f t="shared" si="4"/>
        <v>0</v>
      </c>
      <c r="AF3" s="3">
        <f t="shared" si="4"/>
        <v>0</v>
      </c>
      <c r="AG3" s="3">
        <f t="shared" si="4"/>
        <v>0</v>
      </c>
      <c r="AH3" s="3">
        <f t="shared" si="4"/>
        <v>0</v>
      </c>
      <c r="AI3" s="3">
        <f t="shared" si="4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4"/>
        <v>0</v>
      </c>
      <c r="AS3" s="3">
        <f t="shared" si="4"/>
        <v>0</v>
      </c>
      <c r="AT3" s="3">
        <f t="shared" si="4"/>
        <v>0</v>
      </c>
      <c r="AU3" s="3">
        <f t="shared" si="4"/>
        <v>0</v>
      </c>
      <c r="AV3" s="3">
        <f t="shared" si="4"/>
        <v>0</v>
      </c>
      <c r="AW3" s="3">
        <f t="shared" si="4"/>
        <v>0</v>
      </c>
      <c r="AX3" s="3">
        <f t="shared" si="4"/>
        <v>0</v>
      </c>
      <c r="AY3" s="3">
        <f t="shared" si="4"/>
        <v>0</v>
      </c>
      <c r="AZ3" s="3">
        <f t="shared" si="4"/>
        <v>0</v>
      </c>
      <c r="BA3" s="3">
        <f t="shared" si="4"/>
        <v>0</v>
      </c>
      <c r="BB3" s="3">
        <f t="shared" si="4"/>
        <v>0</v>
      </c>
      <c r="BC3" s="3">
        <f t="shared" si="4"/>
        <v>0</v>
      </c>
      <c r="BD3" s="3">
        <f t="shared" si="4"/>
        <v>0</v>
      </c>
      <c r="BE3" s="3">
        <f t="shared" si="4"/>
        <v>0</v>
      </c>
      <c r="BF3" s="3">
        <f t="shared" si="4"/>
        <v>0</v>
      </c>
      <c r="BG3" s="3">
        <f t="shared" si="4"/>
        <v>0</v>
      </c>
      <c r="BH3" s="3">
        <f t="shared" si="4"/>
        <v>0</v>
      </c>
      <c r="BI3" s="3">
        <f t="shared" si="4"/>
        <v>0</v>
      </c>
      <c r="BJ3" s="3">
        <f t="shared" si="4"/>
        <v>0</v>
      </c>
      <c r="BK3" s="3">
        <f t="shared" si="4"/>
        <v>0</v>
      </c>
      <c r="BL3" s="3">
        <f t="shared" si="4"/>
        <v>0</v>
      </c>
      <c r="BM3" s="3">
        <f t="shared" si="4"/>
        <v>0</v>
      </c>
      <c r="BN3" s="3">
        <f t="shared" si="4"/>
        <v>0</v>
      </c>
      <c r="BO3" s="3">
        <f t="shared" si="4"/>
        <v>0</v>
      </c>
      <c r="BP3" s="3">
        <f t="shared" si="4"/>
        <v>0</v>
      </c>
      <c r="BQ3" s="3">
        <f t="shared" si="4"/>
        <v>0</v>
      </c>
      <c r="BR3" s="3">
        <f t="shared" si="4"/>
        <v>0</v>
      </c>
      <c r="BS3" s="3">
        <f t="shared" si="4"/>
        <v>0</v>
      </c>
      <c r="BT3" s="3">
        <f t="shared" si="4"/>
        <v>0</v>
      </c>
      <c r="BU3" s="3">
        <f t="shared" si="4"/>
        <v>0</v>
      </c>
      <c r="BV3" s="3">
        <f t="shared" si="4"/>
        <v>0</v>
      </c>
      <c r="BW3" s="3">
        <f t="shared" si="4"/>
        <v>0</v>
      </c>
      <c r="BX3" s="3">
        <f t="shared" si="4"/>
        <v>0</v>
      </c>
      <c r="BY3" s="3">
        <f t="shared" si="4"/>
        <v>0</v>
      </c>
      <c r="BZ3" s="3">
        <f t="shared" si="4"/>
        <v>0</v>
      </c>
      <c r="CA3" s="3">
        <f t="shared" si="4"/>
        <v>0</v>
      </c>
      <c r="CB3" s="3">
        <f t="shared" si="4"/>
        <v>0</v>
      </c>
      <c r="CC3" s="3">
        <f t="shared" si="4"/>
        <v>0</v>
      </c>
      <c r="CD3" s="3">
        <f t="shared" si="4"/>
        <v>0</v>
      </c>
      <c r="CE3" s="3">
        <f t="shared" si="4"/>
        <v>0</v>
      </c>
      <c r="CF3" s="3">
        <f t="shared" si="4"/>
        <v>0</v>
      </c>
      <c r="CG3" s="3">
        <f t="shared" si="4"/>
        <v>0</v>
      </c>
      <c r="CH3" s="3">
        <f t="shared" si="4"/>
        <v>0</v>
      </c>
      <c r="CI3" s="3">
        <f t="shared" si="4"/>
        <v>0</v>
      </c>
      <c r="CJ3" s="3">
        <f t="shared" si="4"/>
        <v>0</v>
      </c>
      <c r="CK3" s="3">
        <f t="shared" si="4"/>
        <v>0</v>
      </c>
      <c r="CL3" s="3">
        <f t="shared" si="4"/>
        <v>0</v>
      </c>
      <c r="CM3" s="3">
        <f t="shared" si="4"/>
        <v>0</v>
      </c>
      <c r="CN3" s="3">
        <f t="shared" si="4"/>
        <v>0</v>
      </c>
      <c r="CO3" s="3">
        <f t="shared" si="4"/>
        <v>0</v>
      </c>
      <c r="CP3" s="3">
        <f t="shared" si="4"/>
        <v>0</v>
      </c>
      <c r="CQ3" s="3">
        <f t="shared" si="4"/>
        <v>0</v>
      </c>
      <c r="CR3" s="3">
        <f t="shared" si="4"/>
        <v>0</v>
      </c>
      <c r="CS3" s="3">
        <f t="shared" si="4"/>
        <v>0</v>
      </c>
      <c r="CT3" s="3">
        <f t="shared" si="4"/>
        <v>0</v>
      </c>
    </row>
    <row r="4">
      <c r="M4" s="1" t="s">
        <v>4</v>
      </c>
      <c r="N4" s="2">
        <f t="shared" si="5"/>
        <v>111941666.7</v>
      </c>
      <c r="O4" s="3">
        <f t="shared" ref="O4:R4" si="6">SUMIF($C:$C,$M4,O:O)</f>
        <v>111387500</v>
      </c>
      <c r="P4" s="3">
        <f t="shared" si="6"/>
        <v>110833333.3</v>
      </c>
      <c r="Q4" s="3">
        <f t="shared" si="6"/>
        <v>110279166.7</v>
      </c>
      <c r="R4" s="3">
        <f t="shared" si="6"/>
        <v>109725000</v>
      </c>
      <c r="S4" s="3">
        <f t="shared" ref="S4:S7" si="11">SUMIF($C:$C,$M4,$S:$S)</f>
        <v>425615833.3</v>
      </c>
      <c r="T4" s="3">
        <f t="shared" ref="T4:T7" si="12">SUMIF($C:$C,$M4,T:T)</f>
        <v>425061666.7</v>
      </c>
      <c r="U4" s="3">
        <f t="shared" si="7"/>
        <v>108062500</v>
      </c>
      <c r="V4" s="3">
        <f t="shared" si="8"/>
        <v>0</v>
      </c>
      <c r="W4" s="3">
        <f t="shared" ref="W4:CT4" si="9">SUMIF($C$11:$C$25,#REF!,W$11:W$25)</f>
        <v>0</v>
      </c>
      <c r="X4" s="3">
        <f t="shared" si="9"/>
        <v>0</v>
      </c>
      <c r="Y4" s="3">
        <f t="shared" si="9"/>
        <v>0</v>
      </c>
      <c r="Z4" s="3">
        <f t="shared" si="9"/>
        <v>0</v>
      </c>
      <c r="AA4" s="3">
        <f t="shared" si="9"/>
        <v>0</v>
      </c>
      <c r="AB4" s="3">
        <f t="shared" si="9"/>
        <v>0</v>
      </c>
      <c r="AC4" s="3">
        <f t="shared" si="9"/>
        <v>0</v>
      </c>
      <c r="AD4" s="3">
        <f t="shared" si="9"/>
        <v>0</v>
      </c>
      <c r="AE4" s="3">
        <f t="shared" si="9"/>
        <v>0</v>
      </c>
      <c r="AF4" s="3">
        <f t="shared" si="9"/>
        <v>0</v>
      </c>
      <c r="AG4" s="3">
        <f t="shared" si="9"/>
        <v>0</v>
      </c>
      <c r="AH4" s="3">
        <f t="shared" si="9"/>
        <v>0</v>
      </c>
      <c r="AI4" s="3">
        <f t="shared" si="9"/>
        <v>0</v>
      </c>
      <c r="AJ4" s="3">
        <f t="shared" si="9"/>
        <v>0</v>
      </c>
      <c r="AK4" s="3">
        <f t="shared" si="9"/>
        <v>0</v>
      </c>
      <c r="AL4" s="3">
        <f t="shared" si="9"/>
        <v>0</v>
      </c>
      <c r="AM4" s="3">
        <f t="shared" si="9"/>
        <v>0</v>
      </c>
      <c r="AN4" s="3">
        <f t="shared" si="9"/>
        <v>0</v>
      </c>
      <c r="AO4" s="3">
        <f t="shared" si="9"/>
        <v>0</v>
      </c>
      <c r="AP4" s="3">
        <f t="shared" si="9"/>
        <v>0</v>
      </c>
      <c r="AQ4" s="3">
        <f t="shared" si="9"/>
        <v>0</v>
      </c>
      <c r="AR4" s="3">
        <f t="shared" si="9"/>
        <v>0</v>
      </c>
      <c r="AS4" s="3">
        <f t="shared" si="9"/>
        <v>0</v>
      </c>
      <c r="AT4" s="3">
        <f t="shared" si="9"/>
        <v>0</v>
      </c>
      <c r="AU4" s="3">
        <f t="shared" si="9"/>
        <v>0</v>
      </c>
      <c r="AV4" s="3">
        <f t="shared" si="9"/>
        <v>0</v>
      </c>
      <c r="AW4" s="3">
        <f t="shared" si="9"/>
        <v>0</v>
      </c>
      <c r="AX4" s="3">
        <f t="shared" si="9"/>
        <v>0</v>
      </c>
      <c r="AY4" s="3">
        <f t="shared" si="9"/>
        <v>0</v>
      </c>
      <c r="AZ4" s="3">
        <f t="shared" si="9"/>
        <v>0</v>
      </c>
      <c r="BA4" s="3">
        <f t="shared" si="9"/>
        <v>0</v>
      </c>
      <c r="BB4" s="3">
        <f t="shared" si="9"/>
        <v>0</v>
      </c>
      <c r="BC4" s="3">
        <f t="shared" si="9"/>
        <v>0</v>
      </c>
      <c r="BD4" s="3">
        <f t="shared" si="9"/>
        <v>0</v>
      </c>
      <c r="BE4" s="3">
        <f t="shared" si="9"/>
        <v>0</v>
      </c>
      <c r="BF4" s="3">
        <f t="shared" si="9"/>
        <v>0</v>
      </c>
      <c r="BG4" s="3">
        <f t="shared" si="9"/>
        <v>0</v>
      </c>
      <c r="BH4" s="3">
        <f t="shared" si="9"/>
        <v>0</v>
      </c>
      <c r="BI4" s="3">
        <f t="shared" si="9"/>
        <v>0</v>
      </c>
      <c r="BJ4" s="3">
        <f t="shared" si="9"/>
        <v>0</v>
      </c>
      <c r="BK4" s="3">
        <f t="shared" si="9"/>
        <v>0</v>
      </c>
      <c r="BL4" s="3">
        <f t="shared" si="9"/>
        <v>0</v>
      </c>
      <c r="BM4" s="3">
        <f t="shared" si="9"/>
        <v>0</v>
      </c>
      <c r="BN4" s="3">
        <f t="shared" si="9"/>
        <v>0</v>
      </c>
      <c r="BO4" s="3">
        <f t="shared" si="9"/>
        <v>0</v>
      </c>
      <c r="BP4" s="3">
        <f t="shared" si="9"/>
        <v>0</v>
      </c>
      <c r="BQ4" s="3">
        <f t="shared" si="9"/>
        <v>0</v>
      </c>
      <c r="BR4" s="3">
        <f t="shared" si="9"/>
        <v>0</v>
      </c>
      <c r="BS4" s="3">
        <f t="shared" si="9"/>
        <v>0</v>
      </c>
      <c r="BT4" s="3">
        <f t="shared" si="9"/>
        <v>0</v>
      </c>
      <c r="BU4" s="3">
        <f t="shared" si="9"/>
        <v>0</v>
      </c>
      <c r="BV4" s="3">
        <f t="shared" si="9"/>
        <v>0</v>
      </c>
      <c r="BW4" s="3">
        <f t="shared" si="9"/>
        <v>0</v>
      </c>
      <c r="BX4" s="3">
        <f t="shared" si="9"/>
        <v>0</v>
      </c>
      <c r="BY4" s="3">
        <f t="shared" si="9"/>
        <v>0</v>
      </c>
      <c r="BZ4" s="3">
        <f t="shared" si="9"/>
        <v>0</v>
      </c>
      <c r="CA4" s="3">
        <f t="shared" si="9"/>
        <v>0</v>
      </c>
      <c r="CB4" s="3">
        <f t="shared" si="9"/>
        <v>0</v>
      </c>
      <c r="CC4" s="3">
        <f t="shared" si="9"/>
        <v>0</v>
      </c>
      <c r="CD4" s="3">
        <f t="shared" si="9"/>
        <v>0</v>
      </c>
      <c r="CE4" s="3">
        <f t="shared" si="9"/>
        <v>0</v>
      </c>
      <c r="CF4" s="3">
        <f t="shared" si="9"/>
        <v>0</v>
      </c>
      <c r="CG4" s="3">
        <f t="shared" si="9"/>
        <v>0</v>
      </c>
      <c r="CH4" s="3">
        <f t="shared" si="9"/>
        <v>0</v>
      </c>
      <c r="CI4" s="3">
        <f t="shared" si="9"/>
        <v>0</v>
      </c>
      <c r="CJ4" s="3">
        <f t="shared" si="9"/>
        <v>0</v>
      </c>
      <c r="CK4" s="3">
        <f t="shared" si="9"/>
        <v>0</v>
      </c>
      <c r="CL4" s="3">
        <f t="shared" si="9"/>
        <v>0</v>
      </c>
      <c r="CM4" s="3">
        <f t="shared" si="9"/>
        <v>0</v>
      </c>
      <c r="CN4" s="3">
        <f t="shared" si="9"/>
        <v>0</v>
      </c>
      <c r="CO4" s="3">
        <f t="shared" si="9"/>
        <v>0</v>
      </c>
      <c r="CP4" s="3">
        <f t="shared" si="9"/>
        <v>0</v>
      </c>
      <c r="CQ4" s="3">
        <f t="shared" si="9"/>
        <v>0</v>
      </c>
      <c r="CR4" s="3">
        <f t="shared" si="9"/>
        <v>0</v>
      </c>
      <c r="CS4" s="3">
        <f t="shared" si="9"/>
        <v>0</v>
      </c>
      <c r="CT4" s="3">
        <f t="shared" si="9"/>
        <v>0</v>
      </c>
    </row>
    <row r="5">
      <c r="B5" s="4"/>
      <c r="M5" s="1" t="s">
        <v>5</v>
      </c>
      <c r="N5" s="2">
        <f t="shared" si="5"/>
        <v>54844516.67</v>
      </c>
      <c r="O5" s="3">
        <f t="shared" ref="O5:R5" si="10">SUMIF($C:$C,$M5,O:O)</f>
        <v>53016366.11</v>
      </c>
      <c r="P5" s="3">
        <f t="shared" si="10"/>
        <v>51249153.91</v>
      </c>
      <c r="Q5" s="3">
        <f t="shared" si="10"/>
        <v>49540848.78</v>
      </c>
      <c r="R5" s="3">
        <f t="shared" si="10"/>
        <v>115889487.2</v>
      </c>
      <c r="S5" s="3">
        <f t="shared" si="11"/>
        <v>114293170.9</v>
      </c>
      <c r="T5" s="3">
        <f t="shared" si="12"/>
        <v>114932365.2</v>
      </c>
      <c r="U5" s="3">
        <f t="shared" si="7"/>
        <v>111258396.4</v>
      </c>
      <c r="V5" s="3">
        <f t="shared" si="8"/>
        <v>0</v>
      </c>
      <c r="W5" s="3">
        <f t="shared" ref="W5:CT5" si="13">SUMIF($C$11:$C$25,#REF!,W$11:W$25)</f>
        <v>0</v>
      </c>
      <c r="X5" s="3">
        <f t="shared" si="13"/>
        <v>0</v>
      </c>
      <c r="Y5" s="3">
        <f t="shared" si="13"/>
        <v>0</v>
      </c>
      <c r="Z5" s="3">
        <f t="shared" si="13"/>
        <v>0</v>
      </c>
      <c r="AA5" s="3">
        <f t="shared" si="13"/>
        <v>0</v>
      </c>
      <c r="AB5" s="3">
        <f t="shared" si="13"/>
        <v>0</v>
      </c>
      <c r="AC5" s="3">
        <f t="shared" si="13"/>
        <v>0</v>
      </c>
      <c r="AD5" s="3">
        <f t="shared" si="13"/>
        <v>0</v>
      </c>
      <c r="AE5" s="3">
        <f t="shared" si="13"/>
        <v>0</v>
      </c>
      <c r="AF5" s="3">
        <f t="shared" si="13"/>
        <v>0</v>
      </c>
      <c r="AG5" s="3">
        <f t="shared" si="13"/>
        <v>0</v>
      </c>
      <c r="AH5" s="3">
        <f t="shared" si="13"/>
        <v>0</v>
      </c>
      <c r="AI5" s="3">
        <f t="shared" si="13"/>
        <v>0</v>
      </c>
      <c r="AJ5" s="3">
        <f t="shared" si="13"/>
        <v>0</v>
      </c>
      <c r="AK5" s="3">
        <f t="shared" si="13"/>
        <v>0</v>
      </c>
      <c r="AL5" s="3">
        <f t="shared" si="13"/>
        <v>0</v>
      </c>
      <c r="AM5" s="3">
        <f t="shared" si="13"/>
        <v>0</v>
      </c>
      <c r="AN5" s="3">
        <f t="shared" si="13"/>
        <v>0</v>
      </c>
      <c r="AO5" s="3">
        <f t="shared" si="13"/>
        <v>0</v>
      </c>
      <c r="AP5" s="3">
        <f t="shared" si="13"/>
        <v>0</v>
      </c>
      <c r="AQ5" s="3">
        <f t="shared" si="13"/>
        <v>0</v>
      </c>
      <c r="AR5" s="3">
        <f t="shared" si="13"/>
        <v>0</v>
      </c>
      <c r="AS5" s="3">
        <f t="shared" si="13"/>
        <v>0</v>
      </c>
      <c r="AT5" s="3">
        <f t="shared" si="13"/>
        <v>0</v>
      </c>
      <c r="AU5" s="3">
        <f t="shared" si="13"/>
        <v>0</v>
      </c>
      <c r="AV5" s="3">
        <f t="shared" si="13"/>
        <v>0</v>
      </c>
      <c r="AW5" s="3">
        <f t="shared" si="13"/>
        <v>0</v>
      </c>
      <c r="AX5" s="3">
        <f t="shared" si="13"/>
        <v>0</v>
      </c>
      <c r="AY5" s="3">
        <f t="shared" si="13"/>
        <v>0</v>
      </c>
      <c r="AZ5" s="3">
        <f t="shared" si="13"/>
        <v>0</v>
      </c>
      <c r="BA5" s="3">
        <f t="shared" si="13"/>
        <v>0</v>
      </c>
      <c r="BB5" s="3">
        <f t="shared" si="13"/>
        <v>0</v>
      </c>
      <c r="BC5" s="3">
        <f t="shared" si="13"/>
        <v>0</v>
      </c>
      <c r="BD5" s="3">
        <f t="shared" si="13"/>
        <v>0</v>
      </c>
      <c r="BE5" s="3">
        <f t="shared" si="13"/>
        <v>0</v>
      </c>
      <c r="BF5" s="3">
        <f t="shared" si="13"/>
        <v>0</v>
      </c>
      <c r="BG5" s="3">
        <f t="shared" si="13"/>
        <v>0</v>
      </c>
      <c r="BH5" s="3">
        <f t="shared" si="13"/>
        <v>0</v>
      </c>
      <c r="BI5" s="3">
        <f t="shared" si="13"/>
        <v>0</v>
      </c>
      <c r="BJ5" s="3">
        <f t="shared" si="13"/>
        <v>0</v>
      </c>
      <c r="BK5" s="3">
        <f t="shared" si="13"/>
        <v>0</v>
      </c>
      <c r="BL5" s="3">
        <f t="shared" si="13"/>
        <v>0</v>
      </c>
      <c r="BM5" s="3">
        <f t="shared" si="13"/>
        <v>0</v>
      </c>
      <c r="BN5" s="3">
        <f t="shared" si="13"/>
        <v>0</v>
      </c>
      <c r="BO5" s="3">
        <f t="shared" si="13"/>
        <v>0</v>
      </c>
      <c r="BP5" s="3">
        <f t="shared" si="13"/>
        <v>0</v>
      </c>
      <c r="BQ5" s="3">
        <f t="shared" si="13"/>
        <v>0</v>
      </c>
      <c r="BR5" s="3">
        <f t="shared" si="13"/>
        <v>0</v>
      </c>
      <c r="BS5" s="3">
        <f t="shared" si="13"/>
        <v>0</v>
      </c>
      <c r="BT5" s="3">
        <f t="shared" si="13"/>
        <v>0</v>
      </c>
      <c r="BU5" s="3">
        <f t="shared" si="13"/>
        <v>0</v>
      </c>
      <c r="BV5" s="3">
        <f t="shared" si="13"/>
        <v>0</v>
      </c>
      <c r="BW5" s="3">
        <f t="shared" si="13"/>
        <v>0</v>
      </c>
      <c r="BX5" s="3">
        <f t="shared" si="13"/>
        <v>0</v>
      </c>
      <c r="BY5" s="3">
        <f t="shared" si="13"/>
        <v>0</v>
      </c>
      <c r="BZ5" s="3">
        <f t="shared" si="13"/>
        <v>0</v>
      </c>
      <c r="CA5" s="3">
        <f t="shared" si="13"/>
        <v>0</v>
      </c>
      <c r="CB5" s="3">
        <f t="shared" si="13"/>
        <v>0</v>
      </c>
      <c r="CC5" s="3">
        <f t="shared" si="13"/>
        <v>0</v>
      </c>
      <c r="CD5" s="3">
        <f t="shared" si="13"/>
        <v>0</v>
      </c>
      <c r="CE5" s="3">
        <f t="shared" si="13"/>
        <v>0</v>
      </c>
      <c r="CF5" s="3">
        <f t="shared" si="13"/>
        <v>0</v>
      </c>
      <c r="CG5" s="3">
        <f t="shared" si="13"/>
        <v>0</v>
      </c>
      <c r="CH5" s="3">
        <f t="shared" si="13"/>
        <v>0</v>
      </c>
      <c r="CI5" s="3">
        <f t="shared" si="13"/>
        <v>0</v>
      </c>
      <c r="CJ5" s="3">
        <f t="shared" si="13"/>
        <v>0</v>
      </c>
      <c r="CK5" s="3">
        <f t="shared" si="13"/>
        <v>0</v>
      </c>
      <c r="CL5" s="3">
        <f t="shared" si="13"/>
        <v>0</v>
      </c>
      <c r="CM5" s="3">
        <f t="shared" si="13"/>
        <v>0</v>
      </c>
      <c r="CN5" s="3">
        <f t="shared" si="13"/>
        <v>0</v>
      </c>
      <c r="CO5" s="3">
        <f t="shared" si="13"/>
        <v>0</v>
      </c>
      <c r="CP5" s="3">
        <f t="shared" si="13"/>
        <v>0</v>
      </c>
      <c r="CQ5" s="3">
        <f t="shared" si="13"/>
        <v>0</v>
      </c>
      <c r="CR5" s="3">
        <f t="shared" si="13"/>
        <v>0</v>
      </c>
      <c r="CS5" s="3">
        <f t="shared" si="13"/>
        <v>0</v>
      </c>
      <c r="CT5" s="3">
        <f t="shared" si="13"/>
        <v>0</v>
      </c>
    </row>
    <row r="6">
      <c r="M6" s="1" t="s">
        <v>6</v>
      </c>
      <c r="N6" s="2">
        <f t="shared" si="5"/>
        <v>0</v>
      </c>
      <c r="O6" s="3">
        <f t="shared" ref="O6:R6" si="14">SUMIF($C:$C,$M6,O:O)</f>
        <v>0</v>
      </c>
      <c r="P6" s="3">
        <f t="shared" si="14"/>
        <v>0</v>
      </c>
      <c r="Q6" s="3">
        <f t="shared" si="14"/>
        <v>0</v>
      </c>
      <c r="R6" s="3">
        <f t="shared" si="14"/>
        <v>0</v>
      </c>
      <c r="S6" s="3">
        <f t="shared" si="11"/>
        <v>0</v>
      </c>
      <c r="T6" s="3">
        <f t="shared" si="12"/>
        <v>0</v>
      </c>
      <c r="U6" s="3">
        <f t="shared" si="7"/>
        <v>0</v>
      </c>
      <c r="V6" s="3">
        <f t="shared" si="8"/>
        <v>0</v>
      </c>
      <c r="W6" s="3">
        <f t="shared" ref="W6:CT6" si="15">SUMIF($C$11:$C$25,#REF!,W$11:W$25)</f>
        <v>0</v>
      </c>
      <c r="X6" s="3">
        <f t="shared" si="15"/>
        <v>0</v>
      </c>
      <c r="Y6" s="3">
        <f t="shared" si="15"/>
        <v>0</v>
      </c>
      <c r="Z6" s="3">
        <f t="shared" si="15"/>
        <v>0</v>
      </c>
      <c r="AA6" s="3">
        <f t="shared" si="15"/>
        <v>0</v>
      </c>
      <c r="AB6" s="3">
        <f t="shared" si="15"/>
        <v>0</v>
      </c>
      <c r="AC6" s="3">
        <f t="shared" si="15"/>
        <v>0</v>
      </c>
      <c r="AD6" s="3">
        <f t="shared" si="15"/>
        <v>0</v>
      </c>
      <c r="AE6" s="3">
        <f t="shared" si="15"/>
        <v>0</v>
      </c>
      <c r="AF6" s="3">
        <f t="shared" si="15"/>
        <v>0</v>
      </c>
      <c r="AG6" s="3">
        <f t="shared" si="15"/>
        <v>0</v>
      </c>
      <c r="AH6" s="3">
        <f t="shared" si="15"/>
        <v>0</v>
      </c>
      <c r="AI6" s="3">
        <f t="shared" si="15"/>
        <v>0</v>
      </c>
      <c r="AJ6" s="3">
        <f t="shared" si="15"/>
        <v>0</v>
      </c>
      <c r="AK6" s="3">
        <f t="shared" si="15"/>
        <v>0</v>
      </c>
      <c r="AL6" s="3">
        <f t="shared" si="15"/>
        <v>0</v>
      </c>
      <c r="AM6" s="3">
        <f t="shared" si="15"/>
        <v>0</v>
      </c>
      <c r="AN6" s="3">
        <f t="shared" si="15"/>
        <v>0</v>
      </c>
      <c r="AO6" s="3">
        <f t="shared" si="15"/>
        <v>0</v>
      </c>
      <c r="AP6" s="3">
        <f t="shared" si="15"/>
        <v>0</v>
      </c>
      <c r="AQ6" s="3">
        <f t="shared" si="15"/>
        <v>0</v>
      </c>
      <c r="AR6" s="3">
        <f t="shared" si="15"/>
        <v>0</v>
      </c>
      <c r="AS6" s="3">
        <f t="shared" si="15"/>
        <v>0</v>
      </c>
      <c r="AT6" s="3">
        <f t="shared" si="15"/>
        <v>0</v>
      </c>
      <c r="AU6" s="3">
        <f t="shared" si="15"/>
        <v>0</v>
      </c>
      <c r="AV6" s="3">
        <f t="shared" si="15"/>
        <v>0</v>
      </c>
      <c r="AW6" s="3">
        <f t="shared" si="15"/>
        <v>0</v>
      </c>
      <c r="AX6" s="3">
        <f t="shared" si="15"/>
        <v>0</v>
      </c>
      <c r="AY6" s="3">
        <f t="shared" si="15"/>
        <v>0</v>
      </c>
      <c r="AZ6" s="3">
        <f t="shared" si="15"/>
        <v>0</v>
      </c>
      <c r="BA6" s="3">
        <f t="shared" si="15"/>
        <v>0</v>
      </c>
      <c r="BB6" s="3">
        <f t="shared" si="15"/>
        <v>0</v>
      </c>
      <c r="BC6" s="3">
        <f t="shared" si="15"/>
        <v>0</v>
      </c>
      <c r="BD6" s="3">
        <f t="shared" si="15"/>
        <v>0</v>
      </c>
      <c r="BE6" s="3">
        <f t="shared" si="15"/>
        <v>0</v>
      </c>
      <c r="BF6" s="3">
        <f t="shared" si="15"/>
        <v>0</v>
      </c>
      <c r="BG6" s="3">
        <f t="shared" si="15"/>
        <v>0</v>
      </c>
      <c r="BH6" s="3">
        <f t="shared" si="15"/>
        <v>0</v>
      </c>
      <c r="BI6" s="3">
        <f t="shared" si="15"/>
        <v>0</v>
      </c>
      <c r="BJ6" s="3">
        <f t="shared" si="15"/>
        <v>0</v>
      </c>
      <c r="BK6" s="3">
        <f t="shared" si="15"/>
        <v>0</v>
      </c>
      <c r="BL6" s="3">
        <f t="shared" si="15"/>
        <v>0</v>
      </c>
      <c r="BM6" s="3">
        <f t="shared" si="15"/>
        <v>0</v>
      </c>
      <c r="BN6" s="3">
        <f t="shared" si="15"/>
        <v>0</v>
      </c>
      <c r="BO6" s="3">
        <f t="shared" si="15"/>
        <v>0</v>
      </c>
      <c r="BP6" s="3">
        <f t="shared" si="15"/>
        <v>0</v>
      </c>
      <c r="BQ6" s="3">
        <f t="shared" si="15"/>
        <v>0</v>
      </c>
      <c r="BR6" s="3">
        <f t="shared" si="15"/>
        <v>0</v>
      </c>
      <c r="BS6" s="3">
        <f t="shared" si="15"/>
        <v>0</v>
      </c>
      <c r="BT6" s="3">
        <f t="shared" si="15"/>
        <v>0</v>
      </c>
      <c r="BU6" s="3">
        <f t="shared" si="15"/>
        <v>0</v>
      </c>
      <c r="BV6" s="3">
        <f t="shared" si="15"/>
        <v>0</v>
      </c>
      <c r="BW6" s="3">
        <f t="shared" si="15"/>
        <v>0</v>
      </c>
      <c r="BX6" s="3">
        <f t="shared" si="15"/>
        <v>0</v>
      </c>
      <c r="BY6" s="3">
        <f t="shared" si="15"/>
        <v>0</v>
      </c>
      <c r="BZ6" s="3">
        <f t="shared" si="15"/>
        <v>0</v>
      </c>
      <c r="CA6" s="3">
        <f t="shared" si="15"/>
        <v>0</v>
      </c>
      <c r="CB6" s="3">
        <f t="shared" si="15"/>
        <v>0</v>
      </c>
      <c r="CC6" s="3">
        <f t="shared" si="15"/>
        <v>0</v>
      </c>
      <c r="CD6" s="3">
        <f t="shared" si="15"/>
        <v>0</v>
      </c>
      <c r="CE6" s="3">
        <f t="shared" si="15"/>
        <v>0</v>
      </c>
      <c r="CF6" s="3">
        <f t="shared" si="15"/>
        <v>0</v>
      </c>
      <c r="CG6" s="3">
        <f t="shared" si="15"/>
        <v>0</v>
      </c>
      <c r="CH6" s="3">
        <f t="shared" si="15"/>
        <v>0</v>
      </c>
      <c r="CI6" s="3">
        <f t="shared" si="15"/>
        <v>0</v>
      </c>
      <c r="CJ6" s="3">
        <f t="shared" si="15"/>
        <v>0</v>
      </c>
      <c r="CK6" s="3">
        <f t="shared" si="15"/>
        <v>0</v>
      </c>
      <c r="CL6" s="3">
        <f t="shared" si="15"/>
        <v>0</v>
      </c>
      <c r="CM6" s="3">
        <f t="shared" si="15"/>
        <v>0</v>
      </c>
      <c r="CN6" s="3">
        <f t="shared" si="15"/>
        <v>0</v>
      </c>
      <c r="CO6" s="3">
        <f t="shared" si="15"/>
        <v>0</v>
      </c>
      <c r="CP6" s="3">
        <f t="shared" si="15"/>
        <v>0</v>
      </c>
      <c r="CQ6" s="3">
        <f t="shared" si="15"/>
        <v>0</v>
      </c>
      <c r="CR6" s="3">
        <f t="shared" si="15"/>
        <v>0</v>
      </c>
      <c r="CS6" s="3">
        <f t="shared" si="15"/>
        <v>0</v>
      </c>
      <c r="CT6" s="3">
        <f t="shared" si="15"/>
        <v>0</v>
      </c>
    </row>
    <row r="7">
      <c r="M7" s="1" t="s">
        <v>7</v>
      </c>
      <c r="N7" s="2">
        <f t="shared" si="5"/>
        <v>12193866.67</v>
      </c>
      <c r="O7" s="3">
        <f t="shared" ref="O7:R7" si="16">SUMIF($C:$C,$M7,O:O)</f>
        <v>11787404.44</v>
      </c>
      <c r="P7" s="3">
        <f t="shared" si="16"/>
        <v>11394490.96</v>
      </c>
      <c r="Q7" s="3">
        <f t="shared" si="16"/>
        <v>11014674.6</v>
      </c>
      <c r="R7" s="3">
        <f t="shared" si="16"/>
        <v>102647518.8</v>
      </c>
      <c r="S7" s="3">
        <f t="shared" si="11"/>
        <v>102292601.5</v>
      </c>
      <c r="T7" s="3">
        <f t="shared" si="12"/>
        <v>101949514.8</v>
      </c>
      <c r="U7" s="3">
        <f t="shared" si="7"/>
        <v>101617864.3</v>
      </c>
      <c r="V7" s="3">
        <f t="shared" si="8"/>
        <v>0</v>
      </c>
      <c r="W7" s="3">
        <f t="shared" ref="W7:CT7" si="17">SUMIF($C$11:$C$25,#REF!,W$11:W$25)</f>
        <v>0</v>
      </c>
      <c r="X7" s="3">
        <f t="shared" si="17"/>
        <v>0</v>
      </c>
      <c r="Y7" s="3">
        <f t="shared" si="17"/>
        <v>0</v>
      </c>
      <c r="Z7" s="3">
        <f t="shared" si="17"/>
        <v>0</v>
      </c>
      <c r="AA7" s="3">
        <f t="shared" si="17"/>
        <v>0</v>
      </c>
      <c r="AB7" s="3">
        <f t="shared" si="17"/>
        <v>0</v>
      </c>
      <c r="AC7" s="3">
        <f t="shared" si="17"/>
        <v>0</v>
      </c>
      <c r="AD7" s="3">
        <f t="shared" si="17"/>
        <v>0</v>
      </c>
      <c r="AE7" s="3">
        <f t="shared" si="17"/>
        <v>0</v>
      </c>
      <c r="AF7" s="3">
        <f t="shared" si="17"/>
        <v>0</v>
      </c>
      <c r="AG7" s="3">
        <f t="shared" si="17"/>
        <v>0</v>
      </c>
      <c r="AH7" s="3">
        <f t="shared" si="17"/>
        <v>0</v>
      </c>
      <c r="AI7" s="3">
        <f t="shared" si="17"/>
        <v>0</v>
      </c>
      <c r="AJ7" s="3">
        <f t="shared" si="17"/>
        <v>0</v>
      </c>
      <c r="AK7" s="3">
        <f t="shared" si="17"/>
        <v>0</v>
      </c>
      <c r="AL7" s="3">
        <f t="shared" si="17"/>
        <v>0</v>
      </c>
      <c r="AM7" s="3">
        <f t="shared" si="17"/>
        <v>0</v>
      </c>
      <c r="AN7" s="3">
        <f t="shared" si="17"/>
        <v>0</v>
      </c>
      <c r="AO7" s="3">
        <f t="shared" si="17"/>
        <v>0</v>
      </c>
      <c r="AP7" s="3">
        <f t="shared" si="17"/>
        <v>0</v>
      </c>
      <c r="AQ7" s="3">
        <f t="shared" si="17"/>
        <v>0</v>
      </c>
      <c r="AR7" s="3">
        <f t="shared" si="17"/>
        <v>0</v>
      </c>
      <c r="AS7" s="3">
        <f t="shared" si="17"/>
        <v>0</v>
      </c>
      <c r="AT7" s="3">
        <f t="shared" si="17"/>
        <v>0</v>
      </c>
      <c r="AU7" s="3">
        <f t="shared" si="17"/>
        <v>0</v>
      </c>
      <c r="AV7" s="3">
        <f t="shared" si="17"/>
        <v>0</v>
      </c>
      <c r="AW7" s="3">
        <f t="shared" si="17"/>
        <v>0</v>
      </c>
      <c r="AX7" s="3">
        <f t="shared" si="17"/>
        <v>0</v>
      </c>
      <c r="AY7" s="3">
        <f t="shared" si="17"/>
        <v>0</v>
      </c>
      <c r="AZ7" s="3">
        <f t="shared" si="17"/>
        <v>0</v>
      </c>
      <c r="BA7" s="3">
        <f t="shared" si="17"/>
        <v>0</v>
      </c>
      <c r="BB7" s="3">
        <f t="shared" si="17"/>
        <v>0</v>
      </c>
      <c r="BC7" s="3">
        <f t="shared" si="17"/>
        <v>0</v>
      </c>
      <c r="BD7" s="3">
        <f t="shared" si="17"/>
        <v>0</v>
      </c>
      <c r="BE7" s="3">
        <f t="shared" si="17"/>
        <v>0</v>
      </c>
      <c r="BF7" s="3">
        <f t="shared" si="17"/>
        <v>0</v>
      </c>
      <c r="BG7" s="3">
        <f t="shared" si="17"/>
        <v>0</v>
      </c>
      <c r="BH7" s="3">
        <f t="shared" si="17"/>
        <v>0</v>
      </c>
      <c r="BI7" s="3">
        <f t="shared" si="17"/>
        <v>0</v>
      </c>
      <c r="BJ7" s="3">
        <f t="shared" si="17"/>
        <v>0</v>
      </c>
      <c r="BK7" s="3">
        <f t="shared" si="17"/>
        <v>0</v>
      </c>
      <c r="BL7" s="3">
        <f t="shared" si="17"/>
        <v>0</v>
      </c>
      <c r="BM7" s="3">
        <f t="shared" si="17"/>
        <v>0</v>
      </c>
      <c r="BN7" s="3">
        <f t="shared" si="17"/>
        <v>0</v>
      </c>
      <c r="BO7" s="3">
        <f t="shared" si="17"/>
        <v>0</v>
      </c>
      <c r="BP7" s="3">
        <f t="shared" si="17"/>
        <v>0</v>
      </c>
      <c r="BQ7" s="3">
        <f t="shared" si="17"/>
        <v>0</v>
      </c>
      <c r="BR7" s="3">
        <f t="shared" si="17"/>
        <v>0</v>
      </c>
      <c r="BS7" s="3">
        <f t="shared" si="17"/>
        <v>0</v>
      </c>
      <c r="BT7" s="3">
        <f t="shared" si="17"/>
        <v>0</v>
      </c>
      <c r="BU7" s="3">
        <f t="shared" si="17"/>
        <v>0</v>
      </c>
      <c r="BV7" s="3">
        <f t="shared" si="17"/>
        <v>0</v>
      </c>
      <c r="BW7" s="3">
        <f t="shared" si="17"/>
        <v>0</v>
      </c>
      <c r="BX7" s="3">
        <f t="shared" si="17"/>
        <v>0</v>
      </c>
      <c r="BY7" s="3">
        <f t="shared" si="17"/>
        <v>0</v>
      </c>
      <c r="BZ7" s="3">
        <f t="shared" si="17"/>
        <v>0</v>
      </c>
      <c r="CA7" s="3">
        <f t="shared" si="17"/>
        <v>0</v>
      </c>
      <c r="CB7" s="3">
        <f t="shared" si="17"/>
        <v>0</v>
      </c>
      <c r="CC7" s="3">
        <f t="shared" si="17"/>
        <v>0</v>
      </c>
      <c r="CD7" s="3">
        <f t="shared" si="17"/>
        <v>0</v>
      </c>
      <c r="CE7" s="3">
        <f t="shared" si="17"/>
        <v>0</v>
      </c>
      <c r="CF7" s="3">
        <f t="shared" si="17"/>
        <v>0</v>
      </c>
      <c r="CG7" s="3">
        <f t="shared" si="17"/>
        <v>0</v>
      </c>
      <c r="CH7" s="3">
        <f t="shared" si="17"/>
        <v>0</v>
      </c>
      <c r="CI7" s="3">
        <f t="shared" si="17"/>
        <v>0</v>
      </c>
      <c r="CJ7" s="3">
        <f t="shared" si="17"/>
        <v>0</v>
      </c>
      <c r="CK7" s="3">
        <f t="shared" si="17"/>
        <v>0</v>
      </c>
      <c r="CL7" s="3">
        <f t="shared" si="17"/>
        <v>0</v>
      </c>
      <c r="CM7" s="3">
        <f t="shared" si="17"/>
        <v>0</v>
      </c>
      <c r="CN7" s="3">
        <f t="shared" si="17"/>
        <v>0</v>
      </c>
      <c r="CO7" s="3">
        <f t="shared" si="17"/>
        <v>0</v>
      </c>
      <c r="CP7" s="3">
        <f t="shared" si="17"/>
        <v>0</v>
      </c>
      <c r="CQ7" s="3">
        <f t="shared" si="17"/>
        <v>0</v>
      </c>
      <c r="CR7" s="3">
        <f t="shared" si="17"/>
        <v>0</v>
      </c>
      <c r="CS7" s="3">
        <f t="shared" si="17"/>
        <v>0</v>
      </c>
      <c r="CT7" s="3">
        <f t="shared" si="17"/>
        <v>0</v>
      </c>
    </row>
    <row r="8">
      <c r="M8" s="5" t="s">
        <v>8</v>
      </c>
      <c r="N8" s="6">
        <f t="shared" ref="N8:CT8" si="18">SUM(N3:N7)</f>
        <v>608270050</v>
      </c>
      <c r="O8" s="7">
        <f t="shared" si="18"/>
        <v>605481270.6</v>
      </c>
      <c r="P8" s="7">
        <f t="shared" si="18"/>
        <v>602766978.2</v>
      </c>
      <c r="Q8" s="7">
        <f t="shared" si="18"/>
        <v>600124690</v>
      </c>
      <c r="R8" s="7">
        <f t="shared" si="18"/>
        <v>757552005.9</v>
      </c>
      <c r="S8" s="7">
        <f t="shared" si="18"/>
        <v>1071491606</v>
      </c>
      <c r="T8" s="7">
        <f t="shared" si="18"/>
        <v>1071233547</v>
      </c>
      <c r="U8" s="7">
        <f t="shared" si="18"/>
        <v>750228760.7</v>
      </c>
      <c r="V8" s="7">
        <f t="shared" si="18"/>
        <v>0</v>
      </c>
      <c r="W8" s="7">
        <f t="shared" si="18"/>
        <v>0</v>
      </c>
      <c r="X8" s="7">
        <f t="shared" si="18"/>
        <v>0</v>
      </c>
      <c r="Y8" s="7">
        <f t="shared" si="18"/>
        <v>0</v>
      </c>
      <c r="Z8" s="7">
        <f t="shared" si="18"/>
        <v>0</v>
      </c>
      <c r="AA8" s="7">
        <f t="shared" si="18"/>
        <v>0</v>
      </c>
      <c r="AB8" s="7">
        <f t="shared" si="18"/>
        <v>0</v>
      </c>
      <c r="AC8" s="7">
        <f t="shared" si="18"/>
        <v>0</v>
      </c>
      <c r="AD8" s="7">
        <f t="shared" si="18"/>
        <v>0</v>
      </c>
      <c r="AE8" s="7">
        <f t="shared" si="18"/>
        <v>0</v>
      </c>
      <c r="AF8" s="7">
        <f t="shared" si="18"/>
        <v>0</v>
      </c>
      <c r="AG8" s="7">
        <f t="shared" si="18"/>
        <v>0</v>
      </c>
      <c r="AH8" s="7">
        <f t="shared" si="18"/>
        <v>0</v>
      </c>
      <c r="AI8" s="7">
        <f t="shared" si="18"/>
        <v>0</v>
      </c>
      <c r="AJ8" s="7">
        <f t="shared" si="18"/>
        <v>0</v>
      </c>
      <c r="AK8" s="7">
        <f t="shared" si="18"/>
        <v>0</v>
      </c>
      <c r="AL8" s="7">
        <f t="shared" si="18"/>
        <v>0</v>
      </c>
      <c r="AM8" s="7">
        <f t="shared" si="18"/>
        <v>0</v>
      </c>
      <c r="AN8" s="7">
        <f t="shared" si="18"/>
        <v>0</v>
      </c>
      <c r="AO8" s="7">
        <f t="shared" si="18"/>
        <v>0</v>
      </c>
      <c r="AP8" s="7">
        <f t="shared" si="18"/>
        <v>0</v>
      </c>
      <c r="AQ8" s="7">
        <f t="shared" si="18"/>
        <v>0</v>
      </c>
      <c r="AR8" s="7">
        <f t="shared" si="18"/>
        <v>0</v>
      </c>
      <c r="AS8" s="7">
        <f t="shared" si="18"/>
        <v>0</v>
      </c>
      <c r="AT8" s="7">
        <f t="shared" si="18"/>
        <v>0</v>
      </c>
      <c r="AU8" s="7">
        <f t="shared" si="18"/>
        <v>0</v>
      </c>
      <c r="AV8" s="7">
        <f t="shared" si="18"/>
        <v>0</v>
      </c>
      <c r="AW8" s="7">
        <f t="shared" si="18"/>
        <v>0</v>
      </c>
      <c r="AX8" s="7">
        <f t="shared" si="18"/>
        <v>0</v>
      </c>
      <c r="AY8" s="7">
        <f t="shared" si="18"/>
        <v>0</v>
      </c>
      <c r="AZ8" s="7">
        <f t="shared" si="18"/>
        <v>0</v>
      </c>
      <c r="BA8" s="7">
        <f t="shared" si="18"/>
        <v>0</v>
      </c>
      <c r="BB8" s="7">
        <f t="shared" si="18"/>
        <v>0</v>
      </c>
      <c r="BC8" s="7">
        <f t="shared" si="18"/>
        <v>0</v>
      </c>
      <c r="BD8" s="7">
        <f t="shared" si="18"/>
        <v>0</v>
      </c>
      <c r="BE8" s="7">
        <f t="shared" si="18"/>
        <v>0</v>
      </c>
      <c r="BF8" s="7">
        <f t="shared" si="18"/>
        <v>0</v>
      </c>
      <c r="BG8" s="7">
        <f t="shared" si="18"/>
        <v>0</v>
      </c>
      <c r="BH8" s="7">
        <f t="shared" si="18"/>
        <v>0</v>
      </c>
      <c r="BI8" s="7">
        <f t="shared" si="18"/>
        <v>0</v>
      </c>
      <c r="BJ8" s="7">
        <f t="shared" si="18"/>
        <v>0</v>
      </c>
      <c r="BK8" s="7">
        <f t="shared" si="18"/>
        <v>0</v>
      </c>
      <c r="BL8" s="7">
        <f t="shared" si="18"/>
        <v>0</v>
      </c>
      <c r="BM8" s="7">
        <f t="shared" si="18"/>
        <v>0</v>
      </c>
      <c r="BN8" s="7">
        <f t="shared" si="18"/>
        <v>0</v>
      </c>
      <c r="BO8" s="7">
        <f t="shared" si="18"/>
        <v>0</v>
      </c>
      <c r="BP8" s="7">
        <f t="shared" si="18"/>
        <v>0</v>
      </c>
      <c r="BQ8" s="7">
        <f t="shared" si="18"/>
        <v>0</v>
      </c>
      <c r="BR8" s="7">
        <f t="shared" si="18"/>
        <v>0</v>
      </c>
      <c r="BS8" s="7">
        <f t="shared" si="18"/>
        <v>0</v>
      </c>
      <c r="BT8" s="7">
        <f t="shared" si="18"/>
        <v>0</v>
      </c>
      <c r="BU8" s="7">
        <f t="shared" si="18"/>
        <v>0</v>
      </c>
      <c r="BV8" s="7">
        <f t="shared" si="18"/>
        <v>0</v>
      </c>
      <c r="BW8" s="7">
        <f t="shared" si="18"/>
        <v>0</v>
      </c>
      <c r="BX8" s="7">
        <f t="shared" si="18"/>
        <v>0</v>
      </c>
      <c r="BY8" s="7">
        <f t="shared" si="18"/>
        <v>0</v>
      </c>
      <c r="BZ8" s="7">
        <f t="shared" si="18"/>
        <v>0</v>
      </c>
      <c r="CA8" s="7">
        <f t="shared" si="18"/>
        <v>0</v>
      </c>
      <c r="CB8" s="7">
        <f t="shared" si="18"/>
        <v>0</v>
      </c>
      <c r="CC8" s="7">
        <f t="shared" si="18"/>
        <v>0</v>
      </c>
      <c r="CD8" s="7">
        <f t="shared" si="18"/>
        <v>0</v>
      </c>
      <c r="CE8" s="7">
        <f t="shared" si="18"/>
        <v>0</v>
      </c>
      <c r="CF8" s="7">
        <f t="shared" si="18"/>
        <v>0</v>
      </c>
      <c r="CG8" s="7">
        <f t="shared" si="18"/>
        <v>0</v>
      </c>
      <c r="CH8" s="7">
        <f t="shared" si="18"/>
        <v>0</v>
      </c>
      <c r="CI8" s="7">
        <f t="shared" si="18"/>
        <v>0</v>
      </c>
      <c r="CJ8" s="7">
        <f t="shared" si="18"/>
        <v>0</v>
      </c>
      <c r="CK8" s="7">
        <f t="shared" si="18"/>
        <v>0</v>
      </c>
      <c r="CL8" s="7">
        <f t="shared" si="18"/>
        <v>0</v>
      </c>
      <c r="CM8" s="7">
        <f t="shared" si="18"/>
        <v>0</v>
      </c>
      <c r="CN8" s="7">
        <f t="shared" si="18"/>
        <v>0</v>
      </c>
      <c r="CO8" s="7">
        <f t="shared" si="18"/>
        <v>0</v>
      </c>
      <c r="CP8" s="7">
        <f t="shared" si="18"/>
        <v>0</v>
      </c>
      <c r="CQ8" s="7">
        <f t="shared" si="18"/>
        <v>0</v>
      </c>
      <c r="CR8" s="7">
        <f t="shared" si="18"/>
        <v>0</v>
      </c>
      <c r="CS8" s="7">
        <f t="shared" si="18"/>
        <v>0</v>
      </c>
      <c r="CT8" s="7">
        <f t="shared" si="18"/>
        <v>0</v>
      </c>
    </row>
    <row r="10" ht="18.0" customHeight="1">
      <c r="O10" s="8"/>
      <c r="P10" s="8"/>
      <c r="Q10" s="8"/>
      <c r="R10" s="8"/>
    </row>
    <row r="11" ht="25.5" customHeight="1">
      <c r="A11" s="9" t="s">
        <v>9</v>
      </c>
      <c r="B11" s="9" t="s">
        <v>10</v>
      </c>
      <c r="C11" s="9" t="s">
        <v>0</v>
      </c>
      <c r="D11" s="9" t="s">
        <v>11</v>
      </c>
      <c r="E11" s="9" t="s">
        <v>12</v>
      </c>
      <c r="F11" s="9" t="s">
        <v>13</v>
      </c>
      <c r="G11" s="9" t="s">
        <v>14</v>
      </c>
      <c r="H11" s="9" t="s">
        <v>15</v>
      </c>
      <c r="I11" s="9" t="s">
        <v>16</v>
      </c>
      <c r="J11" s="9" t="s">
        <v>17</v>
      </c>
      <c r="K11" s="9" t="s">
        <v>18</v>
      </c>
      <c r="L11" s="9" t="s">
        <v>19</v>
      </c>
      <c r="M11" s="10" t="s">
        <v>20</v>
      </c>
      <c r="N11" s="10" t="s">
        <v>21</v>
      </c>
      <c r="O11" s="9" t="str">
        <f>"Net Book Value" &amp;" "&amp; Text(MR_Depreciation_Schedule!N11,"MMM-YY")</f>
        <v>Net Book Value Apr-25</v>
      </c>
      <c r="P11" s="9" t="str">
        <f>"Net Book Value" &amp;" "&amp; Text(MR_Depreciation_Schedule!O11,"MMM-YY")</f>
        <v>Net Book Value May-25</v>
      </c>
      <c r="Q11" s="9" t="str">
        <f>"Net Book Value" &amp;" "&amp; Text(MR_Depreciation_Schedule!P11,"MMM-YY")</f>
        <v>Net Book Value Jun-25</v>
      </c>
      <c r="R11" s="9" t="str">
        <f>"Net Book Value" &amp;" "&amp; Text(MR_Depreciation_Schedule!Q11,"MMM-YY")</f>
        <v>Net Book Value Jul-25</v>
      </c>
      <c r="S11" s="9" t="str">
        <f>"Net Book Value" &amp;" "&amp; Text(MR_Depreciation_Schedule!R11,"MMM-YY")</f>
        <v>Net Book Value Aug-25</v>
      </c>
      <c r="T11" s="9" t="str">
        <f>"Net Book Value" &amp;" "&amp; Text(MR_Depreciation_Schedule!S11,"MMM-YY")</f>
        <v>Net Book Value Sep-25</v>
      </c>
      <c r="U11" s="9" t="str">
        <f>"Net Book Value" &amp;" "&amp; Text(MR_Depreciation_Schedule!T11,"MMM-YY")</f>
        <v>Net Book Value Oct-25</v>
      </c>
      <c r="V11" s="9" t="str">
        <f>"Net Book Value" &amp;" "&amp; Text(MR_Depreciation_Schedule!U11,"MMM-YY")</f>
        <v>Net Book Value Nov-25</v>
      </c>
      <c r="W11" s="9" t="str">
        <f>"Net Book Value" &amp;" "&amp; Text(MR_Depreciation_Schedule!V11,"MMM-YY")</f>
        <v>Net Book Value Dec-25</v>
      </c>
    </row>
    <row r="12">
      <c r="A12" s="1" t="str">
        <f>"FA-"&amp;TEXT(ROW($A$1),"000")</f>
        <v>FA-001</v>
      </c>
      <c r="B12" s="1" t="s">
        <v>22</v>
      </c>
      <c r="C12" s="1" t="s">
        <v>2</v>
      </c>
      <c r="D12" s="1">
        <v>14000.0</v>
      </c>
      <c r="E12" s="11">
        <v>44621.0</v>
      </c>
      <c r="F12" s="11">
        <v>45697.0</v>
      </c>
      <c r="G12" s="3">
        <v>2.19E8</v>
      </c>
      <c r="H12" s="1"/>
      <c r="I12" s="1"/>
      <c r="J12" s="1"/>
      <c r="K12" s="3">
        <f t="shared" ref="K12:K27" si="20">G12-L12</f>
        <v>0</v>
      </c>
      <c r="L12" s="3">
        <f>IRD_Fixed_Asset_Register_List!Q14</f>
        <v>219000000</v>
      </c>
      <c r="M12" s="12" t="s">
        <v>23</v>
      </c>
      <c r="N12" s="13" t="s">
        <v>24</v>
      </c>
      <c r="O12" s="3">
        <f>L12-0</f>
        <v>219000000</v>
      </c>
      <c r="P12" s="3">
        <f t="shared" ref="P12:W12" si="19">O12-0</f>
        <v>219000000</v>
      </c>
      <c r="Q12" s="3">
        <f t="shared" si="19"/>
        <v>219000000</v>
      </c>
      <c r="R12" s="3">
        <f t="shared" si="19"/>
        <v>219000000</v>
      </c>
      <c r="S12" s="3">
        <f t="shared" si="19"/>
        <v>219000000</v>
      </c>
      <c r="T12" s="3">
        <f t="shared" si="19"/>
        <v>219000000</v>
      </c>
      <c r="U12" s="3">
        <f t="shared" si="19"/>
        <v>219000000</v>
      </c>
      <c r="V12" s="3">
        <f t="shared" si="19"/>
        <v>219000000</v>
      </c>
      <c r="W12" s="3">
        <f t="shared" si="19"/>
        <v>219000000</v>
      </c>
    </row>
    <row r="13">
      <c r="A13" s="1" t="str">
        <f t="shared" ref="A13:A32" si="21">"FA-"&amp;TEXT(ROW(A2),"000")</f>
        <v>FA-002</v>
      </c>
      <c r="B13" s="14" t="s">
        <v>25</v>
      </c>
      <c r="C13" s="1" t="s">
        <v>4</v>
      </c>
      <c r="D13" s="1">
        <v>14100.0</v>
      </c>
      <c r="E13" s="11">
        <v>44621.0</v>
      </c>
      <c r="F13" s="11">
        <v>45697.0</v>
      </c>
      <c r="G13" s="3">
        <v>8.0E7</v>
      </c>
      <c r="H13" s="1">
        <v>20.0</v>
      </c>
      <c r="I13" s="15">
        <v>0.05</v>
      </c>
      <c r="J13" s="1" t="s">
        <v>26</v>
      </c>
      <c r="K13" s="3">
        <f t="shared" si="20"/>
        <v>12666666.67</v>
      </c>
      <c r="L13" s="3">
        <f>IRD_Fixed_Asset_Register_List!Q15</f>
        <v>67333333.33</v>
      </c>
      <c r="M13" s="12" t="s">
        <v>23</v>
      </c>
      <c r="N13" s="13" t="s">
        <v>24</v>
      </c>
      <c r="O13" s="3">
        <f>L13-MR_Depreciation_Schedule!N13</f>
        <v>67000000</v>
      </c>
      <c r="P13" s="3">
        <f>O13-IRD_Depreciation_Schedule!P13</f>
        <v>66666666.67</v>
      </c>
      <c r="Q13" s="3">
        <f>P13-IRD_Depreciation_Schedule!Q13</f>
        <v>66333333.33</v>
      </c>
      <c r="R13" s="3">
        <f>Q13-IRD_Depreciation_Schedule!S13</f>
        <v>66000000</v>
      </c>
      <c r="S13" s="3">
        <f>R13-IRD_Depreciation_Schedule!T13</f>
        <v>65666666.67</v>
      </c>
      <c r="T13" s="3">
        <f>S13-IRD_Depreciation_Schedule!U13</f>
        <v>65333333.33</v>
      </c>
      <c r="U13" s="3">
        <f>T13-IRD_Depreciation_Schedule!V13</f>
        <v>65000000</v>
      </c>
      <c r="V13" s="3">
        <f>U13-IRD_Depreciation_Schedule!W13</f>
        <v>64666666.67</v>
      </c>
      <c r="W13" s="3">
        <f>V13-IRD_Depreciation_Schedule!X13</f>
        <v>64333333.33</v>
      </c>
    </row>
    <row r="14">
      <c r="A14" s="1" t="str">
        <f t="shared" si="21"/>
        <v>FA-003</v>
      </c>
      <c r="B14" s="14" t="s">
        <v>27</v>
      </c>
      <c r="C14" s="1" t="s">
        <v>4</v>
      </c>
      <c r="D14" s="1">
        <v>14101.0</v>
      </c>
      <c r="E14" s="11">
        <v>44621.0</v>
      </c>
      <c r="F14" s="11">
        <v>45697.0</v>
      </c>
      <c r="G14" s="3">
        <v>3.0E7</v>
      </c>
      <c r="H14" s="1">
        <v>20.0</v>
      </c>
      <c r="I14" s="15">
        <v>0.05</v>
      </c>
      <c r="J14" s="1" t="s">
        <v>26</v>
      </c>
      <c r="K14" s="3">
        <f t="shared" si="20"/>
        <v>4750000</v>
      </c>
      <c r="L14" s="3">
        <f>IRD_Fixed_Asset_Register_List!Q16</f>
        <v>25250000</v>
      </c>
      <c r="M14" s="12" t="s">
        <v>23</v>
      </c>
      <c r="N14" s="13" t="s">
        <v>24</v>
      </c>
      <c r="O14" s="3">
        <f>L14-MR_Depreciation_Schedule!N14</f>
        <v>25125000</v>
      </c>
      <c r="P14" s="3">
        <f>O14-IRD_Depreciation_Schedule!P14</f>
        <v>25000000</v>
      </c>
      <c r="Q14" s="3">
        <f>P14-IRD_Depreciation_Schedule!Q14</f>
        <v>24875000</v>
      </c>
      <c r="R14" s="3">
        <f>Q14-IRD_Depreciation_Schedule!S14</f>
        <v>24750000</v>
      </c>
      <c r="S14" s="3">
        <f>R14-IRD_Depreciation_Schedule!T14</f>
        <v>24625000</v>
      </c>
      <c r="T14" s="3">
        <f>S14-IRD_Depreciation_Schedule!U14</f>
        <v>24500000</v>
      </c>
      <c r="U14" s="3">
        <f>T14-IRD_Depreciation_Schedule!V14</f>
        <v>24375000</v>
      </c>
      <c r="V14" s="3">
        <f>U14-IRD_Depreciation_Schedule!W14</f>
        <v>24250000</v>
      </c>
      <c r="W14" s="3">
        <f>V14-IRD_Depreciation_Schedule!X14</f>
        <v>24125000</v>
      </c>
    </row>
    <row r="15">
      <c r="A15" s="1" t="str">
        <f t="shared" si="21"/>
        <v>FA-004</v>
      </c>
      <c r="B15" s="14" t="s">
        <v>28</v>
      </c>
      <c r="C15" s="1" t="s">
        <v>4</v>
      </c>
      <c r="D15" s="1">
        <v>14102.0</v>
      </c>
      <c r="E15" s="11">
        <v>44621.0</v>
      </c>
      <c r="F15" s="11">
        <v>45697.0</v>
      </c>
      <c r="G15" s="3">
        <v>1.5E7</v>
      </c>
      <c r="H15" s="1">
        <v>20.0</v>
      </c>
      <c r="I15" s="15">
        <v>0.05</v>
      </c>
      <c r="J15" s="1" t="s">
        <v>26</v>
      </c>
      <c r="K15" s="3">
        <f t="shared" si="20"/>
        <v>2375000</v>
      </c>
      <c r="L15" s="3">
        <f>IRD_Fixed_Asset_Register_List!Q17</f>
        <v>12625000</v>
      </c>
      <c r="M15" s="12" t="s">
        <v>23</v>
      </c>
      <c r="N15" s="13" t="s">
        <v>24</v>
      </c>
      <c r="O15" s="3">
        <f>L15-MR_Depreciation_Schedule!N15</f>
        <v>12562500</v>
      </c>
      <c r="P15" s="3">
        <f>O15-IRD_Depreciation_Schedule!P15</f>
        <v>12500000</v>
      </c>
      <c r="Q15" s="3">
        <f>P15-IRD_Depreciation_Schedule!Q15</f>
        <v>12437500</v>
      </c>
      <c r="R15" s="3">
        <f>Q15-IRD_Depreciation_Schedule!S15</f>
        <v>12375000</v>
      </c>
      <c r="S15" s="3">
        <f>R15-IRD_Depreciation_Schedule!T15</f>
        <v>12312500</v>
      </c>
      <c r="T15" s="3">
        <f>S15-IRD_Depreciation_Schedule!U15</f>
        <v>12250000</v>
      </c>
      <c r="U15" s="3">
        <f>T15-IRD_Depreciation_Schedule!V15</f>
        <v>12187500</v>
      </c>
      <c r="V15" s="3">
        <f>U15-IRD_Depreciation_Schedule!W15</f>
        <v>12125000</v>
      </c>
      <c r="W15" s="3">
        <f>V15-IRD_Depreciation_Schedule!X15</f>
        <v>12062500</v>
      </c>
    </row>
    <row r="16">
      <c r="A16" s="1" t="str">
        <f t="shared" si="21"/>
        <v>FA-005</v>
      </c>
      <c r="B16" s="16" t="s">
        <v>29</v>
      </c>
      <c r="C16" s="1" t="s">
        <v>4</v>
      </c>
      <c r="D16" s="1">
        <v>14103.0</v>
      </c>
      <c r="E16" s="11">
        <v>44621.0</v>
      </c>
      <c r="F16" s="11">
        <v>45697.0</v>
      </c>
      <c r="G16" s="3">
        <v>8000000.0</v>
      </c>
      <c r="H16" s="1">
        <v>20.0</v>
      </c>
      <c r="I16" s="15">
        <v>0.05</v>
      </c>
      <c r="J16" s="1" t="s">
        <v>26</v>
      </c>
      <c r="K16" s="3">
        <f t="shared" si="20"/>
        <v>1266666.667</v>
      </c>
      <c r="L16" s="3">
        <f>IRD_Fixed_Asset_Register_List!Q18</f>
        <v>6733333.333</v>
      </c>
      <c r="M16" s="12" t="s">
        <v>23</v>
      </c>
      <c r="N16" s="13" t="s">
        <v>24</v>
      </c>
      <c r="O16" s="3">
        <f>L16-MR_Depreciation_Schedule!N16</f>
        <v>6700000</v>
      </c>
      <c r="P16" s="3">
        <f>O16-IRD_Depreciation_Schedule!P16</f>
        <v>6666666.667</v>
      </c>
      <c r="Q16" s="3">
        <f>P16-IRD_Depreciation_Schedule!Q16</f>
        <v>6633333.333</v>
      </c>
      <c r="R16" s="3">
        <f>Q16-IRD_Depreciation_Schedule!S16</f>
        <v>6600000</v>
      </c>
      <c r="S16" s="3">
        <f>R16-IRD_Depreciation_Schedule!T16</f>
        <v>6566666.667</v>
      </c>
      <c r="T16" s="3">
        <f>S16-IRD_Depreciation_Schedule!U16</f>
        <v>6533333.333</v>
      </c>
      <c r="U16" s="3">
        <f>T16-IRD_Depreciation_Schedule!V16</f>
        <v>6500000</v>
      </c>
      <c r="V16" s="3">
        <f>U16-IRD_Depreciation_Schedule!W16</f>
        <v>6466666.667</v>
      </c>
      <c r="W16" s="3">
        <f>V16-IRD_Depreciation_Schedule!X16</f>
        <v>6433333.333</v>
      </c>
    </row>
    <row r="17">
      <c r="A17" s="17" t="str">
        <f t="shared" si="21"/>
        <v>FA-006</v>
      </c>
      <c r="B17" s="18" t="s">
        <v>30</v>
      </c>
      <c r="C17" s="17" t="s">
        <v>5</v>
      </c>
      <c r="D17" s="17">
        <v>14200.0</v>
      </c>
      <c r="E17" s="19">
        <v>44621.0</v>
      </c>
      <c r="F17" s="19">
        <v>45697.0</v>
      </c>
      <c r="G17" s="20">
        <v>1.48E7</v>
      </c>
      <c r="H17" s="17">
        <v>5.0</v>
      </c>
      <c r="I17" s="21">
        <f t="shared" ref="I17:I24" si="22">2*(1/H17)</f>
        <v>0.4</v>
      </c>
      <c r="J17" s="17" t="s">
        <v>31</v>
      </c>
      <c r="K17" s="20">
        <f t="shared" si="20"/>
        <v>2905733.333</v>
      </c>
      <c r="L17" s="20">
        <f>IRD_Fixed_Asset_Register_List!Q19</f>
        <v>11894266.67</v>
      </c>
      <c r="M17" s="22" t="s">
        <v>23</v>
      </c>
      <c r="N17" s="23" t="s">
        <v>24</v>
      </c>
      <c r="O17" s="20">
        <f>$L17-MR_Depreciation_Schedule!N17</f>
        <v>11497791.11</v>
      </c>
      <c r="P17" s="20">
        <f>O17-MR_Depreciation_Schedule!O17</f>
        <v>11114531.41</v>
      </c>
      <c r="Q17" s="20">
        <f>P17-MR_Depreciation_Schedule!P17</f>
        <v>10744047.03</v>
      </c>
      <c r="R17" s="20">
        <f>Q17-MR_Depreciation_Schedule!Q17</f>
        <v>10385912.13</v>
      </c>
      <c r="S17" s="20">
        <f>R17-MR_Depreciation_Schedule!R17</f>
        <v>10039715.06</v>
      </c>
      <c r="T17" s="20">
        <f>S17-MR_Depreciation_Schedule!S17</f>
        <v>9705057.887</v>
      </c>
      <c r="U17" s="20">
        <f>T17-MR_Depreciation_Schedule!T17</f>
        <v>9381555.957</v>
      </c>
      <c r="V17" s="20">
        <f>U17-MR_Depreciation_Schedule!U17</f>
        <v>9068837.425</v>
      </c>
      <c r="W17" s="20">
        <f>V17-MR_Depreciation_Schedule!V17</f>
        <v>8766542.845</v>
      </c>
    </row>
    <row r="18">
      <c r="A18" s="1" t="str">
        <f t="shared" si="21"/>
        <v>FA-007</v>
      </c>
      <c r="B18" s="24" t="s">
        <v>32</v>
      </c>
      <c r="C18" s="1" t="s">
        <v>7</v>
      </c>
      <c r="D18" s="25">
        <v>14201.0</v>
      </c>
      <c r="E18" s="11">
        <v>44621.0</v>
      </c>
      <c r="F18" s="11">
        <v>45697.0</v>
      </c>
      <c r="G18" s="3">
        <v>2000000.0</v>
      </c>
      <c r="H18" s="1">
        <v>5.0</v>
      </c>
      <c r="I18" s="26">
        <f t="shared" si="22"/>
        <v>0.4</v>
      </c>
      <c r="J18" s="1" t="s">
        <v>31</v>
      </c>
      <c r="K18" s="3">
        <f t="shared" si="20"/>
        <v>633333.3333</v>
      </c>
      <c r="L18" s="3">
        <f>IRD_Fixed_Asset_Register_List!Q20</f>
        <v>1366666.667</v>
      </c>
      <c r="M18" s="12" t="s">
        <v>23</v>
      </c>
      <c r="N18" s="13" t="s">
        <v>24</v>
      </c>
      <c r="O18" s="3">
        <f>$L18-MR_Depreciation_Schedule!N18</f>
        <v>1321111.111</v>
      </c>
      <c r="P18" s="3">
        <f>O18-MR_Depreciation_Schedule!O18</f>
        <v>1277074.074</v>
      </c>
      <c r="Q18" s="3">
        <f>P18-MR_Depreciation_Schedule!P18</f>
        <v>1234504.938</v>
      </c>
      <c r="R18" s="3">
        <f>Q18-MR_Depreciation_Schedule!Q18</f>
        <v>1193354.774</v>
      </c>
      <c r="S18" s="3">
        <f>R18-MR_Depreciation_Schedule!R18</f>
        <v>1153576.281</v>
      </c>
      <c r="T18" s="3">
        <f>S18-MR_Depreciation_Schedule!S18</f>
        <v>1115123.739</v>
      </c>
      <c r="U18" s="3">
        <f>T18-MR_Depreciation_Schedule!T18</f>
        <v>1077952.947</v>
      </c>
      <c r="V18" s="3">
        <f>U18-MR_Depreciation_Schedule!U18</f>
        <v>1042021.182</v>
      </c>
      <c r="W18" s="3">
        <f>V18-MR_Depreciation_Schedule!V18</f>
        <v>1007287.143</v>
      </c>
    </row>
    <row r="19">
      <c r="A19" s="1" t="str">
        <f t="shared" si="21"/>
        <v>FA-008</v>
      </c>
      <c r="B19" s="24" t="s">
        <v>33</v>
      </c>
      <c r="C19" s="1" t="s">
        <v>7</v>
      </c>
      <c r="D19" s="25">
        <v>14202.0</v>
      </c>
      <c r="E19" s="11">
        <v>44621.0</v>
      </c>
      <c r="F19" s="11">
        <v>45697.0</v>
      </c>
      <c r="G19" s="3">
        <v>4000000.0</v>
      </c>
      <c r="H19" s="1">
        <v>5.0</v>
      </c>
      <c r="I19" s="26">
        <f t="shared" si="22"/>
        <v>0.4</v>
      </c>
      <c r="J19" s="1" t="s">
        <v>31</v>
      </c>
      <c r="K19" s="3">
        <f t="shared" si="20"/>
        <v>791666.6667</v>
      </c>
      <c r="L19" s="3">
        <f>IRD_Fixed_Asset_Register_List!Q21</f>
        <v>3208333.333</v>
      </c>
      <c r="M19" s="12" t="s">
        <v>23</v>
      </c>
      <c r="N19" s="13" t="s">
        <v>24</v>
      </c>
      <c r="O19" s="3">
        <f>$L19-MR_Depreciation_Schedule!N19</f>
        <v>3101388.889</v>
      </c>
      <c r="P19" s="3">
        <f>O19-MR_Depreciation_Schedule!O19</f>
        <v>2998009.259</v>
      </c>
      <c r="Q19" s="3">
        <f>P19-MR_Depreciation_Schedule!P19</f>
        <v>2898075.617</v>
      </c>
      <c r="R19" s="3">
        <f>Q19-MR_Depreciation_Schedule!Q19</f>
        <v>2801473.097</v>
      </c>
      <c r="S19" s="3">
        <f>R19-MR_Depreciation_Schedule!R19</f>
        <v>2708090.66</v>
      </c>
      <c r="T19" s="3">
        <f>S19-MR_Depreciation_Schedule!S19</f>
        <v>2617820.971</v>
      </c>
      <c r="U19" s="3">
        <f>T19-MR_Depreciation_Schedule!T19</f>
        <v>2530560.272</v>
      </c>
      <c r="V19" s="3">
        <f>U19-MR_Depreciation_Schedule!U19</f>
        <v>2446208.263</v>
      </c>
      <c r="W19" s="3">
        <f>V19-MR_Depreciation_Schedule!V19</f>
        <v>2364667.988</v>
      </c>
    </row>
    <row r="20">
      <c r="A20" s="1" t="str">
        <f t="shared" si="21"/>
        <v>FA-009</v>
      </c>
      <c r="B20" s="24" t="s">
        <v>34</v>
      </c>
      <c r="C20" s="1" t="s">
        <v>5</v>
      </c>
      <c r="D20" s="25">
        <v>14203.0</v>
      </c>
      <c r="E20" s="11">
        <v>44621.0</v>
      </c>
      <c r="F20" s="11">
        <v>45697.0</v>
      </c>
      <c r="G20" s="3">
        <v>5.0E7</v>
      </c>
      <c r="H20" s="1">
        <v>5.0</v>
      </c>
      <c r="I20" s="26">
        <f t="shared" si="22"/>
        <v>0.4</v>
      </c>
      <c r="J20" s="1" t="s">
        <v>31</v>
      </c>
      <c r="K20" s="3">
        <f t="shared" si="20"/>
        <v>9816666.667</v>
      </c>
      <c r="L20" s="3">
        <f>IRD_Fixed_Asset_Register_List!Q22</f>
        <v>40183333.33</v>
      </c>
      <c r="M20" s="12" t="s">
        <v>23</v>
      </c>
      <c r="N20" s="13" t="s">
        <v>24</v>
      </c>
      <c r="O20" s="3">
        <f>$L20-MR_Depreciation_Schedule!N20</f>
        <v>38843888.89</v>
      </c>
      <c r="P20" s="3">
        <f>O20-MR_Depreciation_Schedule!O20</f>
        <v>37549092.59</v>
      </c>
      <c r="Q20" s="3">
        <f>P20-MR_Depreciation_Schedule!P20</f>
        <v>36297456.17</v>
      </c>
      <c r="R20" s="3">
        <f>Q20-MR_Depreciation_Schedule!Q20</f>
        <v>35087540.97</v>
      </c>
      <c r="S20" s="3">
        <f>R20-MR_Depreciation_Schedule!R20</f>
        <v>33917956.27</v>
      </c>
      <c r="T20" s="3">
        <f>S20-MR_Depreciation_Schedule!S20</f>
        <v>32787357.73</v>
      </c>
      <c r="U20" s="3">
        <f>T20-MR_Depreciation_Schedule!T20</f>
        <v>31694445.8</v>
      </c>
      <c r="V20" s="3">
        <f>U20-MR_Depreciation_Schedule!U20</f>
        <v>30637964.27</v>
      </c>
      <c r="W20" s="3">
        <f>V20-MR_Depreciation_Schedule!V20</f>
        <v>29616698.8</v>
      </c>
    </row>
    <row r="21">
      <c r="A21" s="1" t="str">
        <f t="shared" si="21"/>
        <v>FA-010</v>
      </c>
      <c r="B21" s="14" t="s">
        <v>35</v>
      </c>
      <c r="C21" s="1" t="s">
        <v>7</v>
      </c>
      <c r="D21" s="25">
        <v>14204.0</v>
      </c>
      <c r="E21" s="11">
        <v>44621.0</v>
      </c>
      <c r="F21" s="11">
        <v>45697.0</v>
      </c>
      <c r="G21" s="3">
        <v>1200000.0</v>
      </c>
      <c r="H21" s="1">
        <v>5.0</v>
      </c>
      <c r="I21" s="26">
        <f t="shared" si="22"/>
        <v>0.4</v>
      </c>
      <c r="J21" s="1" t="s">
        <v>31</v>
      </c>
      <c r="K21" s="3">
        <f t="shared" si="20"/>
        <v>380000</v>
      </c>
      <c r="L21" s="3">
        <f>IRD_Fixed_Asset_Register_List!Q23</f>
        <v>820000</v>
      </c>
      <c r="M21" s="12" t="s">
        <v>23</v>
      </c>
      <c r="N21" s="13" t="s">
        <v>24</v>
      </c>
      <c r="O21" s="3">
        <f>$L21-MR_Depreciation_Schedule!N21</f>
        <v>792666.6667</v>
      </c>
      <c r="P21" s="3">
        <f>O21-MR_Depreciation_Schedule!O21</f>
        <v>766244.4444</v>
      </c>
      <c r="Q21" s="3">
        <f>P21-MR_Depreciation_Schedule!P21</f>
        <v>740702.963</v>
      </c>
      <c r="R21" s="3">
        <f>Q21-MR_Depreciation_Schedule!Q21</f>
        <v>716012.8642</v>
      </c>
      <c r="S21" s="3">
        <f>R21-MR_Depreciation_Schedule!R21</f>
        <v>692145.7687</v>
      </c>
      <c r="T21" s="3">
        <f>S21-MR_Depreciation_Schedule!S21</f>
        <v>669074.2431</v>
      </c>
      <c r="U21" s="3">
        <f>T21-MR_Depreciation_Schedule!T21</f>
        <v>646771.7683</v>
      </c>
      <c r="V21" s="3">
        <f>U21-MR_Depreciation_Schedule!U21</f>
        <v>625212.7094</v>
      </c>
      <c r="W21" s="3">
        <f>V21-MR_Depreciation_Schedule!V21</f>
        <v>604372.2857</v>
      </c>
    </row>
    <row r="22">
      <c r="A22" s="1" t="str">
        <f t="shared" si="21"/>
        <v>FA-011</v>
      </c>
      <c r="B22" s="24" t="s">
        <v>36</v>
      </c>
      <c r="C22" s="1" t="s">
        <v>5</v>
      </c>
      <c r="D22" s="25">
        <v>14205.0</v>
      </c>
      <c r="E22" s="11">
        <v>44621.0</v>
      </c>
      <c r="F22" s="11">
        <v>45697.0</v>
      </c>
      <c r="G22" s="3">
        <v>600000.0</v>
      </c>
      <c r="H22" s="1">
        <v>5.0</v>
      </c>
      <c r="I22" s="26">
        <f t="shared" si="22"/>
        <v>0.4</v>
      </c>
      <c r="J22" s="1" t="s">
        <v>31</v>
      </c>
      <c r="K22" s="3">
        <f t="shared" si="20"/>
        <v>118750</v>
      </c>
      <c r="L22" s="3">
        <f>IRD_Fixed_Asset_Register_List!Q24</f>
        <v>481250</v>
      </c>
      <c r="M22" s="12" t="s">
        <v>23</v>
      </c>
      <c r="N22" s="13" t="s">
        <v>24</v>
      </c>
      <c r="O22" s="3">
        <f>$L22-MR_Depreciation_Schedule!N22</f>
        <v>465208.3333</v>
      </c>
      <c r="P22" s="3">
        <f>O22-MR_Depreciation_Schedule!O22</f>
        <v>449701.3889</v>
      </c>
      <c r="Q22" s="3">
        <f>P22-MR_Depreciation_Schedule!P22</f>
        <v>434711.3426</v>
      </c>
      <c r="R22" s="3">
        <f>Q22-MR_Depreciation_Schedule!Q22</f>
        <v>420220.9645</v>
      </c>
      <c r="S22" s="3">
        <f>R22-MR_Depreciation_Schedule!R22</f>
        <v>406213.599</v>
      </c>
      <c r="T22" s="3">
        <f>S22-MR_Depreciation_Schedule!S22</f>
        <v>392673.1457</v>
      </c>
      <c r="U22" s="3">
        <f>T22-MR_Depreciation_Schedule!T22</f>
        <v>379584.0409</v>
      </c>
      <c r="V22" s="3">
        <f>U22-MR_Depreciation_Schedule!U22</f>
        <v>366931.2395</v>
      </c>
      <c r="W22" s="3">
        <f>V22-MR_Depreciation_Schedule!V22</f>
        <v>354700.1982</v>
      </c>
    </row>
    <row r="23">
      <c r="A23" s="1" t="str">
        <f t="shared" si="21"/>
        <v>FA-012</v>
      </c>
      <c r="B23" s="14" t="s">
        <v>37</v>
      </c>
      <c r="C23" s="1" t="s">
        <v>5</v>
      </c>
      <c r="D23" s="25">
        <v>14206.0</v>
      </c>
      <c r="E23" s="11">
        <v>44621.0</v>
      </c>
      <c r="F23" s="11">
        <v>45697.0</v>
      </c>
      <c r="G23" s="3">
        <v>200000.0</v>
      </c>
      <c r="H23" s="1">
        <v>5.0</v>
      </c>
      <c r="I23" s="26">
        <f t="shared" si="22"/>
        <v>0.4</v>
      </c>
      <c r="J23" s="1" t="s">
        <v>31</v>
      </c>
      <c r="K23" s="3">
        <f t="shared" si="20"/>
        <v>63333.33333</v>
      </c>
      <c r="L23" s="3">
        <f>IRD_Fixed_Asset_Register_List!Q25</f>
        <v>136666.6667</v>
      </c>
      <c r="M23" s="12" t="s">
        <v>23</v>
      </c>
      <c r="N23" s="13" t="s">
        <v>24</v>
      </c>
      <c r="O23" s="3">
        <f>$L23-MR_Depreciation_Schedule!N23</f>
        <v>132111.1111</v>
      </c>
      <c r="P23" s="3">
        <f>O23-MR_Depreciation_Schedule!O23</f>
        <v>127707.4074</v>
      </c>
      <c r="Q23" s="3">
        <f>P23-MR_Depreciation_Schedule!P23</f>
        <v>123450.4938</v>
      </c>
      <c r="R23" s="3">
        <f>Q23-MR_Depreciation_Schedule!Q23</f>
        <v>119335.4774</v>
      </c>
      <c r="S23" s="3">
        <f>R23-MR_Depreciation_Schedule!R23</f>
        <v>115357.6281</v>
      </c>
      <c r="T23" s="3">
        <f>S23-MR_Depreciation_Schedule!S23</f>
        <v>111512.3739</v>
      </c>
      <c r="U23" s="3">
        <f>T23-MR_Depreciation_Schedule!T23</f>
        <v>107795.2947</v>
      </c>
      <c r="V23" s="3">
        <f>U23-MR_Depreciation_Schedule!U23</f>
        <v>104202.1182</v>
      </c>
      <c r="W23" s="3">
        <f>V23-MR_Depreciation_Schedule!V23</f>
        <v>100728.7143</v>
      </c>
    </row>
    <row r="24">
      <c r="A24" s="1" t="str">
        <f t="shared" si="21"/>
        <v>FA-013</v>
      </c>
      <c r="B24" s="14" t="s">
        <v>38</v>
      </c>
      <c r="C24" s="1" t="s">
        <v>5</v>
      </c>
      <c r="D24" s="25">
        <v>14207.0</v>
      </c>
      <c r="E24" s="11">
        <v>44621.0</v>
      </c>
      <c r="F24" s="11">
        <v>45697.0</v>
      </c>
      <c r="G24" s="3">
        <v>800000.0</v>
      </c>
      <c r="H24" s="1">
        <v>5.0</v>
      </c>
      <c r="I24" s="26">
        <f t="shared" si="22"/>
        <v>0.4</v>
      </c>
      <c r="J24" s="1" t="s">
        <v>31</v>
      </c>
      <c r="K24" s="3">
        <f t="shared" si="20"/>
        <v>158333.3333</v>
      </c>
      <c r="L24" s="3">
        <f>IRD_Fixed_Asset_Register_List!Q26</f>
        <v>641666.6667</v>
      </c>
      <c r="M24" s="12" t="s">
        <v>23</v>
      </c>
      <c r="N24" s="13" t="s">
        <v>24</v>
      </c>
      <c r="O24" s="3">
        <f>$L24-MR_Depreciation_Schedule!N24</f>
        <v>620277.7778</v>
      </c>
      <c r="P24" s="3">
        <f>O24-MR_Depreciation_Schedule!O24</f>
        <v>599601.8519</v>
      </c>
      <c r="Q24" s="3">
        <f>P24-MR_Depreciation_Schedule!P24</f>
        <v>579615.1235</v>
      </c>
      <c r="R24" s="3">
        <f>Q24-MR_Depreciation_Schedule!Q24</f>
        <v>560294.6193</v>
      </c>
      <c r="S24" s="3">
        <f>R24-MR_Depreciation_Schedule!R24</f>
        <v>541618.132</v>
      </c>
      <c r="T24" s="3">
        <f>S24-MR_Depreciation_Schedule!S24</f>
        <v>523564.1943</v>
      </c>
      <c r="U24" s="3">
        <f>T24-MR_Depreciation_Schedule!T24</f>
        <v>506112.0545</v>
      </c>
      <c r="V24" s="3">
        <f>U24-MR_Depreciation_Schedule!U24</f>
        <v>489241.6527</v>
      </c>
      <c r="W24" s="3">
        <f>V24-MR_Depreciation_Schedule!V24</f>
        <v>472933.5976</v>
      </c>
    </row>
    <row r="25">
      <c r="A25" s="1" t="str">
        <f t="shared" si="21"/>
        <v>FA-014</v>
      </c>
      <c r="B25" s="24" t="s">
        <v>39</v>
      </c>
      <c r="C25" s="1" t="s">
        <v>2</v>
      </c>
      <c r="D25" s="1">
        <v>14208.0</v>
      </c>
      <c r="E25" s="11">
        <v>45695.0</v>
      </c>
      <c r="F25" s="11">
        <v>45695.0</v>
      </c>
      <c r="G25" s="3">
        <v>2.1029E8</v>
      </c>
      <c r="H25" s="1"/>
      <c r="I25" s="26"/>
      <c r="J25" s="1"/>
      <c r="K25" s="3">
        <f t="shared" si="20"/>
        <v>0</v>
      </c>
      <c r="L25" s="3">
        <f>IRD_Fixed_Asset_Register_List!Q27</f>
        <v>210290000</v>
      </c>
      <c r="M25" s="12" t="s">
        <v>23</v>
      </c>
      <c r="N25" s="13" t="s">
        <v>40</v>
      </c>
      <c r="O25" s="3">
        <f>$L25-MR_Depreciation_Schedule!N25</f>
        <v>210290000</v>
      </c>
      <c r="P25" s="3">
        <f>O25-MR_Depreciation_Schedule!O25</f>
        <v>210290000</v>
      </c>
      <c r="Q25" s="3">
        <f>P25-MR_Depreciation_Schedule!P25</f>
        <v>210290000</v>
      </c>
      <c r="R25" s="3">
        <f>Q25-MR_Depreciation_Schedule!Q25</f>
        <v>210290000</v>
      </c>
      <c r="S25" s="3">
        <f>R25-MR_Depreciation_Schedule!R25</f>
        <v>210290000</v>
      </c>
      <c r="T25" s="3">
        <f>S25-MR_Depreciation_Schedule!S25</f>
        <v>210290000</v>
      </c>
      <c r="U25" s="3">
        <f>T25-MR_Depreciation_Schedule!T25</f>
        <v>210290000</v>
      </c>
      <c r="V25" s="3">
        <f>U25-MR_Depreciation_Schedule!U25</f>
        <v>210290000</v>
      </c>
      <c r="W25" s="3">
        <f>V25-MR_Depreciation_Schedule!V25</f>
        <v>210290000</v>
      </c>
    </row>
    <row r="26">
      <c r="A26" s="1" t="str">
        <f t="shared" si="21"/>
        <v>FA-015</v>
      </c>
      <c r="B26" s="27" t="s">
        <v>41</v>
      </c>
      <c r="C26" s="1" t="s">
        <v>7</v>
      </c>
      <c r="D26" s="1">
        <v>14209.0</v>
      </c>
      <c r="E26" s="28">
        <v>45703.0</v>
      </c>
      <c r="F26" s="28">
        <v>45703.0</v>
      </c>
      <c r="G26" s="3">
        <v>6856000.0</v>
      </c>
      <c r="H26" s="1">
        <v>5.0</v>
      </c>
      <c r="I26" s="26">
        <f t="shared" ref="I26:I29" si="23">2*(1/H26)</f>
        <v>0.4</v>
      </c>
      <c r="J26" s="1" t="s">
        <v>31</v>
      </c>
      <c r="K26" s="3">
        <f t="shared" si="20"/>
        <v>57133.33333</v>
      </c>
      <c r="L26" s="3">
        <f>IRD_Fixed_Asset_Register_List!Q28</f>
        <v>6798866.667</v>
      </c>
      <c r="M26" s="12" t="s">
        <v>23</v>
      </c>
      <c r="N26" s="13" t="s">
        <v>40</v>
      </c>
      <c r="O26" s="3">
        <f>$L26-MR_Depreciation_Schedule!N26</f>
        <v>6572237.778</v>
      </c>
      <c r="P26" s="3">
        <f>O26-MR_Depreciation_Schedule!O26</f>
        <v>6353163.185</v>
      </c>
      <c r="Q26" s="3">
        <f>P26-MR_Depreciation_Schedule!P26</f>
        <v>6141391.079</v>
      </c>
      <c r="R26" s="3">
        <f>Q26-MR_Depreciation_Schedule!Q26</f>
        <v>5936678.043</v>
      </c>
      <c r="S26" s="3">
        <f>R26-MR_Depreciation_Schedule!R26</f>
        <v>5738788.775</v>
      </c>
      <c r="T26" s="3">
        <f>S26-MR_Depreciation_Schedule!S26</f>
        <v>5547495.816</v>
      </c>
      <c r="U26" s="3">
        <f>T26-MR_Depreciation_Schedule!T26</f>
        <v>5362579.289</v>
      </c>
      <c r="V26" s="3">
        <f>U26-MR_Depreciation_Schedule!U26</f>
        <v>5183826.646</v>
      </c>
      <c r="W26" s="3">
        <f>V26-MR_Depreciation_Schedule!V26</f>
        <v>5011032.424</v>
      </c>
    </row>
    <row r="27">
      <c r="A27" s="1" t="str">
        <f t="shared" si="21"/>
        <v>FA-016</v>
      </c>
      <c r="B27" s="27" t="s">
        <v>42</v>
      </c>
      <c r="C27" s="1" t="s">
        <v>5</v>
      </c>
      <c r="D27" s="1">
        <v>14210.0</v>
      </c>
      <c r="E27" s="28">
        <v>45724.0</v>
      </c>
      <c r="F27" s="28">
        <f t="shared" ref="F27:F31" si="24">E27</f>
        <v>45724</v>
      </c>
      <c r="G27" s="3">
        <v>1520000.0</v>
      </c>
      <c r="H27" s="1">
        <v>5.0</v>
      </c>
      <c r="I27" s="26">
        <f t="shared" si="23"/>
        <v>0.4</v>
      </c>
      <c r="J27" s="1" t="s">
        <v>31</v>
      </c>
      <c r="K27" s="3">
        <f t="shared" si="20"/>
        <v>12666.66667</v>
      </c>
      <c r="L27" s="3">
        <f>IRD_Fixed_Asset_Register_List!Q29</f>
        <v>1507333.333</v>
      </c>
      <c r="M27" s="12" t="s">
        <v>23</v>
      </c>
      <c r="N27" s="13" t="s">
        <v>40</v>
      </c>
      <c r="O27" s="3">
        <f>$L27-MR_Depreciation_Schedule!N27</f>
        <v>1457088.889</v>
      </c>
      <c r="P27" s="3">
        <f>O27-MR_Depreciation_Schedule!O27</f>
        <v>1408519.259</v>
      </c>
      <c r="Q27" s="3">
        <f>P27-MR_Depreciation_Schedule!P27</f>
        <v>1361568.617</v>
      </c>
      <c r="R27" s="3">
        <f>Q27-MR_Depreciation_Schedule!Q27</f>
        <v>1316182.997</v>
      </c>
      <c r="S27" s="3">
        <f>R27-MR_Depreciation_Schedule!R27</f>
        <v>1272310.23</v>
      </c>
      <c r="T27" s="3">
        <f>S27-MR_Depreciation_Schedule!S27</f>
        <v>1229899.889</v>
      </c>
      <c r="U27" s="3">
        <f>T27-MR_Depreciation_Schedule!T27</f>
        <v>1188903.226</v>
      </c>
      <c r="V27" s="3">
        <f>U27-MR_Depreciation_Schedule!U27</f>
        <v>1149273.119</v>
      </c>
      <c r="W27" s="3">
        <f>V27-MR_Depreciation_Schedule!V27</f>
        <v>1110964.015</v>
      </c>
    </row>
    <row r="28">
      <c r="A28" s="1" t="str">
        <f t="shared" si="21"/>
        <v>FA-017</v>
      </c>
      <c r="B28" s="27" t="s">
        <v>43</v>
      </c>
      <c r="C28" s="1" t="s">
        <v>7</v>
      </c>
      <c r="D28" s="25">
        <f t="shared" ref="D28:D31" si="25">D27+1</f>
        <v>14211</v>
      </c>
      <c r="E28" s="28">
        <v>45866.0</v>
      </c>
      <c r="F28" s="28">
        <f t="shared" si="24"/>
        <v>45866</v>
      </c>
      <c r="G28" s="3">
        <v>9.2E7</v>
      </c>
      <c r="H28" s="1">
        <v>5.0</v>
      </c>
      <c r="I28" s="26">
        <f t="shared" si="23"/>
        <v>0.4</v>
      </c>
      <c r="J28" s="1" t="s">
        <v>31</v>
      </c>
      <c r="K28" s="1">
        <v>0.0</v>
      </c>
      <c r="L28" s="1">
        <v>0.0</v>
      </c>
      <c r="M28" s="12" t="s">
        <v>23</v>
      </c>
      <c r="N28" s="13" t="s">
        <v>40</v>
      </c>
      <c r="O28" s="3">
        <f>$L28-MR_Depreciation_Schedule!N28</f>
        <v>0</v>
      </c>
      <c r="P28" s="3">
        <f>$L28-MR_Depreciation_Schedule!O28</f>
        <v>0</v>
      </c>
      <c r="Q28" s="3">
        <f>$L28-MR_Depreciation_Schedule!P28</f>
        <v>0</v>
      </c>
      <c r="R28" s="3">
        <f>G28</f>
        <v>92000000</v>
      </c>
      <c r="S28" s="3">
        <f t="shared" ref="S28:S30" si="26">G28</f>
        <v>92000000</v>
      </c>
      <c r="T28" s="3">
        <f>G28</f>
        <v>92000000</v>
      </c>
      <c r="U28" s="3">
        <f>G28</f>
        <v>92000000</v>
      </c>
      <c r="V28" s="3">
        <f>U28-MR_Depreciation_Schedule!U28</f>
        <v>92000000</v>
      </c>
      <c r="W28" s="3">
        <f>V28-MR_Depreciation_Schedule!V28</f>
        <v>88933333.33</v>
      </c>
    </row>
    <row r="29">
      <c r="A29" s="1" t="str">
        <f t="shared" si="21"/>
        <v>FA-018</v>
      </c>
      <c r="B29" s="13" t="s">
        <v>44</v>
      </c>
      <c r="C29" s="1" t="s">
        <v>5</v>
      </c>
      <c r="D29" s="25">
        <f t="shared" si="25"/>
        <v>14212</v>
      </c>
      <c r="E29" s="28">
        <v>45868.0</v>
      </c>
      <c r="F29" s="28">
        <f t="shared" si="24"/>
        <v>45868</v>
      </c>
      <c r="G29" s="3">
        <v>6.8E7</v>
      </c>
      <c r="H29" s="1">
        <v>5.0</v>
      </c>
      <c r="I29" s="26">
        <f t="shared" si="23"/>
        <v>0.4</v>
      </c>
      <c r="J29" s="1" t="s">
        <v>31</v>
      </c>
      <c r="K29" s="1">
        <v>0.0</v>
      </c>
      <c r="L29" s="1">
        <v>0.0</v>
      </c>
      <c r="M29" s="12" t="s">
        <v>23</v>
      </c>
      <c r="N29" s="13" t="s">
        <v>40</v>
      </c>
      <c r="O29" s="3">
        <f>$L29-MR_Depreciation_Schedule!N29</f>
        <v>0</v>
      </c>
      <c r="P29" s="3">
        <f>$L29-MR_Depreciation_Schedule!O29</f>
        <v>0</v>
      </c>
      <c r="Q29" s="3">
        <f>$L29-MR_Depreciation_Schedule!P29</f>
        <v>0</v>
      </c>
      <c r="R29" s="3">
        <f>S29</f>
        <v>68000000</v>
      </c>
      <c r="S29" s="3">
        <f t="shared" si="26"/>
        <v>68000000</v>
      </c>
      <c r="T29" s="3">
        <f t="shared" ref="T29:U29" si="27">S29</f>
        <v>68000000</v>
      </c>
      <c r="U29" s="3">
        <f t="shared" si="27"/>
        <v>68000000</v>
      </c>
      <c r="V29" s="3">
        <f>U29-MR_Depreciation_Schedule!U29</f>
        <v>68000000</v>
      </c>
      <c r="W29" s="3">
        <f>V29-MR_Depreciation_Schedule!V29</f>
        <v>65733333.33</v>
      </c>
    </row>
    <row r="30">
      <c r="A30" s="1" t="str">
        <f t="shared" si="21"/>
        <v>FA-019</v>
      </c>
      <c r="B30" s="1" t="s">
        <v>45</v>
      </c>
      <c r="C30" s="1" t="s">
        <v>4</v>
      </c>
      <c r="D30" s="25">
        <f t="shared" si="25"/>
        <v>14213</v>
      </c>
      <c r="E30" s="28">
        <v>45900.0</v>
      </c>
      <c r="F30" s="28">
        <f t="shared" si="24"/>
        <v>45900</v>
      </c>
      <c r="G30" s="3">
        <v>3.16445E8</v>
      </c>
      <c r="H30" s="1">
        <v>20.0</v>
      </c>
      <c r="I30" s="15">
        <v>0.05</v>
      </c>
      <c r="J30" s="1" t="s">
        <v>26</v>
      </c>
      <c r="K30" s="1">
        <v>0.0</v>
      </c>
      <c r="L30" s="1">
        <v>0.0</v>
      </c>
      <c r="M30" s="12" t="s">
        <v>23</v>
      </c>
      <c r="N30" s="13" t="s">
        <v>40</v>
      </c>
      <c r="O30" s="3">
        <f>$L30-MR_Depreciation_Schedule!N30</f>
        <v>0</v>
      </c>
      <c r="P30" s="3">
        <f>$L30-MR_Depreciation_Schedule!O30</f>
        <v>0</v>
      </c>
      <c r="Q30" s="3">
        <f>$L30-MR_Depreciation_Schedule!P30</f>
        <v>0</v>
      </c>
      <c r="R30" s="3">
        <f>$L30-MR_Depreciation_Schedule!Q30</f>
        <v>0</v>
      </c>
      <c r="S30" s="29">
        <f t="shared" si="26"/>
        <v>316445000</v>
      </c>
      <c r="T30" s="3">
        <f t="shared" ref="T30:T31" si="28">G30</f>
        <v>316445000</v>
      </c>
      <c r="U30" s="3">
        <f t="shared" ref="U30:U31" si="29">G30</f>
        <v>316445000</v>
      </c>
      <c r="V30" s="3">
        <f>U30-MR_Depreciation_Schedule!U30</f>
        <v>316445000</v>
      </c>
      <c r="W30" s="3">
        <f>V30-MR_Depreciation_Schedule!V30</f>
        <v>315126479.2</v>
      </c>
    </row>
    <row r="31">
      <c r="A31" s="1" t="str">
        <f t="shared" si="21"/>
        <v>FA-020</v>
      </c>
      <c r="B31" s="1" t="s">
        <v>46</v>
      </c>
      <c r="C31" s="1" t="s">
        <v>5</v>
      </c>
      <c r="D31" s="25">
        <f t="shared" si="25"/>
        <v>14214</v>
      </c>
      <c r="E31" s="28">
        <v>45908.0</v>
      </c>
      <c r="F31" s="28">
        <f t="shared" si="24"/>
        <v>45908</v>
      </c>
      <c r="G31" s="3">
        <v>2182300.0</v>
      </c>
      <c r="H31" s="1">
        <v>5.0</v>
      </c>
      <c r="I31" s="26">
        <f>2*(1/H31)</f>
        <v>0.4</v>
      </c>
      <c r="J31" s="1" t="s">
        <v>31</v>
      </c>
      <c r="K31" s="1">
        <v>0.0</v>
      </c>
      <c r="L31" s="1">
        <v>0.0</v>
      </c>
      <c r="M31" s="12" t="s">
        <v>23</v>
      </c>
      <c r="N31" s="13" t="s">
        <v>40</v>
      </c>
      <c r="O31" s="1">
        <f>$L31-MR_Depreciation_Schedule!N31</f>
        <v>0</v>
      </c>
      <c r="P31" s="1">
        <f>$L31-MR_Depreciation_Schedule!O31</f>
        <v>0</v>
      </c>
      <c r="Q31" s="1">
        <f>$L31-MR_Depreciation_Schedule!P31</f>
        <v>0</v>
      </c>
      <c r="R31" s="1">
        <f>$L31-MR_Depreciation_Schedule!Q31</f>
        <v>0</v>
      </c>
      <c r="S31" s="1">
        <f>$L31-MR_Depreciation_Schedule!R31</f>
        <v>0</v>
      </c>
      <c r="T31" s="3">
        <f t="shared" si="28"/>
        <v>2182300</v>
      </c>
      <c r="U31" s="3">
        <f t="shared" si="29"/>
        <v>2182300</v>
      </c>
      <c r="V31" s="3">
        <f>U31-MR_Depreciation_Schedule!U31</f>
        <v>2182300</v>
      </c>
      <c r="W31" s="3">
        <f>V31-MR_Depreciation_Schedule!V31</f>
        <v>2109556.667</v>
      </c>
    </row>
    <row r="32">
      <c r="A32" s="1" t="str">
        <f t="shared" si="21"/>
        <v>FA-021</v>
      </c>
      <c r="B32" s="1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30"/>
      <c r="N32" s="25"/>
      <c r="O32" s="25"/>
      <c r="P32" s="25"/>
      <c r="Q32" s="25"/>
      <c r="R32" s="25"/>
      <c r="S32" s="25"/>
      <c r="T32" s="25"/>
      <c r="U32" s="25"/>
      <c r="V32" s="25"/>
      <c r="W32" s="25"/>
    </row>
  </sheetData>
  <dataValidations>
    <dataValidation type="list" allowBlank="1" showErrorMessage="1" sqref="N12:N31">
      <formula1>" သူဌေးကုန်းစက်ရုံ,ရန်ကင်းစက်ရုံ"</formula1>
    </dataValidation>
    <dataValidation type="list" allowBlank="1" showErrorMessage="1" sqref="C12:C31">
      <formula1>MR_Fixed_Asset_Register_List!$M$3:$M$7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Col="1"/>
  <cols>
    <col customWidth="1" min="1" max="1" width="26.25"/>
    <col customWidth="1" min="2" max="2" width="43.0"/>
    <col customWidth="1" min="3" max="3" width="23.63"/>
    <col customWidth="1" min="4" max="4" width="7.5" outlineLevel="1"/>
    <col customWidth="1" min="5" max="5" width="17.25" outlineLevel="1"/>
    <col min="6" max="6" width="12.63" outlineLevel="1"/>
    <col customWidth="1" min="7" max="7" width="15.38" outlineLevel="1"/>
    <col customWidth="1" min="8" max="9" width="21.13" outlineLevel="1"/>
    <col customWidth="1" min="10" max="12" width="17.75" outlineLevel="1"/>
    <col customWidth="1" min="13" max="13" width="26.0"/>
  </cols>
  <sheetData>
    <row r="2">
      <c r="M2" s="1" t="s">
        <v>0</v>
      </c>
      <c r="N2" s="31" t="str">
        <f t="shared" ref="N2:CS2" si="1">N11</f>
        <v>Apr-2025</v>
      </c>
      <c r="O2" s="31" t="str">
        <f t="shared" si="1"/>
        <v>May-2025</v>
      </c>
      <c r="P2" s="31" t="str">
        <f t="shared" si="1"/>
        <v>Jun-2025</v>
      </c>
      <c r="Q2" s="31" t="str">
        <f t="shared" si="1"/>
        <v>Jul-2025</v>
      </c>
      <c r="R2" s="31" t="str">
        <f t="shared" si="1"/>
        <v>Aug-2025</v>
      </c>
      <c r="S2" s="31" t="str">
        <f t="shared" si="1"/>
        <v>Sep-2025</v>
      </c>
      <c r="T2" s="31" t="str">
        <f t="shared" si="1"/>
        <v>Oct-2025</v>
      </c>
      <c r="U2" s="31" t="str">
        <f t="shared" si="1"/>
        <v>Nov-2025</v>
      </c>
      <c r="V2" s="31" t="str">
        <f t="shared" si="1"/>
        <v>Dec-2025</v>
      </c>
      <c r="W2" s="31" t="str">
        <f t="shared" si="1"/>
        <v>Jan-2026</v>
      </c>
      <c r="X2" s="31" t="str">
        <f t="shared" si="1"/>
        <v>Feb-2026</v>
      </c>
      <c r="Y2" s="31" t="str">
        <f t="shared" si="1"/>
        <v>Mar-2026</v>
      </c>
      <c r="Z2" s="31" t="str">
        <f t="shared" si="1"/>
        <v>Apr-2026</v>
      </c>
      <c r="AA2" s="31" t="str">
        <f t="shared" si="1"/>
        <v>May-2026</v>
      </c>
      <c r="AB2" s="31" t="str">
        <f t="shared" si="1"/>
        <v>Jun-2026</v>
      </c>
      <c r="AC2" s="31" t="str">
        <f t="shared" si="1"/>
        <v>Jul-2026</v>
      </c>
      <c r="AD2" s="31" t="str">
        <f t="shared" si="1"/>
        <v>Aug-2026</v>
      </c>
      <c r="AE2" s="31" t="str">
        <f t="shared" si="1"/>
        <v>Sep-2026</v>
      </c>
      <c r="AF2" s="31" t="str">
        <f t="shared" si="1"/>
        <v>Oct-2026</v>
      </c>
      <c r="AG2" s="31" t="str">
        <f t="shared" si="1"/>
        <v>Nov-2026</v>
      </c>
      <c r="AH2" s="31" t="str">
        <f t="shared" si="1"/>
        <v>Dec-2026</v>
      </c>
      <c r="AI2" s="31" t="str">
        <f t="shared" si="1"/>
        <v>Jan-2027</v>
      </c>
      <c r="AJ2" s="31" t="str">
        <f t="shared" si="1"/>
        <v>Feb-2027</v>
      </c>
      <c r="AK2" s="31" t="str">
        <f t="shared" si="1"/>
        <v>Mar-2027</v>
      </c>
      <c r="AL2" s="31" t="str">
        <f t="shared" si="1"/>
        <v>Apr-2027</v>
      </c>
      <c r="AM2" s="31" t="str">
        <f t="shared" si="1"/>
        <v>May-2027</v>
      </c>
      <c r="AN2" s="31" t="str">
        <f t="shared" si="1"/>
        <v>Jun-2027</v>
      </c>
      <c r="AO2" s="31" t="str">
        <f t="shared" si="1"/>
        <v>Jul-2027</v>
      </c>
      <c r="AP2" s="31" t="str">
        <f t="shared" si="1"/>
        <v>Aug-2027</v>
      </c>
      <c r="AQ2" s="31" t="str">
        <f t="shared" si="1"/>
        <v>Sep-2027</v>
      </c>
      <c r="AR2" s="31" t="str">
        <f t="shared" si="1"/>
        <v>Oct-2027</v>
      </c>
      <c r="AS2" s="31" t="str">
        <f t="shared" si="1"/>
        <v>Nov-2027</v>
      </c>
      <c r="AT2" s="31" t="str">
        <f t="shared" si="1"/>
        <v>Dec-2027</v>
      </c>
      <c r="AU2" s="31" t="str">
        <f t="shared" si="1"/>
        <v>Jan-2028</v>
      </c>
      <c r="AV2" s="31" t="str">
        <f t="shared" si="1"/>
        <v>Feb-2028</v>
      </c>
      <c r="AW2" s="31" t="str">
        <f t="shared" si="1"/>
        <v>Mar-2028</v>
      </c>
      <c r="AX2" s="31" t="str">
        <f t="shared" si="1"/>
        <v>Apr-2028</v>
      </c>
      <c r="AY2" s="31" t="str">
        <f t="shared" si="1"/>
        <v>May-2028</v>
      </c>
      <c r="AZ2" s="31" t="str">
        <f t="shared" si="1"/>
        <v>Jun-2028</v>
      </c>
      <c r="BA2" s="31" t="str">
        <f t="shared" si="1"/>
        <v>Jul-2028</v>
      </c>
      <c r="BB2" s="31" t="str">
        <f t="shared" si="1"/>
        <v>Aug-2028</v>
      </c>
      <c r="BC2" s="31" t="str">
        <f t="shared" si="1"/>
        <v>Sep-2028</v>
      </c>
      <c r="BD2" s="31" t="str">
        <f t="shared" si="1"/>
        <v>Oct-2028</v>
      </c>
      <c r="BE2" s="31" t="str">
        <f t="shared" si="1"/>
        <v>Nov-2028</v>
      </c>
      <c r="BF2" s="31" t="str">
        <f t="shared" si="1"/>
        <v>Dec-2028</v>
      </c>
      <c r="BG2" s="31" t="str">
        <f t="shared" si="1"/>
        <v>Jan-2029</v>
      </c>
      <c r="BH2" s="31" t="str">
        <f t="shared" si="1"/>
        <v>Feb-2029</v>
      </c>
      <c r="BI2" s="31" t="str">
        <f t="shared" si="1"/>
        <v>Mar-2029</v>
      </c>
      <c r="BJ2" s="31" t="str">
        <f t="shared" si="1"/>
        <v>Apr-2029</v>
      </c>
      <c r="BK2" s="31" t="str">
        <f t="shared" si="1"/>
        <v>May-2029</v>
      </c>
      <c r="BL2" s="31" t="str">
        <f t="shared" si="1"/>
        <v>Jun-2029</v>
      </c>
      <c r="BM2" s="31" t="str">
        <f t="shared" si="1"/>
        <v>Jul-2029</v>
      </c>
      <c r="BN2" s="31" t="str">
        <f t="shared" si="1"/>
        <v>Aug-2029</v>
      </c>
      <c r="BO2" s="31" t="str">
        <f t="shared" si="1"/>
        <v>Sep-2029</v>
      </c>
      <c r="BP2" s="31" t="str">
        <f t="shared" si="1"/>
        <v>Oct-2029</v>
      </c>
      <c r="BQ2" s="31" t="str">
        <f t="shared" si="1"/>
        <v>Nov-2029</v>
      </c>
      <c r="BR2" s="31" t="str">
        <f t="shared" si="1"/>
        <v>Dec-2029</v>
      </c>
      <c r="BS2" s="31" t="str">
        <f t="shared" si="1"/>
        <v>Jan-2030</v>
      </c>
      <c r="BT2" s="31" t="str">
        <f t="shared" si="1"/>
        <v>Feb-2030</v>
      </c>
      <c r="BU2" s="31" t="str">
        <f t="shared" si="1"/>
        <v>Mar-2030</v>
      </c>
      <c r="BV2" s="31" t="str">
        <f t="shared" si="1"/>
        <v>Apr-2030</v>
      </c>
      <c r="BW2" s="31" t="str">
        <f t="shared" si="1"/>
        <v>May-2030</v>
      </c>
      <c r="BX2" s="31" t="str">
        <f t="shared" si="1"/>
        <v>Jun-2030</v>
      </c>
      <c r="BY2" s="31" t="str">
        <f t="shared" si="1"/>
        <v>Jul-2030</v>
      </c>
      <c r="BZ2" s="31" t="str">
        <f t="shared" si="1"/>
        <v>Aug-2030</v>
      </c>
      <c r="CA2" s="31" t="str">
        <f t="shared" si="1"/>
        <v>Sep-2030</v>
      </c>
      <c r="CB2" s="31" t="str">
        <f t="shared" si="1"/>
        <v>Oct-2030</v>
      </c>
      <c r="CC2" s="31" t="str">
        <f t="shared" si="1"/>
        <v>Nov-2030</v>
      </c>
      <c r="CD2" s="31" t="str">
        <f t="shared" si="1"/>
        <v>Dec-2030</v>
      </c>
      <c r="CE2" s="31" t="str">
        <f t="shared" si="1"/>
        <v>Jan-2031</v>
      </c>
      <c r="CF2" s="31" t="str">
        <f t="shared" si="1"/>
        <v>Feb-2031</v>
      </c>
      <c r="CG2" s="31" t="str">
        <f t="shared" si="1"/>
        <v>Mar-2031</v>
      </c>
      <c r="CH2" s="31" t="str">
        <f t="shared" si="1"/>
        <v>Apr-2031</v>
      </c>
      <c r="CI2" s="31" t="str">
        <f t="shared" si="1"/>
        <v>May-2031</v>
      </c>
      <c r="CJ2" s="31" t="str">
        <f t="shared" si="1"/>
        <v>Jun-2031</v>
      </c>
      <c r="CK2" s="31" t="str">
        <f t="shared" si="1"/>
        <v>Jul-2031</v>
      </c>
      <c r="CL2" s="31" t="str">
        <f t="shared" si="1"/>
        <v>Aug-2031</v>
      </c>
      <c r="CM2" s="31" t="str">
        <f t="shared" si="1"/>
        <v>Sep-2031</v>
      </c>
      <c r="CN2" s="31" t="str">
        <f t="shared" si="1"/>
        <v>Oct-2031</v>
      </c>
      <c r="CO2" s="31" t="str">
        <f t="shared" si="1"/>
        <v>Nov-2031</v>
      </c>
      <c r="CP2" s="31" t="str">
        <f t="shared" si="1"/>
        <v>Dec-2031</v>
      </c>
      <c r="CQ2" s="31" t="str">
        <f t="shared" si="1"/>
        <v>Jan-2032</v>
      </c>
      <c r="CR2" s="31" t="str">
        <f t="shared" si="1"/>
        <v>Feb-2032</v>
      </c>
      <c r="CS2" s="31" t="str">
        <f t="shared" si="1"/>
        <v>Mar-2032</v>
      </c>
    </row>
    <row r="3">
      <c r="M3" s="1" t="s">
        <v>2</v>
      </c>
      <c r="N3" s="3">
        <f t="shared" ref="N3:CS3" si="2">SUMIF($C:$C,$M3,N:N)</f>
        <v>0</v>
      </c>
      <c r="O3" s="3">
        <f t="shared" si="2"/>
        <v>0</v>
      </c>
      <c r="P3" s="3">
        <f t="shared" si="2"/>
        <v>0</v>
      </c>
      <c r="Q3" s="3">
        <f t="shared" si="2"/>
        <v>0</v>
      </c>
      <c r="R3" s="3">
        <f t="shared" si="2"/>
        <v>0</v>
      </c>
      <c r="S3" s="3">
        <f t="shared" si="2"/>
        <v>0</v>
      </c>
      <c r="T3" s="3">
        <f t="shared" si="2"/>
        <v>0</v>
      </c>
      <c r="U3" s="3">
        <f t="shared" si="2"/>
        <v>0</v>
      </c>
      <c r="V3" s="3">
        <f t="shared" si="2"/>
        <v>0</v>
      </c>
      <c r="W3" s="3">
        <f t="shared" si="2"/>
        <v>0</v>
      </c>
      <c r="X3" s="3">
        <f t="shared" si="2"/>
        <v>0</v>
      </c>
      <c r="Y3" s="3">
        <f t="shared" si="2"/>
        <v>0</v>
      </c>
      <c r="Z3" s="3">
        <f t="shared" si="2"/>
        <v>0</v>
      </c>
      <c r="AA3" s="3">
        <f t="shared" si="2"/>
        <v>0</v>
      </c>
      <c r="AB3" s="3">
        <f t="shared" si="2"/>
        <v>0</v>
      </c>
      <c r="AC3" s="3">
        <f t="shared" si="2"/>
        <v>0</v>
      </c>
      <c r="AD3" s="3">
        <f t="shared" si="2"/>
        <v>0</v>
      </c>
      <c r="AE3" s="3">
        <f t="shared" si="2"/>
        <v>0</v>
      </c>
      <c r="AF3" s="3">
        <f t="shared" si="2"/>
        <v>0</v>
      </c>
      <c r="AG3" s="3">
        <f t="shared" si="2"/>
        <v>0</v>
      </c>
      <c r="AH3" s="3">
        <f t="shared" si="2"/>
        <v>0</v>
      </c>
      <c r="AI3" s="3">
        <f t="shared" si="2"/>
        <v>0</v>
      </c>
      <c r="AJ3" s="3">
        <f t="shared" si="2"/>
        <v>0</v>
      </c>
      <c r="AK3" s="3">
        <f t="shared" si="2"/>
        <v>0</v>
      </c>
      <c r="AL3" s="3">
        <f t="shared" si="2"/>
        <v>0</v>
      </c>
      <c r="AM3" s="3">
        <f t="shared" si="2"/>
        <v>0</v>
      </c>
      <c r="AN3" s="3">
        <f t="shared" si="2"/>
        <v>0</v>
      </c>
      <c r="AO3" s="3">
        <f t="shared" si="2"/>
        <v>0</v>
      </c>
      <c r="AP3" s="3">
        <f t="shared" si="2"/>
        <v>0</v>
      </c>
      <c r="AQ3" s="3">
        <f t="shared" si="2"/>
        <v>0</v>
      </c>
      <c r="AR3" s="3">
        <f t="shared" si="2"/>
        <v>0</v>
      </c>
      <c r="AS3" s="3">
        <f t="shared" si="2"/>
        <v>0</v>
      </c>
      <c r="AT3" s="3">
        <f t="shared" si="2"/>
        <v>0</v>
      </c>
      <c r="AU3" s="3">
        <f t="shared" si="2"/>
        <v>0</v>
      </c>
      <c r="AV3" s="3">
        <f t="shared" si="2"/>
        <v>0</v>
      </c>
      <c r="AW3" s="3">
        <f t="shared" si="2"/>
        <v>0</v>
      </c>
      <c r="AX3" s="3">
        <f t="shared" si="2"/>
        <v>0</v>
      </c>
      <c r="AY3" s="3">
        <f t="shared" si="2"/>
        <v>0</v>
      </c>
      <c r="AZ3" s="3">
        <f t="shared" si="2"/>
        <v>0</v>
      </c>
      <c r="BA3" s="3">
        <f t="shared" si="2"/>
        <v>0</v>
      </c>
      <c r="BB3" s="3">
        <f t="shared" si="2"/>
        <v>0</v>
      </c>
      <c r="BC3" s="3">
        <f t="shared" si="2"/>
        <v>0</v>
      </c>
      <c r="BD3" s="3">
        <f t="shared" si="2"/>
        <v>0</v>
      </c>
      <c r="BE3" s="3">
        <f t="shared" si="2"/>
        <v>0</v>
      </c>
      <c r="BF3" s="3">
        <f t="shared" si="2"/>
        <v>0</v>
      </c>
      <c r="BG3" s="3">
        <f t="shared" si="2"/>
        <v>0</v>
      </c>
      <c r="BH3" s="3">
        <f t="shared" si="2"/>
        <v>0</v>
      </c>
      <c r="BI3" s="3">
        <f t="shared" si="2"/>
        <v>0</v>
      </c>
      <c r="BJ3" s="3">
        <f t="shared" si="2"/>
        <v>0</v>
      </c>
      <c r="BK3" s="3">
        <f t="shared" si="2"/>
        <v>0</v>
      </c>
      <c r="BL3" s="3">
        <f t="shared" si="2"/>
        <v>0</v>
      </c>
      <c r="BM3" s="3">
        <f t="shared" si="2"/>
        <v>0</v>
      </c>
      <c r="BN3" s="3">
        <f t="shared" si="2"/>
        <v>0</v>
      </c>
      <c r="BO3" s="3">
        <f t="shared" si="2"/>
        <v>0</v>
      </c>
      <c r="BP3" s="3">
        <f t="shared" si="2"/>
        <v>0</v>
      </c>
      <c r="BQ3" s="3">
        <f t="shared" si="2"/>
        <v>0</v>
      </c>
      <c r="BR3" s="3">
        <f t="shared" si="2"/>
        <v>0</v>
      </c>
      <c r="BS3" s="3">
        <f t="shared" si="2"/>
        <v>0</v>
      </c>
      <c r="BT3" s="3">
        <f t="shared" si="2"/>
        <v>0</v>
      </c>
      <c r="BU3" s="3">
        <f t="shared" si="2"/>
        <v>0</v>
      </c>
      <c r="BV3" s="3">
        <f t="shared" si="2"/>
        <v>0</v>
      </c>
      <c r="BW3" s="3">
        <f t="shared" si="2"/>
        <v>0</v>
      </c>
      <c r="BX3" s="3">
        <f t="shared" si="2"/>
        <v>0</v>
      </c>
      <c r="BY3" s="3">
        <f t="shared" si="2"/>
        <v>0</v>
      </c>
      <c r="BZ3" s="3">
        <f t="shared" si="2"/>
        <v>0</v>
      </c>
      <c r="CA3" s="3">
        <f t="shared" si="2"/>
        <v>0</v>
      </c>
      <c r="CB3" s="3">
        <f t="shared" si="2"/>
        <v>0</v>
      </c>
      <c r="CC3" s="3">
        <f t="shared" si="2"/>
        <v>0</v>
      </c>
      <c r="CD3" s="3">
        <f t="shared" si="2"/>
        <v>0</v>
      </c>
      <c r="CE3" s="3">
        <f t="shared" si="2"/>
        <v>0</v>
      </c>
      <c r="CF3" s="3">
        <f t="shared" si="2"/>
        <v>0</v>
      </c>
      <c r="CG3" s="3">
        <f t="shared" si="2"/>
        <v>0</v>
      </c>
      <c r="CH3" s="3">
        <f t="shared" si="2"/>
        <v>0</v>
      </c>
      <c r="CI3" s="3">
        <f t="shared" si="2"/>
        <v>0</v>
      </c>
      <c r="CJ3" s="3">
        <f t="shared" si="2"/>
        <v>0</v>
      </c>
      <c r="CK3" s="3">
        <f t="shared" si="2"/>
        <v>0</v>
      </c>
      <c r="CL3" s="3">
        <f t="shared" si="2"/>
        <v>0</v>
      </c>
      <c r="CM3" s="3">
        <f t="shared" si="2"/>
        <v>0</v>
      </c>
      <c r="CN3" s="3">
        <f t="shared" si="2"/>
        <v>0</v>
      </c>
      <c r="CO3" s="3">
        <f t="shared" si="2"/>
        <v>0</v>
      </c>
      <c r="CP3" s="3">
        <f t="shared" si="2"/>
        <v>0</v>
      </c>
      <c r="CQ3" s="3">
        <f t="shared" si="2"/>
        <v>0</v>
      </c>
      <c r="CR3" s="3">
        <f t="shared" si="2"/>
        <v>0</v>
      </c>
      <c r="CS3" s="3">
        <f t="shared" si="2"/>
        <v>0</v>
      </c>
    </row>
    <row r="4">
      <c r="M4" s="1" t="s">
        <v>4</v>
      </c>
      <c r="N4" s="3">
        <f t="shared" ref="N4:CS4" si="3">SUMIF($C:$C,$M4,N:N)</f>
        <v>554166.6667</v>
      </c>
      <c r="O4" s="3">
        <f t="shared" si="3"/>
        <v>554166.6667</v>
      </c>
      <c r="P4" s="3">
        <f t="shared" si="3"/>
        <v>554166.6667</v>
      </c>
      <c r="Q4" s="3">
        <f t="shared" si="3"/>
        <v>554166.6667</v>
      </c>
      <c r="R4" s="3">
        <f t="shared" si="3"/>
        <v>554166.6667</v>
      </c>
      <c r="S4" s="3">
        <f t="shared" si="3"/>
        <v>554166.6667</v>
      </c>
      <c r="T4" s="3">
        <f t="shared" si="3"/>
        <v>554166.6667</v>
      </c>
      <c r="U4" s="3">
        <f t="shared" si="3"/>
        <v>554166.6667</v>
      </c>
      <c r="V4" s="3">
        <f t="shared" si="3"/>
        <v>1872687.5</v>
      </c>
      <c r="W4" s="3">
        <f t="shared" si="3"/>
        <v>1867193.663</v>
      </c>
      <c r="X4" s="3">
        <f t="shared" si="3"/>
        <v>554166.6667</v>
      </c>
      <c r="Y4" s="3">
        <f t="shared" si="3"/>
        <v>554166.6667</v>
      </c>
      <c r="Z4" s="3">
        <f t="shared" si="3"/>
        <v>554166.6667</v>
      </c>
      <c r="AA4" s="3">
        <f t="shared" si="3"/>
        <v>554166.6667</v>
      </c>
      <c r="AB4" s="3">
        <f t="shared" si="3"/>
        <v>554166.6667</v>
      </c>
      <c r="AC4" s="3">
        <f t="shared" si="3"/>
        <v>554166.6667</v>
      </c>
      <c r="AD4" s="3">
        <f t="shared" si="3"/>
        <v>554166.6667</v>
      </c>
      <c r="AE4" s="3">
        <f t="shared" si="3"/>
        <v>554166.6667</v>
      </c>
      <c r="AF4" s="3">
        <f t="shared" si="3"/>
        <v>554166.6667</v>
      </c>
      <c r="AG4" s="3">
        <f t="shared" si="3"/>
        <v>554166.6667</v>
      </c>
      <c r="AH4" s="3">
        <f t="shared" si="3"/>
        <v>554166.6667</v>
      </c>
      <c r="AI4" s="3">
        <f t="shared" si="3"/>
        <v>554166.6667</v>
      </c>
      <c r="AJ4" s="3">
        <f t="shared" si="3"/>
        <v>554166.6667</v>
      </c>
      <c r="AK4" s="3">
        <f t="shared" si="3"/>
        <v>554166.6667</v>
      </c>
      <c r="AL4" s="3">
        <f t="shared" si="3"/>
        <v>554166.6667</v>
      </c>
      <c r="AM4" s="3">
        <f t="shared" si="3"/>
        <v>554166.6667</v>
      </c>
      <c r="AN4" s="3">
        <f t="shared" si="3"/>
        <v>554166.6667</v>
      </c>
      <c r="AO4" s="3">
        <f t="shared" si="3"/>
        <v>554166.6667</v>
      </c>
      <c r="AP4" s="3">
        <f t="shared" si="3"/>
        <v>554166.6667</v>
      </c>
      <c r="AQ4" s="3">
        <f t="shared" si="3"/>
        <v>554166.6667</v>
      </c>
      <c r="AR4" s="3">
        <f t="shared" si="3"/>
        <v>554166.6667</v>
      </c>
      <c r="AS4" s="3">
        <f t="shared" si="3"/>
        <v>554166.6667</v>
      </c>
      <c r="AT4" s="3">
        <f t="shared" si="3"/>
        <v>554166.6667</v>
      </c>
      <c r="AU4" s="3">
        <f t="shared" si="3"/>
        <v>554166.6667</v>
      </c>
      <c r="AV4" s="3">
        <f t="shared" si="3"/>
        <v>554166.6667</v>
      </c>
      <c r="AW4" s="3">
        <f t="shared" si="3"/>
        <v>554166.6667</v>
      </c>
      <c r="AX4" s="3">
        <f t="shared" si="3"/>
        <v>554166.6667</v>
      </c>
      <c r="AY4" s="3">
        <f t="shared" si="3"/>
        <v>554166.6667</v>
      </c>
      <c r="AZ4" s="3">
        <f t="shared" si="3"/>
        <v>554166.6667</v>
      </c>
      <c r="BA4" s="3">
        <f t="shared" si="3"/>
        <v>554166.6667</v>
      </c>
      <c r="BB4" s="3">
        <f t="shared" si="3"/>
        <v>554166.6667</v>
      </c>
      <c r="BC4" s="3">
        <f t="shared" si="3"/>
        <v>554166.6667</v>
      </c>
      <c r="BD4" s="3">
        <f t="shared" si="3"/>
        <v>554166.6667</v>
      </c>
      <c r="BE4" s="3">
        <f t="shared" si="3"/>
        <v>554166.6667</v>
      </c>
      <c r="BF4" s="3">
        <f t="shared" si="3"/>
        <v>554166.6667</v>
      </c>
      <c r="BG4" s="3">
        <f t="shared" si="3"/>
        <v>554166.6667</v>
      </c>
      <c r="BH4" s="3">
        <f t="shared" si="3"/>
        <v>554166.6667</v>
      </c>
      <c r="BI4" s="3">
        <f t="shared" si="3"/>
        <v>554166.6667</v>
      </c>
      <c r="BJ4" s="3">
        <f t="shared" si="3"/>
        <v>554166.6667</v>
      </c>
      <c r="BK4" s="3">
        <f t="shared" si="3"/>
        <v>554166.6667</v>
      </c>
      <c r="BL4" s="3">
        <f t="shared" si="3"/>
        <v>554166.6667</v>
      </c>
      <c r="BM4" s="3">
        <f t="shared" si="3"/>
        <v>554166.6667</v>
      </c>
      <c r="BN4" s="3">
        <f t="shared" si="3"/>
        <v>554166.6667</v>
      </c>
      <c r="BO4" s="3">
        <f t="shared" si="3"/>
        <v>554166.6667</v>
      </c>
      <c r="BP4" s="3">
        <f t="shared" si="3"/>
        <v>554166.6667</v>
      </c>
      <c r="BQ4" s="3">
        <f t="shared" si="3"/>
        <v>554166.6667</v>
      </c>
      <c r="BR4" s="3">
        <f t="shared" si="3"/>
        <v>554166.6667</v>
      </c>
      <c r="BS4" s="3">
        <f t="shared" si="3"/>
        <v>554166.6667</v>
      </c>
      <c r="BT4" s="3">
        <f t="shared" si="3"/>
        <v>554166.6667</v>
      </c>
      <c r="BU4" s="3">
        <f t="shared" si="3"/>
        <v>554166.6667</v>
      </c>
      <c r="BV4" s="3">
        <f t="shared" si="3"/>
        <v>554166.6667</v>
      </c>
      <c r="BW4" s="3">
        <f t="shared" si="3"/>
        <v>554166.6667</v>
      </c>
      <c r="BX4" s="3">
        <f t="shared" si="3"/>
        <v>554166.6667</v>
      </c>
      <c r="BY4" s="3">
        <f t="shared" si="3"/>
        <v>554166.6667</v>
      </c>
      <c r="BZ4" s="3">
        <f t="shared" si="3"/>
        <v>554166.6667</v>
      </c>
      <c r="CA4" s="3">
        <f t="shared" si="3"/>
        <v>554166.6667</v>
      </c>
      <c r="CB4" s="3">
        <f t="shared" si="3"/>
        <v>554166.6667</v>
      </c>
      <c r="CC4" s="3">
        <f t="shared" si="3"/>
        <v>554166.6667</v>
      </c>
      <c r="CD4" s="3">
        <f t="shared" si="3"/>
        <v>554166.6667</v>
      </c>
      <c r="CE4" s="3">
        <f t="shared" si="3"/>
        <v>554166.6667</v>
      </c>
      <c r="CF4" s="3">
        <f t="shared" si="3"/>
        <v>554166.6667</v>
      </c>
      <c r="CG4" s="3">
        <f t="shared" si="3"/>
        <v>554166.6667</v>
      </c>
      <c r="CH4" s="3">
        <f t="shared" si="3"/>
        <v>554166.6667</v>
      </c>
      <c r="CI4" s="3">
        <f t="shared" si="3"/>
        <v>554166.6667</v>
      </c>
      <c r="CJ4" s="3">
        <f t="shared" si="3"/>
        <v>554166.6667</v>
      </c>
      <c r="CK4" s="3">
        <f t="shared" si="3"/>
        <v>554166.6667</v>
      </c>
      <c r="CL4" s="3">
        <f t="shared" si="3"/>
        <v>554166.6667</v>
      </c>
      <c r="CM4" s="3">
        <f t="shared" si="3"/>
        <v>554166.6667</v>
      </c>
      <c r="CN4" s="3">
        <f t="shared" si="3"/>
        <v>554166.6667</v>
      </c>
      <c r="CO4" s="3">
        <f t="shared" si="3"/>
        <v>554166.6667</v>
      </c>
      <c r="CP4" s="3">
        <f t="shared" si="3"/>
        <v>554166.6667</v>
      </c>
      <c r="CQ4" s="3">
        <f t="shared" si="3"/>
        <v>554166.6667</v>
      </c>
      <c r="CR4" s="3">
        <f t="shared" si="3"/>
        <v>554166.6667</v>
      </c>
      <c r="CS4" s="3">
        <f t="shared" si="3"/>
        <v>554166.6667</v>
      </c>
    </row>
    <row r="5">
      <c r="M5" s="1" t="s">
        <v>5</v>
      </c>
      <c r="N5" s="3">
        <f t="shared" ref="N5:CS5" si="4">SUMIF($C:$C,$M5,N:N)</f>
        <v>1828150.556</v>
      </c>
      <c r="O5" s="3">
        <f t="shared" si="4"/>
        <v>1767212.204</v>
      </c>
      <c r="P5" s="3">
        <f t="shared" si="4"/>
        <v>1708305.13</v>
      </c>
      <c r="Q5" s="3">
        <f t="shared" si="4"/>
        <v>1651361.626</v>
      </c>
      <c r="R5" s="3">
        <f t="shared" si="4"/>
        <v>1596316.238</v>
      </c>
      <c r="S5" s="3">
        <f t="shared" si="4"/>
        <v>1543105.697</v>
      </c>
      <c r="T5" s="3">
        <f t="shared" si="4"/>
        <v>1491668.841</v>
      </c>
      <c r="U5" s="3">
        <f t="shared" si="4"/>
        <v>1441946.546</v>
      </c>
      <c r="V5" s="3">
        <f t="shared" si="4"/>
        <v>3733291.661</v>
      </c>
      <c r="W5" s="3">
        <f t="shared" si="4"/>
        <v>3608848.606</v>
      </c>
      <c r="X5" s="3">
        <f t="shared" si="4"/>
        <v>0</v>
      </c>
      <c r="Y5" s="3">
        <f t="shared" si="4"/>
        <v>0</v>
      </c>
      <c r="Z5" s="3">
        <f t="shared" si="4"/>
        <v>0</v>
      </c>
      <c r="AA5" s="3">
        <f t="shared" si="4"/>
        <v>0</v>
      </c>
      <c r="AB5" s="3">
        <f t="shared" si="4"/>
        <v>0</v>
      </c>
      <c r="AC5" s="3">
        <f t="shared" si="4"/>
        <v>0</v>
      </c>
      <c r="AD5" s="3">
        <f t="shared" si="4"/>
        <v>0</v>
      </c>
      <c r="AE5" s="3">
        <f t="shared" si="4"/>
        <v>0</v>
      </c>
      <c r="AF5" s="3">
        <f t="shared" si="4"/>
        <v>0</v>
      </c>
      <c r="AG5" s="3">
        <f t="shared" si="4"/>
        <v>0</v>
      </c>
      <c r="AH5" s="3">
        <f t="shared" si="4"/>
        <v>0</v>
      </c>
      <c r="AI5" s="3">
        <f t="shared" si="4"/>
        <v>0</v>
      </c>
      <c r="AJ5" s="3">
        <f t="shared" si="4"/>
        <v>0</v>
      </c>
      <c r="AK5" s="3">
        <f t="shared" si="4"/>
        <v>0</v>
      </c>
      <c r="AL5" s="3">
        <f t="shared" si="4"/>
        <v>0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4"/>
        <v>0</v>
      </c>
      <c r="AQ5" s="3">
        <f t="shared" si="4"/>
        <v>0</v>
      </c>
      <c r="AR5" s="3">
        <f t="shared" si="4"/>
        <v>0</v>
      </c>
      <c r="AS5" s="3">
        <f t="shared" si="4"/>
        <v>0</v>
      </c>
      <c r="AT5" s="3">
        <f t="shared" si="4"/>
        <v>0</v>
      </c>
      <c r="AU5" s="3">
        <f t="shared" si="4"/>
        <v>0</v>
      </c>
      <c r="AV5" s="3">
        <f t="shared" si="4"/>
        <v>0</v>
      </c>
      <c r="AW5" s="3">
        <f t="shared" si="4"/>
        <v>0</v>
      </c>
      <c r="AX5" s="3">
        <f t="shared" si="4"/>
        <v>0</v>
      </c>
      <c r="AY5" s="3">
        <f t="shared" si="4"/>
        <v>0</v>
      </c>
      <c r="AZ5" s="3">
        <f t="shared" si="4"/>
        <v>0</v>
      </c>
      <c r="BA5" s="3">
        <f t="shared" si="4"/>
        <v>0</v>
      </c>
      <c r="BB5" s="3">
        <f t="shared" si="4"/>
        <v>0</v>
      </c>
      <c r="BC5" s="3">
        <f t="shared" si="4"/>
        <v>0</v>
      </c>
      <c r="BD5" s="3">
        <f t="shared" si="4"/>
        <v>0</v>
      </c>
      <c r="BE5" s="3">
        <f t="shared" si="4"/>
        <v>0</v>
      </c>
      <c r="BF5" s="3">
        <f t="shared" si="4"/>
        <v>0</v>
      </c>
      <c r="BG5" s="3">
        <f t="shared" si="4"/>
        <v>0</v>
      </c>
      <c r="BH5" s="3">
        <f t="shared" si="4"/>
        <v>0</v>
      </c>
      <c r="BI5" s="3">
        <f t="shared" si="4"/>
        <v>0</v>
      </c>
      <c r="BJ5" s="3">
        <f t="shared" si="4"/>
        <v>0</v>
      </c>
      <c r="BK5" s="3">
        <f t="shared" si="4"/>
        <v>0</v>
      </c>
      <c r="BL5" s="3">
        <f t="shared" si="4"/>
        <v>0</v>
      </c>
      <c r="BM5" s="3">
        <f t="shared" si="4"/>
        <v>0</v>
      </c>
      <c r="BN5" s="3">
        <f t="shared" si="4"/>
        <v>0</v>
      </c>
      <c r="BO5" s="3">
        <f t="shared" si="4"/>
        <v>0</v>
      </c>
      <c r="BP5" s="3">
        <f t="shared" si="4"/>
        <v>0</v>
      </c>
      <c r="BQ5" s="3">
        <f t="shared" si="4"/>
        <v>0</v>
      </c>
      <c r="BR5" s="3">
        <f t="shared" si="4"/>
        <v>0</v>
      </c>
      <c r="BS5" s="3">
        <f t="shared" si="4"/>
        <v>0</v>
      </c>
      <c r="BT5" s="3">
        <f t="shared" si="4"/>
        <v>0</v>
      </c>
      <c r="BU5" s="3">
        <f t="shared" si="4"/>
        <v>0</v>
      </c>
      <c r="BV5" s="3">
        <f t="shared" si="4"/>
        <v>0</v>
      </c>
      <c r="BW5" s="3">
        <f t="shared" si="4"/>
        <v>0</v>
      </c>
      <c r="BX5" s="3">
        <f t="shared" si="4"/>
        <v>0</v>
      </c>
      <c r="BY5" s="3">
        <f t="shared" si="4"/>
        <v>0</v>
      </c>
      <c r="BZ5" s="3">
        <f t="shared" si="4"/>
        <v>0</v>
      </c>
      <c r="CA5" s="3">
        <f t="shared" si="4"/>
        <v>0</v>
      </c>
      <c r="CB5" s="3">
        <f t="shared" si="4"/>
        <v>0</v>
      </c>
      <c r="CC5" s="3">
        <f t="shared" si="4"/>
        <v>0</v>
      </c>
      <c r="CD5" s="3">
        <f t="shared" si="4"/>
        <v>0</v>
      </c>
      <c r="CE5" s="3">
        <f t="shared" si="4"/>
        <v>0</v>
      </c>
      <c r="CF5" s="3">
        <f t="shared" si="4"/>
        <v>0</v>
      </c>
      <c r="CG5" s="3">
        <f t="shared" si="4"/>
        <v>0</v>
      </c>
      <c r="CH5" s="3">
        <f t="shared" si="4"/>
        <v>0</v>
      </c>
      <c r="CI5" s="3">
        <f t="shared" si="4"/>
        <v>0</v>
      </c>
      <c r="CJ5" s="3">
        <f t="shared" si="4"/>
        <v>0</v>
      </c>
      <c r="CK5" s="3">
        <f t="shared" si="4"/>
        <v>0</v>
      </c>
      <c r="CL5" s="3">
        <f t="shared" si="4"/>
        <v>0</v>
      </c>
      <c r="CM5" s="3">
        <f t="shared" si="4"/>
        <v>0</v>
      </c>
      <c r="CN5" s="3">
        <f t="shared" si="4"/>
        <v>0</v>
      </c>
      <c r="CO5" s="3">
        <f t="shared" si="4"/>
        <v>0</v>
      </c>
      <c r="CP5" s="3">
        <f t="shared" si="4"/>
        <v>0</v>
      </c>
      <c r="CQ5" s="3">
        <f t="shared" si="4"/>
        <v>0</v>
      </c>
      <c r="CR5" s="3">
        <f t="shared" si="4"/>
        <v>0</v>
      </c>
      <c r="CS5" s="3">
        <f t="shared" si="4"/>
        <v>0</v>
      </c>
    </row>
    <row r="6">
      <c r="M6" s="1" t="s">
        <v>6</v>
      </c>
      <c r="N6" s="3">
        <f t="shared" ref="N6:CS6" si="5">SUMIF($C:$C,$M6,N:N)</f>
        <v>0</v>
      </c>
      <c r="O6" s="3">
        <f t="shared" si="5"/>
        <v>0</v>
      </c>
      <c r="P6" s="3">
        <f t="shared" si="5"/>
        <v>0</v>
      </c>
      <c r="Q6" s="3">
        <f t="shared" si="5"/>
        <v>0</v>
      </c>
      <c r="R6" s="3">
        <f t="shared" si="5"/>
        <v>0</v>
      </c>
      <c r="S6" s="3">
        <f t="shared" si="5"/>
        <v>0</v>
      </c>
      <c r="T6" s="3">
        <f t="shared" si="5"/>
        <v>0</v>
      </c>
      <c r="U6" s="3">
        <f t="shared" si="5"/>
        <v>0</v>
      </c>
      <c r="V6" s="3">
        <f t="shared" si="5"/>
        <v>0</v>
      </c>
      <c r="W6" s="3">
        <f t="shared" si="5"/>
        <v>0</v>
      </c>
      <c r="X6" s="3">
        <f t="shared" si="5"/>
        <v>0</v>
      </c>
      <c r="Y6" s="3">
        <f t="shared" si="5"/>
        <v>0</v>
      </c>
      <c r="Z6" s="3">
        <f t="shared" si="5"/>
        <v>0</v>
      </c>
      <c r="AA6" s="3">
        <f t="shared" si="5"/>
        <v>0</v>
      </c>
      <c r="AB6" s="3">
        <f t="shared" si="5"/>
        <v>0</v>
      </c>
      <c r="AC6" s="3">
        <f t="shared" si="5"/>
        <v>0</v>
      </c>
      <c r="AD6" s="3">
        <f t="shared" si="5"/>
        <v>0</v>
      </c>
      <c r="AE6" s="3">
        <f t="shared" si="5"/>
        <v>0</v>
      </c>
      <c r="AF6" s="3">
        <f t="shared" si="5"/>
        <v>0</v>
      </c>
      <c r="AG6" s="3">
        <f t="shared" si="5"/>
        <v>0</v>
      </c>
      <c r="AH6" s="3">
        <f t="shared" si="5"/>
        <v>0</v>
      </c>
      <c r="AI6" s="3">
        <f t="shared" si="5"/>
        <v>0</v>
      </c>
      <c r="AJ6" s="3">
        <f t="shared" si="5"/>
        <v>0</v>
      </c>
      <c r="AK6" s="3">
        <f t="shared" si="5"/>
        <v>0</v>
      </c>
      <c r="AL6" s="3">
        <f t="shared" si="5"/>
        <v>0</v>
      </c>
      <c r="AM6" s="3">
        <f t="shared" si="5"/>
        <v>0</v>
      </c>
      <c r="AN6" s="3">
        <f t="shared" si="5"/>
        <v>0</v>
      </c>
      <c r="AO6" s="3">
        <f t="shared" si="5"/>
        <v>0</v>
      </c>
      <c r="AP6" s="3">
        <f t="shared" si="5"/>
        <v>0</v>
      </c>
      <c r="AQ6" s="3">
        <f t="shared" si="5"/>
        <v>0</v>
      </c>
      <c r="AR6" s="3">
        <f t="shared" si="5"/>
        <v>0</v>
      </c>
      <c r="AS6" s="3">
        <f t="shared" si="5"/>
        <v>0</v>
      </c>
      <c r="AT6" s="3">
        <f t="shared" si="5"/>
        <v>0</v>
      </c>
      <c r="AU6" s="3">
        <f t="shared" si="5"/>
        <v>0</v>
      </c>
      <c r="AV6" s="3">
        <f t="shared" si="5"/>
        <v>0</v>
      </c>
      <c r="AW6" s="3">
        <f t="shared" si="5"/>
        <v>0</v>
      </c>
      <c r="AX6" s="3">
        <f t="shared" si="5"/>
        <v>0</v>
      </c>
      <c r="AY6" s="3">
        <f t="shared" si="5"/>
        <v>0</v>
      </c>
      <c r="AZ6" s="3">
        <f t="shared" si="5"/>
        <v>0</v>
      </c>
      <c r="BA6" s="3">
        <f t="shared" si="5"/>
        <v>0</v>
      </c>
      <c r="BB6" s="3">
        <f t="shared" si="5"/>
        <v>0</v>
      </c>
      <c r="BC6" s="3">
        <f t="shared" si="5"/>
        <v>0</v>
      </c>
      <c r="BD6" s="3">
        <f t="shared" si="5"/>
        <v>0</v>
      </c>
      <c r="BE6" s="3">
        <f t="shared" si="5"/>
        <v>0</v>
      </c>
      <c r="BF6" s="3">
        <f t="shared" si="5"/>
        <v>0</v>
      </c>
      <c r="BG6" s="3">
        <f t="shared" si="5"/>
        <v>0</v>
      </c>
      <c r="BH6" s="3">
        <f t="shared" si="5"/>
        <v>0</v>
      </c>
      <c r="BI6" s="3">
        <f t="shared" si="5"/>
        <v>0</v>
      </c>
      <c r="BJ6" s="3">
        <f t="shared" si="5"/>
        <v>0</v>
      </c>
      <c r="BK6" s="3">
        <f t="shared" si="5"/>
        <v>0</v>
      </c>
      <c r="BL6" s="3">
        <f t="shared" si="5"/>
        <v>0</v>
      </c>
      <c r="BM6" s="3">
        <f t="shared" si="5"/>
        <v>0</v>
      </c>
      <c r="BN6" s="3">
        <f t="shared" si="5"/>
        <v>0</v>
      </c>
      <c r="BO6" s="3">
        <f t="shared" si="5"/>
        <v>0</v>
      </c>
      <c r="BP6" s="3">
        <f t="shared" si="5"/>
        <v>0</v>
      </c>
      <c r="BQ6" s="3">
        <f t="shared" si="5"/>
        <v>0</v>
      </c>
      <c r="BR6" s="3">
        <f t="shared" si="5"/>
        <v>0</v>
      </c>
      <c r="BS6" s="3">
        <f t="shared" si="5"/>
        <v>0</v>
      </c>
      <c r="BT6" s="3">
        <f t="shared" si="5"/>
        <v>0</v>
      </c>
      <c r="BU6" s="3">
        <f t="shared" si="5"/>
        <v>0</v>
      </c>
      <c r="BV6" s="3">
        <f t="shared" si="5"/>
        <v>0</v>
      </c>
      <c r="BW6" s="3">
        <f t="shared" si="5"/>
        <v>0</v>
      </c>
      <c r="BX6" s="3">
        <f t="shared" si="5"/>
        <v>0</v>
      </c>
      <c r="BY6" s="3">
        <f t="shared" si="5"/>
        <v>0</v>
      </c>
      <c r="BZ6" s="3">
        <f t="shared" si="5"/>
        <v>0</v>
      </c>
      <c r="CA6" s="3">
        <f t="shared" si="5"/>
        <v>0</v>
      </c>
      <c r="CB6" s="3">
        <f t="shared" si="5"/>
        <v>0</v>
      </c>
      <c r="CC6" s="3">
        <f t="shared" si="5"/>
        <v>0</v>
      </c>
      <c r="CD6" s="3">
        <f t="shared" si="5"/>
        <v>0</v>
      </c>
      <c r="CE6" s="3">
        <f t="shared" si="5"/>
        <v>0</v>
      </c>
      <c r="CF6" s="3">
        <f t="shared" si="5"/>
        <v>0</v>
      </c>
      <c r="CG6" s="3">
        <f t="shared" si="5"/>
        <v>0</v>
      </c>
      <c r="CH6" s="3">
        <f t="shared" si="5"/>
        <v>0</v>
      </c>
      <c r="CI6" s="3">
        <f t="shared" si="5"/>
        <v>0</v>
      </c>
      <c r="CJ6" s="3">
        <f t="shared" si="5"/>
        <v>0</v>
      </c>
      <c r="CK6" s="3">
        <f t="shared" si="5"/>
        <v>0</v>
      </c>
      <c r="CL6" s="3">
        <f t="shared" si="5"/>
        <v>0</v>
      </c>
      <c r="CM6" s="3">
        <f t="shared" si="5"/>
        <v>0</v>
      </c>
      <c r="CN6" s="3">
        <f t="shared" si="5"/>
        <v>0</v>
      </c>
      <c r="CO6" s="3">
        <f t="shared" si="5"/>
        <v>0</v>
      </c>
      <c r="CP6" s="3">
        <f t="shared" si="5"/>
        <v>0</v>
      </c>
      <c r="CQ6" s="3">
        <f t="shared" si="5"/>
        <v>0</v>
      </c>
      <c r="CR6" s="3">
        <f t="shared" si="5"/>
        <v>0</v>
      </c>
      <c r="CS6" s="3">
        <f t="shared" si="5"/>
        <v>0</v>
      </c>
    </row>
    <row r="7">
      <c r="E7" s="1"/>
      <c r="F7" s="1"/>
      <c r="G7" s="1"/>
      <c r="H7" s="1"/>
      <c r="I7" s="1"/>
      <c r="J7" s="1"/>
      <c r="K7" s="1"/>
      <c r="M7" s="1" t="s">
        <v>7</v>
      </c>
      <c r="N7" s="3">
        <f t="shared" ref="N7:CS7" si="6">SUMIF($C:$C,$M7,N:N)</f>
        <v>406462.2222</v>
      </c>
      <c r="O7" s="3">
        <f t="shared" si="6"/>
        <v>392913.4815</v>
      </c>
      <c r="P7" s="3">
        <f t="shared" si="6"/>
        <v>379816.3654</v>
      </c>
      <c r="Q7" s="3">
        <f t="shared" si="6"/>
        <v>367155.8199</v>
      </c>
      <c r="R7" s="3">
        <f t="shared" si="6"/>
        <v>354917.2926</v>
      </c>
      <c r="S7" s="3">
        <f t="shared" si="6"/>
        <v>343086.7162</v>
      </c>
      <c r="T7" s="3">
        <f t="shared" si="6"/>
        <v>331650.4923</v>
      </c>
      <c r="U7" s="3">
        <f t="shared" si="6"/>
        <v>320595.4759</v>
      </c>
      <c r="V7" s="3">
        <f t="shared" si="6"/>
        <v>3376575.627</v>
      </c>
      <c r="W7" s="3">
        <f t="shared" si="6"/>
        <v>3264023.106</v>
      </c>
      <c r="X7" s="3">
        <f t="shared" si="6"/>
        <v>0</v>
      </c>
      <c r="Y7" s="3">
        <f t="shared" si="6"/>
        <v>0</v>
      </c>
      <c r="Z7" s="3">
        <f t="shared" si="6"/>
        <v>0</v>
      </c>
      <c r="AA7" s="3">
        <f t="shared" si="6"/>
        <v>0</v>
      </c>
      <c r="AB7" s="3">
        <f t="shared" si="6"/>
        <v>0</v>
      </c>
      <c r="AC7" s="3">
        <f t="shared" si="6"/>
        <v>0</v>
      </c>
      <c r="AD7" s="3">
        <f t="shared" si="6"/>
        <v>0</v>
      </c>
      <c r="AE7" s="3">
        <f t="shared" si="6"/>
        <v>0</v>
      </c>
      <c r="AF7" s="3">
        <f t="shared" si="6"/>
        <v>0</v>
      </c>
      <c r="AG7" s="3">
        <f t="shared" si="6"/>
        <v>0</v>
      </c>
      <c r="AH7" s="3">
        <f t="shared" si="6"/>
        <v>0</v>
      </c>
      <c r="AI7" s="3">
        <f t="shared" si="6"/>
        <v>0</v>
      </c>
      <c r="AJ7" s="3">
        <f t="shared" si="6"/>
        <v>0</v>
      </c>
      <c r="AK7" s="3">
        <f t="shared" si="6"/>
        <v>0</v>
      </c>
      <c r="AL7" s="3">
        <f t="shared" si="6"/>
        <v>0</v>
      </c>
      <c r="AM7" s="3">
        <f t="shared" si="6"/>
        <v>0</v>
      </c>
      <c r="AN7" s="3">
        <f t="shared" si="6"/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3">
        <f t="shared" si="6"/>
        <v>0</v>
      </c>
      <c r="AS7" s="3">
        <f t="shared" si="6"/>
        <v>0</v>
      </c>
      <c r="AT7" s="3">
        <f t="shared" si="6"/>
        <v>0</v>
      </c>
      <c r="AU7" s="3">
        <f t="shared" si="6"/>
        <v>0</v>
      </c>
      <c r="AV7" s="3">
        <f t="shared" si="6"/>
        <v>0</v>
      </c>
      <c r="AW7" s="3">
        <f t="shared" si="6"/>
        <v>0</v>
      </c>
      <c r="AX7" s="3">
        <f t="shared" si="6"/>
        <v>0</v>
      </c>
      <c r="AY7" s="3">
        <f t="shared" si="6"/>
        <v>0</v>
      </c>
      <c r="AZ7" s="3">
        <f t="shared" si="6"/>
        <v>0</v>
      </c>
      <c r="BA7" s="3">
        <f t="shared" si="6"/>
        <v>0</v>
      </c>
      <c r="BB7" s="3">
        <f t="shared" si="6"/>
        <v>0</v>
      </c>
      <c r="BC7" s="3">
        <f t="shared" si="6"/>
        <v>0</v>
      </c>
      <c r="BD7" s="3">
        <f t="shared" si="6"/>
        <v>0</v>
      </c>
      <c r="BE7" s="3">
        <f t="shared" si="6"/>
        <v>0</v>
      </c>
      <c r="BF7" s="3">
        <f t="shared" si="6"/>
        <v>0</v>
      </c>
      <c r="BG7" s="3">
        <f t="shared" si="6"/>
        <v>0</v>
      </c>
      <c r="BH7" s="3">
        <f t="shared" si="6"/>
        <v>0</v>
      </c>
      <c r="BI7" s="3">
        <f t="shared" si="6"/>
        <v>0</v>
      </c>
      <c r="BJ7" s="3">
        <f t="shared" si="6"/>
        <v>0</v>
      </c>
      <c r="BK7" s="3">
        <f t="shared" si="6"/>
        <v>0</v>
      </c>
      <c r="BL7" s="3">
        <f t="shared" si="6"/>
        <v>0</v>
      </c>
      <c r="BM7" s="3">
        <f t="shared" si="6"/>
        <v>0</v>
      </c>
      <c r="BN7" s="3">
        <f t="shared" si="6"/>
        <v>0</v>
      </c>
      <c r="BO7" s="3">
        <f t="shared" si="6"/>
        <v>0</v>
      </c>
      <c r="BP7" s="3">
        <f t="shared" si="6"/>
        <v>0</v>
      </c>
      <c r="BQ7" s="3">
        <f t="shared" si="6"/>
        <v>0</v>
      </c>
      <c r="BR7" s="3">
        <f t="shared" si="6"/>
        <v>0</v>
      </c>
      <c r="BS7" s="3">
        <f t="shared" si="6"/>
        <v>0</v>
      </c>
      <c r="BT7" s="3">
        <f t="shared" si="6"/>
        <v>0</v>
      </c>
      <c r="BU7" s="3">
        <f t="shared" si="6"/>
        <v>0</v>
      </c>
      <c r="BV7" s="3">
        <f t="shared" si="6"/>
        <v>0</v>
      </c>
      <c r="BW7" s="3">
        <f t="shared" si="6"/>
        <v>0</v>
      </c>
      <c r="BX7" s="3">
        <f t="shared" si="6"/>
        <v>0</v>
      </c>
      <c r="BY7" s="3">
        <f t="shared" si="6"/>
        <v>0</v>
      </c>
      <c r="BZ7" s="3">
        <f t="shared" si="6"/>
        <v>0</v>
      </c>
      <c r="CA7" s="3">
        <f t="shared" si="6"/>
        <v>0</v>
      </c>
      <c r="CB7" s="3">
        <f t="shared" si="6"/>
        <v>0</v>
      </c>
      <c r="CC7" s="3">
        <f t="shared" si="6"/>
        <v>0</v>
      </c>
      <c r="CD7" s="3">
        <f t="shared" si="6"/>
        <v>0</v>
      </c>
      <c r="CE7" s="3">
        <f t="shared" si="6"/>
        <v>0</v>
      </c>
      <c r="CF7" s="3">
        <f t="shared" si="6"/>
        <v>0</v>
      </c>
      <c r="CG7" s="3">
        <f t="shared" si="6"/>
        <v>0</v>
      </c>
      <c r="CH7" s="3">
        <f t="shared" si="6"/>
        <v>0</v>
      </c>
      <c r="CI7" s="3">
        <f t="shared" si="6"/>
        <v>0</v>
      </c>
      <c r="CJ7" s="3">
        <f t="shared" si="6"/>
        <v>0</v>
      </c>
      <c r="CK7" s="3">
        <f t="shared" si="6"/>
        <v>0</v>
      </c>
      <c r="CL7" s="3">
        <f t="shared" si="6"/>
        <v>0</v>
      </c>
      <c r="CM7" s="3">
        <f t="shared" si="6"/>
        <v>0</v>
      </c>
      <c r="CN7" s="3">
        <f t="shared" si="6"/>
        <v>0</v>
      </c>
      <c r="CO7" s="3">
        <f t="shared" si="6"/>
        <v>0</v>
      </c>
      <c r="CP7" s="3">
        <f t="shared" si="6"/>
        <v>0</v>
      </c>
      <c r="CQ7" s="3">
        <f t="shared" si="6"/>
        <v>0</v>
      </c>
      <c r="CR7" s="3">
        <f t="shared" si="6"/>
        <v>0</v>
      </c>
      <c r="CS7" s="3">
        <f t="shared" si="6"/>
        <v>0</v>
      </c>
      <c r="C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M8" s="5" t="s">
        <v>47</v>
      </c>
      <c r="N8" s="20">
        <f t="shared" ref="N8:CS8" si="7">SUM(N3:N7)</f>
        <v>2788779.444</v>
      </c>
      <c r="O8" s="20">
        <f t="shared" si="7"/>
        <v>2714292.352</v>
      </c>
      <c r="P8" s="20">
        <f t="shared" si="7"/>
        <v>2642288.162</v>
      </c>
      <c r="Q8" s="20">
        <f t="shared" si="7"/>
        <v>2572684.112</v>
      </c>
      <c r="R8" s="20">
        <f t="shared" si="7"/>
        <v>2505400.198</v>
      </c>
      <c r="S8" s="20">
        <f t="shared" si="7"/>
        <v>2440359.08</v>
      </c>
      <c r="T8" s="20">
        <f t="shared" si="7"/>
        <v>2377485.999</v>
      </c>
      <c r="U8" s="20">
        <f t="shared" si="7"/>
        <v>2316708.688</v>
      </c>
      <c r="V8" s="20">
        <f t="shared" si="7"/>
        <v>8982554.788</v>
      </c>
      <c r="W8" s="20">
        <f t="shared" si="7"/>
        <v>8740065.375</v>
      </c>
      <c r="X8" s="20">
        <f t="shared" si="7"/>
        <v>554166.6667</v>
      </c>
      <c r="Y8" s="20">
        <f t="shared" si="7"/>
        <v>554166.6667</v>
      </c>
      <c r="Z8" s="20">
        <f t="shared" si="7"/>
        <v>554166.6667</v>
      </c>
      <c r="AA8" s="20">
        <f t="shared" si="7"/>
        <v>554166.6667</v>
      </c>
      <c r="AB8" s="20">
        <f t="shared" si="7"/>
        <v>554166.6667</v>
      </c>
      <c r="AC8" s="20">
        <f t="shared" si="7"/>
        <v>554166.6667</v>
      </c>
      <c r="AD8" s="20">
        <f t="shared" si="7"/>
        <v>554166.6667</v>
      </c>
      <c r="AE8" s="20">
        <f t="shared" si="7"/>
        <v>554166.6667</v>
      </c>
      <c r="AF8" s="20">
        <f t="shared" si="7"/>
        <v>554166.6667</v>
      </c>
      <c r="AG8" s="20">
        <f t="shared" si="7"/>
        <v>554166.6667</v>
      </c>
      <c r="AH8" s="20">
        <f t="shared" si="7"/>
        <v>554166.6667</v>
      </c>
      <c r="AI8" s="20">
        <f t="shared" si="7"/>
        <v>554166.6667</v>
      </c>
      <c r="AJ8" s="20">
        <f t="shared" si="7"/>
        <v>554166.6667</v>
      </c>
      <c r="AK8" s="20">
        <f t="shared" si="7"/>
        <v>554166.6667</v>
      </c>
      <c r="AL8" s="20">
        <f t="shared" si="7"/>
        <v>554166.6667</v>
      </c>
      <c r="AM8" s="20">
        <f t="shared" si="7"/>
        <v>554166.6667</v>
      </c>
      <c r="AN8" s="20">
        <f t="shared" si="7"/>
        <v>554166.6667</v>
      </c>
      <c r="AO8" s="20">
        <f t="shared" si="7"/>
        <v>554166.6667</v>
      </c>
      <c r="AP8" s="20">
        <f t="shared" si="7"/>
        <v>554166.6667</v>
      </c>
      <c r="AQ8" s="20">
        <f t="shared" si="7"/>
        <v>554166.6667</v>
      </c>
      <c r="AR8" s="20">
        <f t="shared" si="7"/>
        <v>554166.6667</v>
      </c>
      <c r="AS8" s="20">
        <f t="shared" si="7"/>
        <v>554166.6667</v>
      </c>
      <c r="AT8" s="20">
        <f t="shared" si="7"/>
        <v>554166.6667</v>
      </c>
      <c r="AU8" s="20">
        <f t="shared" si="7"/>
        <v>554166.6667</v>
      </c>
      <c r="AV8" s="20">
        <f t="shared" si="7"/>
        <v>554166.6667</v>
      </c>
      <c r="AW8" s="20">
        <f t="shared" si="7"/>
        <v>554166.6667</v>
      </c>
      <c r="AX8" s="20">
        <f t="shared" si="7"/>
        <v>554166.6667</v>
      </c>
      <c r="AY8" s="20">
        <f t="shared" si="7"/>
        <v>554166.6667</v>
      </c>
      <c r="AZ8" s="20">
        <f t="shared" si="7"/>
        <v>554166.6667</v>
      </c>
      <c r="BA8" s="20">
        <f t="shared" si="7"/>
        <v>554166.6667</v>
      </c>
      <c r="BB8" s="20">
        <f t="shared" si="7"/>
        <v>554166.6667</v>
      </c>
      <c r="BC8" s="20">
        <f t="shared" si="7"/>
        <v>554166.6667</v>
      </c>
      <c r="BD8" s="20">
        <f t="shared" si="7"/>
        <v>554166.6667</v>
      </c>
      <c r="BE8" s="20">
        <f t="shared" si="7"/>
        <v>554166.6667</v>
      </c>
      <c r="BF8" s="20">
        <f t="shared" si="7"/>
        <v>554166.6667</v>
      </c>
      <c r="BG8" s="20">
        <f t="shared" si="7"/>
        <v>554166.6667</v>
      </c>
      <c r="BH8" s="20">
        <f t="shared" si="7"/>
        <v>554166.6667</v>
      </c>
      <c r="BI8" s="20">
        <f t="shared" si="7"/>
        <v>554166.6667</v>
      </c>
      <c r="BJ8" s="20">
        <f t="shared" si="7"/>
        <v>554166.6667</v>
      </c>
      <c r="BK8" s="20">
        <f t="shared" si="7"/>
        <v>554166.6667</v>
      </c>
      <c r="BL8" s="20">
        <f t="shared" si="7"/>
        <v>554166.6667</v>
      </c>
      <c r="BM8" s="20">
        <f t="shared" si="7"/>
        <v>554166.6667</v>
      </c>
      <c r="BN8" s="20">
        <f t="shared" si="7"/>
        <v>554166.6667</v>
      </c>
      <c r="BO8" s="20">
        <f t="shared" si="7"/>
        <v>554166.6667</v>
      </c>
      <c r="BP8" s="20">
        <f t="shared" si="7"/>
        <v>554166.6667</v>
      </c>
      <c r="BQ8" s="20">
        <f t="shared" si="7"/>
        <v>554166.6667</v>
      </c>
      <c r="BR8" s="20">
        <f t="shared" si="7"/>
        <v>554166.6667</v>
      </c>
      <c r="BS8" s="20">
        <f t="shared" si="7"/>
        <v>554166.6667</v>
      </c>
      <c r="BT8" s="20">
        <f t="shared" si="7"/>
        <v>554166.6667</v>
      </c>
      <c r="BU8" s="20">
        <f t="shared" si="7"/>
        <v>554166.6667</v>
      </c>
      <c r="BV8" s="20">
        <f t="shared" si="7"/>
        <v>554166.6667</v>
      </c>
      <c r="BW8" s="20">
        <f t="shared" si="7"/>
        <v>554166.6667</v>
      </c>
      <c r="BX8" s="20">
        <f t="shared" si="7"/>
        <v>554166.6667</v>
      </c>
      <c r="BY8" s="20">
        <f t="shared" si="7"/>
        <v>554166.6667</v>
      </c>
      <c r="BZ8" s="20">
        <f t="shared" si="7"/>
        <v>554166.6667</v>
      </c>
      <c r="CA8" s="20">
        <f t="shared" si="7"/>
        <v>554166.6667</v>
      </c>
      <c r="CB8" s="20">
        <f t="shared" si="7"/>
        <v>554166.6667</v>
      </c>
      <c r="CC8" s="20">
        <f t="shared" si="7"/>
        <v>554166.6667</v>
      </c>
      <c r="CD8" s="20">
        <f t="shared" si="7"/>
        <v>554166.6667</v>
      </c>
      <c r="CE8" s="20">
        <f t="shared" si="7"/>
        <v>554166.6667</v>
      </c>
      <c r="CF8" s="20">
        <f t="shared" si="7"/>
        <v>554166.6667</v>
      </c>
      <c r="CG8" s="20">
        <f t="shared" si="7"/>
        <v>554166.6667</v>
      </c>
      <c r="CH8" s="20">
        <f t="shared" si="7"/>
        <v>554166.6667</v>
      </c>
      <c r="CI8" s="20">
        <f t="shared" si="7"/>
        <v>554166.6667</v>
      </c>
      <c r="CJ8" s="20">
        <f t="shared" si="7"/>
        <v>554166.6667</v>
      </c>
      <c r="CK8" s="20">
        <f t="shared" si="7"/>
        <v>554166.6667</v>
      </c>
      <c r="CL8" s="20">
        <f t="shared" si="7"/>
        <v>554166.6667</v>
      </c>
      <c r="CM8" s="20">
        <f t="shared" si="7"/>
        <v>554166.6667</v>
      </c>
      <c r="CN8" s="20">
        <f t="shared" si="7"/>
        <v>554166.6667</v>
      </c>
      <c r="CO8" s="20">
        <f t="shared" si="7"/>
        <v>554166.6667</v>
      </c>
      <c r="CP8" s="20">
        <f t="shared" si="7"/>
        <v>554166.6667</v>
      </c>
      <c r="CQ8" s="20">
        <f t="shared" si="7"/>
        <v>554166.6667</v>
      </c>
      <c r="CR8" s="20">
        <f t="shared" si="7"/>
        <v>554166.6667</v>
      </c>
      <c r="CS8" s="20">
        <f t="shared" si="7"/>
        <v>554166.6667</v>
      </c>
      <c r="C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1"/>
    </row>
    <row r="11">
      <c r="A11" s="1" t="s">
        <v>9</v>
      </c>
      <c r="B11" s="1" t="s">
        <v>10</v>
      </c>
      <c r="C11" s="1" t="s">
        <v>0</v>
      </c>
      <c r="D11" s="1" t="s">
        <v>11</v>
      </c>
      <c r="E11" s="1" t="s">
        <v>12</v>
      </c>
      <c r="F11" s="1" t="s">
        <v>14</v>
      </c>
      <c r="G11" s="1" t="s">
        <v>15</v>
      </c>
      <c r="H11" s="1" t="s">
        <v>48</v>
      </c>
      <c r="I11" s="1" t="s">
        <v>49</v>
      </c>
      <c r="J11" s="1" t="s">
        <v>50</v>
      </c>
      <c r="K11" s="1" t="s">
        <v>51</v>
      </c>
      <c r="L11" s="1" t="s">
        <v>52</v>
      </c>
      <c r="M11" s="1" t="s">
        <v>53</v>
      </c>
      <c r="N11" s="31" t="str">
        <f>text("28/4/2025","MMM-YYYY")</f>
        <v>Apr-2025</v>
      </c>
      <c r="O11" s="31" t="str">
        <f t="shared" ref="O11:CS11" si="8">text(EOMONTH(N11,1),"MMM-YYYY")</f>
        <v>May-2025</v>
      </c>
      <c r="P11" s="31" t="str">
        <f t="shared" si="8"/>
        <v>Jun-2025</v>
      </c>
      <c r="Q11" s="31" t="str">
        <f t="shared" si="8"/>
        <v>Jul-2025</v>
      </c>
      <c r="R11" s="31" t="str">
        <f t="shared" si="8"/>
        <v>Aug-2025</v>
      </c>
      <c r="S11" s="31" t="str">
        <f t="shared" si="8"/>
        <v>Sep-2025</v>
      </c>
      <c r="T11" s="31" t="str">
        <f t="shared" si="8"/>
        <v>Oct-2025</v>
      </c>
      <c r="U11" s="31" t="str">
        <f t="shared" si="8"/>
        <v>Nov-2025</v>
      </c>
      <c r="V11" s="31" t="str">
        <f t="shared" si="8"/>
        <v>Dec-2025</v>
      </c>
      <c r="W11" s="31" t="str">
        <f t="shared" si="8"/>
        <v>Jan-2026</v>
      </c>
      <c r="X11" s="31" t="str">
        <f t="shared" si="8"/>
        <v>Feb-2026</v>
      </c>
      <c r="Y11" s="31" t="str">
        <f t="shared" si="8"/>
        <v>Mar-2026</v>
      </c>
      <c r="Z11" s="31" t="str">
        <f t="shared" si="8"/>
        <v>Apr-2026</v>
      </c>
      <c r="AA11" s="31" t="str">
        <f t="shared" si="8"/>
        <v>May-2026</v>
      </c>
      <c r="AB11" s="31" t="str">
        <f t="shared" si="8"/>
        <v>Jun-2026</v>
      </c>
      <c r="AC11" s="31" t="str">
        <f t="shared" si="8"/>
        <v>Jul-2026</v>
      </c>
      <c r="AD11" s="31" t="str">
        <f t="shared" si="8"/>
        <v>Aug-2026</v>
      </c>
      <c r="AE11" s="31" t="str">
        <f t="shared" si="8"/>
        <v>Sep-2026</v>
      </c>
      <c r="AF11" s="31" t="str">
        <f t="shared" si="8"/>
        <v>Oct-2026</v>
      </c>
      <c r="AG11" s="31" t="str">
        <f t="shared" si="8"/>
        <v>Nov-2026</v>
      </c>
      <c r="AH11" s="31" t="str">
        <f t="shared" si="8"/>
        <v>Dec-2026</v>
      </c>
      <c r="AI11" s="31" t="str">
        <f t="shared" si="8"/>
        <v>Jan-2027</v>
      </c>
      <c r="AJ11" s="31" t="str">
        <f t="shared" si="8"/>
        <v>Feb-2027</v>
      </c>
      <c r="AK11" s="31" t="str">
        <f t="shared" si="8"/>
        <v>Mar-2027</v>
      </c>
      <c r="AL11" s="31" t="str">
        <f t="shared" si="8"/>
        <v>Apr-2027</v>
      </c>
      <c r="AM11" s="31" t="str">
        <f t="shared" si="8"/>
        <v>May-2027</v>
      </c>
      <c r="AN11" s="31" t="str">
        <f t="shared" si="8"/>
        <v>Jun-2027</v>
      </c>
      <c r="AO11" s="31" t="str">
        <f t="shared" si="8"/>
        <v>Jul-2027</v>
      </c>
      <c r="AP11" s="31" t="str">
        <f t="shared" si="8"/>
        <v>Aug-2027</v>
      </c>
      <c r="AQ11" s="31" t="str">
        <f t="shared" si="8"/>
        <v>Sep-2027</v>
      </c>
      <c r="AR11" s="31" t="str">
        <f t="shared" si="8"/>
        <v>Oct-2027</v>
      </c>
      <c r="AS11" s="31" t="str">
        <f t="shared" si="8"/>
        <v>Nov-2027</v>
      </c>
      <c r="AT11" s="31" t="str">
        <f t="shared" si="8"/>
        <v>Dec-2027</v>
      </c>
      <c r="AU11" s="31" t="str">
        <f t="shared" si="8"/>
        <v>Jan-2028</v>
      </c>
      <c r="AV11" s="31" t="str">
        <f t="shared" si="8"/>
        <v>Feb-2028</v>
      </c>
      <c r="AW11" s="31" t="str">
        <f t="shared" si="8"/>
        <v>Mar-2028</v>
      </c>
      <c r="AX11" s="31" t="str">
        <f t="shared" si="8"/>
        <v>Apr-2028</v>
      </c>
      <c r="AY11" s="31" t="str">
        <f t="shared" si="8"/>
        <v>May-2028</v>
      </c>
      <c r="AZ11" s="31" t="str">
        <f t="shared" si="8"/>
        <v>Jun-2028</v>
      </c>
      <c r="BA11" s="31" t="str">
        <f t="shared" si="8"/>
        <v>Jul-2028</v>
      </c>
      <c r="BB11" s="31" t="str">
        <f t="shared" si="8"/>
        <v>Aug-2028</v>
      </c>
      <c r="BC11" s="31" t="str">
        <f t="shared" si="8"/>
        <v>Sep-2028</v>
      </c>
      <c r="BD11" s="31" t="str">
        <f t="shared" si="8"/>
        <v>Oct-2028</v>
      </c>
      <c r="BE11" s="31" t="str">
        <f t="shared" si="8"/>
        <v>Nov-2028</v>
      </c>
      <c r="BF11" s="31" t="str">
        <f t="shared" si="8"/>
        <v>Dec-2028</v>
      </c>
      <c r="BG11" s="31" t="str">
        <f t="shared" si="8"/>
        <v>Jan-2029</v>
      </c>
      <c r="BH11" s="31" t="str">
        <f t="shared" si="8"/>
        <v>Feb-2029</v>
      </c>
      <c r="BI11" s="31" t="str">
        <f t="shared" si="8"/>
        <v>Mar-2029</v>
      </c>
      <c r="BJ11" s="31" t="str">
        <f t="shared" si="8"/>
        <v>Apr-2029</v>
      </c>
      <c r="BK11" s="31" t="str">
        <f t="shared" si="8"/>
        <v>May-2029</v>
      </c>
      <c r="BL11" s="31" t="str">
        <f t="shared" si="8"/>
        <v>Jun-2029</v>
      </c>
      <c r="BM11" s="31" t="str">
        <f t="shared" si="8"/>
        <v>Jul-2029</v>
      </c>
      <c r="BN11" s="31" t="str">
        <f t="shared" si="8"/>
        <v>Aug-2029</v>
      </c>
      <c r="BO11" s="31" t="str">
        <f t="shared" si="8"/>
        <v>Sep-2029</v>
      </c>
      <c r="BP11" s="31" t="str">
        <f t="shared" si="8"/>
        <v>Oct-2029</v>
      </c>
      <c r="BQ11" s="31" t="str">
        <f t="shared" si="8"/>
        <v>Nov-2029</v>
      </c>
      <c r="BR11" s="31" t="str">
        <f t="shared" si="8"/>
        <v>Dec-2029</v>
      </c>
      <c r="BS11" s="31" t="str">
        <f t="shared" si="8"/>
        <v>Jan-2030</v>
      </c>
      <c r="BT11" s="31" t="str">
        <f t="shared" si="8"/>
        <v>Feb-2030</v>
      </c>
      <c r="BU11" s="31" t="str">
        <f t="shared" si="8"/>
        <v>Mar-2030</v>
      </c>
      <c r="BV11" s="31" t="str">
        <f t="shared" si="8"/>
        <v>Apr-2030</v>
      </c>
      <c r="BW11" s="31" t="str">
        <f t="shared" si="8"/>
        <v>May-2030</v>
      </c>
      <c r="BX11" s="31" t="str">
        <f t="shared" si="8"/>
        <v>Jun-2030</v>
      </c>
      <c r="BY11" s="31" t="str">
        <f t="shared" si="8"/>
        <v>Jul-2030</v>
      </c>
      <c r="BZ11" s="31" t="str">
        <f t="shared" si="8"/>
        <v>Aug-2030</v>
      </c>
      <c r="CA11" s="31" t="str">
        <f t="shared" si="8"/>
        <v>Sep-2030</v>
      </c>
      <c r="CB11" s="31" t="str">
        <f t="shared" si="8"/>
        <v>Oct-2030</v>
      </c>
      <c r="CC11" s="31" t="str">
        <f t="shared" si="8"/>
        <v>Nov-2030</v>
      </c>
      <c r="CD11" s="31" t="str">
        <f t="shared" si="8"/>
        <v>Dec-2030</v>
      </c>
      <c r="CE11" s="31" t="str">
        <f t="shared" si="8"/>
        <v>Jan-2031</v>
      </c>
      <c r="CF11" s="31" t="str">
        <f t="shared" si="8"/>
        <v>Feb-2031</v>
      </c>
      <c r="CG11" s="31" t="str">
        <f t="shared" si="8"/>
        <v>Mar-2031</v>
      </c>
      <c r="CH11" s="31" t="str">
        <f t="shared" si="8"/>
        <v>Apr-2031</v>
      </c>
      <c r="CI11" s="31" t="str">
        <f t="shared" si="8"/>
        <v>May-2031</v>
      </c>
      <c r="CJ11" s="31" t="str">
        <f t="shared" si="8"/>
        <v>Jun-2031</v>
      </c>
      <c r="CK11" s="31" t="str">
        <f t="shared" si="8"/>
        <v>Jul-2031</v>
      </c>
      <c r="CL11" s="31" t="str">
        <f t="shared" si="8"/>
        <v>Aug-2031</v>
      </c>
      <c r="CM11" s="31" t="str">
        <f t="shared" si="8"/>
        <v>Sep-2031</v>
      </c>
      <c r="CN11" s="31" t="str">
        <f t="shared" si="8"/>
        <v>Oct-2031</v>
      </c>
      <c r="CO11" s="31" t="str">
        <f t="shared" si="8"/>
        <v>Nov-2031</v>
      </c>
      <c r="CP11" s="31" t="str">
        <f t="shared" si="8"/>
        <v>Dec-2031</v>
      </c>
      <c r="CQ11" s="31" t="str">
        <f t="shared" si="8"/>
        <v>Jan-2032</v>
      </c>
      <c r="CR11" s="31" t="str">
        <f t="shared" si="8"/>
        <v>Feb-2032</v>
      </c>
      <c r="CS11" s="31" t="str">
        <f t="shared" si="8"/>
        <v>Mar-2032</v>
      </c>
      <c r="CT11" s="1" t="s">
        <v>54</v>
      </c>
    </row>
    <row r="12">
      <c r="A12" s="1" t="str">
        <f t="array" ref="A12:A50">MR_Fixed_Asset_Register_List!A12:A50</f>
        <v>FA-001</v>
      </c>
      <c r="B12" s="1" t="str">
        <f t="array" ref="B12:B50">MR_Fixed_Asset_Register_List!B12:B50</f>
        <v>၁၀၇ ပေ  x ၁၀၀ ပေ အုတ်ခြံစည်းရိုးနှစ်ဖက်ပါ မြေကွက်</v>
      </c>
      <c r="C12" s="1" t="s">
        <v>2</v>
      </c>
      <c r="D12" s="1">
        <f t="array" ref="D12:D50">MR_Fixed_Asset_Register_List!D12:D50</f>
        <v>14000</v>
      </c>
      <c r="E12" s="28">
        <f t="array" ref="E12:E50">MR_Fixed_Asset_Register_List!E12:E50</f>
        <v>44621</v>
      </c>
      <c r="F12" s="3">
        <f t="array" ref="F12:F56">MR_Fixed_Asset_Register_List!G12:G56</f>
        <v>219000000</v>
      </c>
      <c r="G12" s="1" t="str">
        <f t="array" ref="G12:G54">MR_Fixed_Asset_Register_List!H12:H54</f>
        <v/>
      </c>
      <c r="H12" s="1" t="str">
        <f t="array" ref="H12:H54">MR_Fixed_Asset_Register_List!I12:I54</f>
        <v/>
      </c>
      <c r="I12" s="26">
        <f t="shared" ref="I12:I24" si="11">H12/12</f>
        <v>0</v>
      </c>
      <c r="J12" s="1">
        <f>YEAR(MR_Fixed_Asset_Register_List!F12) - YEAR(E12)</f>
        <v>3</v>
      </c>
      <c r="K12" s="1">
        <f t="shared" ref="K12:K24" si="12">J12*12</f>
        <v>36</v>
      </c>
      <c r="L12" s="3">
        <f>MR_Fixed_Asset_Register_List!L12</f>
        <v>219000000</v>
      </c>
      <c r="M12" s="3">
        <f t="shared" ref="M12:M16" si="13">I12*F12</f>
        <v>0</v>
      </c>
      <c r="N12" s="1">
        <f t="shared" ref="N12:N16" si="14">IF(YEAR(TODAY())-YEAR($E12)+1&gt;$G12,0,$M12)</f>
        <v>0</v>
      </c>
      <c r="O12" s="1">
        <f t="shared" ref="O12:S12" si="9">IF(YEAR(TODAY())-YEAR($E$12)+1&gt;$G$12,0,$M$12)</f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CS12" si="10">IF(YEAR(TODAY())-YEAR(K12)+1&gt;L12,0,S12)</f>
        <v>0</v>
      </c>
      <c r="U12" s="1">
        <f t="shared" si="10"/>
        <v>0</v>
      </c>
      <c r="V12" s="1">
        <f t="shared" si="10"/>
        <v>0</v>
      </c>
      <c r="W12" s="1">
        <f t="shared" si="10"/>
        <v>0</v>
      </c>
      <c r="X12" s="1">
        <f t="shared" si="10"/>
        <v>0</v>
      </c>
      <c r="Y12" s="1">
        <f t="shared" si="10"/>
        <v>0</v>
      </c>
      <c r="Z12" s="1">
        <f t="shared" si="10"/>
        <v>0</v>
      </c>
      <c r="AA12" s="1">
        <f t="shared" si="10"/>
        <v>0</v>
      </c>
      <c r="AB12" s="1">
        <f t="shared" si="10"/>
        <v>0</v>
      </c>
      <c r="AC12" s="1">
        <f t="shared" si="10"/>
        <v>0</v>
      </c>
      <c r="AD12" s="1">
        <f t="shared" si="10"/>
        <v>0</v>
      </c>
      <c r="AE12" s="1">
        <f t="shared" si="10"/>
        <v>0</v>
      </c>
      <c r="AF12" s="1">
        <f t="shared" si="10"/>
        <v>0</v>
      </c>
      <c r="AG12" s="1">
        <f t="shared" si="10"/>
        <v>0</v>
      </c>
      <c r="AH12" s="1">
        <f t="shared" si="10"/>
        <v>0</v>
      </c>
      <c r="AI12" s="1">
        <f t="shared" si="10"/>
        <v>0</v>
      </c>
      <c r="AJ12" s="1">
        <f t="shared" si="10"/>
        <v>0</v>
      </c>
      <c r="AK12" s="1">
        <f t="shared" si="10"/>
        <v>0</v>
      </c>
      <c r="AL12" s="1">
        <f t="shared" si="10"/>
        <v>0</v>
      </c>
      <c r="AM12" s="1">
        <f t="shared" si="10"/>
        <v>0</v>
      </c>
      <c r="AN12" s="1">
        <f t="shared" si="10"/>
        <v>0</v>
      </c>
      <c r="AO12" s="1">
        <f t="shared" si="10"/>
        <v>0</v>
      </c>
      <c r="AP12" s="1">
        <f t="shared" si="10"/>
        <v>0</v>
      </c>
      <c r="AQ12" s="1">
        <f t="shared" si="10"/>
        <v>0</v>
      </c>
      <c r="AR12" s="1">
        <f t="shared" si="10"/>
        <v>0</v>
      </c>
      <c r="AS12" s="1">
        <f t="shared" si="10"/>
        <v>0</v>
      </c>
      <c r="AT12" s="1">
        <f t="shared" si="10"/>
        <v>0</v>
      </c>
      <c r="AU12" s="1">
        <f t="shared" si="10"/>
        <v>0</v>
      </c>
      <c r="AV12" s="1">
        <f t="shared" si="10"/>
        <v>0</v>
      </c>
      <c r="AW12" s="1">
        <f t="shared" si="10"/>
        <v>0</v>
      </c>
      <c r="AX12" s="1">
        <f t="shared" si="10"/>
        <v>0</v>
      </c>
      <c r="AY12" s="1">
        <f t="shared" si="10"/>
        <v>0</v>
      </c>
      <c r="AZ12" s="1">
        <f t="shared" si="10"/>
        <v>0</v>
      </c>
      <c r="BA12" s="1">
        <f t="shared" si="10"/>
        <v>0</v>
      </c>
      <c r="BB12" s="1">
        <f t="shared" si="10"/>
        <v>0</v>
      </c>
      <c r="BC12" s="1">
        <f t="shared" si="10"/>
        <v>0</v>
      </c>
      <c r="BD12" s="1">
        <f t="shared" si="10"/>
        <v>0</v>
      </c>
      <c r="BE12" s="1">
        <f t="shared" si="10"/>
        <v>0</v>
      </c>
      <c r="BF12" s="1">
        <f t="shared" si="10"/>
        <v>0</v>
      </c>
      <c r="BG12" s="1">
        <f t="shared" si="10"/>
        <v>0</v>
      </c>
      <c r="BH12" s="1">
        <f t="shared" si="10"/>
        <v>0</v>
      </c>
      <c r="BI12" s="1">
        <f t="shared" si="10"/>
        <v>0</v>
      </c>
      <c r="BJ12" s="1">
        <f t="shared" si="10"/>
        <v>0</v>
      </c>
      <c r="BK12" s="1">
        <f t="shared" si="10"/>
        <v>0</v>
      </c>
      <c r="BL12" s="1">
        <f t="shared" si="10"/>
        <v>0</v>
      </c>
      <c r="BM12" s="1">
        <f t="shared" si="10"/>
        <v>0</v>
      </c>
      <c r="BN12" s="1">
        <f t="shared" si="10"/>
        <v>0</v>
      </c>
      <c r="BO12" s="1">
        <f t="shared" si="10"/>
        <v>0</v>
      </c>
      <c r="BP12" s="1">
        <f t="shared" si="10"/>
        <v>0</v>
      </c>
      <c r="BQ12" s="1">
        <f t="shared" si="10"/>
        <v>0</v>
      </c>
      <c r="BR12" s="1">
        <f t="shared" si="10"/>
        <v>0</v>
      </c>
      <c r="BS12" s="1">
        <f t="shared" si="10"/>
        <v>0</v>
      </c>
      <c r="BT12" s="1">
        <f t="shared" si="10"/>
        <v>0</v>
      </c>
      <c r="BU12" s="1">
        <f t="shared" si="10"/>
        <v>0</v>
      </c>
      <c r="BV12" s="1">
        <f t="shared" si="10"/>
        <v>0</v>
      </c>
      <c r="BW12" s="1">
        <f t="shared" si="10"/>
        <v>0</v>
      </c>
      <c r="BX12" s="1">
        <f t="shared" si="10"/>
        <v>0</v>
      </c>
      <c r="BY12" s="1">
        <f t="shared" si="10"/>
        <v>0</v>
      </c>
      <c r="BZ12" s="1">
        <f t="shared" si="10"/>
        <v>0</v>
      </c>
      <c r="CA12" s="1">
        <f t="shared" si="10"/>
        <v>0</v>
      </c>
      <c r="CB12" s="1">
        <f t="shared" si="10"/>
        <v>0</v>
      </c>
      <c r="CC12" s="1">
        <f t="shared" si="10"/>
        <v>0</v>
      </c>
      <c r="CD12" s="1">
        <f t="shared" si="10"/>
        <v>0</v>
      </c>
      <c r="CE12" s="1">
        <f t="shared" si="10"/>
        <v>0</v>
      </c>
      <c r="CF12" s="1">
        <f t="shared" si="10"/>
        <v>0</v>
      </c>
      <c r="CG12" s="1">
        <f t="shared" si="10"/>
        <v>0</v>
      </c>
      <c r="CH12" s="1">
        <f t="shared" si="10"/>
        <v>0</v>
      </c>
      <c r="CI12" s="1">
        <f t="shared" si="10"/>
        <v>0</v>
      </c>
      <c r="CJ12" s="1">
        <f t="shared" si="10"/>
        <v>0</v>
      </c>
      <c r="CK12" s="1">
        <f t="shared" si="10"/>
        <v>0</v>
      </c>
      <c r="CL12" s="1">
        <f t="shared" si="10"/>
        <v>0</v>
      </c>
      <c r="CM12" s="1">
        <f t="shared" si="10"/>
        <v>0</v>
      </c>
      <c r="CN12" s="1">
        <f t="shared" si="10"/>
        <v>0</v>
      </c>
      <c r="CO12" s="1">
        <f t="shared" si="10"/>
        <v>0</v>
      </c>
      <c r="CP12" s="1">
        <f t="shared" si="10"/>
        <v>0</v>
      </c>
      <c r="CQ12" s="1">
        <f t="shared" si="10"/>
        <v>0</v>
      </c>
      <c r="CR12" s="1">
        <f t="shared" si="10"/>
        <v>0</v>
      </c>
      <c r="CS12" s="1">
        <f t="shared" si="10"/>
        <v>0</v>
      </c>
      <c r="CT12" s="1"/>
    </row>
    <row r="13">
      <c r="A13" s="1" t="s">
        <v>55</v>
      </c>
      <c r="B13" s="1" t="s">
        <v>25</v>
      </c>
      <c r="C13" s="1" t="s">
        <v>4</v>
      </c>
      <c r="D13" s="1">
        <v>14100.0</v>
      </c>
      <c r="E13" s="33">
        <v>44621.0</v>
      </c>
      <c r="F13" s="3">
        <v>8.0E7</v>
      </c>
      <c r="G13" s="1">
        <v>20.0</v>
      </c>
      <c r="H13" s="15">
        <v>0.05</v>
      </c>
      <c r="I13" s="26">
        <f t="shared" si="11"/>
        <v>0.004166666667</v>
      </c>
      <c r="J13" s="1">
        <f>YEAR(MR_Fixed_Asset_Register_List!F13) - YEAR(E13)</f>
        <v>3</v>
      </c>
      <c r="K13" s="1">
        <f t="shared" si="12"/>
        <v>36</v>
      </c>
      <c r="L13" s="3">
        <f>MR_Fixed_Asset_Register_List!L13</f>
        <v>67333333.33</v>
      </c>
      <c r="M13" s="3">
        <f t="shared" si="13"/>
        <v>333333.3333</v>
      </c>
      <c r="N13" s="3">
        <f t="shared" si="14"/>
        <v>333333.3333</v>
      </c>
      <c r="O13" s="3">
        <f t="shared" ref="O13:CS13" si="15">IF(YEAR(TODAY())-YEAR($E13)+1&gt;$G13,0,$M13)</f>
        <v>333333.3333</v>
      </c>
      <c r="P13" s="3">
        <f t="shared" si="15"/>
        <v>333333.3333</v>
      </c>
      <c r="Q13" s="3">
        <f t="shared" si="15"/>
        <v>333333.3333</v>
      </c>
      <c r="R13" s="3">
        <f t="shared" si="15"/>
        <v>333333.3333</v>
      </c>
      <c r="S13" s="3">
        <f t="shared" si="15"/>
        <v>333333.3333</v>
      </c>
      <c r="T13" s="3">
        <f t="shared" si="15"/>
        <v>333333.3333</v>
      </c>
      <c r="U13" s="3">
        <f t="shared" si="15"/>
        <v>333333.3333</v>
      </c>
      <c r="V13" s="3">
        <f t="shared" si="15"/>
        <v>333333.3333</v>
      </c>
      <c r="W13" s="3">
        <f t="shared" si="15"/>
        <v>333333.3333</v>
      </c>
      <c r="X13" s="3">
        <f t="shared" si="15"/>
        <v>333333.3333</v>
      </c>
      <c r="Y13" s="3">
        <f t="shared" si="15"/>
        <v>333333.3333</v>
      </c>
      <c r="Z13" s="3">
        <f t="shared" si="15"/>
        <v>333333.3333</v>
      </c>
      <c r="AA13" s="3">
        <f t="shared" si="15"/>
        <v>333333.3333</v>
      </c>
      <c r="AB13" s="3">
        <f t="shared" si="15"/>
        <v>333333.3333</v>
      </c>
      <c r="AC13" s="3">
        <f t="shared" si="15"/>
        <v>333333.3333</v>
      </c>
      <c r="AD13" s="3">
        <f t="shared" si="15"/>
        <v>333333.3333</v>
      </c>
      <c r="AE13" s="3">
        <f t="shared" si="15"/>
        <v>333333.3333</v>
      </c>
      <c r="AF13" s="3">
        <f t="shared" si="15"/>
        <v>333333.3333</v>
      </c>
      <c r="AG13" s="3">
        <f t="shared" si="15"/>
        <v>333333.3333</v>
      </c>
      <c r="AH13" s="3">
        <f t="shared" si="15"/>
        <v>333333.3333</v>
      </c>
      <c r="AI13" s="3">
        <f t="shared" si="15"/>
        <v>333333.3333</v>
      </c>
      <c r="AJ13" s="3">
        <f t="shared" si="15"/>
        <v>333333.3333</v>
      </c>
      <c r="AK13" s="3">
        <f t="shared" si="15"/>
        <v>333333.3333</v>
      </c>
      <c r="AL13" s="3">
        <f t="shared" si="15"/>
        <v>333333.3333</v>
      </c>
      <c r="AM13" s="3">
        <f t="shared" si="15"/>
        <v>333333.3333</v>
      </c>
      <c r="AN13" s="3">
        <f t="shared" si="15"/>
        <v>333333.3333</v>
      </c>
      <c r="AO13" s="3">
        <f t="shared" si="15"/>
        <v>333333.3333</v>
      </c>
      <c r="AP13" s="3">
        <f t="shared" si="15"/>
        <v>333333.3333</v>
      </c>
      <c r="AQ13" s="3">
        <f t="shared" si="15"/>
        <v>333333.3333</v>
      </c>
      <c r="AR13" s="3">
        <f t="shared" si="15"/>
        <v>333333.3333</v>
      </c>
      <c r="AS13" s="3">
        <f t="shared" si="15"/>
        <v>333333.3333</v>
      </c>
      <c r="AT13" s="3">
        <f t="shared" si="15"/>
        <v>333333.3333</v>
      </c>
      <c r="AU13" s="3">
        <f t="shared" si="15"/>
        <v>333333.3333</v>
      </c>
      <c r="AV13" s="3">
        <f t="shared" si="15"/>
        <v>333333.3333</v>
      </c>
      <c r="AW13" s="3">
        <f t="shared" si="15"/>
        <v>333333.3333</v>
      </c>
      <c r="AX13" s="3">
        <f t="shared" si="15"/>
        <v>333333.3333</v>
      </c>
      <c r="AY13" s="3">
        <f t="shared" si="15"/>
        <v>333333.3333</v>
      </c>
      <c r="AZ13" s="3">
        <f t="shared" si="15"/>
        <v>333333.3333</v>
      </c>
      <c r="BA13" s="3">
        <f t="shared" si="15"/>
        <v>333333.3333</v>
      </c>
      <c r="BB13" s="3">
        <f t="shared" si="15"/>
        <v>333333.3333</v>
      </c>
      <c r="BC13" s="3">
        <f t="shared" si="15"/>
        <v>333333.3333</v>
      </c>
      <c r="BD13" s="3">
        <f t="shared" si="15"/>
        <v>333333.3333</v>
      </c>
      <c r="BE13" s="3">
        <f t="shared" si="15"/>
        <v>333333.3333</v>
      </c>
      <c r="BF13" s="3">
        <f t="shared" si="15"/>
        <v>333333.3333</v>
      </c>
      <c r="BG13" s="3">
        <f t="shared" si="15"/>
        <v>333333.3333</v>
      </c>
      <c r="BH13" s="3">
        <f t="shared" si="15"/>
        <v>333333.3333</v>
      </c>
      <c r="BI13" s="3">
        <f t="shared" si="15"/>
        <v>333333.3333</v>
      </c>
      <c r="BJ13" s="3">
        <f t="shared" si="15"/>
        <v>333333.3333</v>
      </c>
      <c r="BK13" s="3">
        <f t="shared" si="15"/>
        <v>333333.3333</v>
      </c>
      <c r="BL13" s="3">
        <f t="shared" si="15"/>
        <v>333333.3333</v>
      </c>
      <c r="BM13" s="3">
        <f t="shared" si="15"/>
        <v>333333.3333</v>
      </c>
      <c r="BN13" s="3">
        <f t="shared" si="15"/>
        <v>333333.3333</v>
      </c>
      <c r="BO13" s="3">
        <f t="shared" si="15"/>
        <v>333333.3333</v>
      </c>
      <c r="BP13" s="3">
        <f t="shared" si="15"/>
        <v>333333.3333</v>
      </c>
      <c r="BQ13" s="3">
        <f t="shared" si="15"/>
        <v>333333.3333</v>
      </c>
      <c r="BR13" s="3">
        <f t="shared" si="15"/>
        <v>333333.3333</v>
      </c>
      <c r="BS13" s="3">
        <f t="shared" si="15"/>
        <v>333333.3333</v>
      </c>
      <c r="BT13" s="3">
        <f t="shared" si="15"/>
        <v>333333.3333</v>
      </c>
      <c r="BU13" s="3">
        <f t="shared" si="15"/>
        <v>333333.3333</v>
      </c>
      <c r="BV13" s="3">
        <f t="shared" si="15"/>
        <v>333333.3333</v>
      </c>
      <c r="BW13" s="3">
        <f t="shared" si="15"/>
        <v>333333.3333</v>
      </c>
      <c r="BX13" s="3">
        <f t="shared" si="15"/>
        <v>333333.3333</v>
      </c>
      <c r="BY13" s="3">
        <f t="shared" si="15"/>
        <v>333333.3333</v>
      </c>
      <c r="BZ13" s="3">
        <f t="shared" si="15"/>
        <v>333333.3333</v>
      </c>
      <c r="CA13" s="3">
        <f t="shared" si="15"/>
        <v>333333.3333</v>
      </c>
      <c r="CB13" s="3">
        <f t="shared" si="15"/>
        <v>333333.3333</v>
      </c>
      <c r="CC13" s="3">
        <f t="shared" si="15"/>
        <v>333333.3333</v>
      </c>
      <c r="CD13" s="3">
        <f t="shared" si="15"/>
        <v>333333.3333</v>
      </c>
      <c r="CE13" s="3">
        <f t="shared" si="15"/>
        <v>333333.3333</v>
      </c>
      <c r="CF13" s="3">
        <f t="shared" si="15"/>
        <v>333333.3333</v>
      </c>
      <c r="CG13" s="3">
        <f t="shared" si="15"/>
        <v>333333.3333</v>
      </c>
      <c r="CH13" s="3">
        <f t="shared" si="15"/>
        <v>333333.3333</v>
      </c>
      <c r="CI13" s="3">
        <f t="shared" si="15"/>
        <v>333333.3333</v>
      </c>
      <c r="CJ13" s="3">
        <f t="shared" si="15"/>
        <v>333333.3333</v>
      </c>
      <c r="CK13" s="3">
        <f t="shared" si="15"/>
        <v>333333.3333</v>
      </c>
      <c r="CL13" s="3">
        <f t="shared" si="15"/>
        <v>333333.3333</v>
      </c>
      <c r="CM13" s="3">
        <f t="shared" si="15"/>
        <v>333333.3333</v>
      </c>
      <c r="CN13" s="3">
        <f t="shared" si="15"/>
        <v>333333.3333</v>
      </c>
      <c r="CO13" s="3">
        <f t="shared" si="15"/>
        <v>333333.3333</v>
      </c>
      <c r="CP13" s="3">
        <f t="shared" si="15"/>
        <v>333333.3333</v>
      </c>
      <c r="CQ13" s="3">
        <f t="shared" si="15"/>
        <v>333333.3333</v>
      </c>
      <c r="CR13" s="3">
        <f t="shared" si="15"/>
        <v>333333.3333</v>
      </c>
      <c r="CS13" s="3">
        <f t="shared" si="15"/>
        <v>333333.3333</v>
      </c>
      <c r="CT13" s="1"/>
    </row>
    <row r="14">
      <c r="A14" s="25" t="s">
        <v>56</v>
      </c>
      <c r="B14" s="25" t="s">
        <v>27</v>
      </c>
      <c r="C14" s="1" t="s">
        <v>4</v>
      </c>
      <c r="D14" s="25">
        <v>14101.0</v>
      </c>
      <c r="E14" s="28">
        <v>44621.0</v>
      </c>
      <c r="F14" s="3">
        <v>3.0E7</v>
      </c>
      <c r="G14" s="25">
        <v>20.0</v>
      </c>
      <c r="H14" s="15">
        <v>0.05</v>
      </c>
      <c r="I14" s="26">
        <f t="shared" si="11"/>
        <v>0.004166666667</v>
      </c>
      <c r="J14" s="1">
        <f>YEAR(MR_Fixed_Asset_Register_List!F14) - YEAR(E14)</f>
        <v>3</v>
      </c>
      <c r="K14" s="1">
        <f t="shared" si="12"/>
        <v>36</v>
      </c>
      <c r="L14" s="3">
        <f>MR_Fixed_Asset_Register_List!L14</f>
        <v>25250000</v>
      </c>
      <c r="M14" s="3">
        <f t="shared" si="13"/>
        <v>125000</v>
      </c>
      <c r="N14" s="3">
        <f t="shared" si="14"/>
        <v>125000</v>
      </c>
      <c r="O14" s="3">
        <f t="shared" ref="O14:CS14" si="16">IF(YEAR(TODAY())-YEAR($E14)+1&gt;$G14,0,$M14)</f>
        <v>125000</v>
      </c>
      <c r="P14" s="3">
        <f t="shared" si="16"/>
        <v>125000</v>
      </c>
      <c r="Q14" s="3">
        <f t="shared" si="16"/>
        <v>125000</v>
      </c>
      <c r="R14" s="3">
        <f t="shared" si="16"/>
        <v>125000</v>
      </c>
      <c r="S14" s="3">
        <f t="shared" si="16"/>
        <v>125000</v>
      </c>
      <c r="T14" s="3">
        <f t="shared" si="16"/>
        <v>125000</v>
      </c>
      <c r="U14" s="3">
        <f t="shared" si="16"/>
        <v>125000</v>
      </c>
      <c r="V14" s="3">
        <f t="shared" si="16"/>
        <v>125000</v>
      </c>
      <c r="W14" s="3">
        <f t="shared" si="16"/>
        <v>125000</v>
      </c>
      <c r="X14" s="3">
        <f t="shared" si="16"/>
        <v>125000</v>
      </c>
      <c r="Y14" s="3">
        <f t="shared" si="16"/>
        <v>125000</v>
      </c>
      <c r="Z14" s="3">
        <f t="shared" si="16"/>
        <v>125000</v>
      </c>
      <c r="AA14" s="3">
        <f t="shared" si="16"/>
        <v>125000</v>
      </c>
      <c r="AB14" s="3">
        <f t="shared" si="16"/>
        <v>125000</v>
      </c>
      <c r="AC14" s="3">
        <f t="shared" si="16"/>
        <v>125000</v>
      </c>
      <c r="AD14" s="3">
        <f t="shared" si="16"/>
        <v>125000</v>
      </c>
      <c r="AE14" s="3">
        <f t="shared" si="16"/>
        <v>125000</v>
      </c>
      <c r="AF14" s="3">
        <f t="shared" si="16"/>
        <v>125000</v>
      </c>
      <c r="AG14" s="3">
        <f t="shared" si="16"/>
        <v>125000</v>
      </c>
      <c r="AH14" s="3">
        <f t="shared" si="16"/>
        <v>125000</v>
      </c>
      <c r="AI14" s="3">
        <f t="shared" si="16"/>
        <v>125000</v>
      </c>
      <c r="AJ14" s="3">
        <f t="shared" si="16"/>
        <v>125000</v>
      </c>
      <c r="AK14" s="3">
        <f t="shared" si="16"/>
        <v>125000</v>
      </c>
      <c r="AL14" s="3">
        <f t="shared" si="16"/>
        <v>125000</v>
      </c>
      <c r="AM14" s="3">
        <f t="shared" si="16"/>
        <v>125000</v>
      </c>
      <c r="AN14" s="3">
        <f t="shared" si="16"/>
        <v>125000</v>
      </c>
      <c r="AO14" s="3">
        <f t="shared" si="16"/>
        <v>125000</v>
      </c>
      <c r="AP14" s="3">
        <f t="shared" si="16"/>
        <v>125000</v>
      </c>
      <c r="AQ14" s="3">
        <f t="shared" si="16"/>
        <v>125000</v>
      </c>
      <c r="AR14" s="3">
        <f t="shared" si="16"/>
        <v>125000</v>
      </c>
      <c r="AS14" s="3">
        <f t="shared" si="16"/>
        <v>125000</v>
      </c>
      <c r="AT14" s="3">
        <f t="shared" si="16"/>
        <v>125000</v>
      </c>
      <c r="AU14" s="3">
        <f t="shared" si="16"/>
        <v>125000</v>
      </c>
      <c r="AV14" s="3">
        <f t="shared" si="16"/>
        <v>125000</v>
      </c>
      <c r="AW14" s="3">
        <f t="shared" si="16"/>
        <v>125000</v>
      </c>
      <c r="AX14" s="3">
        <f t="shared" si="16"/>
        <v>125000</v>
      </c>
      <c r="AY14" s="3">
        <f t="shared" si="16"/>
        <v>125000</v>
      </c>
      <c r="AZ14" s="3">
        <f t="shared" si="16"/>
        <v>125000</v>
      </c>
      <c r="BA14" s="3">
        <f t="shared" si="16"/>
        <v>125000</v>
      </c>
      <c r="BB14" s="3">
        <f t="shared" si="16"/>
        <v>125000</v>
      </c>
      <c r="BC14" s="3">
        <f t="shared" si="16"/>
        <v>125000</v>
      </c>
      <c r="BD14" s="3">
        <f t="shared" si="16"/>
        <v>125000</v>
      </c>
      <c r="BE14" s="3">
        <f t="shared" si="16"/>
        <v>125000</v>
      </c>
      <c r="BF14" s="3">
        <f t="shared" si="16"/>
        <v>125000</v>
      </c>
      <c r="BG14" s="3">
        <f t="shared" si="16"/>
        <v>125000</v>
      </c>
      <c r="BH14" s="3">
        <f t="shared" si="16"/>
        <v>125000</v>
      </c>
      <c r="BI14" s="3">
        <f t="shared" si="16"/>
        <v>125000</v>
      </c>
      <c r="BJ14" s="3">
        <f t="shared" si="16"/>
        <v>125000</v>
      </c>
      <c r="BK14" s="3">
        <f t="shared" si="16"/>
        <v>125000</v>
      </c>
      <c r="BL14" s="3">
        <f t="shared" si="16"/>
        <v>125000</v>
      </c>
      <c r="BM14" s="3">
        <f t="shared" si="16"/>
        <v>125000</v>
      </c>
      <c r="BN14" s="3">
        <f t="shared" si="16"/>
        <v>125000</v>
      </c>
      <c r="BO14" s="3">
        <f t="shared" si="16"/>
        <v>125000</v>
      </c>
      <c r="BP14" s="3">
        <f t="shared" si="16"/>
        <v>125000</v>
      </c>
      <c r="BQ14" s="3">
        <f t="shared" si="16"/>
        <v>125000</v>
      </c>
      <c r="BR14" s="3">
        <f t="shared" si="16"/>
        <v>125000</v>
      </c>
      <c r="BS14" s="3">
        <f t="shared" si="16"/>
        <v>125000</v>
      </c>
      <c r="BT14" s="3">
        <f t="shared" si="16"/>
        <v>125000</v>
      </c>
      <c r="BU14" s="3">
        <f t="shared" si="16"/>
        <v>125000</v>
      </c>
      <c r="BV14" s="3">
        <f t="shared" si="16"/>
        <v>125000</v>
      </c>
      <c r="BW14" s="3">
        <f t="shared" si="16"/>
        <v>125000</v>
      </c>
      <c r="BX14" s="3">
        <f t="shared" si="16"/>
        <v>125000</v>
      </c>
      <c r="BY14" s="3">
        <f t="shared" si="16"/>
        <v>125000</v>
      </c>
      <c r="BZ14" s="3">
        <f t="shared" si="16"/>
        <v>125000</v>
      </c>
      <c r="CA14" s="3">
        <f t="shared" si="16"/>
        <v>125000</v>
      </c>
      <c r="CB14" s="3">
        <f t="shared" si="16"/>
        <v>125000</v>
      </c>
      <c r="CC14" s="3">
        <f t="shared" si="16"/>
        <v>125000</v>
      </c>
      <c r="CD14" s="3">
        <f t="shared" si="16"/>
        <v>125000</v>
      </c>
      <c r="CE14" s="3">
        <f t="shared" si="16"/>
        <v>125000</v>
      </c>
      <c r="CF14" s="3">
        <f t="shared" si="16"/>
        <v>125000</v>
      </c>
      <c r="CG14" s="3">
        <f t="shared" si="16"/>
        <v>125000</v>
      </c>
      <c r="CH14" s="3">
        <f t="shared" si="16"/>
        <v>125000</v>
      </c>
      <c r="CI14" s="3">
        <f t="shared" si="16"/>
        <v>125000</v>
      </c>
      <c r="CJ14" s="3">
        <f t="shared" si="16"/>
        <v>125000</v>
      </c>
      <c r="CK14" s="3">
        <f t="shared" si="16"/>
        <v>125000</v>
      </c>
      <c r="CL14" s="3">
        <f t="shared" si="16"/>
        <v>125000</v>
      </c>
      <c r="CM14" s="3">
        <f t="shared" si="16"/>
        <v>125000</v>
      </c>
      <c r="CN14" s="3">
        <f t="shared" si="16"/>
        <v>125000</v>
      </c>
      <c r="CO14" s="3">
        <f t="shared" si="16"/>
        <v>125000</v>
      </c>
      <c r="CP14" s="3">
        <f t="shared" si="16"/>
        <v>125000</v>
      </c>
      <c r="CQ14" s="3">
        <f t="shared" si="16"/>
        <v>125000</v>
      </c>
      <c r="CR14" s="3">
        <f t="shared" si="16"/>
        <v>125000</v>
      </c>
      <c r="CS14" s="3">
        <f t="shared" si="16"/>
        <v>125000</v>
      </c>
      <c r="CT14" s="25"/>
    </row>
    <row r="15">
      <c r="A15" s="25" t="s">
        <v>57</v>
      </c>
      <c r="B15" s="25" t="s">
        <v>28</v>
      </c>
      <c r="C15" s="1" t="s">
        <v>4</v>
      </c>
      <c r="D15" s="25">
        <v>14102.0</v>
      </c>
      <c r="E15" s="28">
        <v>44621.0</v>
      </c>
      <c r="F15" s="3">
        <v>1.5E7</v>
      </c>
      <c r="G15" s="25">
        <v>20.0</v>
      </c>
      <c r="H15" s="15">
        <v>0.05</v>
      </c>
      <c r="I15" s="26">
        <f t="shared" si="11"/>
        <v>0.004166666667</v>
      </c>
      <c r="J15" s="1">
        <f>YEAR(MR_Fixed_Asset_Register_List!F15) - YEAR(E15)</f>
        <v>3</v>
      </c>
      <c r="K15" s="1">
        <f t="shared" si="12"/>
        <v>36</v>
      </c>
      <c r="L15" s="3">
        <f>MR_Fixed_Asset_Register_List!L15</f>
        <v>12625000</v>
      </c>
      <c r="M15" s="3">
        <f t="shared" si="13"/>
        <v>62500</v>
      </c>
      <c r="N15" s="3">
        <f t="shared" si="14"/>
        <v>62500</v>
      </c>
      <c r="O15" s="3">
        <f t="shared" ref="O15:CS15" si="17">IF(YEAR(TODAY())-YEAR($E15)+1&gt;$G15,0,$M15)</f>
        <v>62500</v>
      </c>
      <c r="P15" s="3">
        <f t="shared" si="17"/>
        <v>62500</v>
      </c>
      <c r="Q15" s="3">
        <f t="shared" si="17"/>
        <v>62500</v>
      </c>
      <c r="R15" s="3">
        <f t="shared" si="17"/>
        <v>62500</v>
      </c>
      <c r="S15" s="3">
        <f t="shared" si="17"/>
        <v>62500</v>
      </c>
      <c r="T15" s="3">
        <f t="shared" si="17"/>
        <v>62500</v>
      </c>
      <c r="U15" s="3">
        <f t="shared" si="17"/>
        <v>62500</v>
      </c>
      <c r="V15" s="3">
        <f t="shared" si="17"/>
        <v>62500</v>
      </c>
      <c r="W15" s="3">
        <f t="shared" si="17"/>
        <v>62500</v>
      </c>
      <c r="X15" s="3">
        <f t="shared" si="17"/>
        <v>62500</v>
      </c>
      <c r="Y15" s="3">
        <f t="shared" si="17"/>
        <v>62500</v>
      </c>
      <c r="Z15" s="3">
        <f t="shared" si="17"/>
        <v>62500</v>
      </c>
      <c r="AA15" s="3">
        <f t="shared" si="17"/>
        <v>62500</v>
      </c>
      <c r="AB15" s="3">
        <f t="shared" si="17"/>
        <v>62500</v>
      </c>
      <c r="AC15" s="3">
        <f t="shared" si="17"/>
        <v>62500</v>
      </c>
      <c r="AD15" s="3">
        <f t="shared" si="17"/>
        <v>62500</v>
      </c>
      <c r="AE15" s="3">
        <f t="shared" si="17"/>
        <v>62500</v>
      </c>
      <c r="AF15" s="3">
        <f t="shared" si="17"/>
        <v>62500</v>
      </c>
      <c r="AG15" s="3">
        <f t="shared" si="17"/>
        <v>62500</v>
      </c>
      <c r="AH15" s="3">
        <f t="shared" si="17"/>
        <v>62500</v>
      </c>
      <c r="AI15" s="3">
        <f t="shared" si="17"/>
        <v>62500</v>
      </c>
      <c r="AJ15" s="3">
        <f t="shared" si="17"/>
        <v>62500</v>
      </c>
      <c r="AK15" s="3">
        <f t="shared" si="17"/>
        <v>62500</v>
      </c>
      <c r="AL15" s="3">
        <f t="shared" si="17"/>
        <v>62500</v>
      </c>
      <c r="AM15" s="3">
        <f t="shared" si="17"/>
        <v>62500</v>
      </c>
      <c r="AN15" s="3">
        <f t="shared" si="17"/>
        <v>62500</v>
      </c>
      <c r="AO15" s="3">
        <f t="shared" si="17"/>
        <v>62500</v>
      </c>
      <c r="AP15" s="3">
        <f t="shared" si="17"/>
        <v>62500</v>
      </c>
      <c r="AQ15" s="3">
        <f t="shared" si="17"/>
        <v>62500</v>
      </c>
      <c r="AR15" s="3">
        <f t="shared" si="17"/>
        <v>62500</v>
      </c>
      <c r="AS15" s="3">
        <f t="shared" si="17"/>
        <v>62500</v>
      </c>
      <c r="AT15" s="3">
        <f t="shared" si="17"/>
        <v>62500</v>
      </c>
      <c r="AU15" s="3">
        <f t="shared" si="17"/>
        <v>62500</v>
      </c>
      <c r="AV15" s="3">
        <f t="shared" si="17"/>
        <v>62500</v>
      </c>
      <c r="AW15" s="3">
        <f t="shared" si="17"/>
        <v>62500</v>
      </c>
      <c r="AX15" s="3">
        <f t="shared" si="17"/>
        <v>62500</v>
      </c>
      <c r="AY15" s="3">
        <f t="shared" si="17"/>
        <v>62500</v>
      </c>
      <c r="AZ15" s="3">
        <f t="shared" si="17"/>
        <v>62500</v>
      </c>
      <c r="BA15" s="3">
        <f t="shared" si="17"/>
        <v>62500</v>
      </c>
      <c r="BB15" s="3">
        <f t="shared" si="17"/>
        <v>62500</v>
      </c>
      <c r="BC15" s="3">
        <f t="shared" si="17"/>
        <v>62500</v>
      </c>
      <c r="BD15" s="3">
        <f t="shared" si="17"/>
        <v>62500</v>
      </c>
      <c r="BE15" s="3">
        <f t="shared" si="17"/>
        <v>62500</v>
      </c>
      <c r="BF15" s="3">
        <f t="shared" si="17"/>
        <v>62500</v>
      </c>
      <c r="BG15" s="3">
        <f t="shared" si="17"/>
        <v>62500</v>
      </c>
      <c r="BH15" s="3">
        <f t="shared" si="17"/>
        <v>62500</v>
      </c>
      <c r="BI15" s="3">
        <f t="shared" si="17"/>
        <v>62500</v>
      </c>
      <c r="BJ15" s="3">
        <f t="shared" si="17"/>
        <v>62500</v>
      </c>
      <c r="BK15" s="3">
        <f t="shared" si="17"/>
        <v>62500</v>
      </c>
      <c r="BL15" s="3">
        <f t="shared" si="17"/>
        <v>62500</v>
      </c>
      <c r="BM15" s="3">
        <f t="shared" si="17"/>
        <v>62500</v>
      </c>
      <c r="BN15" s="3">
        <f t="shared" si="17"/>
        <v>62500</v>
      </c>
      <c r="BO15" s="3">
        <f t="shared" si="17"/>
        <v>62500</v>
      </c>
      <c r="BP15" s="3">
        <f t="shared" si="17"/>
        <v>62500</v>
      </c>
      <c r="BQ15" s="3">
        <f t="shared" si="17"/>
        <v>62500</v>
      </c>
      <c r="BR15" s="3">
        <f t="shared" si="17"/>
        <v>62500</v>
      </c>
      <c r="BS15" s="3">
        <f t="shared" si="17"/>
        <v>62500</v>
      </c>
      <c r="BT15" s="3">
        <f t="shared" si="17"/>
        <v>62500</v>
      </c>
      <c r="BU15" s="3">
        <f t="shared" si="17"/>
        <v>62500</v>
      </c>
      <c r="BV15" s="3">
        <f t="shared" si="17"/>
        <v>62500</v>
      </c>
      <c r="BW15" s="3">
        <f t="shared" si="17"/>
        <v>62500</v>
      </c>
      <c r="BX15" s="3">
        <f t="shared" si="17"/>
        <v>62500</v>
      </c>
      <c r="BY15" s="3">
        <f t="shared" si="17"/>
        <v>62500</v>
      </c>
      <c r="BZ15" s="3">
        <f t="shared" si="17"/>
        <v>62500</v>
      </c>
      <c r="CA15" s="3">
        <f t="shared" si="17"/>
        <v>62500</v>
      </c>
      <c r="CB15" s="3">
        <f t="shared" si="17"/>
        <v>62500</v>
      </c>
      <c r="CC15" s="3">
        <f t="shared" si="17"/>
        <v>62500</v>
      </c>
      <c r="CD15" s="3">
        <f t="shared" si="17"/>
        <v>62500</v>
      </c>
      <c r="CE15" s="3">
        <f t="shared" si="17"/>
        <v>62500</v>
      </c>
      <c r="CF15" s="3">
        <f t="shared" si="17"/>
        <v>62500</v>
      </c>
      <c r="CG15" s="3">
        <f t="shared" si="17"/>
        <v>62500</v>
      </c>
      <c r="CH15" s="3">
        <f t="shared" si="17"/>
        <v>62500</v>
      </c>
      <c r="CI15" s="3">
        <f t="shared" si="17"/>
        <v>62500</v>
      </c>
      <c r="CJ15" s="3">
        <f t="shared" si="17"/>
        <v>62500</v>
      </c>
      <c r="CK15" s="3">
        <f t="shared" si="17"/>
        <v>62500</v>
      </c>
      <c r="CL15" s="3">
        <f t="shared" si="17"/>
        <v>62500</v>
      </c>
      <c r="CM15" s="3">
        <f t="shared" si="17"/>
        <v>62500</v>
      </c>
      <c r="CN15" s="3">
        <f t="shared" si="17"/>
        <v>62500</v>
      </c>
      <c r="CO15" s="3">
        <f t="shared" si="17"/>
        <v>62500</v>
      </c>
      <c r="CP15" s="3">
        <f t="shared" si="17"/>
        <v>62500</v>
      </c>
      <c r="CQ15" s="3">
        <f t="shared" si="17"/>
        <v>62500</v>
      </c>
      <c r="CR15" s="3">
        <f t="shared" si="17"/>
        <v>62500</v>
      </c>
      <c r="CS15" s="3">
        <f t="shared" si="17"/>
        <v>62500</v>
      </c>
      <c r="CT15" s="25"/>
    </row>
    <row r="16">
      <c r="A16" s="25" t="s">
        <v>58</v>
      </c>
      <c r="B16" s="25" t="s">
        <v>29</v>
      </c>
      <c r="C16" s="1" t="s">
        <v>4</v>
      </c>
      <c r="D16" s="25">
        <v>14103.0</v>
      </c>
      <c r="E16" s="28">
        <v>44621.0</v>
      </c>
      <c r="F16" s="3">
        <v>8000000.0</v>
      </c>
      <c r="G16" s="25">
        <v>20.0</v>
      </c>
      <c r="H16" s="15">
        <v>0.05</v>
      </c>
      <c r="I16" s="26">
        <f t="shared" si="11"/>
        <v>0.004166666667</v>
      </c>
      <c r="J16" s="1">
        <f>YEAR(MR_Fixed_Asset_Register_List!F16) - YEAR(E16)</f>
        <v>3</v>
      </c>
      <c r="K16" s="1">
        <f t="shared" si="12"/>
        <v>36</v>
      </c>
      <c r="L16" s="3">
        <f>MR_Fixed_Asset_Register_List!L16</f>
        <v>6733333.333</v>
      </c>
      <c r="M16" s="3">
        <f t="shared" si="13"/>
        <v>33333.33333</v>
      </c>
      <c r="N16" s="3">
        <f t="shared" si="14"/>
        <v>33333.33333</v>
      </c>
      <c r="O16" s="3">
        <f t="shared" ref="O16:CS16" si="18">IF(YEAR(TODAY())-YEAR($E16)+1&gt;$G16,0,$M16)</f>
        <v>33333.33333</v>
      </c>
      <c r="P16" s="3">
        <f t="shared" si="18"/>
        <v>33333.33333</v>
      </c>
      <c r="Q16" s="3">
        <f t="shared" si="18"/>
        <v>33333.33333</v>
      </c>
      <c r="R16" s="3">
        <f t="shared" si="18"/>
        <v>33333.33333</v>
      </c>
      <c r="S16" s="3">
        <f t="shared" si="18"/>
        <v>33333.33333</v>
      </c>
      <c r="T16" s="3">
        <f t="shared" si="18"/>
        <v>33333.33333</v>
      </c>
      <c r="U16" s="3">
        <f t="shared" si="18"/>
        <v>33333.33333</v>
      </c>
      <c r="V16" s="3">
        <f t="shared" si="18"/>
        <v>33333.33333</v>
      </c>
      <c r="W16" s="3">
        <f t="shared" si="18"/>
        <v>33333.33333</v>
      </c>
      <c r="X16" s="3">
        <f t="shared" si="18"/>
        <v>33333.33333</v>
      </c>
      <c r="Y16" s="3">
        <f t="shared" si="18"/>
        <v>33333.33333</v>
      </c>
      <c r="Z16" s="3">
        <f t="shared" si="18"/>
        <v>33333.33333</v>
      </c>
      <c r="AA16" s="3">
        <f t="shared" si="18"/>
        <v>33333.33333</v>
      </c>
      <c r="AB16" s="3">
        <f t="shared" si="18"/>
        <v>33333.33333</v>
      </c>
      <c r="AC16" s="3">
        <f t="shared" si="18"/>
        <v>33333.33333</v>
      </c>
      <c r="AD16" s="3">
        <f t="shared" si="18"/>
        <v>33333.33333</v>
      </c>
      <c r="AE16" s="3">
        <f t="shared" si="18"/>
        <v>33333.33333</v>
      </c>
      <c r="AF16" s="3">
        <f t="shared" si="18"/>
        <v>33333.33333</v>
      </c>
      <c r="AG16" s="3">
        <f t="shared" si="18"/>
        <v>33333.33333</v>
      </c>
      <c r="AH16" s="3">
        <f t="shared" si="18"/>
        <v>33333.33333</v>
      </c>
      <c r="AI16" s="3">
        <f t="shared" si="18"/>
        <v>33333.33333</v>
      </c>
      <c r="AJ16" s="3">
        <f t="shared" si="18"/>
        <v>33333.33333</v>
      </c>
      <c r="AK16" s="3">
        <f t="shared" si="18"/>
        <v>33333.33333</v>
      </c>
      <c r="AL16" s="3">
        <f t="shared" si="18"/>
        <v>33333.33333</v>
      </c>
      <c r="AM16" s="3">
        <f t="shared" si="18"/>
        <v>33333.33333</v>
      </c>
      <c r="AN16" s="3">
        <f t="shared" si="18"/>
        <v>33333.33333</v>
      </c>
      <c r="AO16" s="3">
        <f t="shared" si="18"/>
        <v>33333.33333</v>
      </c>
      <c r="AP16" s="3">
        <f t="shared" si="18"/>
        <v>33333.33333</v>
      </c>
      <c r="AQ16" s="3">
        <f t="shared" si="18"/>
        <v>33333.33333</v>
      </c>
      <c r="AR16" s="3">
        <f t="shared" si="18"/>
        <v>33333.33333</v>
      </c>
      <c r="AS16" s="3">
        <f t="shared" si="18"/>
        <v>33333.33333</v>
      </c>
      <c r="AT16" s="3">
        <f t="shared" si="18"/>
        <v>33333.33333</v>
      </c>
      <c r="AU16" s="3">
        <f t="shared" si="18"/>
        <v>33333.33333</v>
      </c>
      <c r="AV16" s="3">
        <f t="shared" si="18"/>
        <v>33333.33333</v>
      </c>
      <c r="AW16" s="3">
        <f t="shared" si="18"/>
        <v>33333.33333</v>
      </c>
      <c r="AX16" s="3">
        <f t="shared" si="18"/>
        <v>33333.33333</v>
      </c>
      <c r="AY16" s="3">
        <f t="shared" si="18"/>
        <v>33333.33333</v>
      </c>
      <c r="AZ16" s="3">
        <f t="shared" si="18"/>
        <v>33333.33333</v>
      </c>
      <c r="BA16" s="3">
        <f t="shared" si="18"/>
        <v>33333.33333</v>
      </c>
      <c r="BB16" s="3">
        <f t="shared" si="18"/>
        <v>33333.33333</v>
      </c>
      <c r="BC16" s="3">
        <f t="shared" si="18"/>
        <v>33333.33333</v>
      </c>
      <c r="BD16" s="3">
        <f t="shared" si="18"/>
        <v>33333.33333</v>
      </c>
      <c r="BE16" s="3">
        <f t="shared" si="18"/>
        <v>33333.33333</v>
      </c>
      <c r="BF16" s="3">
        <f t="shared" si="18"/>
        <v>33333.33333</v>
      </c>
      <c r="BG16" s="3">
        <f t="shared" si="18"/>
        <v>33333.33333</v>
      </c>
      <c r="BH16" s="3">
        <f t="shared" si="18"/>
        <v>33333.33333</v>
      </c>
      <c r="BI16" s="3">
        <f t="shared" si="18"/>
        <v>33333.33333</v>
      </c>
      <c r="BJ16" s="3">
        <f t="shared" si="18"/>
        <v>33333.33333</v>
      </c>
      <c r="BK16" s="3">
        <f t="shared" si="18"/>
        <v>33333.33333</v>
      </c>
      <c r="BL16" s="3">
        <f t="shared" si="18"/>
        <v>33333.33333</v>
      </c>
      <c r="BM16" s="3">
        <f t="shared" si="18"/>
        <v>33333.33333</v>
      </c>
      <c r="BN16" s="3">
        <f t="shared" si="18"/>
        <v>33333.33333</v>
      </c>
      <c r="BO16" s="3">
        <f t="shared" si="18"/>
        <v>33333.33333</v>
      </c>
      <c r="BP16" s="3">
        <f t="shared" si="18"/>
        <v>33333.33333</v>
      </c>
      <c r="BQ16" s="3">
        <f t="shared" si="18"/>
        <v>33333.33333</v>
      </c>
      <c r="BR16" s="3">
        <f t="shared" si="18"/>
        <v>33333.33333</v>
      </c>
      <c r="BS16" s="3">
        <f t="shared" si="18"/>
        <v>33333.33333</v>
      </c>
      <c r="BT16" s="3">
        <f t="shared" si="18"/>
        <v>33333.33333</v>
      </c>
      <c r="BU16" s="3">
        <f t="shared" si="18"/>
        <v>33333.33333</v>
      </c>
      <c r="BV16" s="3">
        <f t="shared" si="18"/>
        <v>33333.33333</v>
      </c>
      <c r="BW16" s="3">
        <f t="shared" si="18"/>
        <v>33333.33333</v>
      </c>
      <c r="BX16" s="3">
        <f t="shared" si="18"/>
        <v>33333.33333</v>
      </c>
      <c r="BY16" s="3">
        <f t="shared" si="18"/>
        <v>33333.33333</v>
      </c>
      <c r="BZ16" s="3">
        <f t="shared" si="18"/>
        <v>33333.33333</v>
      </c>
      <c r="CA16" s="3">
        <f t="shared" si="18"/>
        <v>33333.33333</v>
      </c>
      <c r="CB16" s="3">
        <f t="shared" si="18"/>
        <v>33333.33333</v>
      </c>
      <c r="CC16" s="3">
        <f t="shared" si="18"/>
        <v>33333.33333</v>
      </c>
      <c r="CD16" s="3">
        <f t="shared" si="18"/>
        <v>33333.33333</v>
      </c>
      <c r="CE16" s="3">
        <f t="shared" si="18"/>
        <v>33333.33333</v>
      </c>
      <c r="CF16" s="3">
        <f t="shared" si="18"/>
        <v>33333.33333</v>
      </c>
      <c r="CG16" s="3">
        <f t="shared" si="18"/>
        <v>33333.33333</v>
      </c>
      <c r="CH16" s="3">
        <f t="shared" si="18"/>
        <v>33333.33333</v>
      </c>
      <c r="CI16" s="3">
        <f t="shared" si="18"/>
        <v>33333.33333</v>
      </c>
      <c r="CJ16" s="3">
        <f t="shared" si="18"/>
        <v>33333.33333</v>
      </c>
      <c r="CK16" s="3">
        <f t="shared" si="18"/>
        <v>33333.33333</v>
      </c>
      <c r="CL16" s="3">
        <f t="shared" si="18"/>
        <v>33333.33333</v>
      </c>
      <c r="CM16" s="3">
        <f t="shared" si="18"/>
        <v>33333.33333</v>
      </c>
      <c r="CN16" s="3">
        <f t="shared" si="18"/>
        <v>33333.33333</v>
      </c>
      <c r="CO16" s="3">
        <f t="shared" si="18"/>
        <v>33333.33333</v>
      </c>
      <c r="CP16" s="3">
        <f t="shared" si="18"/>
        <v>33333.33333</v>
      </c>
      <c r="CQ16" s="3">
        <f t="shared" si="18"/>
        <v>33333.33333</v>
      </c>
      <c r="CR16" s="3">
        <f t="shared" si="18"/>
        <v>33333.33333</v>
      </c>
      <c r="CS16" s="3">
        <f t="shared" si="18"/>
        <v>33333.33333</v>
      </c>
      <c r="CT16" s="25"/>
    </row>
    <row r="17">
      <c r="A17" s="34" t="s">
        <v>59</v>
      </c>
      <c r="B17" s="34" t="s">
        <v>30</v>
      </c>
      <c r="C17" s="17" t="s">
        <v>5</v>
      </c>
      <c r="D17" s="34">
        <v>14200.0</v>
      </c>
      <c r="E17" s="35">
        <v>44621.0</v>
      </c>
      <c r="F17" s="20">
        <v>1.48E7</v>
      </c>
      <c r="G17" s="34">
        <v>5.0</v>
      </c>
      <c r="H17" s="21">
        <v>0.4</v>
      </c>
      <c r="I17" s="21">
        <f t="shared" si="11"/>
        <v>0.03333333333</v>
      </c>
      <c r="J17" s="17">
        <f>YEAR(MR_Fixed_Asset_Register_List!F17) - YEAR(E17)</f>
        <v>3</v>
      </c>
      <c r="K17" s="17">
        <f t="shared" si="12"/>
        <v>36</v>
      </c>
      <c r="L17" s="20">
        <f>MR_Fixed_Asset_Register_List!L17</f>
        <v>11894266.67</v>
      </c>
      <c r="M17" s="36"/>
      <c r="N17" s="20">
        <f t="shared" ref="N17:N30" si="19">L17*$I17</f>
        <v>396475.5556</v>
      </c>
      <c r="O17" s="20">
        <f>MR_Fixed_Asset_Register_List!O17*$I17</f>
        <v>383259.7037</v>
      </c>
      <c r="P17" s="20">
        <f>MR_Fixed_Asset_Register_List!P17*$I17</f>
        <v>370484.3802</v>
      </c>
      <c r="Q17" s="20">
        <f>MR_Fixed_Asset_Register_List!Q17*$I17</f>
        <v>358134.9009</v>
      </c>
      <c r="R17" s="20">
        <f>MR_Fixed_Asset_Register_List!R17*$I17</f>
        <v>346197.0709</v>
      </c>
      <c r="S17" s="20">
        <f>MR_Fixed_Asset_Register_List!S17*$I17</f>
        <v>334657.1685</v>
      </c>
      <c r="T17" s="20">
        <f>MR_Fixed_Asset_Register_List!T17*$I17</f>
        <v>323501.9296</v>
      </c>
      <c r="U17" s="20">
        <f>MR_Fixed_Asset_Register_List!U17*$I17</f>
        <v>312718.5319</v>
      </c>
      <c r="V17" s="20">
        <f>MR_Fixed_Asset_Register_List!V17*$I17</f>
        <v>302294.5808</v>
      </c>
      <c r="W17" s="20">
        <f>MR_Fixed_Asset_Register_List!W17*$I17</f>
        <v>292218.0948</v>
      </c>
      <c r="X17" s="20">
        <f>MR_Fixed_Asset_Register_List!X17*$I17</f>
        <v>0</v>
      </c>
      <c r="Y17" s="20">
        <f>MR_Fixed_Asset_Register_List!Y17*$I17</f>
        <v>0</v>
      </c>
      <c r="Z17" s="20">
        <f>MR_Fixed_Asset_Register_List!Z17*$I17</f>
        <v>0</v>
      </c>
      <c r="AA17" s="20">
        <f>MR_Fixed_Asset_Register_List!AA17*$I17</f>
        <v>0</v>
      </c>
      <c r="AB17" s="20">
        <f>MR_Fixed_Asset_Register_List!AB17*$I17</f>
        <v>0</v>
      </c>
      <c r="AC17" s="20">
        <f>MR_Fixed_Asset_Register_List!AC17*$I17</f>
        <v>0</v>
      </c>
      <c r="AD17" s="20">
        <f>MR_Fixed_Asset_Register_List!AD17*$I17</f>
        <v>0</v>
      </c>
      <c r="AE17" s="20">
        <f>MR_Fixed_Asset_Register_List!AE17*$I17</f>
        <v>0</v>
      </c>
      <c r="AF17" s="20">
        <f>MR_Fixed_Asset_Register_List!AF17*$I17</f>
        <v>0</v>
      </c>
      <c r="AG17" s="20">
        <f>MR_Fixed_Asset_Register_List!AG17*$I17</f>
        <v>0</v>
      </c>
      <c r="AH17" s="20">
        <f>MR_Fixed_Asset_Register_List!AH17*$I17</f>
        <v>0</v>
      </c>
      <c r="AI17" s="20">
        <f>MR_Fixed_Asset_Register_List!AI17*$I17</f>
        <v>0</v>
      </c>
      <c r="AJ17" s="20">
        <f>MR_Fixed_Asset_Register_List!AJ17*$I17</f>
        <v>0</v>
      </c>
      <c r="AK17" s="20">
        <f>MR_Fixed_Asset_Register_List!AK17*$I17</f>
        <v>0</v>
      </c>
      <c r="AL17" s="20">
        <f>MR_Fixed_Asset_Register_List!AL17*$I17</f>
        <v>0</v>
      </c>
      <c r="AM17" s="20">
        <f>MR_Fixed_Asset_Register_List!AM17*$I17</f>
        <v>0</v>
      </c>
      <c r="AN17" s="20">
        <f>MR_Fixed_Asset_Register_List!AN17*$I17</f>
        <v>0</v>
      </c>
      <c r="AO17" s="20">
        <f>MR_Fixed_Asset_Register_List!AO17*$I17</f>
        <v>0</v>
      </c>
      <c r="AP17" s="20">
        <f>MR_Fixed_Asset_Register_List!AP17*$I17</f>
        <v>0</v>
      </c>
      <c r="AQ17" s="20">
        <f>MR_Fixed_Asset_Register_List!AQ17*$I17</f>
        <v>0</v>
      </c>
      <c r="AR17" s="20">
        <f>MR_Fixed_Asset_Register_List!AR17*$I17</f>
        <v>0</v>
      </c>
      <c r="AS17" s="20">
        <f>MR_Fixed_Asset_Register_List!AS17*$I17</f>
        <v>0</v>
      </c>
      <c r="AT17" s="20">
        <f>MR_Fixed_Asset_Register_List!AT17*$I17</f>
        <v>0</v>
      </c>
      <c r="AU17" s="20">
        <f>MR_Fixed_Asset_Register_List!AU17*$I17</f>
        <v>0</v>
      </c>
      <c r="AV17" s="20">
        <f>MR_Fixed_Asset_Register_List!AV17*$I17</f>
        <v>0</v>
      </c>
      <c r="AW17" s="20">
        <f>MR_Fixed_Asset_Register_List!AW17*$I17</f>
        <v>0</v>
      </c>
      <c r="AX17" s="20">
        <f>MR_Fixed_Asset_Register_List!AX17*$I17</f>
        <v>0</v>
      </c>
      <c r="AY17" s="20">
        <f>MR_Fixed_Asset_Register_List!AY17*$I17</f>
        <v>0</v>
      </c>
      <c r="AZ17" s="20">
        <f>MR_Fixed_Asset_Register_List!AZ17*$I17</f>
        <v>0</v>
      </c>
      <c r="BA17" s="20">
        <f>MR_Fixed_Asset_Register_List!BA17*$I17</f>
        <v>0</v>
      </c>
      <c r="BB17" s="20">
        <f>MR_Fixed_Asset_Register_List!BB17*$I17</f>
        <v>0</v>
      </c>
      <c r="BC17" s="20">
        <f>MR_Fixed_Asset_Register_List!BC17*$I17</f>
        <v>0</v>
      </c>
      <c r="BD17" s="20">
        <f>MR_Fixed_Asset_Register_List!BD17*$I17</f>
        <v>0</v>
      </c>
      <c r="BE17" s="20">
        <f>MR_Fixed_Asset_Register_List!BE17*$I17</f>
        <v>0</v>
      </c>
      <c r="BF17" s="20">
        <f>MR_Fixed_Asset_Register_List!BF17*$I17</f>
        <v>0</v>
      </c>
      <c r="BG17" s="20">
        <f>MR_Fixed_Asset_Register_List!BG17*$I17</f>
        <v>0</v>
      </c>
      <c r="BH17" s="20">
        <f>MR_Fixed_Asset_Register_List!BH17*$I17</f>
        <v>0</v>
      </c>
      <c r="BI17" s="20">
        <f>MR_Fixed_Asset_Register_List!BI17*$I17</f>
        <v>0</v>
      </c>
      <c r="BJ17" s="20">
        <f>MR_Fixed_Asset_Register_List!BJ17*$I17</f>
        <v>0</v>
      </c>
      <c r="BK17" s="20">
        <f>MR_Fixed_Asset_Register_List!BK17*$I17</f>
        <v>0</v>
      </c>
      <c r="BL17" s="20">
        <f>MR_Fixed_Asset_Register_List!BL17*$I17</f>
        <v>0</v>
      </c>
      <c r="BM17" s="20">
        <f>MR_Fixed_Asset_Register_List!BM17*$I17</f>
        <v>0</v>
      </c>
      <c r="BN17" s="20">
        <f>MR_Fixed_Asset_Register_List!BN17*$I17</f>
        <v>0</v>
      </c>
      <c r="BO17" s="20">
        <f>MR_Fixed_Asset_Register_List!BO17*$I17</f>
        <v>0</v>
      </c>
      <c r="BP17" s="20">
        <f>MR_Fixed_Asset_Register_List!BP17*$I17</f>
        <v>0</v>
      </c>
      <c r="BQ17" s="20">
        <f>MR_Fixed_Asset_Register_List!BQ17*$I17</f>
        <v>0</v>
      </c>
      <c r="BR17" s="20">
        <f>MR_Fixed_Asset_Register_List!BR17*$I17</f>
        <v>0</v>
      </c>
      <c r="BS17" s="20">
        <f>MR_Fixed_Asset_Register_List!BS17*$I17</f>
        <v>0</v>
      </c>
      <c r="BT17" s="20">
        <f>MR_Fixed_Asset_Register_List!BT17*$I17</f>
        <v>0</v>
      </c>
      <c r="BU17" s="20">
        <f>MR_Fixed_Asset_Register_List!BU17*$I17</f>
        <v>0</v>
      </c>
      <c r="BV17" s="20">
        <f>MR_Fixed_Asset_Register_List!BV17*$I17</f>
        <v>0</v>
      </c>
      <c r="BW17" s="20">
        <f>MR_Fixed_Asset_Register_List!BW17*$I17</f>
        <v>0</v>
      </c>
      <c r="BX17" s="20">
        <f>MR_Fixed_Asset_Register_List!BX17*$I17</f>
        <v>0</v>
      </c>
      <c r="BY17" s="20">
        <f>MR_Fixed_Asset_Register_List!BY17*$I17</f>
        <v>0</v>
      </c>
      <c r="BZ17" s="20">
        <f>MR_Fixed_Asset_Register_List!BZ17*$I17</f>
        <v>0</v>
      </c>
      <c r="CA17" s="20">
        <f>MR_Fixed_Asset_Register_List!CA17*$I17</f>
        <v>0</v>
      </c>
      <c r="CB17" s="20">
        <f>MR_Fixed_Asset_Register_List!CB17*$I17</f>
        <v>0</v>
      </c>
      <c r="CC17" s="20">
        <f>MR_Fixed_Asset_Register_List!CC17*$I17</f>
        <v>0</v>
      </c>
      <c r="CD17" s="20">
        <f>MR_Fixed_Asset_Register_List!CD17*$I17</f>
        <v>0</v>
      </c>
      <c r="CE17" s="20">
        <f>MR_Fixed_Asset_Register_List!CE17*$I17</f>
        <v>0</v>
      </c>
      <c r="CF17" s="20">
        <f>MR_Fixed_Asset_Register_List!CF17*$I17</f>
        <v>0</v>
      </c>
      <c r="CG17" s="20">
        <f>MR_Fixed_Asset_Register_List!CG17*$I17</f>
        <v>0</v>
      </c>
      <c r="CH17" s="20">
        <f>MR_Fixed_Asset_Register_List!CH17*$I17</f>
        <v>0</v>
      </c>
      <c r="CI17" s="20">
        <f>MR_Fixed_Asset_Register_List!CI17*$I17</f>
        <v>0</v>
      </c>
      <c r="CJ17" s="20">
        <f>MR_Fixed_Asset_Register_List!CJ17*$I17</f>
        <v>0</v>
      </c>
      <c r="CK17" s="20">
        <f>MR_Fixed_Asset_Register_List!CK17*$I17</f>
        <v>0</v>
      </c>
      <c r="CL17" s="20">
        <f>MR_Fixed_Asset_Register_List!CL17*$I17</f>
        <v>0</v>
      </c>
      <c r="CM17" s="20">
        <f>MR_Fixed_Asset_Register_List!CM17*$I17</f>
        <v>0</v>
      </c>
      <c r="CN17" s="20">
        <f>MR_Fixed_Asset_Register_List!CN17*$I17</f>
        <v>0</v>
      </c>
      <c r="CO17" s="20">
        <f>MR_Fixed_Asset_Register_List!CO17*$I17</f>
        <v>0</v>
      </c>
      <c r="CP17" s="20">
        <f>MR_Fixed_Asset_Register_List!CP17*$I17</f>
        <v>0</v>
      </c>
      <c r="CQ17" s="20">
        <f>MR_Fixed_Asset_Register_List!CQ17*$I17</f>
        <v>0</v>
      </c>
      <c r="CR17" s="20">
        <f>MR_Fixed_Asset_Register_List!CR17*$I17</f>
        <v>0</v>
      </c>
      <c r="CS17" s="20">
        <f>MR_Fixed_Asset_Register_List!CS17*$I17</f>
        <v>0</v>
      </c>
      <c r="CT17" s="34"/>
    </row>
    <row r="18">
      <c r="A18" s="25" t="s">
        <v>60</v>
      </c>
      <c r="B18" s="25" t="s">
        <v>32</v>
      </c>
      <c r="C18" s="1" t="s">
        <v>7</v>
      </c>
      <c r="D18" s="25">
        <v>14201.0</v>
      </c>
      <c r="E18" s="28">
        <v>44621.0</v>
      </c>
      <c r="F18" s="3">
        <v>2000000.0</v>
      </c>
      <c r="G18" s="25">
        <v>5.0</v>
      </c>
      <c r="H18" s="26">
        <v>0.4</v>
      </c>
      <c r="I18" s="26">
        <f t="shared" si="11"/>
        <v>0.03333333333</v>
      </c>
      <c r="J18" s="1">
        <f>YEAR(MR_Fixed_Asset_Register_List!F18) - YEAR(E18)</f>
        <v>3</v>
      </c>
      <c r="K18" s="1">
        <f t="shared" si="12"/>
        <v>36</v>
      </c>
      <c r="L18" s="3">
        <f>MR_Fixed_Asset_Register_List!L18</f>
        <v>1366666.667</v>
      </c>
      <c r="M18" s="37"/>
      <c r="N18" s="3">
        <f t="shared" si="19"/>
        <v>45555.55556</v>
      </c>
      <c r="O18" s="3">
        <f>MR_Fixed_Asset_Register_List!O18*$I18</f>
        <v>44037.03704</v>
      </c>
      <c r="P18" s="3">
        <f>MR_Fixed_Asset_Register_List!P18*$I18</f>
        <v>42569.1358</v>
      </c>
      <c r="Q18" s="3">
        <f>MR_Fixed_Asset_Register_List!Q18*$I18</f>
        <v>41150.16461</v>
      </c>
      <c r="R18" s="3">
        <f>MR_Fixed_Asset_Register_List!R18*$I18</f>
        <v>39778.49246</v>
      </c>
      <c r="S18" s="3">
        <f>MR_Fixed_Asset_Register_List!S18*$I18</f>
        <v>38452.54271</v>
      </c>
      <c r="T18" s="3">
        <f>MR_Fixed_Asset_Register_List!T18*$I18</f>
        <v>37170.79128</v>
      </c>
      <c r="U18" s="3">
        <f>MR_Fixed_Asset_Register_List!U18*$I18</f>
        <v>35931.76491</v>
      </c>
      <c r="V18" s="3">
        <f>MR_Fixed_Asset_Register_List!V18*$I18</f>
        <v>34734.03941</v>
      </c>
      <c r="W18" s="3">
        <f>MR_Fixed_Asset_Register_List!W18*$I18</f>
        <v>33576.2381</v>
      </c>
      <c r="X18" s="3">
        <f>MR_Fixed_Asset_Register_List!X18*$I18</f>
        <v>0</v>
      </c>
      <c r="Y18" s="3">
        <f>MR_Fixed_Asset_Register_List!Y18*$I18</f>
        <v>0</v>
      </c>
      <c r="Z18" s="3">
        <f>MR_Fixed_Asset_Register_List!Z18*$I18</f>
        <v>0</v>
      </c>
      <c r="AA18" s="3">
        <f>MR_Fixed_Asset_Register_List!AA18*$I18</f>
        <v>0</v>
      </c>
      <c r="AB18" s="3">
        <f>MR_Fixed_Asset_Register_List!AB18*$I18</f>
        <v>0</v>
      </c>
      <c r="AC18" s="3">
        <f>MR_Fixed_Asset_Register_List!AC18*$I18</f>
        <v>0</v>
      </c>
      <c r="AD18" s="3">
        <f>MR_Fixed_Asset_Register_List!AD18*$I18</f>
        <v>0</v>
      </c>
      <c r="AE18" s="3">
        <f>MR_Fixed_Asset_Register_List!AE18*$I18</f>
        <v>0</v>
      </c>
      <c r="AF18" s="3">
        <f>MR_Fixed_Asset_Register_List!AF18*$I18</f>
        <v>0</v>
      </c>
      <c r="AG18" s="3">
        <f>MR_Fixed_Asset_Register_List!AG18*$I18</f>
        <v>0</v>
      </c>
      <c r="AH18" s="3">
        <f>MR_Fixed_Asset_Register_List!AH18*$I18</f>
        <v>0</v>
      </c>
      <c r="AI18" s="3">
        <f>MR_Fixed_Asset_Register_List!AI18*$I18</f>
        <v>0</v>
      </c>
      <c r="AJ18" s="3">
        <f>MR_Fixed_Asset_Register_List!AJ18*$I18</f>
        <v>0</v>
      </c>
      <c r="AK18" s="3">
        <f>MR_Fixed_Asset_Register_List!AK18*$I18</f>
        <v>0</v>
      </c>
      <c r="AL18" s="3">
        <f>MR_Fixed_Asset_Register_List!AL18*$I18</f>
        <v>0</v>
      </c>
      <c r="AM18" s="3">
        <f>MR_Fixed_Asset_Register_List!AM18*$I18</f>
        <v>0</v>
      </c>
      <c r="AN18" s="3">
        <f>MR_Fixed_Asset_Register_List!AN18*$I18</f>
        <v>0</v>
      </c>
      <c r="AO18" s="3">
        <f>MR_Fixed_Asset_Register_List!AO18*$I18</f>
        <v>0</v>
      </c>
      <c r="AP18" s="3">
        <f>MR_Fixed_Asset_Register_List!AP18*$I18</f>
        <v>0</v>
      </c>
      <c r="AQ18" s="3">
        <f>MR_Fixed_Asset_Register_List!AQ18*$I18</f>
        <v>0</v>
      </c>
      <c r="AR18" s="3">
        <f>MR_Fixed_Asset_Register_List!AR18*$I18</f>
        <v>0</v>
      </c>
      <c r="AS18" s="3">
        <f>MR_Fixed_Asset_Register_List!AS18*$I18</f>
        <v>0</v>
      </c>
      <c r="AT18" s="3">
        <f>MR_Fixed_Asset_Register_List!AT18*$I18</f>
        <v>0</v>
      </c>
      <c r="AU18" s="3">
        <f>MR_Fixed_Asset_Register_List!AU18*$I18</f>
        <v>0</v>
      </c>
      <c r="AV18" s="3">
        <f>MR_Fixed_Asset_Register_List!AV18*$I18</f>
        <v>0</v>
      </c>
      <c r="AW18" s="3">
        <f>MR_Fixed_Asset_Register_List!AW18*$I18</f>
        <v>0</v>
      </c>
      <c r="AX18" s="3">
        <f>MR_Fixed_Asset_Register_List!AX18*$I18</f>
        <v>0</v>
      </c>
      <c r="AY18" s="3">
        <f>MR_Fixed_Asset_Register_List!AY18*$I18</f>
        <v>0</v>
      </c>
      <c r="AZ18" s="3">
        <f>MR_Fixed_Asset_Register_List!AZ18*$I18</f>
        <v>0</v>
      </c>
      <c r="BA18" s="3">
        <f>MR_Fixed_Asset_Register_List!BA18*$I18</f>
        <v>0</v>
      </c>
      <c r="BB18" s="3">
        <f>MR_Fixed_Asset_Register_List!BB18*$I18</f>
        <v>0</v>
      </c>
      <c r="BC18" s="3">
        <f>MR_Fixed_Asset_Register_List!BC18*$I18</f>
        <v>0</v>
      </c>
      <c r="BD18" s="3">
        <f>MR_Fixed_Asset_Register_List!BD18*$I18</f>
        <v>0</v>
      </c>
      <c r="BE18" s="3">
        <f>MR_Fixed_Asset_Register_List!BE18*$I18</f>
        <v>0</v>
      </c>
      <c r="BF18" s="3">
        <f>MR_Fixed_Asset_Register_List!BF18*$I18</f>
        <v>0</v>
      </c>
      <c r="BG18" s="3">
        <f>MR_Fixed_Asset_Register_List!BG18*$I18</f>
        <v>0</v>
      </c>
      <c r="BH18" s="3">
        <f>MR_Fixed_Asset_Register_List!BH18*$I18</f>
        <v>0</v>
      </c>
      <c r="BI18" s="3">
        <f>MR_Fixed_Asset_Register_List!BI18*$I18</f>
        <v>0</v>
      </c>
      <c r="BJ18" s="3">
        <f>MR_Fixed_Asset_Register_List!BJ18*$I18</f>
        <v>0</v>
      </c>
      <c r="BK18" s="3">
        <f>MR_Fixed_Asset_Register_List!BK18*$I18</f>
        <v>0</v>
      </c>
      <c r="BL18" s="3">
        <f>MR_Fixed_Asset_Register_List!BL18*$I18</f>
        <v>0</v>
      </c>
      <c r="BM18" s="3">
        <f>MR_Fixed_Asset_Register_List!BM18*$I18</f>
        <v>0</v>
      </c>
      <c r="BN18" s="3">
        <f>MR_Fixed_Asset_Register_List!BN18*$I18</f>
        <v>0</v>
      </c>
      <c r="BO18" s="3">
        <f>MR_Fixed_Asset_Register_List!BO18*$I18</f>
        <v>0</v>
      </c>
      <c r="BP18" s="3">
        <f>MR_Fixed_Asset_Register_List!BP18*$I18</f>
        <v>0</v>
      </c>
      <c r="BQ18" s="3">
        <f>MR_Fixed_Asset_Register_List!BQ18*$I18</f>
        <v>0</v>
      </c>
      <c r="BR18" s="3">
        <f>MR_Fixed_Asset_Register_List!BR18*$I18</f>
        <v>0</v>
      </c>
      <c r="BS18" s="3">
        <f>MR_Fixed_Asset_Register_List!BS18*$I18</f>
        <v>0</v>
      </c>
      <c r="BT18" s="3">
        <f>MR_Fixed_Asset_Register_List!BT18*$I18</f>
        <v>0</v>
      </c>
      <c r="BU18" s="3">
        <f>MR_Fixed_Asset_Register_List!BU18*$I18</f>
        <v>0</v>
      </c>
      <c r="BV18" s="3">
        <f>MR_Fixed_Asset_Register_List!BV18*$I18</f>
        <v>0</v>
      </c>
      <c r="BW18" s="3">
        <f>MR_Fixed_Asset_Register_List!BW18*$I18</f>
        <v>0</v>
      </c>
      <c r="BX18" s="3">
        <f>MR_Fixed_Asset_Register_List!BX18*$I18</f>
        <v>0</v>
      </c>
      <c r="BY18" s="3">
        <f>MR_Fixed_Asset_Register_List!BY18*$I18</f>
        <v>0</v>
      </c>
      <c r="BZ18" s="3">
        <f>MR_Fixed_Asset_Register_List!BZ18*$I18</f>
        <v>0</v>
      </c>
      <c r="CA18" s="3">
        <f>MR_Fixed_Asset_Register_List!CA18*$I18</f>
        <v>0</v>
      </c>
      <c r="CB18" s="3">
        <f>MR_Fixed_Asset_Register_List!CB18*$I18</f>
        <v>0</v>
      </c>
      <c r="CC18" s="3">
        <f>MR_Fixed_Asset_Register_List!CC18*$I18</f>
        <v>0</v>
      </c>
      <c r="CD18" s="3">
        <f>MR_Fixed_Asset_Register_List!CD18*$I18</f>
        <v>0</v>
      </c>
      <c r="CE18" s="3">
        <f>MR_Fixed_Asset_Register_List!CE18*$I18</f>
        <v>0</v>
      </c>
      <c r="CF18" s="3">
        <f>MR_Fixed_Asset_Register_List!CF18*$I18</f>
        <v>0</v>
      </c>
      <c r="CG18" s="3">
        <f>MR_Fixed_Asset_Register_List!CG18*$I18</f>
        <v>0</v>
      </c>
      <c r="CH18" s="3">
        <f>MR_Fixed_Asset_Register_List!CH18*$I18</f>
        <v>0</v>
      </c>
      <c r="CI18" s="3">
        <f>MR_Fixed_Asset_Register_List!CI18*$I18</f>
        <v>0</v>
      </c>
      <c r="CJ18" s="3">
        <f>MR_Fixed_Asset_Register_List!CJ18*$I18</f>
        <v>0</v>
      </c>
      <c r="CK18" s="3">
        <f>MR_Fixed_Asset_Register_List!CK18*$I18</f>
        <v>0</v>
      </c>
      <c r="CL18" s="3">
        <f>MR_Fixed_Asset_Register_List!CL18*$I18</f>
        <v>0</v>
      </c>
      <c r="CM18" s="3">
        <f>MR_Fixed_Asset_Register_List!CM18*$I18</f>
        <v>0</v>
      </c>
      <c r="CN18" s="3">
        <f>MR_Fixed_Asset_Register_List!CN18*$I18</f>
        <v>0</v>
      </c>
      <c r="CO18" s="3">
        <f>MR_Fixed_Asset_Register_List!CO18*$I18</f>
        <v>0</v>
      </c>
      <c r="CP18" s="3">
        <f>MR_Fixed_Asset_Register_List!CP18*$I18</f>
        <v>0</v>
      </c>
      <c r="CQ18" s="3">
        <f>MR_Fixed_Asset_Register_List!CQ18*$I18</f>
        <v>0</v>
      </c>
      <c r="CR18" s="3">
        <f>MR_Fixed_Asset_Register_List!CR18*$I18</f>
        <v>0</v>
      </c>
      <c r="CS18" s="3">
        <f>MR_Fixed_Asset_Register_List!CS18*$I18</f>
        <v>0</v>
      </c>
      <c r="CT18" s="25"/>
    </row>
    <row r="19">
      <c r="A19" s="25" t="s">
        <v>61</v>
      </c>
      <c r="B19" s="25" t="s">
        <v>33</v>
      </c>
      <c r="C19" s="1" t="s">
        <v>7</v>
      </c>
      <c r="D19" s="25">
        <v>14202.0</v>
      </c>
      <c r="E19" s="28">
        <v>44621.0</v>
      </c>
      <c r="F19" s="3">
        <v>4000000.0</v>
      </c>
      <c r="G19" s="25">
        <v>5.0</v>
      </c>
      <c r="H19" s="26">
        <v>0.4</v>
      </c>
      <c r="I19" s="26">
        <f t="shared" si="11"/>
        <v>0.03333333333</v>
      </c>
      <c r="J19" s="1">
        <f>YEAR(MR_Fixed_Asset_Register_List!F19) - YEAR(E19)</f>
        <v>3</v>
      </c>
      <c r="K19" s="1">
        <f t="shared" si="12"/>
        <v>36</v>
      </c>
      <c r="L19" s="3">
        <f>MR_Fixed_Asset_Register_List!L19</f>
        <v>3208333.333</v>
      </c>
      <c r="M19" s="37"/>
      <c r="N19" s="3">
        <f t="shared" si="19"/>
        <v>106944.4444</v>
      </c>
      <c r="O19" s="3">
        <f>MR_Fixed_Asset_Register_List!O19*$I19</f>
        <v>103379.6296</v>
      </c>
      <c r="P19" s="3">
        <f>MR_Fixed_Asset_Register_List!P19*$I19</f>
        <v>99933.64198</v>
      </c>
      <c r="Q19" s="3">
        <f>MR_Fixed_Asset_Register_List!Q19*$I19</f>
        <v>96602.52058</v>
      </c>
      <c r="R19" s="3">
        <f>MR_Fixed_Asset_Register_List!R19*$I19</f>
        <v>93382.43656</v>
      </c>
      <c r="S19" s="3">
        <f>MR_Fixed_Asset_Register_List!S19*$I19</f>
        <v>90269.68867</v>
      </c>
      <c r="T19" s="3">
        <f>MR_Fixed_Asset_Register_List!T19*$I19</f>
        <v>87260.69905</v>
      </c>
      <c r="U19" s="3">
        <f>MR_Fixed_Asset_Register_List!U19*$I19</f>
        <v>84352.00908</v>
      </c>
      <c r="V19" s="3">
        <f>MR_Fixed_Asset_Register_List!V19*$I19</f>
        <v>81540.27544</v>
      </c>
      <c r="W19" s="3">
        <f>MR_Fixed_Asset_Register_List!W19*$I19</f>
        <v>78822.26626</v>
      </c>
      <c r="X19" s="3">
        <f>MR_Fixed_Asset_Register_List!X19*$I19</f>
        <v>0</v>
      </c>
      <c r="Y19" s="3">
        <f>MR_Fixed_Asset_Register_List!Y19*$I19</f>
        <v>0</v>
      </c>
      <c r="Z19" s="3">
        <f>MR_Fixed_Asset_Register_List!Z19*$I19</f>
        <v>0</v>
      </c>
      <c r="AA19" s="3">
        <f>MR_Fixed_Asset_Register_List!AA19*$I19</f>
        <v>0</v>
      </c>
      <c r="AB19" s="3">
        <f>MR_Fixed_Asset_Register_List!AB19*$I19</f>
        <v>0</v>
      </c>
      <c r="AC19" s="3">
        <f>MR_Fixed_Asset_Register_List!AC19*$I19</f>
        <v>0</v>
      </c>
      <c r="AD19" s="3">
        <f>MR_Fixed_Asset_Register_List!AD19*$I19</f>
        <v>0</v>
      </c>
      <c r="AE19" s="3">
        <f>MR_Fixed_Asset_Register_List!AE19*$I19</f>
        <v>0</v>
      </c>
      <c r="AF19" s="3">
        <f>MR_Fixed_Asset_Register_List!AF19*$I19</f>
        <v>0</v>
      </c>
      <c r="AG19" s="3">
        <f>MR_Fixed_Asset_Register_List!AG19*$I19</f>
        <v>0</v>
      </c>
      <c r="AH19" s="3">
        <f>MR_Fixed_Asset_Register_List!AH19*$I19</f>
        <v>0</v>
      </c>
      <c r="AI19" s="3">
        <f>MR_Fixed_Asset_Register_List!AI19*$I19</f>
        <v>0</v>
      </c>
      <c r="AJ19" s="3">
        <f>MR_Fixed_Asset_Register_List!AJ19*$I19</f>
        <v>0</v>
      </c>
      <c r="AK19" s="3">
        <f>MR_Fixed_Asset_Register_List!AK19*$I19</f>
        <v>0</v>
      </c>
      <c r="AL19" s="3">
        <f>MR_Fixed_Asset_Register_List!AL19*$I19</f>
        <v>0</v>
      </c>
      <c r="AM19" s="3">
        <f>MR_Fixed_Asset_Register_List!AM19*$I19</f>
        <v>0</v>
      </c>
      <c r="AN19" s="3">
        <f>MR_Fixed_Asset_Register_List!AN19*$I19</f>
        <v>0</v>
      </c>
      <c r="AO19" s="3">
        <f>MR_Fixed_Asset_Register_List!AO19*$I19</f>
        <v>0</v>
      </c>
      <c r="AP19" s="3">
        <f>MR_Fixed_Asset_Register_List!AP19*$I19</f>
        <v>0</v>
      </c>
      <c r="AQ19" s="3">
        <f>MR_Fixed_Asset_Register_List!AQ19*$I19</f>
        <v>0</v>
      </c>
      <c r="AR19" s="3">
        <f>MR_Fixed_Asset_Register_List!AR19*$I19</f>
        <v>0</v>
      </c>
      <c r="AS19" s="3">
        <f>MR_Fixed_Asset_Register_List!AS19*$I19</f>
        <v>0</v>
      </c>
      <c r="AT19" s="3">
        <f>MR_Fixed_Asset_Register_List!AT19*$I19</f>
        <v>0</v>
      </c>
      <c r="AU19" s="3">
        <f>MR_Fixed_Asset_Register_List!AU19*$I19</f>
        <v>0</v>
      </c>
      <c r="AV19" s="3">
        <f>MR_Fixed_Asset_Register_List!AV19*$I19</f>
        <v>0</v>
      </c>
      <c r="AW19" s="3">
        <f>MR_Fixed_Asset_Register_List!AW19*$I19</f>
        <v>0</v>
      </c>
      <c r="AX19" s="3">
        <f>MR_Fixed_Asset_Register_List!AX19*$I19</f>
        <v>0</v>
      </c>
      <c r="AY19" s="3">
        <f>MR_Fixed_Asset_Register_List!AY19*$I19</f>
        <v>0</v>
      </c>
      <c r="AZ19" s="3">
        <f>MR_Fixed_Asset_Register_List!AZ19*$I19</f>
        <v>0</v>
      </c>
      <c r="BA19" s="3">
        <f>MR_Fixed_Asset_Register_List!BA19*$I19</f>
        <v>0</v>
      </c>
      <c r="BB19" s="3">
        <f>MR_Fixed_Asset_Register_List!BB19*$I19</f>
        <v>0</v>
      </c>
      <c r="BC19" s="3">
        <f>MR_Fixed_Asset_Register_List!BC19*$I19</f>
        <v>0</v>
      </c>
      <c r="BD19" s="3">
        <f>MR_Fixed_Asset_Register_List!BD19*$I19</f>
        <v>0</v>
      </c>
      <c r="BE19" s="3">
        <f>MR_Fixed_Asset_Register_List!BE19*$I19</f>
        <v>0</v>
      </c>
      <c r="BF19" s="3">
        <f>MR_Fixed_Asset_Register_List!BF19*$I19</f>
        <v>0</v>
      </c>
      <c r="BG19" s="3">
        <f>MR_Fixed_Asset_Register_List!BG19*$I19</f>
        <v>0</v>
      </c>
      <c r="BH19" s="3">
        <f>MR_Fixed_Asset_Register_List!BH19*$I19</f>
        <v>0</v>
      </c>
      <c r="BI19" s="3">
        <f>MR_Fixed_Asset_Register_List!BI19*$I19</f>
        <v>0</v>
      </c>
      <c r="BJ19" s="3">
        <f>MR_Fixed_Asset_Register_List!BJ19*$I19</f>
        <v>0</v>
      </c>
      <c r="BK19" s="3">
        <f>MR_Fixed_Asset_Register_List!BK19*$I19</f>
        <v>0</v>
      </c>
      <c r="BL19" s="3">
        <f>MR_Fixed_Asset_Register_List!BL19*$I19</f>
        <v>0</v>
      </c>
      <c r="BM19" s="3">
        <f>MR_Fixed_Asset_Register_List!BM19*$I19</f>
        <v>0</v>
      </c>
      <c r="BN19" s="3">
        <f>MR_Fixed_Asset_Register_List!BN19*$I19</f>
        <v>0</v>
      </c>
      <c r="BO19" s="3">
        <f>MR_Fixed_Asset_Register_List!BO19*$I19</f>
        <v>0</v>
      </c>
      <c r="BP19" s="3">
        <f>MR_Fixed_Asset_Register_List!BP19*$I19</f>
        <v>0</v>
      </c>
      <c r="BQ19" s="3">
        <f>MR_Fixed_Asset_Register_List!BQ19*$I19</f>
        <v>0</v>
      </c>
      <c r="BR19" s="3">
        <f>MR_Fixed_Asset_Register_List!BR19*$I19</f>
        <v>0</v>
      </c>
      <c r="BS19" s="3">
        <f>MR_Fixed_Asset_Register_List!BS19*$I19</f>
        <v>0</v>
      </c>
      <c r="BT19" s="3">
        <f>MR_Fixed_Asset_Register_List!BT19*$I19</f>
        <v>0</v>
      </c>
      <c r="BU19" s="3">
        <f>MR_Fixed_Asset_Register_List!BU19*$I19</f>
        <v>0</v>
      </c>
      <c r="BV19" s="3">
        <f>MR_Fixed_Asset_Register_List!BV19*$I19</f>
        <v>0</v>
      </c>
      <c r="BW19" s="3">
        <f>MR_Fixed_Asset_Register_List!BW19*$I19</f>
        <v>0</v>
      </c>
      <c r="BX19" s="3">
        <f>MR_Fixed_Asset_Register_List!BX19*$I19</f>
        <v>0</v>
      </c>
      <c r="BY19" s="3">
        <f>MR_Fixed_Asset_Register_List!BY19*$I19</f>
        <v>0</v>
      </c>
      <c r="BZ19" s="3">
        <f>MR_Fixed_Asset_Register_List!BZ19*$I19</f>
        <v>0</v>
      </c>
      <c r="CA19" s="3">
        <f>MR_Fixed_Asset_Register_List!CA19*$I19</f>
        <v>0</v>
      </c>
      <c r="CB19" s="3">
        <f>MR_Fixed_Asset_Register_List!CB19*$I19</f>
        <v>0</v>
      </c>
      <c r="CC19" s="3">
        <f>MR_Fixed_Asset_Register_List!CC19*$I19</f>
        <v>0</v>
      </c>
      <c r="CD19" s="3">
        <f>MR_Fixed_Asset_Register_List!CD19*$I19</f>
        <v>0</v>
      </c>
      <c r="CE19" s="3">
        <f>MR_Fixed_Asset_Register_List!CE19*$I19</f>
        <v>0</v>
      </c>
      <c r="CF19" s="3">
        <f>MR_Fixed_Asset_Register_List!CF19*$I19</f>
        <v>0</v>
      </c>
      <c r="CG19" s="3">
        <f>MR_Fixed_Asset_Register_List!CG19*$I19</f>
        <v>0</v>
      </c>
      <c r="CH19" s="3">
        <f>MR_Fixed_Asset_Register_List!CH19*$I19</f>
        <v>0</v>
      </c>
      <c r="CI19" s="3">
        <f>MR_Fixed_Asset_Register_List!CI19*$I19</f>
        <v>0</v>
      </c>
      <c r="CJ19" s="3">
        <f>MR_Fixed_Asset_Register_List!CJ19*$I19</f>
        <v>0</v>
      </c>
      <c r="CK19" s="3">
        <f>MR_Fixed_Asset_Register_List!CK19*$I19</f>
        <v>0</v>
      </c>
      <c r="CL19" s="3">
        <f>MR_Fixed_Asset_Register_List!CL19*$I19</f>
        <v>0</v>
      </c>
      <c r="CM19" s="3">
        <f>MR_Fixed_Asset_Register_List!CM19*$I19</f>
        <v>0</v>
      </c>
      <c r="CN19" s="3">
        <f>MR_Fixed_Asset_Register_List!CN19*$I19</f>
        <v>0</v>
      </c>
      <c r="CO19" s="3">
        <f>MR_Fixed_Asset_Register_List!CO19*$I19</f>
        <v>0</v>
      </c>
      <c r="CP19" s="3">
        <f>MR_Fixed_Asset_Register_List!CP19*$I19</f>
        <v>0</v>
      </c>
      <c r="CQ19" s="3">
        <f>MR_Fixed_Asset_Register_List!CQ19*$I19</f>
        <v>0</v>
      </c>
      <c r="CR19" s="3">
        <f>MR_Fixed_Asset_Register_List!CR19*$I19</f>
        <v>0</v>
      </c>
      <c r="CS19" s="3">
        <f>MR_Fixed_Asset_Register_List!CS19*$I19</f>
        <v>0</v>
      </c>
      <c r="CT19" s="25"/>
    </row>
    <row r="20">
      <c r="A20" s="25" t="s">
        <v>62</v>
      </c>
      <c r="B20" s="25" t="s">
        <v>34</v>
      </c>
      <c r="C20" s="1" t="s">
        <v>5</v>
      </c>
      <c r="D20" s="25">
        <v>14203.0</v>
      </c>
      <c r="E20" s="28">
        <v>44621.0</v>
      </c>
      <c r="F20" s="3">
        <v>5.0E7</v>
      </c>
      <c r="G20" s="25">
        <v>5.0</v>
      </c>
      <c r="H20" s="26">
        <v>0.4</v>
      </c>
      <c r="I20" s="26">
        <f t="shared" si="11"/>
        <v>0.03333333333</v>
      </c>
      <c r="J20" s="1">
        <f>YEAR(MR_Fixed_Asset_Register_List!F20) - YEAR(E20)</f>
        <v>3</v>
      </c>
      <c r="K20" s="1">
        <f t="shared" si="12"/>
        <v>36</v>
      </c>
      <c r="L20" s="3">
        <f>MR_Fixed_Asset_Register_List!L20</f>
        <v>40183333.33</v>
      </c>
      <c r="M20" s="37"/>
      <c r="N20" s="3">
        <f t="shared" si="19"/>
        <v>1339444.444</v>
      </c>
      <c r="O20" s="3">
        <f>MR_Fixed_Asset_Register_List!O20*$I20</f>
        <v>1294796.296</v>
      </c>
      <c r="P20" s="3">
        <f>MR_Fixed_Asset_Register_List!P20*$I20</f>
        <v>1251636.42</v>
      </c>
      <c r="Q20" s="3">
        <f>MR_Fixed_Asset_Register_List!Q20*$I20</f>
        <v>1209915.206</v>
      </c>
      <c r="R20" s="3">
        <f>MR_Fixed_Asset_Register_List!R20*$I20</f>
        <v>1169584.699</v>
      </c>
      <c r="S20" s="3">
        <f>MR_Fixed_Asset_Register_List!S20*$I20</f>
        <v>1130598.542</v>
      </c>
      <c r="T20" s="3">
        <f>MR_Fixed_Asset_Register_List!T20*$I20</f>
        <v>1092911.924</v>
      </c>
      <c r="U20" s="3">
        <f>MR_Fixed_Asset_Register_List!U20*$I20</f>
        <v>1056481.527</v>
      </c>
      <c r="V20" s="3">
        <f>MR_Fixed_Asset_Register_List!V20*$I20</f>
        <v>1021265.476</v>
      </c>
      <c r="W20" s="3">
        <f>MR_Fixed_Asset_Register_List!W20*$I20</f>
        <v>987223.2933</v>
      </c>
      <c r="X20" s="3">
        <f>MR_Fixed_Asset_Register_List!X20*$I20</f>
        <v>0</v>
      </c>
      <c r="Y20" s="3">
        <f>MR_Fixed_Asset_Register_List!Y20*$I20</f>
        <v>0</v>
      </c>
      <c r="Z20" s="3">
        <f>MR_Fixed_Asset_Register_List!Z20*$I20</f>
        <v>0</v>
      </c>
      <c r="AA20" s="3">
        <f>MR_Fixed_Asset_Register_List!AA20*$I20</f>
        <v>0</v>
      </c>
      <c r="AB20" s="3">
        <f>MR_Fixed_Asset_Register_List!AB20*$I20</f>
        <v>0</v>
      </c>
      <c r="AC20" s="3">
        <f>MR_Fixed_Asset_Register_List!AC20*$I20</f>
        <v>0</v>
      </c>
      <c r="AD20" s="3">
        <f>MR_Fixed_Asset_Register_List!AD20*$I20</f>
        <v>0</v>
      </c>
      <c r="AE20" s="3">
        <f>MR_Fixed_Asset_Register_List!AE20*$I20</f>
        <v>0</v>
      </c>
      <c r="AF20" s="3">
        <f>MR_Fixed_Asset_Register_List!AF20*$I20</f>
        <v>0</v>
      </c>
      <c r="AG20" s="3">
        <f>MR_Fixed_Asset_Register_List!AG20*$I20</f>
        <v>0</v>
      </c>
      <c r="AH20" s="3">
        <f>MR_Fixed_Asset_Register_List!AH20*$I20</f>
        <v>0</v>
      </c>
      <c r="AI20" s="3">
        <f>MR_Fixed_Asset_Register_List!AI20*$I20</f>
        <v>0</v>
      </c>
      <c r="AJ20" s="3">
        <f>MR_Fixed_Asset_Register_List!AJ20*$I20</f>
        <v>0</v>
      </c>
      <c r="AK20" s="3">
        <f>MR_Fixed_Asset_Register_List!AK20*$I20</f>
        <v>0</v>
      </c>
      <c r="AL20" s="3">
        <f>MR_Fixed_Asset_Register_List!AL20*$I20</f>
        <v>0</v>
      </c>
      <c r="AM20" s="3">
        <f>MR_Fixed_Asset_Register_List!AM20*$I20</f>
        <v>0</v>
      </c>
      <c r="AN20" s="3">
        <f>MR_Fixed_Asset_Register_List!AN20*$I20</f>
        <v>0</v>
      </c>
      <c r="AO20" s="3">
        <f>MR_Fixed_Asset_Register_List!AO20*$I20</f>
        <v>0</v>
      </c>
      <c r="AP20" s="3">
        <f>MR_Fixed_Asset_Register_List!AP20*$I20</f>
        <v>0</v>
      </c>
      <c r="AQ20" s="3">
        <f>MR_Fixed_Asset_Register_List!AQ20*$I20</f>
        <v>0</v>
      </c>
      <c r="AR20" s="3">
        <f>MR_Fixed_Asset_Register_List!AR20*$I20</f>
        <v>0</v>
      </c>
      <c r="AS20" s="3">
        <f>MR_Fixed_Asset_Register_List!AS20*$I20</f>
        <v>0</v>
      </c>
      <c r="AT20" s="3">
        <f>MR_Fixed_Asset_Register_List!AT20*$I20</f>
        <v>0</v>
      </c>
      <c r="AU20" s="3">
        <f>MR_Fixed_Asset_Register_List!AU20*$I20</f>
        <v>0</v>
      </c>
      <c r="AV20" s="3">
        <f>MR_Fixed_Asset_Register_List!AV20*$I20</f>
        <v>0</v>
      </c>
      <c r="AW20" s="3">
        <f>MR_Fixed_Asset_Register_List!AW20*$I20</f>
        <v>0</v>
      </c>
      <c r="AX20" s="3">
        <f>MR_Fixed_Asset_Register_List!AX20*$I20</f>
        <v>0</v>
      </c>
      <c r="AY20" s="3">
        <f>MR_Fixed_Asset_Register_List!AY20*$I20</f>
        <v>0</v>
      </c>
      <c r="AZ20" s="3">
        <f>MR_Fixed_Asset_Register_List!AZ20*$I20</f>
        <v>0</v>
      </c>
      <c r="BA20" s="3">
        <f>MR_Fixed_Asset_Register_List!BA20*$I20</f>
        <v>0</v>
      </c>
      <c r="BB20" s="3">
        <f>MR_Fixed_Asset_Register_List!BB20*$I20</f>
        <v>0</v>
      </c>
      <c r="BC20" s="3">
        <f>MR_Fixed_Asset_Register_List!BC20*$I20</f>
        <v>0</v>
      </c>
      <c r="BD20" s="3">
        <f>MR_Fixed_Asset_Register_List!BD20*$I20</f>
        <v>0</v>
      </c>
      <c r="BE20" s="3">
        <f>MR_Fixed_Asset_Register_List!BE20*$I20</f>
        <v>0</v>
      </c>
      <c r="BF20" s="3">
        <f>MR_Fixed_Asset_Register_List!BF20*$I20</f>
        <v>0</v>
      </c>
      <c r="BG20" s="3">
        <f>MR_Fixed_Asset_Register_List!BG20*$I20</f>
        <v>0</v>
      </c>
      <c r="BH20" s="3">
        <f>MR_Fixed_Asset_Register_List!BH20*$I20</f>
        <v>0</v>
      </c>
      <c r="BI20" s="3">
        <f>MR_Fixed_Asset_Register_List!BI20*$I20</f>
        <v>0</v>
      </c>
      <c r="BJ20" s="3">
        <f>MR_Fixed_Asset_Register_List!BJ20*$I20</f>
        <v>0</v>
      </c>
      <c r="BK20" s="3">
        <f>MR_Fixed_Asset_Register_List!BK20*$I20</f>
        <v>0</v>
      </c>
      <c r="BL20" s="3">
        <f>MR_Fixed_Asset_Register_List!BL20*$I20</f>
        <v>0</v>
      </c>
      <c r="BM20" s="3">
        <f>MR_Fixed_Asset_Register_List!BM20*$I20</f>
        <v>0</v>
      </c>
      <c r="BN20" s="3">
        <f>MR_Fixed_Asset_Register_List!BN20*$I20</f>
        <v>0</v>
      </c>
      <c r="BO20" s="3">
        <f>MR_Fixed_Asset_Register_List!BO20*$I20</f>
        <v>0</v>
      </c>
      <c r="BP20" s="3">
        <f>MR_Fixed_Asset_Register_List!BP20*$I20</f>
        <v>0</v>
      </c>
      <c r="BQ20" s="3">
        <f>MR_Fixed_Asset_Register_List!BQ20*$I20</f>
        <v>0</v>
      </c>
      <c r="BR20" s="3">
        <f>MR_Fixed_Asset_Register_List!BR20*$I20</f>
        <v>0</v>
      </c>
      <c r="BS20" s="3">
        <f>MR_Fixed_Asset_Register_List!BS20*$I20</f>
        <v>0</v>
      </c>
      <c r="BT20" s="3">
        <f>MR_Fixed_Asset_Register_List!BT20*$I20</f>
        <v>0</v>
      </c>
      <c r="BU20" s="3">
        <f>MR_Fixed_Asset_Register_List!BU20*$I20</f>
        <v>0</v>
      </c>
      <c r="BV20" s="3">
        <f>MR_Fixed_Asset_Register_List!BV20*$I20</f>
        <v>0</v>
      </c>
      <c r="BW20" s="3">
        <f>MR_Fixed_Asset_Register_List!BW20*$I20</f>
        <v>0</v>
      </c>
      <c r="BX20" s="3">
        <f>MR_Fixed_Asset_Register_List!BX20*$I20</f>
        <v>0</v>
      </c>
      <c r="BY20" s="3">
        <f>MR_Fixed_Asset_Register_List!BY20*$I20</f>
        <v>0</v>
      </c>
      <c r="BZ20" s="3">
        <f>MR_Fixed_Asset_Register_List!BZ20*$I20</f>
        <v>0</v>
      </c>
      <c r="CA20" s="3">
        <f>MR_Fixed_Asset_Register_List!CA20*$I20</f>
        <v>0</v>
      </c>
      <c r="CB20" s="3">
        <f>MR_Fixed_Asset_Register_List!CB20*$I20</f>
        <v>0</v>
      </c>
      <c r="CC20" s="3">
        <f>MR_Fixed_Asset_Register_List!CC20*$I20</f>
        <v>0</v>
      </c>
      <c r="CD20" s="3">
        <f>MR_Fixed_Asset_Register_List!CD20*$I20</f>
        <v>0</v>
      </c>
      <c r="CE20" s="3">
        <f>MR_Fixed_Asset_Register_List!CE20*$I20</f>
        <v>0</v>
      </c>
      <c r="CF20" s="3">
        <f>MR_Fixed_Asset_Register_List!CF20*$I20</f>
        <v>0</v>
      </c>
      <c r="CG20" s="3">
        <f>MR_Fixed_Asset_Register_List!CG20*$I20</f>
        <v>0</v>
      </c>
      <c r="CH20" s="3">
        <f>MR_Fixed_Asset_Register_List!CH20*$I20</f>
        <v>0</v>
      </c>
      <c r="CI20" s="3">
        <f>MR_Fixed_Asset_Register_List!CI20*$I20</f>
        <v>0</v>
      </c>
      <c r="CJ20" s="3">
        <f>MR_Fixed_Asset_Register_List!CJ20*$I20</f>
        <v>0</v>
      </c>
      <c r="CK20" s="3">
        <f>MR_Fixed_Asset_Register_List!CK20*$I20</f>
        <v>0</v>
      </c>
      <c r="CL20" s="3">
        <f>MR_Fixed_Asset_Register_List!CL20*$I20</f>
        <v>0</v>
      </c>
      <c r="CM20" s="3">
        <f>MR_Fixed_Asset_Register_List!CM20*$I20</f>
        <v>0</v>
      </c>
      <c r="CN20" s="3">
        <f>MR_Fixed_Asset_Register_List!CN20*$I20</f>
        <v>0</v>
      </c>
      <c r="CO20" s="3">
        <f>MR_Fixed_Asset_Register_List!CO20*$I20</f>
        <v>0</v>
      </c>
      <c r="CP20" s="3">
        <f>MR_Fixed_Asset_Register_List!CP20*$I20</f>
        <v>0</v>
      </c>
      <c r="CQ20" s="3">
        <f>MR_Fixed_Asset_Register_List!CQ20*$I20</f>
        <v>0</v>
      </c>
      <c r="CR20" s="3">
        <f>MR_Fixed_Asset_Register_List!CR20*$I20</f>
        <v>0</v>
      </c>
      <c r="CS20" s="3">
        <f>MR_Fixed_Asset_Register_List!CS20*$I20</f>
        <v>0</v>
      </c>
      <c r="CT20" s="25"/>
    </row>
    <row r="21">
      <c r="A21" s="25" t="s">
        <v>63</v>
      </c>
      <c r="B21" s="25" t="s">
        <v>35</v>
      </c>
      <c r="C21" s="1" t="s">
        <v>7</v>
      </c>
      <c r="D21" s="25">
        <v>14204.0</v>
      </c>
      <c r="E21" s="28">
        <v>44621.0</v>
      </c>
      <c r="F21" s="3">
        <v>1200000.0</v>
      </c>
      <c r="G21" s="25">
        <v>5.0</v>
      </c>
      <c r="H21" s="26">
        <v>0.4</v>
      </c>
      <c r="I21" s="26">
        <f t="shared" si="11"/>
        <v>0.03333333333</v>
      </c>
      <c r="J21" s="1">
        <f>YEAR(MR_Fixed_Asset_Register_List!F21) - YEAR(E21)</f>
        <v>3</v>
      </c>
      <c r="K21" s="1">
        <f t="shared" si="12"/>
        <v>36</v>
      </c>
      <c r="L21" s="3">
        <f>MR_Fixed_Asset_Register_List!L21</f>
        <v>820000</v>
      </c>
      <c r="M21" s="37"/>
      <c r="N21" s="3">
        <f t="shared" si="19"/>
        <v>27333.33333</v>
      </c>
      <c r="O21" s="3">
        <f>MR_Fixed_Asset_Register_List!O21*$I21</f>
        <v>26422.22222</v>
      </c>
      <c r="P21" s="3">
        <f>MR_Fixed_Asset_Register_List!P21*$I21</f>
        <v>25541.48148</v>
      </c>
      <c r="Q21" s="3">
        <f>MR_Fixed_Asset_Register_List!Q21*$I21</f>
        <v>24690.09877</v>
      </c>
      <c r="R21" s="3">
        <f>MR_Fixed_Asset_Register_List!R21*$I21</f>
        <v>23867.09547</v>
      </c>
      <c r="S21" s="3">
        <f>MR_Fixed_Asset_Register_List!S21*$I21</f>
        <v>23071.52562</v>
      </c>
      <c r="T21" s="3">
        <f>MR_Fixed_Asset_Register_List!T21*$I21</f>
        <v>22302.47477</v>
      </c>
      <c r="U21" s="3">
        <f>MR_Fixed_Asset_Register_List!U21*$I21</f>
        <v>21559.05894</v>
      </c>
      <c r="V21" s="3">
        <f>MR_Fixed_Asset_Register_List!V21*$I21</f>
        <v>20840.42365</v>
      </c>
      <c r="W21" s="3">
        <f>MR_Fixed_Asset_Register_List!W21*$I21</f>
        <v>20145.74286</v>
      </c>
      <c r="X21" s="3">
        <f>MR_Fixed_Asset_Register_List!X21*$I21</f>
        <v>0</v>
      </c>
      <c r="Y21" s="3">
        <f>MR_Fixed_Asset_Register_List!Y21*$I21</f>
        <v>0</v>
      </c>
      <c r="Z21" s="3">
        <f>MR_Fixed_Asset_Register_List!Z21*$I21</f>
        <v>0</v>
      </c>
      <c r="AA21" s="3">
        <f>MR_Fixed_Asset_Register_List!AA21*$I21</f>
        <v>0</v>
      </c>
      <c r="AB21" s="3">
        <f>MR_Fixed_Asset_Register_List!AB21*$I21</f>
        <v>0</v>
      </c>
      <c r="AC21" s="3">
        <f>MR_Fixed_Asset_Register_List!AC21*$I21</f>
        <v>0</v>
      </c>
      <c r="AD21" s="3">
        <f>MR_Fixed_Asset_Register_List!AD21*$I21</f>
        <v>0</v>
      </c>
      <c r="AE21" s="3">
        <f>MR_Fixed_Asset_Register_List!AE21*$I21</f>
        <v>0</v>
      </c>
      <c r="AF21" s="3">
        <f>MR_Fixed_Asset_Register_List!AF21*$I21</f>
        <v>0</v>
      </c>
      <c r="AG21" s="3">
        <f>MR_Fixed_Asset_Register_List!AG21*$I21</f>
        <v>0</v>
      </c>
      <c r="AH21" s="3">
        <f>MR_Fixed_Asset_Register_List!AH21*$I21</f>
        <v>0</v>
      </c>
      <c r="AI21" s="3">
        <f>MR_Fixed_Asset_Register_List!AI21*$I21</f>
        <v>0</v>
      </c>
      <c r="AJ21" s="3">
        <f>MR_Fixed_Asset_Register_List!AJ21*$I21</f>
        <v>0</v>
      </c>
      <c r="AK21" s="3">
        <f>MR_Fixed_Asset_Register_List!AK21*$I21</f>
        <v>0</v>
      </c>
      <c r="AL21" s="3">
        <f>MR_Fixed_Asset_Register_List!AL21*$I21</f>
        <v>0</v>
      </c>
      <c r="AM21" s="3">
        <f>MR_Fixed_Asset_Register_List!AM21*$I21</f>
        <v>0</v>
      </c>
      <c r="AN21" s="3">
        <f>MR_Fixed_Asset_Register_List!AN21*$I21</f>
        <v>0</v>
      </c>
      <c r="AO21" s="3">
        <f>MR_Fixed_Asset_Register_List!AO21*$I21</f>
        <v>0</v>
      </c>
      <c r="AP21" s="3">
        <f>MR_Fixed_Asset_Register_List!AP21*$I21</f>
        <v>0</v>
      </c>
      <c r="AQ21" s="3">
        <f>MR_Fixed_Asset_Register_List!AQ21*$I21</f>
        <v>0</v>
      </c>
      <c r="AR21" s="3">
        <f>MR_Fixed_Asset_Register_List!AR21*$I21</f>
        <v>0</v>
      </c>
      <c r="AS21" s="3">
        <f>MR_Fixed_Asset_Register_List!AS21*$I21</f>
        <v>0</v>
      </c>
      <c r="AT21" s="3">
        <f>MR_Fixed_Asset_Register_List!AT21*$I21</f>
        <v>0</v>
      </c>
      <c r="AU21" s="3">
        <f>MR_Fixed_Asset_Register_List!AU21*$I21</f>
        <v>0</v>
      </c>
      <c r="AV21" s="3">
        <f>MR_Fixed_Asset_Register_List!AV21*$I21</f>
        <v>0</v>
      </c>
      <c r="AW21" s="3">
        <f>MR_Fixed_Asset_Register_List!AW21*$I21</f>
        <v>0</v>
      </c>
      <c r="AX21" s="3">
        <f>MR_Fixed_Asset_Register_List!AX21*$I21</f>
        <v>0</v>
      </c>
      <c r="AY21" s="3">
        <f>MR_Fixed_Asset_Register_List!AY21*$I21</f>
        <v>0</v>
      </c>
      <c r="AZ21" s="3">
        <f>MR_Fixed_Asset_Register_List!AZ21*$I21</f>
        <v>0</v>
      </c>
      <c r="BA21" s="3">
        <f>MR_Fixed_Asset_Register_List!BA21*$I21</f>
        <v>0</v>
      </c>
      <c r="BB21" s="3">
        <f>MR_Fixed_Asset_Register_List!BB21*$I21</f>
        <v>0</v>
      </c>
      <c r="BC21" s="3">
        <f>MR_Fixed_Asset_Register_List!BC21*$I21</f>
        <v>0</v>
      </c>
      <c r="BD21" s="3">
        <f>MR_Fixed_Asset_Register_List!BD21*$I21</f>
        <v>0</v>
      </c>
      <c r="BE21" s="3">
        <f>MR_Fixed_Asset_Register_List!BE21*$I21</f>
        <v>0</v>
      </c>
      <c r="BF21" s="3">
        <f>MR_Fixed_Asset_Register_List!BF21*$I21</f>
        <v>0</v>
      </c>
      <c r="BG21" s="3">
        <f>MR_Fixed_Asset_Register_List!BG21*$I21</f>
        <v>0</v>
      </c>
      <c r="BH21" s="3">
        <f>MR_Fixed_Asset_Register_List!BH21*$I21</f>
        <v>0</v>
      </c>
      <c r="BI21" s="3">
        <f>MR_Fixed_Asset_Register_List!BI21*$I21</f>
        <v>0</v>
      </c>
      <c r="BJ21" s="3">
        <f>MR_Fixed_Asset_Register_List!BJ21*$I21</f>
        <v>0</v>
      </c>
      <c r="BK21" s="3">
        <f>MR_Fixed_Asset_Register_List!BK21*$I21</f>
        <v>0</v>
      </c>
      <c r="BL21" s="3">
        <f>MR_Fixed_Asset_Register_List!BL21*$I21</f>
        <v>0</v>
      </c>
      <c r="BM21" s="3">
        <f>MR_Fixed_Asset_Register_List!BM21*$I21</f>
        <v>0</v>
      </c>
      <c r="BN21" s="3">
        <f>MR_Fixed_Asset_Register_List!BN21*$I21</f>
        <v>0</v>
      </c>
      <c r="BO21" s="3">
        <f>MR_Fixed_Asset_Register_List!BO21*$I21</f>
        <v>0</v>
      </c>
      <c r="BP21" s="3">
        <f>MR_Fixed_Asset_Register_List!BP21*$I21</f>
        <v>0</v>
      </c>
      <c r="BQ21" s="3">
        <f>MR_Fixed_Asset_Register_List!BQ21*$I21</f>
        <v>0</v>
      </c>
      <c r="BR21" s="3">
        <f>MR_Fixed_Asset_Register_List!BR21*$I21</f>
        <v>0</v>
      </c>
      <c r="BS21" s="3">
        <f>MR_Fixed_Asset_Register_List!BS21*$I21</f>
        <v>0</v>
      </c>
      <c r="BT21" s="3">
        <f>MR_Fixed_Asset_Register_List!BT21*$I21</f>
        <v>0</v>
      </c>
      <c r="BU21" s="3">
        <f>MR_Fixed_Asset_Register_List!BU21*$I21</f>
        <v>0</v>
      </c>
      <c r="BV21" s="3">
        <f>MR_Fixed_Asset_Register_List!BV21*$I21</f>
        <v>0</v>
      </c>
      <c r="BW21" s="3">
        <f>MR_Fixed_Asset_Register_List!BW21*$I21</f>
        <v>0</v>
      </c>
      <c r="BX21" s="3">
        <f>MR_Fixed_Asset_Register_List!BX21*$I21</f>
        <v>0</v>
      </c>
      <c r="BY21" s="3">
        <f>MR_Fixed_Asset_Register_List!BY21*$I21</f>
        <v>0</v>
      </c>
      <c r="BZ21" s="3">
        <f>MR_Fixed_Asset_Register_List!BZ21*$I21</f>
        <v>0</v>
      </c>
      <c r="CA21" s="3">
        <f>MR_Fixed_Asset_Register_List!CA21*$I21</f>
        <v>0</v>
      </c>
      <c r="CB21" s="3">
        <f>MR_Fixed_Asset_Register_List!CB21*$I21</f>
        <v>0</v>
      </c>
      <c r="CC21" s="3">
        <f>MR_Fixed_Asset_Register_List!CC21*$I21</f>
        <v>0</v>
      </c>
      <c r="CD21" s="3">
        <f>MR_Fixed_Asset_Register_List!CD21*$I21</f>
        <v>0</v>
      </c>
      <c r="CE21" s="3">
        <f>MR_Fixed_Asset_Register_List!CE21*$I21</f>
        <v>0</v>
      </c>
      <c r="CF21" s="3">
        <f>MR_Fixed_Asset_Register_List!CF21*$I21</f>
        <v>0</v>
      </c>
      <c r="CG21" s="3">
        <f>MR_Fixed_Asset_Register_List!CG21*$I21</f>
        <v>0</v>
      </c>
      <c r="CH21" s="3">
        <f>MR_Fixed_Asset_Register_List!CH21*$I21</f>
        <v>0</v>
      </c>
      <c r="CI21" s="3">
        <f>MR_Fixed_Asset_Register_List!CI21*$I21</f>
        <v>0</v>
      </c>
      <c r="CJ21" s="3">
        <f>MR_Fixed_Asset_Register_List!CJ21*$I21</f>
        <v>0</v>
      </c>
      <c r="CK21" s="3">
        <f>MR_Fixed_Asset_Register_List!CK21*$I21</f>
        <v>0</v>
      </c>
      <c r="CL21" s="3">
        <f>MR_Fixed_Asset_Register_List!CL21*$I21</f>
        <v>0</v>
      </c>
      <c r="CM21" s="3">
        <f>MR_Fixed_Asset_Register_List!CM21*$I21</f>
        <v>0</v>
      </c>
      <c r="CN21" s="3">
        <f>MR_Fixed_Asset_Register_List!CN21*$I21</f>
        <v>0</v>
      </c>
      <c r="CO21" s="3">
        <f>MR_Fixed_Asset_Register_List!CO21*$I21</f>
        <v>0</v>
      </c>
      <c r="CP21" s="3">
        <f>MR_Fixed_Asset_Register_List!CP21*$I21</f>
        <v>0</v>
      </c>
      <c r="CQ21" s="3">
        <f>MR_Fixed_Asset_Register_List!CQ21*$I21</f>
        <v>0</v>
      </c>
      <c r="CR21" s="3">
        <f>MR_Fixed_Asset_Register_List!CR21*$I21</f>
        <v>0</v>
      </c>
      <c r="CS21" s="3">
        <f>MR_Fixed_Asset_Register_List!CS21*$I21</f>
        <v>0</v>
      </c>
      <c r="CT21" s="25"/>
    </row>
    <row r="22">
      <c r="A22" s="25" t="s">
        <v>64</v>
      </c>
      <c r="B22" s="25" t="s">
        <v>36</v>
      </c>
      <c r="C22" s="1" t="s">
        <v>5</v>
      </c>
      <c r="D22" s="25">
        <v>14205.0</v>
      </c>
      <c r="E22" s="28">
        <v>44621.0</v>
      </c>
      <c r="F22" s="3">
        <v>600000.0</v>
      </c>
      <c r="G22" s="25">
        <v>5.0</v>
      </c>
      <c r="H22" s="26">
        <v>0.4</v>
      </c>
      <c r="I22" s="26">
        <f t="shared" si="11"/>
        <v>0.03333333333</v>
      </c>
      <c r="J22" s="1">
        <f>YEAR(MR_Fixed_Asset_Register_List!F22) - YEAR(E22)</f>
        <v>3</v>
      </c>
      <c r="K22" s="1">
        <f t="shared" si="12"/>
        <v>36</v>
      </c>
      <c r="L22" s="3">
        <f>MR_Fixed_Asset_Register_List!L22</f>
        <v>481250</v>
      </c>
      <c r="M22" s="37"/>
      <c r="N22" s="3">
        <f t="shared" si="19"/>
        <v>16041.66667</v>
      </c>
      <c r="O22" s="3">
        <f>MR_Fixed_Asset_Register_List!O22*$I22</f>
        <v>15506.94444</v>
      </c>
      <c r="P22" s="3">
        <f>MR_Fixed_Asset_Register_List!P22*$I22</f>
        <v>14990.0463</v>
      </c>
      <c r="Q22" s="3">
        <f>MR_Fixed_Asset_Register_List!Q22*$I22</f>
        <v>14490.37809</v>
      </c>
      <c r="R22" s="3">
        <f>MR_Fixed_Asset_Register_List!R22*$I22</f>
        <v>14007.36548</v>
      </c>
      <c r="S22" s="3">
        <f>MR_Fixed_Asset_Register_List!S22*$I22</f>
        <v>13540.4533</v>
      </c>
      <c r="T22" s="3">
        <f>MR_Fixed_Asset_Register_List!T22*$I22</f>
        <v>13089.10486</v>
      </c>
      <c r="U22" s="3">
        <f>MR_Fixed_Asset_Register_List!U22*$I22</f>
        <v>12652.80136</v>
      </c>
      <c r="V22" s="3">
        <f>MR_Fixed_Asset_Register_List!V22*$I22</f>
        <v>12231.04132</v>
      </c>
      <c r="W22" s="3">
        <f>MR_Fixed_Asset_Register_List!W22*$I22</f>
        <v>11823.33994</v>
      </c>
      <c r="X22" s="3">
        <f>MR_Fixed_Asset_Register_List!X22*$I22</f>
        <v>0</v>
      </c>
      <c r="Y22" s="3">
        <f>MR_Fixed_Asset_Register_List!Y22*$I22</f>
        <v>0</v>
      </c>
      <c r="Z22" s="3">
        <f>MR_Fixed_Asset_Register_List!Z22*$I22</f>
        <v>0</v>
      </c>
      <c r="AA22" s="3">
        <f>MR_Fixed_Asset_Register_List!AA22*$I22</f>
        <v>0</v>
      </c>
      <c r="AB22" s="3">
        <f>MR_Fixed_Asset_Register_List!AB22*$I22</f>
        <v>0</v>
      </c>
      <c r="AC22" s="3">
        <f>MR_Fixed_Asset_Register_List!AC22*$I22</f>
        <v>0</v>
      </c>
      <c r="AD22" s="3">
        <f>MR_Fixed_Asset_Register_List!AD22*$I22</f>
        <v>0</v>
      </c>
      <c r="AE22" s="3">
        <f>MR_Fixed_Asset_Register_List!AE22*$I22</f>
        <v>0</v>
      </c>
      <c r="AF22" s="3">
        <f>MR_Fixed_Asset_Register_List!AF22*$I22</f>
        <v>0</v>
      </c>
      <c r="AG22" s="3">
        <f>MR_Fixed_Asset_Register_List!AG22*$I22</f>
        <v>0</v>
      </c>
      <c r="AH22" s="3">
        <f>MR_Fixed_Asset_Register_List!AH22*$I22</f>
        <v>0</v>
      </c>
      <c r="AI22" s="3">
        <f>MR_Fixed_Asset_Register_List!AI22*$I22</f>
        <v>0</v>
      </c>
      <c r="AJ22" s="3">
        <f>MR_Fixed_Asset_Register_List!AJ22*$I22</f>
        <v>0</v>
      </c>
      <c r="AK22" s="3">
        <f>MR_Fixed_Asset_Register_List!AK22*$I22</f>
        <v>0</v>
      </c>
      <c r="AL22" s="3">
        <f>MR_Fixed_Asset_Register_List!AL22*$I22</f>
        <v>0</v>
      </c>
      <c r="AM22" s="3">
        <f>MR_Fixed_Asset_Register_List!AM22*$I22</f>
        <v>0</v>
      </c>
      <c r="AN22" s="3">
        <f>MR_Fixed_Asset_Register_List!AN22*$I22</f>
        <v>0</v>
      </c>
      <c r="AO22" s="3">
        <f>MR_Fixed_Asset_Register_List!AO22*$I22</f>
        <v>0</v>
      </c>
      <c r="AP22" s="3">
        <f>MR_Fixed_Asset_Register_List!AP22*$I22</f>
        <v>0</v>
      </c>
      <c r="AQ22" s="3">
        <f>MR_Fixed_Asset_Register_List!AQ22*$I22</f>
        <v>0</v>
      </c>
      <c r="AR22" s="3">
        <f>MR_Fixed_Asset_Register_List!AR22*$I22</f>
        <v>0</v>
      </c>
      <c r="AS22" s="3">
        <f>MR_Fixed_Asset_Register_List!AS22*$I22</f>
        <v>0</v>
      </c>
      <c r="AT22" s="3">
        <f>MR_Fixed_Asset_Register_List!AT22*$I22</f>
        <v>0</v>
      </c>
      <c r="AU22" s="3">
        <f>MR_Fixed_Asset_Register_List!AU22*$I22</f>
        <v>0</v>
      </c>
      <c r="AV22" s="3">
        <f>MR_Fixed_Asset_Register_List!AV22*$I22</f>
        <v>0</v>
      </c>
      <c r="AW22" s="3">
        <f>MR_Fixed_Asset_Register_List!AW22*$I22</f>
        <v>0</v>
      </c>
      <c r="AX22" s="3">
        <f>MR_Fixed_Asset_Register_List!AX22*$I22</f>
        <v>0</v>
      </c>
      <c r="AY22" s="3">
        <f>MR_Fixed_Asset_Register_List!AY22*$I22</f>
        <v>0</v>
      </c>
      <c r="AZ22" s="3">
        <f>MR_Fixed_Asset_Register_List!AZ22*$I22</f>
        <v>0</v>
      </c>
      <c r="BA22" s="3">
        <f>MR_Fixed_Asset_Register_List!BA22*$I22</f>
        <v>0</v>
      </c>
      <c r="BB22" s="3">
        <f>MR_Fixed_Asset_Register_List!BB22*$I22</f>
        <v>0</v>
      </c>
      <c r="BC22" s="3">
        <f>MR_Fixed_Asset_Register_List!BC22*$I22</f>
        <v>0</v>
      </c>
      <c r="BD22" s="3">
        <f>MR_Fixed_Asset_Register_List!BD22*$I22</f>
        <v>0</v>
      </c>
      <c r="BE22" s="3">
        <f>MR_Fixed_Asset_Register_List!BE22*$I22</f>
        <v>0</v>
      </c>
      <c r="BF22" s="3">
        <f>MR_Fixed_Asset_Register_List!BF22*$I22</f>
        <v>0</v>
      </c>
      <c r="BG22" s="3">
        <f>MR_Fixed_Asset_Register_List!BG22*$I22</f>
        <v>0</v>
      </c>
      <c r="BH22" s="3">
        <f>MR_Fixed_Asset_Register_List!BH22*$I22</f>
        <v>0</v>
      </c>
      <c r="BI22" s="3">
        <f>MR_Fixed_Asset_Register_List!BI22*$I22</f>
        <v>0</v>
      </c>
      <c r="BJ22" s="3">
        <f>MR_Fixed_Asset_Register_List!BJ22*$I22</f>
        <v>0</v>
      </c>
      <c r="BK22" s="3">
        <f>MR_Fixed_Asset_Register_List!BK22*$I22</f>
        <v>0</v>
      </c>
      <c r="BL22" s="3">
        <f>MR_Fixed_Asset_Register_List!BL22*$I22</f>
        <v>0</v>
      </c>
      <c r="BM22" s="3">
        <f>MR_Fixed_Asset_Register_List!BM22*$I22</f>
        <v>0</v>
      </c>
      <c r="BN22" s="3">
        <f>MR_Fixed_Asset_Register_List!BN22*$I22</f>
        <v>0</v>
      </c>
      <c r="BO22" s="3">
        <f>MR_Fixed_Asset_Register_List!BO22*$I22</f>
        <v>0</v>
      </c>
      <c r="BP22" s="3">
        <f>MR_Fixed_Asset_Register_List!BP22*$I22</f>
        <v>0</v>
      </c>
      <c r="BQ22" s="3">
        <f>MR_Fixed_Asset_Register_List!BQ22*$I22</f>
        <v>0</v>
      </c>
      <c r="BR22" s="3">
        <f>MR_Fixed_Asset_Register_List!BR22*$I22</f>
        <v>0</v>
      </c>
      <c r="BS22" s="3">
        <f>MR_Fixed_Asset_Register_List!BS22*$I22</f>
        <v>0</v>
      </c>
      <c r="BT22" s="3">
        <f>MR_Fixed_Asset_Register_List!BT22*$I22</f>
        <v>0</v>
      </c>
      <c r="BU22" s="3">
        <f>MR_Fixed_Asset_Register_List!BU22*$I22</f>
        <v>0</v>
      </c>
      <c r="BV22" s="3">
        <f>MR_Fixed_Asset_Register_List!BV22*$I22</f>
        <v>0</v>
      </c>
      <c r="BW22" s="3">
        <f>MR_Fixed_Asset_Register_List!BW22*$I22</f>
        <v>0</v>
      </c>
      <c r="BX22" s="3">
        <f>MR_Fixed_Asset_Register_List!BX22*$I22</f>
        <v>0</v>
      </c>
      <c r="BY22" s="3">
        <f>MR_Fixed_Asset_Register_List!BY22*$I22</f>
        <v>0</v>
      </c>
      <c r="BZ22" s="3">
        <f>MR_Fixed_Asset_Register_List!BZ22*$I22</f>
        <v>0</v>
      </c>
      <c r="CA22" s="3">
        <f>MR_Fixed_Asset_Register_List!CA22*$I22</f>
        <v>0</v>
      </c>
      <c r="CB22" s="3">
        <f>MR_Fixed_Asset_Register_List!CB22*$I22</f>
        <v>0</v>
      </c>
      <c r="CC22" s="3">
        <f>MR_Fixed_Asset_Register_List!CC22*$I22</f>
        <v>0</v>
      </c>
      <c r="CD22" s="3">
        <f>MR_Fixed_Asset_Register_List!CD22*$I22</f>
        <v>0</v>
      </c>
      <c r="CE22" s="3">
        <f>MR_Fixed_Asset_Register_List!CE22*$I22</f>
        <v>0</v>
      </c>
      <c r="CF22" s="3">
        <f>MR_Fixed_Asset_Register_List!CF22*$I22</f>
        <v>0</v>
      </c>
      <c r="CG22" s="3">
        <f>MR_Fixed_Asset_Register_List!CG22*$I22</f>
        <v>0</v>
      </c>
      <c r="CH22" s="3">
        <f>MR_Fixed_Asset_Register_List!CH22*$I22</f>
        <v>0</v>
      </c>
      <c r="CI22" s="3">
        <f>MR_Fixed_Asset_Register_List!CI22*$I22</f>
        <v>0</v>
      </c>
      <c r="CJ22" s="3">
        <f>MR_Fixed_Asset_Register_List!CJ22*$I22</f>
        <v>0</v>
      </c>
      <c r="CK22" s="3">
        <f>MR_Fixed_Asset_Register_List!CK22*$I22</f>
        <v>0</v>
      </c>
      <c r="CL22" s="3">
        <f>MR_Fixed_Asset_Register_List!CL22*$I22</f>
        <v>0</v>
      </c>
      <c r="CM22" s="3">
        <f>MR_Fixed_Asset_Register_List!CM22*$I22</f>
        <v>0</v>
      </c>
      <c r="CN22" s="3">
        <f>MR_Fixed_Asset_Register_List!CN22*$I22</f>
        <v>0</v>
      </c>
      <c r="CO22" s="3">
        <f>MR_Fixed_Asset_Register_List!CO22*$I22</f>
        <v>0</v>
      </c>
      <c r="CP22" s="3">
        <f>MR_Fixed_Asset_Register_List!CP22*$I22</f>
        <v>0</v>
      </c>
      <c r="CQ22" s="3">
        <f>MR_Fixed_Asset_Register_List!CQ22*$I22</f>
        <v>0</v>
      </c>
      <c r="CR22" s="3">
        <f>MR_Fixed_Asset_Register_List!CR22*$I22</f>
        <v>0</v>
      </c>
      <c r="CS22" s="3">
        <f>MR_Fixed_Asset_Register_List!CS22*$I22</f>
        <v>0</v>
      </c>
      <c r="CT22" s="25"/>
    </row>
    <row r="23">
      <c r="A23" s="25" t="s">
        <v>65</v>
      </c>
      <c r="B23" s="25" t="s">
        <v>37</v>
      </c>
      <c r="C23" s="1" t="s">
        <v>5</v>
      </c>
      <c r="D23" s="25">
        <v>14206.0</v>
      </c>
      <c r="E23" s="28">
        <v>44621.0</v>
      </c>
      <c r="F23" s="3">
        <v>200000.0</v>
      </c>
      <c r="G23" s="25">
        <v>5.0</v>
      </c>
      <c r="H23" s="26">
        <v>0.4</v>
      </c>
      <c r="I23" s="26">
        <f t="shared" si="11"/>
        <v>0.03333333333</v>
      </c>
      <c r="J23" s="1">
        <f>YEAR(MR_Fixed_Asset_Register_List!F23) - YEAR(E23)</f>
        <v>3</v>
      </c>
      <c r="K23" s="1">
        <f t="shared" si="12"/>
        <v>36</v>
      </c>
      <c r="L23" s="3">
        <f>MR_Fixed_Asset_Register_List!L23</f>
        <v>136666.6667</v>
      </c>
      <c r="M23" s="37"/>
      <c r="N23" s="3">
        <f t="shared" si="19"/>
        <v>4555.555556</v>
      </c>
      <c r="O23" s="3">
        <f>MR_Fixed_Asset_Register_List!O23*$I23</f>
        <v>4403.703704</v>
      </c>
      <c r="P23" s="3">
        <f>MR_Fixed_Asset_Register_List!P23*$I23</f>
        <v>4256.91358</v>
      </c>
      <c r="Q23" s="3">
        <f>MR_Fixed_Asset_Register_List!Q23*$I23</f>
        <v>4115.016461</v>
      </c>
      <c r="R23" s="3">
        <f>MR_Fixed_Asset_Register_List!R23*$I23</f>
        <v>3977.849246</v>
      </c>
      <c r="S23" s="3">
        <f>MR_Fixed_Asset_Register_List!S23*$I23</f>
        <v>3845.254271</v>
      </c>
      <c r="T23" s="3">
        <f>MR_Fixed_Asset_Register_List!T23*$I23</f>
        <v>3717.079128</v>
      </c>
      <c r="U23" s="3">
        <f>MR_Fixed_Asset_Register_List!U23*$I23</f>
        <v>3593.176491</v>
      </c>
      <c r="V23" s="3">
        <f>MR_Fixed_Asset_Register_List!V23*$I23</f>
        <v>3473.403941</v>
      </c>
      <c r="W23" s="3">
        <f>MR_Fixed_Asset_Register_List!W23*$I23</f>
        <v>3357.62381</v>
      </c>
      <c r="X23" s="3">
        <f>MR_Fixed_Asset_Register_List!X23*$I23</f>
        <v>0</v>
      </c>
      <c r="Y23" s="3">
        <f>MR_Fixed_Asset_Register_List!Y23*$I23</f>
        <v>0</v>
      </c>
      <c r="Z23" s="3">
        <f>MR_Fixed_Asset_Register_List!Z23*$I23</f>
        <v>0</v>
      </c>
      <c r="AA23" s="3">
        <f>MR_Fixed_Asset_Register_List!AA23*$I23</f>
        <v>0</v>
      </c>
      <c r="AB23" s="3">
        <f>MR_Fixed_Asset_Register_List!AB23*$I23</f>
        <v>0</v>
      </c>
      <c r="AC23" s="3">
        <f>MR_Fixed_Asset_Register_List!AC23*$I23</f>
        <v>0</v>
      </c>
      <c r="AD23" s="3">
        <f>MR_Fixed_Asset_Register_List!AD23*$I23</f>
        <v>0</v>
      </c>
      <c r="AE23" s="3">
        <f>MR_Fixed_Asset_Register_List!AE23*$I23</f>
        <v>0</v>
      </c>
      <c r="AF23" s="3">
        <f>MR_Fixed_Asset_Register_List!AF23*$I23</f>
        <v>0</v>
      </c>
      <c r="AG23" s="3">
        <f>MR_Fixed_Asset_Register_List!AG23*$I23</f>
        <v>0</v>
      </c>
      <c r="AH23" s="3">
        <f>MR_Fixed_Asset_Register_List!AH23*$I23</f>
        <v>0</v>
      </c>
      <c r="AI23" s="3">
        <f>MR_Fixed_Asset_Register_List!AI23*$I23</f>
        <v>0</v>
      </c>
      <c r="AJ23" s="3">
        <f>MR_Fixed_Asset_Register_List!AJ23*$I23</f>
        <v>0</v>
      </c>
      <c r="AK23" s="3">
        <f>MR_Fixed_Asset_Register_List!AK23*$I23</f>
        <v>0</v>
      </c>
      <c r="AL23" s="3">
        <f>MR_Fixed_Asset_Register_List!AL23*$I23</f>
        <v>0</v>
      </c>
      <c r="AM23" s="3">
        <f>MR_Fixed_Asset_Register_List!AM23*$I23</f>
        <v>0</v>
      </c>
      <c r="AN23" s="3">
        <f>MR_Fixed_Asset_Register_List!AN23*$I23</f>
        <v>0</v>
      </c>
      <c r="AO23" s="3">
        <f>MR_Fixed_Asset_Register_List!AO23*$I23</f>
        <v>0</v>
      </c>
      <c r="AP23" s="3">
        <f>MR_Fixed_Asset_Register_List!AP23*$I23</f>
        <v>0</v>
      </c>
      <c r="AQ23" s="3">
        <f>MR_Fixed_Asset_Register_List!AQ23*$I23</f>
        <v>0</v>
      </c>
      <c r="AR23" s="3">
        <f>MR_Fixed_Asset_Register_List!AR23*$I23</f>
        <v>0</v>
      </c>
      <c r="AS23" s="3">
        <f>MR_Fixed_Asset_Register_List!AS23*$I23</f>
        <v>0</v>
      </c>
      <c r="AT23" s="3">
        <f>MR_Fixed_Asset_Register_List!AT23*$I23</f>
        <v>0</v>
      </c>
      <c r="AU23" s="3">
        <f>MR_Fixed_Asset_Register_List!AU23*$I23</f>
        <v>0</v>
      </c>
      <c r="AV23" s="3">
        <f>MR_Fixed_Asset_Register_List!AV23*$I23</f>
        <v>0</v>
      </c>
      <c r="AW23" s="3">
        <f>MR_Fixed_Asset_Register_List!AW23*$I23</f>
        <v>0</v>
      </c>
      <c r="AX23" s="3">
        <f>MR_Fixed_Asset_Register_List!AX23*$I23</f>
        <v>0</v>
      </c>
      <c r="AY23" s="3">
        <f>MR_Fixed_Asset_Register_List!AY23*$I23</f>
        <v>0</v>
      </c>
      <c r="AZ23" s="3">
        <f>MR_Fixed_Asset_Register_List!AZ23*$I23</f>
        <v>0</v>
      </c>
      <c r="BA23" s="3">
        <f>MR_Fixed_Asset_Register_List!BA23*$I23</f>
        <v>0</v>
      </c>
      <c r="BB23" s="3">
        <f>MR_Fixed_Asset_Register_List!BB23*$I23</f>
        <v>0</v>
      </c>
      <c r="BC23" s="3">
        <f>MR_Fixed_Asset_Register_List!BC23*$I23</f>
        <v>0</v>
      </c>
      <c r="BD23" s="3">
        <f>MR_Fixed_Asset_Register_List!BD23*$I23</f>
        <v>0</v>
      </c>
      <c r="BE23" s="3">
        <f>MR_Fixed_Asset_Register_List!BE23*$I23</f>
        <v>0</v>
      </c>
      <c r="BF23" s="3">
        <f>MR_Fixed_Asset_Register_List!BF23*$I23</f>
        <v>0</v>
      </c>
      <c r="BG23" s="3">
        <f>MR_Fixed_Asset_Register_List!BG23*$I23</f>
        <v>0</v>
      </c>
      <c r="BH23" s="3">
        <f>MR_Fixed_Asset_Register_List!BH23*$I23</f>
        <v>0</v>
      </c>
      <c r="BI23" s="3">
        <f>MR_Fixed_Asset_Register_List!BI23*$I23</f>
        <v>0</v>
      </c>
      <c r="BJ23" s="3">
        <f>MR_Fixed_Asset_Register_List!BJ23*$I23</f>
        <v>0</v>
      </c>
      <c r="BK23" s="3">
        <f>MR_Fixed_Asset_Register_List!BK23*$I23</f>
        <v>0</v>
      </c>
      <c r="BL23" s="3">
        <f>MR_Fixed_Asset_Register_List!BL23*$I23</f>
        <v>0</v>
      </c>
      <c r="BM23" s="3">
        <f>MR_Fixed_Asset_Register_List!BM23*$I23</f>
        <v>0</v>
      </c>
      <c r="BN23" s="3">
        <f>MR_Fixed_Asset_Register_List!BN23*$I23</f>
        <v>0</v>
      </c>
      <c r="BO23" s="3">
        <f>MR_Fixed_Asset_Register_List!BO23*$I23</f>
        <v>0</v>
      </c>
      <c r="BP23" s="3">
        <f>MR_Fixed_Asset_Register_List!BP23*$I23</f>
        <v>0</v>
      </c>
      <c r="BQ23" s="3">
        <f>MR_Fixed_Asset_Register_List!BQ23*$I23</f>
        <v>0</v>
      </c>
      <c r="BR23" s="3">
        <f>MR_Fixed_Asset_Register_List!BR23*$I23</f>
        <v>0</v>
      </c>
      <c r="BS23" s="3">
        <f>MR_Fixed_Asset_Register_List!BS23*$I23</f>
        <v>0</v>
      </c>
      <c r="BT23" s="3">
        <f>MR_Fixed_Asset_Register_List!BT23*$I23</f>
        <v>0</v>
      </c>
      <c r="BU23" s="3">
        <f>MR_Fixed_Asset_Register_List!BU23*$I23</f>
        <v>0</v>
      </c>
      <c r="BV23" s="3">
        <f>MR_Fixed_Asset_Register_List!BV23*$I23</f>
        <v>0</v>
      </c>
      <c r="BW23" s="3">
        <f>MR_Fixed_Asset_Register_List!BW23*$I23</f>
        <v>0</v>
      </c>
      <c r="BX23" s="3">
        <f>MR_Fixed_Asset_Register_List!BX23*$I23</f>
        <v>0</v>
      </c>
      <c r="BY23" s="3">
        <f>MR_Fixed_Asset_Register_List!BY23*$I23</f>
        <v>0</v>
      </c>
      <c r="BZ23" s="3">
        <f>MR_Fixed_Asset_Register_List!BZ23*$I23</f>
        <v>0</v>
      </c>
      <c r="CA23" s="3">
        <f>MR_Fixed_Asset_Register_List!CA23*$I23</f>
        <v>0</v>
      </c>
      <c r="CB23" s="3">
        <f>MR_Fixed_Asset_Register_List!CB23*$I23</f>
        <v>0</v>
      </c>
      <c r="CC23" s="3">
        <f>MR_Fixed_Asset_Register_List!CC23*$I23</f>
        <v>0</v>
      </c>
      <c r="CD23" s="3">
        <f>MR_Fixed_Asset_Register_List!CD23*$I23</f>
        <v>0</v>
      </c>
      <c r="CE23" s="3">
        <f>MR_Fixed_Asset_Register_List!CE23*$I23</f>
        <v>0</v>
      </c>
      <c r="CF23" s="3">
        <f>MR_Fixed_Asset_Register_List!CF23*$I23</f>
        <v>0</v>
      </c>
      <c r="CG23" s="3">
        <f>MR_Fixed_Asset_Register_List!CG23*$I23</f>
        <v>0</v>
      </c>
      <c r="CH23" s="3">
        <f>MR_Fixed_Asset_Register_List!CH23*$I23</f>
        <v>0</v>
      </c>
      <c r="CI23" s="3">
        <f>MR_Fixed_Asset_Register_List!CI23*$I23</f>
        <v>0</v>
      </c>
      <c r="CJ23" s="3">
        <f>MR_Fixed_Asset_Register_List!CJ23*$I23</f>
        <v>0</v>
      </c>
      <c r="CK23" s="3">
        <f>MR_Fixed_Asset_Register_List!CK23*$I23</f>
        <v>0</v>
      </c>
      <c r="CL23" s="3">
        <f>MR_Fixed_Asset_Register_List!CL23*$I23</f>
        <v>0</v>
      </c>
      <c r="CM23" s="3">
        <f>MR_Fixed_Asset_Register_List!CM23*$I23</f>
        <v>0</v>
      </c>
      <c r="CN23" s="3">
        <f>MR_Fixed_Asset_Register_List!CN23*$I23</f>
        <v>0</v>
      </c>
      <c r="CO23" s="3">
        <f>MR_Fixed_Asset_Register_List!CO23*$I23</f>
        <v>0</v>
      </c>
      <c r="CP23" s="3">
        <f>MR_Fixed_Asset_Register_List!CP23*$I23</f>
        <v>0</v>
      </c>
      <c r="CQ23" s="3">
        <f>MR_Fixed_Asset_Register_List!CQ23*$I23</f>
        <v>0</v>
      </c>
      <c r="CR23" s="3">
        <f>MR_Fixed_Asset_Register_List!CR23*$I23</f>
        <v>0</v>
      </c>
      <c r="CS23" s="3">
        <f>MR_Fixed_Asset_Register_List!CS23*$I23</f>
        <v>0</v>
      </c>
      <c r="CT23" s="25"/>
    </row>
    <row r="24">
      <c r="A24" s="38" t="s">
        <v>66</v>
      </c>
      <c r="B24" s="38" t="s">
        <v>38</v>
      </c>
      <c r="C24" s="1" t="s">
        <v>5</v>
      </c>
      <c r="D24" s="38">
        <v>14207.0</v>
      </c>
      <c r="E24" s="39">
        <v>44621.0</v>
      </c>
      <c r="F24" s="40">
        <v>800000.0</v>
      </c>
      <c r="G24" s="38">
        <v>5.0</v>
      </c>
      <c r="H24" s="41">
        <v>0.4</v>
      </c>
      <c r="I24" s="26">
        <f t="shared" si="11"/>
        <v>0.03333333333</v>
      </c>
      <c r="J24" s="1">
        <f>YEAR(MR_Fixed_Asset_Register_List!F24) - YEAR(E24)</f>
        <v>3</v>
      </c>
      <c r="K24" s="1">
        <f t="shared" si="12"/>
        <v>36</v>
      </c>
      <c r="L24" s="3">
        <f>MR_Fixed_Asset_Register_List!L24</f>
        <v>641666.6667</v>
      </c>
      <c r="M24" s="42"/>
      <c r="N24" s="3">
        <f t="shared" si="19"/>
        <v>21388.88889</v>
      </c>
      <c r="O24" s="3">
        <f>MR_Fixed_Asset_Register_List!O24*$I24</f>
        <v>20675.92593</v>
      </c>
      <c r="P24" s="3">
        <f>MR_Fixed_Asset_Register_List!P24*$I24</f>
        <v>19986.7284</v>
      </c>
      <c r="Q24" s="3">
        <f>MR_Fixed_Asset_Register_List!Q24*$I24</f>
        <v>19320.50412</v>
      </c>
      <c r="R24" s="3">
        <f>MR_Fixed_Asset_Register_List!R24*$I24</f>
        <v>18676.48731</v>
      </c>
      <c r="S24" s="3">
        <f>MR_Fixed_Asset_Register_List!S24*$I24</f>
        <v>18053.93773</v>
      </c>
      <c r="T24" s="3">
        <f>MR_Fixed_Asset_Register_List!T24*$I24</f>
        <v>17452.13981</v>
      </c>
      <c r="U24" s="3">
        <f>MR_Fixed_Asset_Register_List!U24*$I24</f>
        <v>16870.40182</v>
      </c>
      <c r="V24" s="3">
        <f>MR_Fixed_Asset_Register_List!V24*$I24</f>
        <v>16308.05509</v>
      </c>
      <c r="W24" s="3">
        <f>MR_Fixed_Asset_Register_List!W24*$I24</f>
        <v>15764.45325</v>
      </c>
      <c r="X24" s="3">
        <f>MR_Fixed_Asset_Register_List!X24*$I24</f>
        <v>0</v>
      </c>
      <c r="Y24" s="3">
        <f>MR_Fixed_Asset_Register_List!Y24*$I24</f>
        <v>0</v>
      </c>
      <c r="Z24" s="3">
        <f>MR_Fixed_Asset_Register_List!Z24*$I24</f>
        <v>0</v>
      </c>
      <c r="AA24" s="3">
        <f>MR_Fixed_Asset_Register_List!AA24*$I24</f>
        <v>0</v>
      </c>
      <c r="AB24" s="3">
        <f>MR_Fixed_Asset_Register_List!AB24*$I24</f>
        <v>0</v>
      </c>
      <c r="AC24" s="3">
        <f>MR_Fixed_Asset_Register_List!AC24*$I24</f>
        <v>0</v>
      </c>
      <c r="AD24" s="3">
        <f>MR_Fixed_Asset_Register_List!AD24*$I24</f>
        <v>0</v>
      </c>
      <c r="AE24" s="3">
        <f>MR_Fixed_Asset_Register_List!AE24*$I24</f>
        <v>0</v>
      </c>
      <c r="AF24" s="3">
        <f>MR_Fixed_Asset_Register_List!AF24*$I24</f>
        <v>0</v>
      </c>
      <c r="AG24" s="3">
        <f>MR_Fixed_Asset_Register_List!AG24*$I24</f>
        <v>0</v>
      </c>
      <c r="AH24" s="3">
        <f>MR_Fixed_Asset_Register_List!AH24*$I24</f>
        <v>0</v>
      </c>
      <c r="AI24" s="3">
        <f>MR_Fixed_Asset_Register_List!AI24*$I24</f>
        <v>0</v>
      </c>
      <c r="AJ24" s="3">
        <f>MR_Fixed_Asset_Register_List!AJ24*$I24</f>
        <v>0</v>
      </c>
      <c r="AK24" s="3">
        <f>MR_Fixed_Asset_Register_List!AK24*$I24</f>
        <v>0</v>
      </c>
      <c r="AL24" s="3">
        <f>MR_Fixed_Asset_Register_List!AL24*$I24</f>
        <v>0</v>
      </c>
      <c r="AM24" s="3">
        <f>MR_Fixed_Asset_Register_List!AM24*$I24</f>
        <v>0</v>
      </c>
      <c r="AN24" s="3">
        <f>MR_Fixed_Asset_Register_List!AN24*$I24</f>
        <v>0</v>
      </c>
      <c r="AO24" s="3">
        <f>MR_Fixed_Asset_Register_List!AO24*$I24</f>
        <v>0</v>
      </c>
      <c r="AP24" s="3">
        <f>MR_Fixed_Asset_Register_List!AP24*$I24</f>
        <v>0</v>
      </c>
      <c r="AQ24" s="3">
        <f>MR_Fixed_Asset_Register_List!AQ24*$I24</f>
        <v>0</v>
      </c>
      <c r="AR24" s="3">
        <f>MR_Fixed_Asset_Register_List!AR24*$I24</f>
        <v>0</v>
      </c>
      <c r="AS24" s="3">
        <f>MR_Fixed_Asset_Register_List!AS24*$I24</f>
        <v>0</v>
      </c>
      <c r="AT24" s="3">
        <f>MR_Fixed_Asset_Register_List!AT24*$I24</f>
        <v>0</v>
      </c>
      <c r="AU24" s="3">
        <f>MR_Fixed_Asset_Register_List!AU24*$I24</f>
        <v>0</v>
      </c>
      <c r="AV24" s="3">
        <f>MR_Fixed_Asset_Register_List!AV24*$I24</f>
        <v>0</v>
      </c>
      <c r="AW24" s="3">
        <f>MR_Fixed_Asset_Register_List!AW24*$I24</f>
        <v>0</v>
      </c>
      <c r="AX24" s="3">
        <f>MR_Fixed_Asset_Register_List!AX24*$I24</f>
        <v>0</v>
      </c>
      <c r="AY24" s="3">
        <f>MR_Fixed_Asset_Register_List!AY24*$I24</f>
        <v>0</v>
      </c>
      <c r="AZ24" s="3">
        <f>MR_Fixed_Asset_Register_List!AZ24*$I24</f>
        <v>0</v>
      </c>
      <c r="BA24" s="3">
        <f>MR_Fixed_Asset_Register_List!BA24*$I24</f>
        <v>0</v>
      </c>
      <c r="BB24" s="3">
        <f>MR_Fixed_Asset_Register_List!BB24*$I24</f>
        <v>0</v>
      </c>
      <c r="BC24" s="3">
        <f>MR_Fixed_Asset_Register_List!BC24*$I24</f>
        <v>0</v>
      </c>
      <c r="BD24" s="3">
        <f>MR_Fixed_Asset_Register_List!BD24*$I24</f>
        <v>0</v>
      </c>
      <c r="BE24" s="3">
        <f>MR_Fixed_Asset_Register_List!BE24*$I24</f>
        <v>0</v>
      </c>
      <c r="BF24" s="3">
        <f>MR_Fixed_Asset_Register_List!BF24*$I24</f>
        <v>0</v>
      </c>
      <c r="BG24" s="3">
        <f>MR_Fixed_Asset_Register_List!BG24*$I24</f>
        <v>0</v>
      </c>
      <c r="BH24" s="3">
        <f>MR_Fixed_Asset_Register_List!BH24*$I24</f>
        <v>0</v>
      </c>
      <c r="BI24" s="3">
        <f>MR_Fixed_Asset_Register_List!BI24*$I24</f>
        <v>0</v>
      </c>
      <c r="BJ24" s="3">
        <f>MR_Fixed_Asset_Register_List!BJ24*$I24</f>
        <v>0</v>
      </c>
      <c r="BK24" s="3">
        <f>MR_Fixed_Asset_Register_List!BK24*$I24</f>
        <v>0</v>
      </c>
      <c r="BL24" s="3">
        <f>MR_Fixed_Asset_Register_List!BL24*$I24</f>
        <v>0</v>
      </c>
      <c r="BM24" s="3">
        <f>MR_Fixed_Asset_Register_List!BM24*$I24</f>
        <v>0</v>
      </c>
      <c r="BN24" s="3">
        <f>MR_Fixed_Asset_Register_List!BN24*$I24</f>
        <v>0</v>
      </c>
      <c r="BO24" s="3">
        <f>MR_Fixed_Asset_Register_List!BO24*$I24</f>
        <v>0</v>
      </c>
      <c r="BP24" s="3">
        <f>MR_Fixed_Asset_Register_List!BP24*$I24</f>
        <v>0</v>
      </c>
      <c r="BQ24" s="3">
        <f>MR_Fixed_Asset_Register_List!BQ24*$I24</f>
        <v>0</v>
      </c>
      <c r="BR24" s="3">
        <f>MR_Fixed_Asset_Register_List!BR24*$I24</f>
        <v>0</v>
      </c>
      <c r="BS24" s="3">
        <f>MR_Fixed_Asset_Register_List!BS24*$I24</f>
        <v>0</v>
      </c>
      <c r="BT24" s="3">
        <f>MR_Fixed_Asset_Register_List!BT24*$I24</f>
        <v>0</v>
      </c>
      <c r="BU24" s="3">
        <f>MR_Fixed_Asset_Register_List!BU24*$I24</f>
        <v>0</v>
      </c>
      <c r="BV24" s="3">
        <f>MR_Fixed_Asset_Register_List!BV24*$I24</f>
        <v>0</v>
      </c>
      <c r="BW24" s="3">
        <f>MR_Fixed_Asset_Register_List!BW24*$I24</f>
        <v>0</v>
      </c>
      <c r="BX24" s="3">
        <f>MR_Fixed_Asset_Register_List!BX24*$I24</f>
        <v>0</v>
      </c>
      <c r="BY24" s="3">
        <f>MR_Fixed_Asset_Register_List!BY24*$I24</f>
        <v>0</v>
      </c>
      <c r="BZ24" s="3">
        <f>MR_Fixed_Asset_Register_List!BZ24*$I24</f>
        <v>0</v>
      </c>
      <c r="CA24" s="3">
        <f>MR_Fixed_Asset_Register_List!CA24*$I24</f>
        <v>0</v>
      </c>
      <c r="CB24" s="3">
        <f>MR_Fixed_Asset_Register_List!CB24*$I24</f>
        <v>0</v>
      </c>
      <c r="CC24" s="3">
        <f>MR_Fixed_Asset_Register_List!CC24*$I24</f>
        <v>0</v>
      </c>
      <c r="CD24" s="3">
        <f>MR_Fixed_Asset_Register_List!CD24*$I24</f>
        <v>0</v>
      </c>
      <c r="CE24" s="3">
        <f>MR_Fixed_Asset_Register_List!CE24*$I24</f>
        <v>0</v>
      </c>
      <c r="CF24" s="3">
        <f>MR_Fixed_Asset_Register_List!CF24*$I24</f>
        <v>0</v>
      </c>
      <c r="CG24" s="3">
        <f>MR_Fixed_Asset_Register_List!CG24*$I24</f>
        <v>0</v>
      </c>
      <c r="CH24" s="3">
        <f>MR_Fixed_Asset_Register_List!CH24*$I24</f>
        <v>0</v>
      </c>
      <c r="CI24" s="3">
        <f>MR_Fixed_Asset_Register_List!CI24*$I24</f>
        <v>0</v>
      </c>
      <c r="CJ24" s="3">
        <f>MR_Fixed_Asset_Register_List!CJ24*$I24</f>
        <v>0</v>
      </c>
      <c r="CK24" s="3">
        <f>MR_Fixed_Asset_Register_List!CK24*$I24</f>
        <v>0</v>
      </c>
      <c r="CL24" s="3">
        <f>MR_Fixed_Asset_Register_List!CL24*$I24</f>
        <v>0</v>
      </c>
      <c r="CM24" s="3">
        <f>MR_Fixed_Asset_Register_List!CM24*$I24</f>
        <v>0</v>
      </c>
      <c r="CN24" s="3">
        <f>MR_Fixed_Asset_Register_List!CN24*$I24</f>
        <v>0</v>
      </c>
      <c r="CO24" s="3">
        <f>MR_Fixed_Asset_Register_List!CO24*$I24</f>
        <v>0</v>
      </c>
      <c r="CP24" s="3">
        <f>MR_Fixed_Asset_Register_List!CP24*$I24</f>
        <v>0</v>
      </c>
      <c r="CQ24" s="3">
        <f>MR_Fixed_Asset_Register_List!CQ24*$I24</f>
        <v>0</v>
      </c>
      <c r="CR24" s="3">
        <f>MR_Fixed_Asset_Register_List!CR24*$I24</f>
        <v>0</v>
      </c>
      <c r="CS24" s="3">
        <f>MR_Fixed_Asset_Register_List!CS24*$I24</f>
        <v>0</v>
      </c>
      <c r="CT24" s="38"/>
    </row>
    <row r="25">
      <c r="A25" s="38" t="s">
        <v>67</v>
      </c>
      <c r="B25" s="38" t="s">
        <v>39</v>
      </c>
      <c r="C25" s="1" t="s">
        <v>2</v>
      </c>
      <c r="D25" s="38">
        <v>14208.0</v>
      </c>
      <c r="E25" s="39">
        <v>45695.0</v>
      </c>
      <c r="F25" s="40">
        <v>2.1029E8</v>
      </c>
      <c r="G25" s="38"/>
      <c r="H25" s="41"/>
      <c r="I25" s="26"/>
      <c r="J25" s="1"/>
      <c r="K25" s="1"/>
      <c r="L25" s="3">
        <f>MR_Fixed_Asset_Register_List!L25</f>
        <v>210290000</v>
      </c>
      <c r="M25" s="37"/>
      <c r="N25" s="3">
        <f t="shared" si="19"/>
        <v>0</v>
      </c>
      <c r="O25" s="3">
        <f>MR_Fixed_Asset_Register_List!O25*$I25</f>
        <v>0</v>
      </c>
      <c r="P25" s="3">
        <f>MR_Fixed_Asset_Register_List!P25*$I25</f>
        <v>0</v>
      </c>
      <c r="Q25" s="3">
        <f>MR_Fixed_Asset_Register_List!Q25*$I25</f>
        <v>0</v>
      </c>
      <c r="R25" s="3">
        <f>MR_Fixed_Asset_Register_List!R25*$I25</f>
        <v>0</v>
      </c>
      <c r="S25" s="3">
        <f>MR_Fixed_Asset_Register_List!S25*$I25</f>
        <v>0</v>
      </c>
      <c r="T25" s="3">
        <f>MR_Fixed_Asset_Register_List!T25*$I25</f>
        <v>0</v>
      </c>
      <c r="U25" s="3">
        <f>MR_Fixed_Asset_Register_List!U25*$I25</f>
        <v>0</v>
      </c>
      <c r="V25" s="3">
        <f>MR_Fixed_Asset_Register_List!V25*$I25</f>
        <v>0</v>
      </c>
      <c r="W25" s="3">
        <f>MR_Fixed_Asset_Register_List!W25*$I25</f>
        <v>0</v>
      </c>
      <c r="X25" s="3">
        <f>MR_Fixed_Asset_Register_List!X25*$I25</f>
        <v>0</v>
      </c>
      <c r="Y25" s="3">
        <f>MR_Fixed_Asset_Register_List!Y25*$I25</f>
        <v>0</v>
      </c>
      <c r="Z25" s="3">
        <f>MR_Fixed_Asset_Register_List!Z25*$I25</f>
        <v>0</v>
      </c>
      <c r="AA25" s="3">
        <f>MR_Fixed_Asset_Register_List!AA25*$I25</f>
        <v>0</v>
      </c>
      <c r="AB25" s="3">
        <f>MR_Fixed_Asset_Register_List!AB25*$I25</f>
        <v>0</v>
      </c>
      <c r="AC25" s="3">
        <f>MR_Fixed_Asset_Register_List!AC25*$I25</f>
        <v>0</v>
      </c>
      <c r="AD25" s="3">
        <f>MR_Fixed_Asset_Register_List!AD25*$I25</f>
        <v>0</v>
      </c>
      <c r="AE25" s="3">
        <f>MR_Fixed_Asset_Register_List!AE25*$I25</f>
        <v>0</v>
      </c>
      <c r="AF25" s="3">
        <f>MR_Fixed_Asset_Register_List!AF25*$I25</f>
        <v>0</v>
      </c>
      <c r="AG25" s="3">
        <f>MR_Fixed_Asset_Register_List!AG25*$I25</f>
        <v>0</v>
      </c>
      <c r="AH25" s="3">
        <f>MR_Fixed_Asset_Register_List!AH25*$I25</f>
        <v>0</v>
      </c>
      <c r="AI25" s="3">
        <f>MR_Fixed_Asset_Register_List!AI25*$I25</f>
        <v>0</v>
      </c>
      <c r="AJ25" s="3">
        <f>MR_Fixed_Asset_Register_List!AJ25*$I25</f>
        <v>0</v>
      </c>
      <c r="AK25" s="3">
        <f>MR_Fixed_Asset_Register_List!AK25*$I25</f>
        <v>0</v>
      </c>
      <c r="AL25" s="3">
        <f>MR_Fixed_Asset_Register_List!AL25*$I25</f>
        <v>0</v>
      </c>
      <c r="AM25" s="3">
        <f>MR_Fixed_Asset_Register_List!AM25*$I25</f>
        <v>0</v>
      </c>
      <c r="AN25" s="3">
        <f>MR_Fixed_Asset_Register_List!AN25*$I25</f>
        <v>0</v>
      </c>
      <c r="AO25" s="3">
        <f>MR_Fixed_Asset_Register_List!AO25*$I25</f>
        <v>0</v>
      </c>
      <c r="AP25" s="3">
        <f>MR_Fixed_Asset_Register_List!AP25*$I25</f>
        <v>0</v>
      </c>
      <c r="AQ25" s="3">
        <f>MR_Fixed_Asset_Register_List!AQ25*$I25</f>
        <v>0</v>
      </c>
      <c r="AR25" s="3">
        <f>MR_Fixed_Asset_Register_List!AR25*$I25</f>
        <v>0</v>
      </c>
      <c r="AS25" s="3">
        <f>MR_Fixed_Asset_Register_List!AS25*$I25</f>
        <v>0</v>
      </c>
      <c r="AT25" s="3">
        <f>MR_Fixed_Asset_Register_List!AT25*$I25</f>
        <v>0</v>
      </c>
      <c r="AU25" s="3">
        <f>MR_Fixed_Asset_Register_List!AU25*$I25</f>
        <v>0</v>
      </c>
      <c r="AV25" s="3">
        <f>MR_Fixed_Asset_Register_List!AV25*$I25</f>
        <v>0</v>
      </c>
      <c r="AW25" s="3">
        <f>MR_Fixed_Asset_Register_List!AW25*$I25</f>
        <v>0</v>
      </c>
      <c r="AX25" s="3">
        <f>MR_Fixed_Asset_Register_List!AX25*$I25</f>
        <v>0</v>
      </c>
      <c r="AY25" s="3">
        <f>MR_Fixed_Asset_Register_List!AY25*$I25</f>
        <v>0</v>
      </c>
      <c r="AZ25" s="3">
        <f>MR_Fixed_Asset_Register_List!AZ25*$I25</f>
        <v>0</v>
      </c>
      <c r="BA25" s="3">
        <f>MR_Fixed_Asset_Register_List!BA25*$I25</f>
        <v>0</v>
      </c>
      <c r="BB25" s="3">
        <f>MR_Fixed_Asset_Register_List!BB25*$I25</f>
        <v>0</v>
      </c>
      <c r="BC25" s="3">
        <f>MR_Fixed_Asset_Register_List!BC25*$I25</f>
        <v>0</v>
      </c>
      <c r="BD25" s="3">
        <f>MR_Fixed_Asset_Register_List!BD25*$I25</f>
        <v>0</v>
      </c>
      <c r="BE25" s="3">
        <f>MR_Fixed_Asset_Register_List!BE25*$I25</f>
        <v>0</v>
      </c>
      <c r="BF25" s="3">
        <f>MR_Fixed_Asset_Register_List!BF25*$I25</f>
        <v>0</v>
      </c>
      <c r="BG25" s="3">
        <f>MR_Fixed_Asset_Register_List!BG25*$I25</f>
        <v>0</v>
      </c>
      <c r="BH25" s="3">
        <f>MR_Fixed_Asset_Register_List!BH25*$I25</f>
        <v>0</v>
      </c>
      <c r="BI25" s="3">
        <f>MR_Fixed_Asset_Register_List!BI25*$I25</f>
        <v>0</v>
      </c>
      <c r="BJ25" s="3">
        <f>MR_Fixed_Asset_Register_List!BJ25*$I25</f>
        <v>0</v>
      </c>
      <c r="BK25" s="3">
        <f>MR_Fixed_Asset_Register_List!BK25*$I25</f>
        <v>0</v>
      </c>
      <c r="BL25" s="3">
        <f>MR_Fixed_Asset_Register_List!BL25*$I25</f>
        <v>0</v>
      </c>
      <c r="BM25" s="3">
        <f>MR_Fixed_Asset_Register_List!BM25*$I25</f>
        <v>0</v>
      </c>
      <c r="BN25" s="3">
        <f>MR_Fixed_Asset_Register_List!BN25*$I25</f>
        <v>0</v>
      </c>
      <c r="BO25" s="3">
        <f>MR_Fixed_Asset_Register_List!BO25*$I25</f>
        <v>0</v>
      </c>
      <c r="BP25" s="3">
        <f>MR_Fixed_Asset_Register_List!BP25*$I25</f>
        <v>0</v>
      </c>
      <c r="BQ25" s="3">
        <f>MR_Fixed_Asset_Register_List!BQ25*$I25</f>
        <v>0</v>
      </c>
      <c r="BR25" s="3">
        <f>MR_Fixed_Asset_Register_List!BR25*$I25</f>
        <v>0</v>
      </c>
      <c r="BS25" s="3">
        <f>MR_Fixed_Asset_Register_List!BS25*$I25</f>
        <v>0</v>
      </c>
      <c r="BT25" s="3">
        <f>MR_Fixed_Asset_Register_List!BT25*$I25</f>
        <v>0</v>
      </c>
      <c r="BU25" s="3">
        <f>MR_Fixed_Asset_Register_List!BU25*$I25</f>
        <v>0</v>
      </c>
      <c r="BV25" s="3">
        <f>MR_Fixed_Asset_Register_List!BV25*$I25</f>
        <v>0</v>
      </c>
      <c r="BW25" s="3">
        <f>MR_Fixed_Asset_Register_List!BW25*$I25</f>
        <v>0</v>
      </c>
      <c r="BX25" s="3">
        <f>MR_Fixed_Asset_Register_List!BX25*$I25</f>
        <v>0</v>
      </c>
      <c r="BY25" s="3">
        <f>MR_Fixed_Asset_Register_List!BY25*$I25</f>
        <v>0</v>
      </c>
      <c r="BZ25" s="3">
        <f>MR_Fixed_Asset_Register_List!BZ25*$I25</f>
        <v>0</v>
      </c>
      <c r="CA25" s="3">
        <f>MR_Fixed_Asset_Register_List!CA25*$I25</f>
        <v>0</v>
      </c>
      <c r="CB25" s="3">
        <f>MR_Fixed_Asset_Register_List!CB25*$I25</f>
        <v>0</v>
      </c>
      <c r="CC25" s="3">
        <f>MR_Fixed_Asset_Register_List!CC25*$I25</f>
        <v>0</v>
      </c>
      <c r="CD25" s="3">
        <f>MR_Fixed_Asset_Register_List!CD25*$I25</f>
        <v>0</v>
      </c>
      <c r="CE25" s="3">
        <f>MR_Fixed_Asset_Register_List!CE25*$I25</f>
        <v>0</v>
      </c>
      <c r="CF25" s="3">
        <f>MR_Fixed_Asset_Register_List!CF25*$I25</f>
        <v>0</v>
      </c>
      <c r="CG25" s="3">
        <f>MR_Fixed_Asset_Register_List!CG25*$I25</f>
        <v>0</v>
      </c>
      <c r="CH25" s="3">
        <f>MR_Fixed_Asset_Register_List!CH25*$I25</f>
        <v>0</v>
      </c>
      <c r="CI25" s="3">
        <f>MR_Fixed_Asset_Register_List!CI25*$I25</f>
        <v>0</v>
      </c>
      <c r="CJ25" s="3">
        <f>MR_Fixed_Asset_Register_List!CJ25*$I25</f>
        <v>0</v>
      </c>
      <c r="CK25" s="3">
        <f>MR_Fixed_Asset_Register_List!CK25*$I25</f>
        <v>0</v>
      </c>
      <c r="CL25" s="3">
        <f>MR_Fixed_Asset_Register_List!CL25*$I25</f>
        <v>0</v>
      </c>
      <c r="CM25" s="3">
        <f>MR_Fixed_Asset_Register_List!CM25*$I25</f>
        <v>0</v>
      </c>
      <c r="CN25" s="3">
        <f>MR_Fixed_Asset_Register_List!CN25*$I25</f>
        <v>0</v>
      </c>
      <c r="CO25" s="3">
        <f>MR_Fixed_Asset_Register_List!CO25*$I25</f>
        <v>0</v>
      </c>
      <c r="CP25" s="3">
        <f>MR_Fixed_Asset_Register_List!CP25*$I25</f>
        <v>0</v>
      </c>
      <c r="CQ25" s="3">
        <f>MR_Fixed_Asset_Register_List!CQ25*$I25</f>
        <v>0</v>
      </c>
      <c r="CR25" s="3">
        <f>MR_Fixed_Asset_Register_List!CR25*$I25</f>
        <v>0</v>
      </c>
      <c r="CS25" s="3">
        <f>MR_Fixed_Asset_Register_List!CS25*$I25</f>
        <v>0</v>
      </c>
      <c r="CT25" s="38"/>
    </row>
    <row r="26">
      <c r="A26" s="38" t="s">
        <v>68</v>
      </c>
      <c r="B26" s="38" t="s">
        <v>41</v>
      </c>
      <c r="C26" s="1" t="s">
        <v>7</v>
      </c>
      <c r="D26" s="38">
        <v>14209.0</v>
      </c>
      <c r="E26" s="39">
        <v>45703.0</v>
      </c>
      <c r="F26" s="40">
        <v>6856000.0</v>
      </c>
      <c r="G26" s="38">
        <v>5.0</v>
      </c>
      <c r="H26" s="41">
        <v>0.4</v>
      </c>
      <c r="I26" s="26">
        <f t="shared" ref="I26:I31" si="20">H26/12</f>
        <v>0.03333333333</v>
      </c>
      <c r="J26" s="1">
        <f>YEAR(MR_Fixed_Asset_Register_List!F26) - YEAR(E26)</f>
        <v>0</v>
      </c>
      <c r="K26" s="1">
        <f t="shared" ref="K26:K31" si="21">J26*12</f>
        <v>0</v>
      </c>
      <c r="L26" s="3">
        <f>MR_Fixed_Asset_Register_List!L26</f>
        <v>6798866.667</v>
      </c>
      <c r="M26" s="37"/>
      <c r="N26" s="3">
        <f t="shared" si="19"/>
        <v>226628.8889</v>
      </c>
      <c r="O26" s="3">
        <f>MR_Fixed_Asset_Register_List!O26*$I26</f>
        <v>219074.5926</v>
      </c>
      <c r="P26" s="3">
        <f>MR_Fixed_Asset_Register_List!P26*$I26</f>
        <v>211772.1062</v>
      </c>
      <c r="Q26" s="3">
        <f>MR_Fixed_Asset_Register_List!Q26*$I26</f>
        <v>204713.036</v>
      </c>
      <c r="R26" s="3">
        <f>MR_Fixed_Asset_Register_List!R26*$I26</f>
        <v>197889.2681</v>
      </c>
      <c r="S26" s="3">
        <f>MR_Fixed_Asset_Register_List!S26*$I26</f>
        <v>191292.9592</v>
      </c>
      <c r="T26" s="3">
        <f>MR_Fixed_Asset_Register_List!T26*$I26</f>
        <v>184916.5272</v>
      </c>
      <c r="U26" s="3">
        <f>MR_Fixed_Asset_Register_List!U26*$I26</f>
        <v>178752.643</v>
      </c>
      <c r="V26" s="3">
        <f>MR_Fixed_Asset_Register_List!V26*$I26</f>
        <v>172794.2215</v>
      </c>
      <c r="W26" s="3">
        <f>MR_Fixed_Asset_Register_List!W26*$I26</f>
        <v>167034.4141</v>
      </c>
      <c r="X26" s="3">
        <f>MR_Fixed_Asset_Register_List!X26*$I26</f>
        <v>0</v>
      </c>
      <c r="Y26" s="3">
        <f>MR_Fixed_Asset_Register_List!Y26*$I26</f>
        <v>0</v>
      </c>
      <c r="Z26" s="3">
        <f>MR_Fixed_Asset_Register_List!Z26*$I26</f>
        <v>0</v>
      </c>
      <c r="AA26" s="3">
        <f>MR_Fixed_Asset_Register_List!AA26*$I26</f>
        <v>0</v>
      </c>
      <c r="AB26" s="3">
        <f>MR_Fixed_Asset_Register_List!AB26*$I26</f>
        <v>0</v>
      </c>
      <c r="AC26" s="3">
        <f>MR_Fixed_Asset_Register_List!AC26*$I26</f>
        <v>0</v>
      </c>
      <c r="AD26" s="3">
        <f>MR_Fixed_Asset_Register_List!AD26*$I26</f>
        <v>0</v>
      </c>
      <c r="AE26" s="3">
        <f>MR_Fixed_Asset_Register_List!AE26*$I26</f>
        <v>0</v>
      </c>
      <c r="AF26" s="3">
        <f>MR_Fixed_Asset_Register_List!AF26*$I26</f>
        <v>0</v>
      </c>
      <c r="AG26" s="3">
        <f>MR_Fixed_Asset_Register_List!AG26*$I26</f>
        <v>0</v>
      </c>
      <c r="AH26" s="3">
        <f>MR_Fixed_Asset_Register_List!AH26*$I26</f>
        <v>0</v>
      </c>
      <c r="AI26" s="3">
        <f>MR_Fixed_Asset_Register_List!AI26*$I26</f>
        <v>0</v>
      </c>
      <c r="AJ26" s="3">
        <f>MR_Fixed_Asset_Register_List!AJ26*$I26</f>
        <v>0</v>
      </c>
      <c r="AK26" s="3">
        <f>MR_Fixed_Asset_Register_List!AK26*$I26</f>
        <v>0</v>
      </c>
      <c r="AL26" s="3">
        <f>MR_Fixed_Asset_Register_List!AL26*$I26</f>
        <v>0</v>
      </c>
      <c r="AM26" s="3">
        <f>MR_Fixed_Asset_Register_List!AM26*$I26</f>
        <v>0</v>
      </c>
      <c r="AN26" s="3">
        <f>MR_Fixed_Asset_Register_List!AN26*$I26</f>
        <v>0</v>
      </c>
      <c r="AO26" s="3">
        <f>MR_Fixed_Asset_Register_List!AO26*$I26</f>
        <v>0</v>
      </c>
      <c r="AP26" s="3">
        <f>MR_Fixed_Asset_Register_List!AP26*$I26</f>
        <v>0</v>
      </c>
      <c r="AQ26" s="3">
        <f>MR_Fixed_Asset_Register_List!AQ26*$I26</f>
        <v>0</v>
      </c>
      <c r="AR26" s="3">
        <f>MR_Fixed_Asset_Register_List!AR26*$I26</f>
        <v>0</v>
      </c>
      <c r="AS26" s="3">
        <f>MR_Fixed_Asset_Register_List!AS26*$I26</f>
        <v>0</v>
      </c>
      <c r="AT26" s="3">
        <f>MR_Fixed_Asset_Register_List!AT26*$I26</f>
        <v>0</v>
      </c>
      <c r="AU26" s="3">
        <f>MR_Fixed_Asset_Register_List!AU26*$I26</f>
        <v>0</v>
      </c>
      <c r="AV26" s="3">
        <f>MR_Fixed_Asset_Register_List!AV26*$I26</f>
        <v>0</v>
      </c>
      <c r="AW26" s="3">
        <f>MR_Fixed_Asset_Register_List!AW26*$I26</f>
        <v>0</v>
      </c>
      <c r="AX26" s="3">
        <f>MR_Fixed_Asset_Register_List!AX26*$I26</f>
        <v>0</v>
      </c>
      <c r="AY26" s="3">
        <f>MR_Fixed_Asset_Register_List!AY26*$I26</f>
        <v>0</v>
      </c>
      <c r="AZ26" s="3">
        <f>MR_Fixed_Asset_Register_List!AZ26*$I26</f>
        <v>0</v>
      </c>
      <c r="BA26" s="3">
        <f>MR_Fixed_Asset_Register_List!BA26*$I26</f>
        <v>0</v>
      </c>
      <c r="BB26" s="3">
        <f>MR_Fixed_Asset_Register_List!BB26*$I26</f>
        <v>0</v>
      </c>
      <c r="BC26" s="3">
        <f>MR_Fixed_Asset_Register_List!BC26*$I26</f>
        <v>0</v>
      </c>
      <c r="BD26" s="3">
        <f>MR_Fixed_Asset_Register_List!BD26*$I26</f>
        <v>0</v>
      </c>
      <c r="BE26" s="3">
        <f>MR_Fixed_Asset_Register_List!BE26*$I26</f>
        <v>0</v>
      </c>
      <c r="BF26" s="3">
        <f>MR_Fixed_Asset_Register_List!BF26*$I26</f>
        <v>0</v>
      </c>
      <c r="BG26" s="3">
        <f>MR_Fixed_Asset_Register_List!BG26*$I26</f>
        <v>0</v>
      </c>
      <c r="BH26" s="3">
        <f>MR_Fixed_Asset_Register_List!BH26*$I26</f>
        <v>0</v>
      </c>
      <c r="BI26" s="3">
        <f>MR_Fixed_Asset_Register_List!BI26*$I26</f>
        <v>0</v>
      </c>
      <c r="BJ26" s="3">
        <f>MR_Fixed_Asset_Register_List!BJ26*$I26</f>
        <v>0</v>
      </c>
      <c r="BK26" s="3">
        <f>MR_Fixed_Asset_Register_List!BK26*$I26</f>
        <v>0</v>
      </c>
      <c r="BL26" s="3">
        <f>MR_Fixed_Asset_Register_List!BL26*$I26</f>
        <v>0</v>
      </c>
      <c r="BM26" s="3">
        <f>MR_Fixed_Asset_Register_List!BM26*$I26</f>
        <v>0</v>
      </c>
      <c r="BN26" s="3">
        <f>MR_Fixed_Asset_Register_List!BN26*$I26</f>
        <v>0</v>
      </c>
      <c r="BO26" s="3">
        <f>MR_Fixed_Asset_Register_List!BO26*$I26</f>
        <v>0</v>
      </c>
      <c r="BP26" s="3">
        <f>MR_Fixed_Asset_Register_List!BP26*$I26</f>
        <v>0</v>
      </c>
      <c r="BQ26" s="3">
        <f>MR_Fixed_Asset_Register_List!BQ26*$I26</f>
        <v>0</v>
      </c>
      <c r="BR26" s="3">
        <f>MR_Fixed_Asset_Register_List!BR26*$I26</f>
        <v>0</v>
      </c>
      <c r="BS26" s="3">
        <f>MR_Fixed_Asset_Register_List!BS26*$I26</f>
        <v>0</v>
      </c>
      <c r="BT26" s="3">
        <f>MR_Fixed_Asset_Register_List!BT26*$I26</f>
        <v>0</v>
      </c>
      <c r="BU26" s="3">
        <f>MR_Fixed_Asset_Register_List!BU26*$I26</f>
        <v>0</v>
      </c>
      <c r="BV26" s="3">
        <f>MR_Fixed_Asset_Register_List!BV26*$I26</f>
        <v>0</v>
      </c>
      <c r="BW26" s="3">
        <f>MR_Fixed_Asset_Register_List!BW26*$I26</f>
        <v>0</v>
      </c>
      <c r="BX26" s="3">
        <f>MR_Fixed_Asset_Register_List!BX26*$I26</f>
        <v>0</v>
      </c>
      <c r="BY26" s="3">
        <f>MR_Fixed_Asset_Register_List!BY26*$I26</f>
        <v>0</v>
      </c>
      <c r="BZ26" s="3">
        <f>MR_Fixed_Asset_Register_List!BZ26*$I26</f>
        <v>0</v>
      </c>
      <c r="CA26" s="3">
        <f>MR_Fixed_Asset_Register_List!CA26*$I26</f>
        <v>0</v>
      </c>
      <c r="CB26" s="3">
        <f>MR_Fixed_Asset_Register_List!CB26*$I26</f>
        <v>0</v>
      </c>
      <c r="CC26" s="3">
        <f>MR_Fixed_Asset_Register_List!CC26*$I26</f>
        <v>0</v>
      </c>
      <c r="CD26" s="3">
        <f>MR_Fixed_Asset_Register_List!CD26*$I26</f>
        <v>0</v>
      </c>
      <c r="CE26" s="3">
        <f>MR_Fixed_Asset_Register_List!CE26*$I26</f>
        <v>0</v>
      </c>
      <c r="CF26" s="3">
        <f>MR_Fixed_Asset_Register_List!CF26*$I26</f>
        <v>0</v>
      </c>
      <c r="CG26" s="3">
        <f>MR_Fixed_Asset_Register_List!CG26*$I26</f>
        <v>0</v>
      </c>
      <c r="CH26" s="3">
        <f>MR_Fixed_Asset_Register_List!CH26*$I26</f>
        <v>0</v>
      </c>
      <c r="CI26" s="3">
        <f>MR_Fixed_Asset_Register_List!CI26*$I26</f>
        <v>0</v>
      </c>
      <c r="CJ26" s="3">
        <f>MR_Fixed_Asset_Register_List!CJ26*$I26</f>
        <v>0</v>
      </c>
      <c r="CK26" s="3">
        <f>MR_Fixed_Asset_Register_List!CK26*$I26</f>
        <v>0</v>
      </c>
      <c r="CL26" s="3">
        <f>MR_Fixed_Asset_Register_List!CL26*$I26</f>
        <v>0</v>
      </c>
      <c r="CM26" s="3">
        <f>MR_Fixed_Asset_Register_List!CM26*$I26</f>
        <v>0</v>
      </c>
      <c r="CN26" s="3">
        <f>MR_Fixed_Asset_Register_List!CN26*$I26</f>
        <v>0</v>
      </c>
      <c r="CO26" s="3">
        <f>MR_Fixed_Asset_Register_List!CO26*$I26</f>
        <v>0</v>
      </c>
      <c r="CP26" s="3">
        <f>MR_Fixed_Asset_Register_List!CP26*$I26</f>
        <v>0</v>
      </c>
      <c r="CQ26" s="3">
        <f>MR_Fixed_Asset_Register_List!CQ26*$I26</f>
        <v>0</v>
      </c>
      <c r="CR26" s="3">
        <f>MR_Fixed_Asset_Register_List!CR26*$I26</f>
        <v>0</v>
      </c>
      <c r="CS26" s="3">
        <f>MR_Fixed_Asset_Register_List!CS26*$I26</f>
        <v>0</v>
      </c>
      <c r="CT26" s="38"/>
    </row>
    <row r="27">
      <c r="A27" s="38" t="s">
        <v>69</v>
      </c>
      <c r="B27" s="38" t="s">
        <v>42</v>
      </c>
      <c r="C27" s="1" t="s">
        <v>5</v>
      </c>
      <c r="D27" s="38">
        <v>14210.0</v>
      </c>
      <c r="E27" s="39">
        <v>45724.0</v>
      </c>
      <c r="F27" s="40">
        <v>1520000.0</v>
      </c>
      <c r="G27" s="38">
        <v>5.0</v>
      </c>
      <c r="H27" s="41">
        <v>0.4</v>
      </c>
      <c r="I27" s="26">
        <f t="shared" si="20"/>
        <v>0.03333333333</v>
      </c>
      <c r="J27" s="1">
        <f>YEAR(MR_Fixed_Asset_Register_List!F27) - YEAR(E27)</f>
        <v>0</v>
      </c>
      <c r="K27" s="1">
        <f t="shared" si="21"/>
        <v>0</v>
      </c>
      <c r="L27" s="3">
        <f>MR_Fixed_Asset_Register_List!L27</f>
        <v>1507333.333</v>
      </c>
      <c r="M27" s="37"/>
      <c r="N27" s="3">
        <f t="shared" si="19"/>
        <v>50244.44444</v>
      </c>
      <c r="O27" s="3">
        <f>MR_Fixed_Asset_Register_List!O27*$I27</f>
        <v>48569.62963</v>
      </c>
      <c r="P27" s="3">
        <f>MR_Fixed_Asset_Register_List!P27*$I27</f>
        <v>46950.64198</v>
      </c>
      <c r="Q27" s="3">
        <f>MR_Fixed_Asset_Register_List!Q27*$I27</f>
        <v>45385.62058</v>
      </c>
      <c r="R27" s="3">
        <f>MR_Fixed_Asset_Register_List!R27*$I27</f>
        <v>43872.76656</v>
      </c>
      <c r="S27" s="3">
        <f>MR_Fixed_Asset_Register_List!S27*$I27</f>
        <v>42410.34101</v>
      </c>
      <c r="T27" s="3">
        <f>MR_Fixed_Asset_Register_List!T27*$I27</f>
        <v>40996.66297</v>
      </c>
      <c r="U27" s="3">
        <f>MR_Fixed_Asset_Register_List!U27*$I27</f>
        <v>39630.10754</v>
      </c>
      <c r="V27" s="3">
        <f>MR_Fixed_Asset_Register_List!V27*$I27</f>
        <v>38309.10395</v>
      </c>
      <c r="W27" s="3">
        <f>MR_Fixed_Asset_Register_List!W27*$I27</f>
        <v>37032.13382</v>
      </c>
      <c r="X27" s="3">
        <f>MR_Fixed_Asset_Register_List!X27*$I27</f>
        <v>0</v>
      </c>
      <c r="Y27" s="3">
        <f>MR_Fixed_Asset_Register_List!Y27*$I27</f>
        <v>0</v>
      </c>
      <c r="Z27" s="3">
        <f>MR_Fixed_Asset_Register_List!Z27*$I27</f>
        <v>0</v>
      </c>
      <c r="AA27" s="3">
        <f>MR_Fixed_Asset_Register_List!AA27*$I27</f>
        <v>0</v>
      </c>
      <c r="AB27" s="3">
        <f>MR_Fixed_Asset_Register_List!AB27*$I27</f>
        <v>0</v>
      </c>
      <c r="AC27" s="3">
        <f>MR_Fixed_Asset_Register_List!AC27*$I27</f>
        <v>0</v>
      </c>
      <c r="AD27" s="3">
        <f>MR_Fixed_Asset_Register_List!AD27*$I27</f>
        <v>0</v>
      </c>
      <c r="AE27" s="3">
        <f>MR_Fixed_Asset_Register_List!AE27*$I27</f>
        <v>0</v>
      </c>
      <c r="AF27" s="3">
        <f>MR_Fixed_Asset_Register_List!AF27*$I27</f>
        <v>0</v>
      </c>
      <c r="AG27" s="3">
        <f>MR_Fixed_Asset_Register_List!AG27*$I27</f>
        <v>0</v>
      </c>
      <c r="AH27" s="3">
        <f>MR_Fixed_Asset_Register_List!AH27*$I27</f>
        <v>0</v>
      </c>
      <c r="AI27" s="3">
        <f>MR_Fixed_Asset_Register_List!AI27*$I27</f>
        <v>0</v>
      </c>
      <c r="AJ27" s="3">
        <f>MR_Fixed_Asset_Register_List!AJ27*$I27</f>
        <v>0</v>
      </c>
      <c r="AK27" s="3">
        <f>MR_Fixed_Asset_Register_List!AK27*$I27</f>
        <v>0</v>
      </c>
      <c r="AL27" s="3">
        <f>MR_Fixed_Asset_Register_List!AL27*$I27</f>
        <v>0</v>
      </c>
      <c r="AM27" s="3">
        <f>MR_Fixed_Asset_Register_List!AM27*$I27</f>
        <v>0</v>
      </c>
      <c r="AN27" s="3">
        <f>MR_Fixed_Asset_Register_List!AN27*$I27</f>
        <v>0</v>
      </c>
      <c r="AO27" s="3">
        <f>MR_Fixed_Asset_Register_List!AO27*$I27</f>
        <v>0</v>
      </c>
      <c r="AP27" s="3">
        <f>MR_Fixed_Asset_Register_List!AP27*$I27</f>
        <v>0</v>
      </c>
      <c r="AQ27" s="3">
        <f>MR_Fixed_Asset_Register_List!AQ27*$I27</f>
        <v>0</v>
      </c>
      <c r="AR27" s="3">
        <f>MR_Fixed_Asset_Register_List!AR27*$I27</f>
        <v>0</v>
      </c>
      <c r="AS27" s="3">
        <f>MR_Fixed_Asset_Register_List!AS27*$I27</f>
        <v>0</v>
      </c>
      <c r="AT27" s="3">
        <f>MR_Fixed_Asset_Register_List!AT27*$I27</f>
        <v>0</v>
      </c>
      <c r="AU27" s="3">
        <f>MR_Fixed_Asset_Register_List!AU27*$I27</f>
        <v>0</v>
      </c>
      <c r="AV27" s="3">
        <f>MR_Fixed_Asset_Register_List!AV27*$I27</f>
        <v>0</v>
      </c>
      <c r="AW27" s="3">
        <f>MR_Fixed_Asset_Register_List!AW27*$I27</f>
        <v>0</v>
      </c>
      <c r="AX27" s="3">
        <f>MR_Fixed_Asset_Register_List!AX27*$I27</f>
        <v>0</v>
      </c>
      <c r="AY27" s="3">
        <f>MR_Fixed_Asset_Register_List!AY27*$I27</f>
        <v>0</v>
      </c>
      <c r="AZ27" s="3">
        <f>MR_Fixed_Asset_Register_List!AZ27*$I27</f>
        <v>0</v>
      </c>
      <c r="BA27" s="3">
        <f>MR_Fixed_Asset_Register_List!BA27*$I27</f>
        <v>0</v>
      </c>
      <c r="BB27" s="3">
        <f>MR_Fixed_Asset_Register_List!BB27*$I27</f>
        <v>0</v>
      </c>
      <c r="BC27" s="3">
        <f>MR_Fixed_Asset_Register_List!BC27*$I27</f>
        <v>0</v>
      </c>
      <c r="BD27" s="3">
        <f>MR_Fixed_Asset_Register_List!BD27*$I27</f>
        <v>0</v>
      </c>
      <c r="BE27" s="3">
        <f>MR_Fixed_Asset_Register_List!BE27*$I27</f>
        <v>0</v>
      </c>
      <c r="BF27" s="3">
        <f>MR_Fixed_Asset_Register_List!BF27*$I27</f>
        <v>0</v>
      </c>
      <c r="BG27" s="3">
        <f>MR_Fixed_Asset_Register_List!BG27*$I27</f>
        <v>0</v>
      </c>
      <c r="BH27" s="3">
        <f>MR_Fixed_Asset_Register_List!BH27*$I27</f>
        <v>0</v>
      </c>
      <c r="BI27" s="3">
        <f>MR_Fixed_Asset_Register_List!BI27*$I27</f>
        <v>0</v>
      </c>
      <c r="BJ27" s="3">
        <f>MR_Fixed_Asset_Register_List!BJ27*$I27</f>
        <v>0</v>
      </c>
      <c r="BK27" s="3">
        <f>MR_Fixed_Asset_Register_List!BK27*$I27</f>
        <v>0</v>
      </c>
      <c r="BL27" s="3">
        <f>MR_Fixed_Asset_Register_List!BL27*$I27</f>
        <v>0</v>
      </c>
      <c r="BM27" s="3">
        <f>MR_Fixed_Asset_Register_List!BM27*$I27</f>
        <v>0</v>
      </c>
      <c r="BN27" s="3">
        <f>MR_Fixed_Asset_Register_List!BN27*$I27</f>
        <v>0</v>
      </c>
      <c r="BO27" s="3">
        <f>MR_Fixed_Asset_Register_List!BO27*$I27</f>
        <v>0</v>
      </c>
      <c r="BP27" s="3">
        <f>MR_Fixed_Asset_Register_List!BP27*$I27</f>
        <v>0</v>
      </c>
      <c r="BQ27" s="3">
        <f>MR_Fixed_Asset_Register_List!BQ27*$I27</f>
        <v>0</v>
      </c>
      <c r="BR27" s="3">
        <f>MR_Fixed_Asset_Register_List!BR27*$I27</f>
        <v>0</v>
      </c>
      <c r="BS27" s="3">
        <f>MR_Fixed_Asset_Register_List!BS27*$I27</f>
        <v>0</v>
      </c>
      <c r="BT27" s="3">
        <f>MR_Fixed_Asset_Register_List!BT27*$I27</f>
        <v>0</v>
      </c>
      <c r="BU27" s="3">
        <f>MR_Fixed_Asset_Register_List!BU27*$I27</f>
        <v>0</v>
      </c>
      <c r="BV27" s="3">
        <f>MR_Fixed_Asset_Register_List!BV27*$I27</f>
        <v>0</v>
      </c>
      <c r="BW27" s="3">
        <f>MR_Fixed_Asset_Register_List!BW27*$I27</f>
        <v>0</v>
      </c>
      <c r="BX27" s="3">
        <f>MR_Fixed_Asset_Register_List!BX27*$I27</f>
        <v>0</v>
      </c>
      <c r="BY27" s="3">
        <f>MR_Fixed_Asset_Register_List!BY27*$I27</f>
        <v>0</v>
      </c>
      <c r="BZ27" s="3">
        <f>MR_Fixed_Asset_Register_List!BZ27*$I27</f>
        <v>0</v>
      </c>
      <c r="CA27" s="3">
        <f>MR_Fixed_Asset_Register_List!CA27*$I27</f>
        <v>0</v>
      </c>
      <c r="CB27" s="3">
        <f>MR_Fixed_Asset_Register_List!CB27*$I27</f>
        <v>0</v>
      </c>
      <c r="CC27" s="3">
        <f>MR_Fixed_Asset_Register_List!CC27*$I27</f>
        <v>0</v>
      </c>
      <c r="CD27" s="3">
        <f>MR_Fixed_Asset_Register_List!CD27*$I27</f>
        <v>0</v>
      </c>
      <c r="CE27" s="3">
        <f>MR_Fixed_Asset_Register_List!CE27*$I27</f>
        <v>0</v>
      </c>
      <c r="CF27" s="3">
        <f>MR_Fixed_Asset_Register_List!CF27*$I27</f>
        <v>0</v>
      </c>
      <c r="CG27" s="3">
        <f>MR_Fixed_Asset_Register_List!CG27*$I27</f>
        <v>0</v>
      </c>
      <c r="CH27" s="3">
        <f>MR_Fixed_Asset_Register_List!CH27*$I27</f>
        <v>0</v>
      </c>
      <c r="CI27" s="3">
        <f>MR_Fixed_Asset_Register_List!CI27*$I27</f>
        <v>0</v>
      </c>
      <c r="CJ27" s="3">
        <f>MR_Fixed_Asset_Register_List!CJ27*$I27</f>
        <v>0</v>
      </c>
      <c r="CK27" s="3">
        <f>MR_Fixed_Asset_Register_List!CK27*$I27</f>
        <v>0</v>
      </c>
      <c r="CL27" s="3">
        <f>MR_Fixed_Asset_Register_List!CL27*$I27</f>
        <v>0</v>
      </c>
      <c r="CM27" s="3">
        <f>MR_Fixed_Asset_Register_List!CM27*$I27</f>
        <v>0</v>
      </c>
      <c r="CN27" s="3">
        <f>MR_Fixed_Asset_Register_List!CN27*$I27</f>
        <v>0</v>
      </c>
      <c r="CO27" s="3">
        <f>MR_Fixed_Asset_Register_List!CO27*$I27</f>
        <v>0</v>
      </c>
      <c r="CP27" s="3">
        <f>MR_Fixed_Asset_Register_List!CP27*$I27</f>
        <v>0</v>
      </c>
      <c r="CQ27" s="3">
        <f>MR_Fixed_Asset_Register_List!CQ27*$I27</f>
        <v>0</v>
      </c>
      <c r="CR27" s="3">
        <f>MR_Fixed_Asset_Register_List!CR27*$I27</f>
        <v>0</v>
      </c>
      <c r="CS27" s="3">
        <f>MR_Fixed_Asset_Register_List!CS27*$I27</f>
        <v>0</v>
      </c>
      <c r="CT27" s="38"/>
    </row>
    <row r="28">
      <c r="A28" s="38" t="s">
        <v>70</v>
      </c>
      <c r="B28" s="38" t="s">
        <v>43</v>
      </c>
      <c r="C28" s="1" t="s">
        <v>7</v>
      </c>
      <c r="D28" s="38">
        <v>14211.0</v>
      </c>
      <c r="E28" s="39">
        <v>45866.0</v>
      </c>
      <c r="F28" s="40">
        <v>9.2E7</v>
      </c>
      <c r="G28" s="38">
        <v>5.0</v>
      </c>
      <c r="H28" s="41">
        <v>0.4</v>
      </c>
      <c r="I28" s="26">
        <f t="shared" si="20"/>
        <v>0.03333333333</v>
      </c>
      <c r="J28" s="1">
        <f>YEAR(MR_Fixed_Asset_Register_List!F28) - YEAR(E28)</f>
        <v>0</v>
      </c>
      <c r="K28" s="1">
        <f t="shared" si="21"/>
        <v>0</v>
      </c>
      <c r="L28" s="1">
        <f>MR_Fixed_Asset_Register_List!L28</f>
        <v>0</v>
      </c>
      <c r="M28" s="37"/>
      <c r="N28" s="3">
        <f t="shared" si="19"/>
        <v>0</v>
      </c>
      <c r="O28" s="3">
        <f>MR_Fixed_Asset_Register_List!O28*$I28</f>
        <v>0</v>
      </c>
      <c r="P28" s="3">
        <f>MR_Fixed_Asset_Register_List!P28*$I28</f>
        <v>0</v>
      </c>
      <c r="Q28" s="3">
        <f>MR_Fixed_Asset_Register_List!Q28*$I28</f>
        <v>0</v>
      </c>
      <c r="R28" s="43"/>
      <c r="S28" s="43"/>
      <c r="T28" s="43"/>
      <c r="U28" s="43"/>
      <c r="V28" s="3">
        <f>MR_Fixed_Asset_Register_List!V28*$I28</f>
        <v>3066666.667</v>
      </c>
      <c r="W28" s="3">
        <f>MR_Fixed_Asset_Register_List!W28*$I28</f>
        <v>2964444.444</v>
      </c>
      <c r="X28" s="3">
        <f>MR_Fixed_Asset_Register_List!X28*$I28</f>
        <v>0</v>
      </c>
      <c r="Y28" s="3">
        <f>MR_Fixed_Asset_Register_List!Y28*$I28</f>
        <v>0</v>
      </c>
      <c r="Z28" s="3">
        <f>MR_Fixed_Asset_Register_List!Z28*$I28</f>
        <v>0</v>
      </c>
      <c r="AA28" s="3">
        <f>MR_Fixed_Asset_Register_List!AA28*$I28</f>
        <v>0</v>
      </c>
      <c r="AB28" s="3">
        <f>MR_Fixed_Asset_Register_List!AB28*$I28</f>
        <v>0</v>
      </c>
      <c r="AC28" s="3">
        <f>MR_Fixed_Asset_Register_List!AC28*$I28</f>
        <v>0</v>
      </c>
      <c r="AD28" s="3">
        <f>MR_Fixed_Asset_Register_List!AD28*$I28</f>
        <v>0</v>
      </c>
      <c r="AE28" s="3">
        <f>MR_Fixed_Asset_Register_List!AE28*$I28</f>
        <v>0</v>
      </c>
      <c r="AF28" s="3">
        <f>MR_Fixed_Asset_Register_List!AF28*$I28</f>
        <v>0</v>
      </c>
      <c r="AG28" s="3">
        <f>MR_Fixed_Asset_Register_List!AG28*$I28</f>
        <v>0</v>
      </c>
      <c r="AH28" s="3">
        <f>MR_Fixed_Asset_Register_List!AH28*$I28</f>
        <v>0</v>
      </c>
      <c r="AI28" s="3">
        <f>MR_Fixed_Asset_Register_List!AI28*$I28</f>
        <v>0</v>
      </c>
      <c r="AJ28" s="3">
        <f>MR_Fixed_Asset_Register_List!AJ28*$I28</f>
        <v>0</v>
      </c>
      <c r="AK28" s="3">
        <f>MR_Fixed_Asset_Register_List!AK28*$I28</f>
        <v>0</v>
      </c>
      <c r="AL28" s="3">
        <f>MR_Fixed_Asset_Register_List!AL28*$I28</f>
        <v>0</v>
      </c>
      <c r="AM28" s="3">
        <f>MR_Fixed_Asset_Register_List!AM28*$I28</f>
        <v>0</v>
      </c>
      <c r="AN28" s="3">
        <f>MR_Fixed_Asset_Register_List!AN28*$I28</f>
        <v>0</v>
      </c>
      <c r="AO28" s="3">
        <f>MR_Fixed_Asset_Register_List!AO28*$I28</f>
        <v>0</v>
      </c>
      <c r="AP28" s="3">
        <f>MR_Fixed_Asset_Register_List!AP28*$I28</f>
        <v>0</v>
      </c>
      <c r="AQ28" s="3">
        <f>MR_Fixed_Asset_Register_List!AQ28*$I28</f>
        <v>0</v>
      </c>
      <c r="AR28" s="3">
        <f>MR_Fixed_Asset_Register_List!AR28*$I28</f>
        <v>0</v>
      </c>
      <c r="AS28" s="3">
        <f>MR_Fixed_Asset_Register_List!AS28*$I28</f>
        <v>0</v>
      </c>
      <c r="AT28" s="3">
        <f>MR_Fixed_Asset_Register_List!AT28*$I28</f>
        <v>0</v>
      </c>
      <c r="AU28" s="3">
        <f>MR_Fixed_Asset_Register_List!AU28*$I28</f>
        <v>0</v>
      </c>
      <c r="AV28" s="3">
        <f>MR_Fixed_Asset_Register_List!AV28*$I28</f>
        <v>0</v>
      </c>
      <c r="AW28" s="3">
        <f>MR_Fixed_Asset_Register_List!AW28*$I28</f>
        <v>0</v>
      </c>
      <c r="AX28" s="3">
        <f>MR_Fixed_Asset_Register_List!AX28*$I28</f>
        <v>0</v>
      </c>
      <c r="AY28" s="3">
        <f>MR_Fixed_Asset_Register_List!AY28*$I28</f>
        <v>0</v>
      </c>
      <c r="AZ28" s="3">
        <f>MR_Fixed_Asset_Register_List!AZ28*$I28</f>
        <v>0</v>
      </c>
      <c r="BA28" s="3">
        <f>MR_Fixed_Asset_Register_List!BA28*$I28</f>
        <v>0</v>
      </c>
      <c r="BB28" s="3">
        <f>MR_Fixed_Asset_Register_List!BB28*$I28</f>
        <v>0</v>
      </c>
      <c r="BC28" s="3">
        <f>MR_Fixed_Asset_Register_List!BC28*$I28</f>
        <v>0</v>
      </c>
      <c r="BD28" s="3">
        <f>MR_Fixed_Asset_Register_List!BD28*$I28</f>
        <v>0</v>
      </c>
      <c r="BE28" s="3">
        <f>MR_Fixed_Asset_Register_List!BE28*$I28</f>
        <v>0</v>
      </c>
      <c r="BF28" s="3">
        <f>MR_Fixed_Asset_Register_List!BF28*$I28</f>
        <v>0</v>
      </c>
      <c r="BG28" s="3">
        <f>MR_Fixed_Asset_Register_List!BG28*$I28</f>
        <v>0</v>
      </c>
      <c r="BH28" s="3">
        <f>MR_Fixed_Asset_Register_List!BH28*$I28</f>
        <v>0</v>
      </c>
      <c r="BI28" s="3">
        <f>MR_Fixed_Asset_Register_List!BI28*$I28</f>
        <v>0</v>
      </c>
      <c r="BJ28" s="3">
        <f>MR_Fixed_Asset_Register_List!BJ28*$I28</f>
        <v>0</v>
      </c>
      <c r="BK28" s="3">
        <f>MR_Fixed_Asset_Register_List!BK28*$I28</f>
        <v>0</v>
      </c>
      <c r="BL28" s="3">
        <f>MR_Fixed_Asset_Register_List!BL28*$I28</f>
        <v>0</v>
      </c>
      <c r="BM28" s="3">
        <f>MR_Fixed_Asset_Register_List!BM28*$I28</f>
        <v>0</v>
      </c>
      <c r="BN28" s="3">
        <f>MR_Fixed_Asset_Register_List!BN28*$I28</f>
        <v>0</v>
      </c>
      <c r="BO28" s="3">
        <f>MR_Fixed_Asset_Register_List!BO28*$I28</f>
        <v>0</v>
      </c>
      <c r="BP28" s="3">
        <f>MR_Fixed_Asset_Register_List!BP28*$I28</f>
        <v>0</v>
      </c>
      <c r="BQ28" s="3">
        <f>MR_Fixed_Asset_Register_List!BQ28*$I28</f>
        <v>0</v>
      </c>
      <c r="BR28" s="3">
        <f>MR_Fixed_Asset_Register_List!BR28*$I28</f>
        <v>0</v>
      </c>
      <c r="BS28" s="3">
        <f>MR_Fixed_Asset_Register_List!BS28*$I28</f>
        <v>0</v>
      </c>
      <c r="BT28" s="3">
        <f>MR_Fixed_Asset_Register_List!BT28*$I28</f>
        <v>0</v>
      </c>
      <c r="BU28" s="3">
        <f>MR_Fixed_Asset_Register_List!BU28*$I28</f>
        <v>0</v>
      </c>
      <c r="BV28" s="3">
        <f>MR_Fixed_Asset_Register_List!BV28*$I28</f>
        <v>0</v>
      </c>
      <c r="BW28" s="3">
        <f>MR_Fixed_Asset_Register_List!BW28*$I28</f>
        <v>0</v>
      </c>
      <c r="BX28" s="3">
        <f>MR_Fixed_Asset_Register_List!BX28*$I28</f>
        <v>0</v>
      </c>
      <c r="BY28" s="3">
        <f>MR_Fixed_Asset_Register_List!BY28*$I28</f>
        <v>0</v>
      </c>
      <c r="BZ28" s="3">
        <f>MR_Fixed_Asset_Register_List!BZ28*$I28</f>
        <v>0</v>
      </c>
      <c r="CA28" s="3">
        <f>MR_Fixed_Asset_Register_List!CA28*$I28</f>
        <v>0</v>
      </c>
      <c r="CB28" s="3">
        <f>MR_Fixed_Asset_Register_List!CB28*$I28</f>
        <v>0</v>
      </c>
      <c r="CC28" s="3">
        <f>MR_Fixed_Asset_Register_List!CC28*$I28</f>
        <v>0</v>
      </c>
      <c r="CD28" s="3">
        <f>MR_Fixed_Asset_Register_List!CD28*$I28</f>
        <v>0</v>
      </c>
      <c r="CE28" s="3">
        <f>MR_Fixed_Asset_Register_List!CE28*$I28</f>
        <v>0</v>
      </c>
      <c r="CF28" s="3">
        <f>MR_Fixed_Asset_Register_List!CF28*$I28</f>
        <v>0</v>
      </c>
      <c r="CG28" s="3">
        <f>MR_Fixed_Asset_Register_List!CG28*$I28</f>
        <v>0</v>
      </c>
      <c r="CH28" s="3">
        <f>MR_Fixed_Asset_Register_List!CH28*$I28</f>
        <v>0</v>
      </c>
      <c r="CI28" s="3">
        <f>MR_Fixed_Asset_Register_List!CI28*$I28</f>
        <v>0</v>
      </c>
      <c r="CJ28" s="3">
        <f>MR_Fixed_Asset_Register_List!CJ28*$I28</f>
        <v>0</v>
      </c>
      <c r="CK28" s="3">
        <f>MR_Fixed_Asset_Register_List!CK28*$I28</f>
        <v>0</v>
      </c>
      <c r="CL28" s="3">
        <f>MR_Fixed_Asset_Register_List!CL28*$I28</f>
        <v>0</v>
      </c>
      <c r="CM28" s="3">
        <f>MR_Fixed_Asset_Register_List!CM28*$I28</f>
        <v>0</v>
      </c>
      <c r="CN28" s="3">
        <f>MR_Fixed_Asset_Register_List!CN28*$I28</f>
        <v>0</v>
      </c>
      <c r="CO28" s="3">
        <f>MR_Fixed_Asset_Register_List!CO28*$I28</f>
        <v>0</v>
      </c>
      <c r="CP28" s="3">
        <f>MR_Fixed_Asset_Register_List!CP28*$I28</f>
        <v>0</v>
      </c>
      <c r="CQ28" s="3">
        <f>MR_Fixed_Asset_Register_List!CQ28*$I28</f>
        <v>0</v>
      </c>
      <c r="CR28" s="3">
        <f>MR_Fixed_Asset_Register_List!CR28*$I28</f>
        <v>0</v>
      </c>
      <c r="CS28" s="3">
        <f>MR_Fixed_Asset_Register_List!CS28*$I28</f>
        <v>0</v>
      </c>
      <c r="CT28" s="38"/>
    </row>
    <row r="29">
      <c r="A29" s="38" t="s">
        <v>71</v>
      </c>
      <c r="B29" s="38" t="s">
        <v>44</v>
      </c>
      <c r="C29" s="1" t="s">
        <v>5</v>
      </c>
      <c r="D29" s="38">
        <v>14212.0</v>
      </c>
      <c r="E29" s="39">
        <v>45868.0</v>
      </c>
      <c r="F29" s="40">
        <v>6.8E7</v>
      </c>
      <c r="G29" s="38">
        <v>5.0</v>
      </c>
      <c r="H29" s="41">
        <v>0.4</v>
      </c>
      <c r="I29" s="26">
        <f t="shared" si="20"/>
        <v>0.03333333333</v>
      </c>
      <c r="J29" s="1">
        <f>YEAR(MR_Fixed_Asset_Register_List!F29) - YEAR(E29)</f>
        <v>0</v>
      </c>
      <c r="K29" s="1">
        <f t="shared" si="21"/>
        <v>0</v>
      </c>
      <c r="L29" s="1">
        <f>MR_Fixed_Asset_Register_List!L29</f>
        <v>0</v>
      </c>
      <c r="M29" s="37"/>
      <c r="N29" s="3">
        <f t="shared" si="19"/>
        <v>0</v>
      </c>
      <c r="O29" s="3">
        <f>MR_Fixed_Asset_Register_List!O29*$I29</f>
        <v>0</v>
      </c>
      <c r="P29" s="3">
        <f>MR_Fixed_Asset_Register_List!P29*$I29</f>
        <v>0</v>
      </c>
      <c r="Q29" s="3">
        <f>MR_Fixed_Asset_Register_List!Q29*$I29</f>
        <v>0</v>
      </c>
      <c r="R29" s="43"/>
      <c r="S29" s="43"/>
      <c r="T29" s="43"/>
      <c r="U29" s="43"/>
      <c r="V29" s="3">
        <f>MR_Fixed_Asset_Register_List!V29*$I29</f>
        <v>2266666.667</v>
      </c>
      <c r="W29" s="3">
        <f>MR_Fixed_Asset_Register_List!W29*$I29</f>
        <v>2191111.111</v>
      </c>
      <c r="X29" s="3">
        <f>MR_Fixed_Asset_Register_List!X29*$I29</f>
        <v>0</v>
      </c>
      <c r="Y29" s="3">
        <f>MR_Fixed_Asset_Register_List!Y29*$I29</f>
        <v>0</v>
      </c>
      <c r="Z29" s="3">
        <f>MR_Fixed_Asset_Register_List!Z29*$I29</f>
        <v>0</v>
      </c>
      <c r="AA29" s="3">
        <f>MR_Fixed_Asset_Register_List!AA29*$I29</f>
        <v>0</v>
      </c>
      <c r="AB29" s="3">
        <f>MR_Fixed_Asset_Register_List!AB29*$I29</f>
        <v>0</v>
      </c>
      <c r="AC29" s="3">
        <f>MR_Fixed_Asset_Register_List!AC29*$I29</f>
        <v>0</v>
      </c>
      <c r="AD29" s="3">
        <f>MR_Fixed_Asset_Register_List!AD29*$I29</f>
        <v>0</v>
      </c>
      <c r="AE29" s="3">
        <f>MR_Fixed_Asset_Register_List!AE29*$I29</f>
        <v>0</v>
      </c>
      <c r="AF29" s="3">
        <f>MR_Fixed_Asset_Register_List!AF29*$I29</f>
        <v>0</v>
      </c>
      <c r="AG29" s="3">
        <f>MR_Fixed_Asset_Register_List!AG29*$I29</f>
        <v>0</v>
      </c>
      <c r="AH29" s="3">
        <f>MR_Fixed_Asset_Register_List!AH29*$I29</f>
        <v>0</v>
      </c>
      <c r="AI29" s="3">
        <f>MR_Fixed_Asset_Register_List!AI29*$I29</f>
        <v>0</v>
      </c>
      <c r="AJ29" s="3">
        <f>MR_Fixed_Asset_Register_List!AJ29*$I29</f>
        <v>0</v>
      </c>
      <c r="AK29" s="3">
        <f>MR_Fixed_Asset_Register_List!AK29*$I29</f>
        <v>0</v>
      </c>
      <c r="AL29" s="3">
        <f>MR_Fixed_Asset_Register_List!AL29*$I29</f>
        <v>0</v>
      </c>
      <c r="AM29" s="3">
        <f>MR_Fixed_Asset_Register_List!AM29*$I29</f>
        <v>0</v>
      </c>
      <c r="AN29" s="3">
        <f>MR_Fixed_Asset_Register_List!AN29*$I29</f>
        <v>0</v>
      </c>
      <c r="AO29" s="3">
        <f>MR_Fixed_Asset_Register_List!AO29*$I29</f>
        <v>0</v>
      </c>
      <c r="AP29" s="3">
        <f>MR_Fixed_Asset_Register_List!AP29*$I29</f>
        <v>0</v>
      </c>
      <c r="AQ29" s="3">
        <f>MR_Fixed_Asset_Register_List!AQ29*$I29</f>
        <v>0</v>
      </c>
      <c r="AR29" s="3">
        <f>MR_Fixed_Asset_Register_List!AR29*$I29</f>
        <v>0</v>
      </c>
      <c r="AS29" s="3">
        <f>MR_Fixed_Asset_Register_List!AS29*$I29</f>
        <v>0</v>
      </c>
      <c r="AT29" s="3">
        <f>MR_Fixed_Asset_Register_List!AT29*$I29</f>
        <v>0</v>
      </c>
      <c r="AU29" s="3">
        <f>MR_Fixed_Asset_Register_List!AU29*$I29</f>
        <v>0</v>
      </c>
      <c r="AV29" s="3">
        <f>MR_Fixed_Asset_Register_List!AV29*$I29</f>
        <v>0</v>
      </c>
      <c r="AW29" s="3">
        <f>MR_Fixed_Asset_Register_List!AW29*$I29</f>
        <v>0</v>
      </c>
      <c r="AX29" s="3">
        <f>MR_Fixed_Asset_Register_List!AX29*$I29</f>
        <v>0</v>
      </c>
      <c r="AY29" s="3">
        <f>MR_Fixed_Asset_Register_List!AY29*$I29</f>
        <v>0</v>
      </c>
      <c r="AZ29" s="3">
        <f>MR_Fixed_Asset_Register_List!AZ29*$I29</f>
        <v>0</v>
      </c>
      <c r="BA29" s="3">
        <f>MR_Fixed_Asset_Register_List!BA29*$I29</f>
        <v>0</v>
      </c>
      <c r="BB29" s="3">
        <f>MR_Fixed_Asset_Register_List!BB29*$I29</f>
        <v>0</v>
      </c>
      <c r="BC29" s="3">
        <f>MR_Fixed_Asset_Register_List!BC29*$I29</f>
        <v>0</v>
      </c>
      <c r="BD29" s="3">
        <f>MR_Fixed_Asset_Register_List!BD29*$I29</f>
        <v>0</v>
      </c>
      <c r="BE29" s="3">
        <f>MR_Fixed_Asset_Register_List!BE29*$I29</f>
        <v>0</v>
      </c>
      <c r="BF29" s="3">
        <f>MR_Fixed_Asset_Register_List!BF29*$I29</f>
        <v>0</v>
      </c>
      <c r="BG29" s="3">
        <f>MR_Fixed_Asset_Register_List!BG29*$I29</f>
        <v>0</v>
      </c>
      <c r="BH29" s="3">
        <f>MR_Fixed_Asset_Register_List!BH29*$I29</f>
        <v>0</v>
      </c>
      <c r="BI29" s="3">
        <f>MR_Fixed_Asset_Register_List!BI29*$I29</f>
        <v>0</v>
      </c>
      <c r="BJ29" s="3">
        <f>MR_Fixed_Asset_Register_List!BJ29*$I29</f>
        <v>0</v>
      </c>
      <c r="BK29" s="3">
        <f>MR_Fixed_Asset_Register_List!BK29*$I29</f>
        <v>0</v>
      </c>
      <c r="BL29" s="3">
        <f>MR_Fixed_Asset_Register_List!BL29*$I29</f>
        <v>0</v>
      </c>
      <c r="BM29" s="3">
        <f>MR_Fixed_Asset_Register_List!BM29*$I29</f>
        <v>0</v>
      </c>
      <c r="BN29" s="3">
        <f>MR_Fixed_Asset_Register_List!BN29*$I29</f>
        <v>0</v>
      </c>
      <c r="BO29" s="3">
        <f>MR_Fixed_Asset_Register_List!BO29*$I29</f>
        <v>0</v>
      </c>
      <c r="BP29" s="3">
        <f>MR_Fixed_Asset_Register_List!BP29*$I29</f>
        <v>0</v>
      </c>
      <c r="BQ29" s="3">
        <f>MR_Fixed_Asset_Register_List!BQ29*$I29</f>
        <v>0</v>
      </c>
      <c r="BR29" s="3">
        <f>MR_Fixed_Asset_Register_List!BR29*$I29</f>
        <v>0</v>
      </c>
      <c r="BS29" s="3">
        <f>MR_Fixed_Asset_Register_List!BS29*$I29</f>
        <v>0</v>
      </c>
      <c r="BT29" s="3">
        <f>MR_Fixed_Asset_Register_List!BT29*$I29</f>
        <v>0</v>
      </c>
      <c r="BU29" s="3">
        <f>MR_Fixed_Asset_Register_List!BU29*$I29</f>
        <v>0</v>
      </c>
      <c r="BV29" s="3">
        <f>MR_Fixed_Asset_Register_List!BV29*$I29</f>
        <v>0</v>
      </c>
      <c r="BW29" s="3">
        <f>MR_Fixed_Asset_Register_List!BW29*$I29</f>
        <v>0</v>
      </c>
      <c r="BX29" s="3">
        <f>MR_Fixed_Asset_Register_List!BX29*$I29</f>
        <v>0</v>
      </c>
      <c r="BY29" s="3">
        <f>MR_Fixed_Asset_Register_List!BY29*$I29</f>
        <v>0</v>
      </c>
      <c r="BZ29" s="3">
        <f>MR_Fixed_Asset_Register_List!BZ29*$I29</f>
        <v>0</v>
      </c>
      <c r="CA29" s="3">
        <f>MR_Fixed_Asset_Register_List!CA29*$I29</f>
        <v>0</v>
      </c>
      <c r="CB29" s="3">
        <f>MR_Fixed_Asset_Register_List!CB29*$I29</f>
        <v>0</v>
      </c>
      <c r="CC29" s="3">
        <f>MR_Fixed_Asset_Register_List!CC29*$I29</f>
        <v>0</v>
      </c>
      <c r="CD29" s="3">
        <f>MR_Fixed_Asset_Register_List!CD29*$I29</f>
        <v>0</v>
      </c>
      <c r="CE29" s="3">
        <f>MR_Fixed_Asset_Register_List!CE29*$I29</f>
        <v>0</v>
      </c>
      <c r="CF29" s="3">
        <f>MR_Fixed_Asset_Register_List!CF29*$I29</f>
        <v>0</v>
      </c>
      <c r="CG29" s="3">
        <f>MR_Fixed_Asset_Register_List!CG29*$I29</f>
        <v>0</v>
      </c>
      <c r="CH29" s="3">
        <f>MR_Fixed_Asset_Register_List!CH29*$I29</f>
        <v>0</v>
      </c>
      <c r="CI29" s="3">
        <f>MR_Fixed_Asset_Register_List!CI29*$I29</f>
        <v>0</v>
      </c>
      <c r="CJ29" s="3">
        <f>MR_Fixed_Asset_Register_List!CJ29*$I29</f>
        <v>0</v>
      </c>
      <c r="CK29" s="3">
        <f>MR_Fixed_Asset_Register_List!CK29*$I29</f>
        <v>0</v>
      </c>
      <c r="CL29" s="3">
        <f>MR_Fixed_Asset_Register_List!CL29*$I29</f>
        <v>0</v>
      </c>
      <c r="CM29" s="3">
        <f>MR_Fixed_Asset_Register_List!CM29*$I29</f>
        <v>0</v>
      </c>
      <c r="CN29" s="3">
        <f>MR_Fixed_Asset_Register_List!CN29*$I29</f>
        <v>0</v>
      </c>
      <c r="CO29" s="3">
        <f>MR_Fixed_Asset_Register_List!CO29*$I29</f>
        <v>0</v>
      </c>
      <c r="CP29" s="3">
        <f>MR_Fixed_Asset_Register_List!CP29*$I29</f>
        <v>0</v>
      </c>
      <c r="CQ29" s="3">
        <f>MR_Fixed_Asset_Register_List!CQ29*$I29</f>
        <v>0</v>
      </c>
      <c r="CR29" s="3">
        <f>MR_Fixed_Asset_Register_List!CR29*$I29</f>
        <v>0</v>
      </c>
      <c r="CS29" s="3">
        <f>MR_Fixed_Asset_Register_List!CS29*$I29</f>
        <v>0</v>
      </c>
      <c r="CT29" s="38"/>
    </row>
    <row r="30">
      <c r="A30" s="38" t="s">
        <v>72</v>
      </c>
      <c r="B30" s="38" t="s">
        <v>45</v>
      </c>
      <c r="C30" s="1" t="s">
        <v>4</v>
      </c>
      <c r="D30" s="38">
        <v>14213.0</v>
      </c>
      <c r="E30" s="39">
        <v>45900.0</v>
      </c>
      <c r="F30" s="40">
        <v>3.16445E8</v>
      </c>
      <c r="G30" s="38">
        <v>20.0</v>
      </c>
      <c r="H30" s="44">
        <v>0.05</v>
      </c>
      <c r="I30" s="26">
        <f t="shared" si="20"/>
        <v>0.004166666667</v>
      </c>
      <c r="J30" s="1">
        <f>YEAR(MR_Fixed_Asset_Register_List!F30) - YEAR(E30)</f>
        <v>0</v>
      </c>
      <c r="K30" s="1">
        <f t="shared" si="21"/>
        <v>0</v>
      </c>
      <c r="L30" s="1">
        <f>MR_Fixed_Asset_Register_List!L30</f>
        <v>0</v>
      </c>
      <c r="M30" s="3">
        <f t="shared" ref="M30:M31" si="22">I30*F30</f>
        <v>1318520.833</v>
      </c>
      <c r="N30" s="3">
        <f t="shared" si="19"/>
        <v>0</v>
      </c>
      <c r="O30" s="3">
        <f>MR_Fixed_Asset_Register_List!O30*$I30</f>
        <v>0</v>
      </c>
      <c r="P30" s="3">
        <f>MR_Fixed_Asset_Register_List!P30*$I30</f>
        <v>0</v>
      </c>
      <c r="Q30" s="3">
        <f>MR_Fixed_Asset_Register_List!Q30*$I30</f>
        <v>0</v>
      </c>
      <c r="R30" s="43">
        <f>MR_Fixed_Asset_Register_List!R30*$I30</f>
        <v>0</v>
      </c>
      <c r="S30" s="43"/>
      <c r="T30" s="43"/>
      <c r="U30" s="43"/>
      <c r="V30" s="3">
        <f>IF(YEAR(TODAY())-YEAR($E30)+1&gt;$G30,0,$M30)</f>
        <v>1318520.833</v>
      </c>
      <c r="W30" s="3">
        <f>MR_Fixed_Asset_Register_List!W30*$I30</f>
        <v>1313026.997</v>
      </c>
      <c r="X30" s="3">
        <f>MR_Fixed_Asset_Register_List!X30*$I30</f>
        <v>0</v>
      </c>
      <c r="Y30" s="3">
        <f>MR_Fixed_Asset_Register_List!Y30*$I30</f>
        <v>0</v>
      </c>
      <c r="Z30" s="3">
        <f>MR_Fixed_Asset_Register_List!Z30*$I30</f>
        <v>0</v>
      </c>
      <c r="AA30" s="3">
        <f>MR_Fixed_Asset_Register_List!AA30*$I30</f>
        <v>0</v>
      </c>
      <c r="AB30" s="3">
        <f>MR_Fixed_Asset_Register_List!AB30*$I30</f>
        <v>0</v>
      </c>
      <c r="AC30" s="3">
        <f>MR_Fixed_Asset_Register_List!AC30*$I30</f>
        <v>0</v>
      </c>
      <c r="AD30" s="3">
        <f>MR_Fixed_Asset_Register_List!AD30*$I30</f>
        <v>0</v>
      </c>
      <c r="AE30" s="3">
        <f>MR_Fixed_Asset_Register_List!AE30*$I30</f>
        <v>0</v>
      </c>
      <c r="AF30" s="3">
        <f>MR_Fixed_Asset_Register_List!AF30*$I30</f>
        <v>0</v>
      </c>
      <c r="AG30" s="3">
        <f>MR_Fixed_Asset_Register_List!AG30*$I30</f>
        <v>0</v>
      </c>
      <c r="AH30" s="3">
        <f>MR_Fixed_Asset_Register_List!AH30*$I30</f>
        <v>0</v>
      </c>
      <c r="AI30" s="3">
        <f>MR_Fixed_Asset_Register_List!AI30*$I30</f>
        <v>0</v>
      </c>
      <c r="AJ30" s="3">
        <f>MR_Fixed_Asset_Register_List!AJ30*$I30</f>
        <v>0</v>
      </c>
      <c r="AK30" s="3">
        <f>MR_Fixed_Asset_Register_List!AK30*$I30</f>
        <v>0</v>
      </c>
      <c r="AL30" s="3">
        <f>MR_Fixed_Asset_Register_List!AL30*$I30</f>
        <v>0</v>
      </c>
      <c r="AM30" s="3">
        <f>MR_Fixed_Asset_Register_List!AM30*$I30</f>
        <v>0</v>
      </c>
      <c r="AN30" s="3">
        <f>MR_Fixed_Asset_Register_List!AN30*$I30</f>
        <v>0</v>
      </c>
      <c r="AO30" s="3">
        <f>MR_Fixed_Asset_Register_List!AO30*$I30</f>
        <v>0</v>
      </c>
      <c r="AP30" s="3">
        <f>MR_Fixed_Asset_Register_List!AP30*$I30</f>
        <v>0</v>
      </c>
      <c r="AQ30" s="3">
        <f>MR_Fixed_Asset_Register_List!AQ30*$I30</f>
        <v>0</v>
      </c>
      <c r="AR30" s="3">
        <f>MR_Fixed_Asset_Register_List!AR30*$I30</f>
        <v>0</v>
      </c>
      <c r="AS30" s="3">
        <f>MR_Fixed_Asset_Register_List!AS30*$I30</f>
        <v>0</v>
      </c>
      <c r="AT30" s="3">
        <f>MR_Fixed_Asset_Register_List!AT30*$I30</f>
        <v>0</v>
      </c>
      <c r="AU30" s="3">
        <f>MR_Fixed_Asset_Register_List!AU30*$I30</f>
        <v>0</v>
      </c>
      <c r="AV30" s="3">
        <f>MR_Fixed_Asset_Register_List!AV30*$I30</f>
        <v>0</v>
      </c>
      <c r="AW30" s="3">
        <f>MR_Fixed_Asset_Register_List!AW30*$I30</f>
        <v>0</v>
      </c>
      <c r="AX30" s="3">
        <f>MR_Fixed_Asset_Register_List!AX30*$I30</f>
        <v>0</v>
      </c>
      <c r="AY30" s="3">
        <f>MR_Fixed_Asset_Register_List!AY30*$I30</f>
        <v>0</v>
      </c>
      <c r="AZ30" s="3">
        <f>MR_Fixed_Asset_Register_List!AZ30*$I30</f>
        <v>0</v>
      </c>
      <c r="BA30" s="3">
        <f>MR_Fixed_Asset_Register_List!BA30*$I30</f>
        <v>0</v>
      </c>
      <c r="BB30" s="3">
        <f>MR_Fixed_Asset_Register_List!BB30*$I30</f>
        <v>0</v>
      </c>
      <c r="BC30" s="3">
        <f>MR_Fixed_Asset_Register_List!BC30*$I30</f>
        <v>0</v>
      </c>
      <c r="BD30" s="3">
        <f>MR_Fixed_Asset_Register_List!BD30*$I30</f>
        <v>0</v>
      </c>
      <c r="BE30" s="3">
        <f>MR_Fixed_Asset_Register_List!BE30*$I30</f>
        <v>0</v>
      </c>
      <c r="BF30" s="3">
        <f>MR_Fixed_Asset_Register_List!BF30*$I30</f>
        <v>0</v>
      </c>
      <c r="BG30" s="3">
        <f>MR_Fixed_Asset_Register_List!BG30*$I30</f>
        <v>0</v>
      </c>
      <c r="BH30" s="3">
        <f>MR_Fixed_Asset_Register_List!BH30*$I30</f>
        <v>0</v>
      </c>
      <c r="BI30" s="3">
        <f>MR_Fixed_Asset_Register_List!BI30*$I30</f>
        <v>0</v>
      </c>
      <c r="BJ30" s="3">
        <f>MR_Fixed_Asset_Register_List!BJ30*$I30</f>
        <v>0</v>
      </c>
      <c r="BK30" s="3">
        <f>MR_Fixed_Asset_Register_List!BK30*$I30</f>
        <v>0</v>
      </c>
      <c r="BL30" s="3">
        <f>MR_Fixed_Asset_Register_List!BL30*$I30</f>
        <v>0</v>
      </c>
      <c r="BM30" s="3">
        <f>MR_Fixed_Asset_Register_List!BM30*$I30</f>
        <v>0</v>
      </c>
      <c r="BN30" s="3">
        <f>MR_Fixed_Asset_Register_List!BN30*$I30</f>
        <v>0</v>
      </c>
      <c r="BO30" s="3">
        <f>MR_Fixed_Asset_Register_List!BO30*$I30</f>
        <v>0</v>
      </c>
      <c r="BP30" s="3">
        <f>MR_Fixed_Asset_Register_List!BP30*$I30</f>
        <v>0</v>
      </c>
      <c r="BQ30" s="3">
        <f>MR_Fixed_Asset_Register_List!BQ30*$I30</f>
        <v>0</v>
      </c>
      <c r="BR30" s="3">
        <f>MR_Fixed_Asset_Register_List!BR30*$I30</f>
        <v>0</v>
      </c>
      <c r="BS30" s="3">
        <f>MR_Fixed_Asset_Register_List!BS30*$I30</f>
        <v>0</v>
      </c>
      <c r="BT30" s="3">
        <f>MR_Fixed_Asset_Register_List!BT30*$I30</f>
        <v>0</v>
      </c>
      <c r="BU30" s="3">
        <f>MR_Fixed_Asset_Register_List!BU30*$I30</f>
        <v>0</v>
      </c>
      <c r="BV30" s="3">
        <f>MR_Fixed_Asset_Register_List!BV30*$I30</f>
        <v>0</v>
      </c>
      <c r="BW30" s="3">
        <f>MR_Fixed_Asset_Register_List!BW30*$I30</f>
        <v>0</v>
      </c>
      <c r="BX30" s="3">
        <f>MR_Fixed_Asset_Register_List!BX30*$I30</f>
        <v>0</v>
      </c>
      <c r="BY30" s="3">
        <f>MR_Fixed_Asset_Register_List!BY30*$I30</f>
        <v>0</v>
      </c>
      <c r="BZ30" s="3">
        <f>MR_Fixed_Asset_Register_List!BZ30*$I30</f>
        <v>0</v>
      </c>
      <c r="CA30" s="3">
        <f>MR_Fixed_Asset_Register_List!CA30*$I30</f>
        <v>0</v>
      </c>
      <c r="CB30" s="3">
        <f>MR_Fixed_Asset_Register_List!CB30*$I30</f>
        <v>0</v>
      </c>
      <c r="CC30" s="3">
        <f>MR_Fixed_Asset_Register_List!CC30*$I30</f>
        <v>0</v>
      </c>
      <c r="CD30" s="3">
        <f>MR_Fixed_Asset_Register_List!CD30*$I30</f>
        <v>0</v>
      </c>
      <c r="CE30" s="3">
        <f>MR_Fixed_Asset_Register_List!CE30*$I30</f>
        <v>0</v>
      </c>
      <c r="CF30" s="3">
        <f>MR_Fixed_Asset_Register_List!CF30*$I30</f>
        <v>0</v>
      </c>
      <c r="CG30" s="3">
        <f>MR_Fixed_Asset_Register_List!CG30*$I30</f>
        <v>0</v>
      </c>
      <c r="CH30" s="3">
        <f>MR_Fixed_Asset_Register_List!CH30*$I30</f>
        <v>0</v>
      </c>
      <c r="CI30" s="3">
        <f>MR_Fixed_Asset_Register_List!CI30*$I30</f>
        <v>0</v>
      </c>
      <c r="CJ30" s="3">
        <f>MR_Fixed_Asset_Register_List!CJ30*$I30</f>
        <v>0</v>
      </c>
      <c r="CK30" s="3">
        <f>MR_Fixed_Asset_Register_List!CK30*$I30</f>
        <v>0</v>
      </c>
      <c r="CL30" s="3">
        <f>MR_Fixed_Asset_Register_List!CL30*$I30</f>
        <v>0</v>
      </c>
      <c r="CM30" s="3">
        <f>MR_Fixed_Asset_Register_List!CM30*$I30</f>
        <v>0</v>
      </c>
      <c r="CN30" s="3">
        <f>MR_Fixed_Asset_Register_List!CN30*$I30</f>
        <v>0</v>
      </c>
      <c r="CO30" s="3">
        <f>MR_Fixed_Asset_Register_List!CO30*$I30</f>
        <v>0</v>
      </c>
      <c r="CP30" s="3">
        <f>MR_Fixed_Asset_Register_List!CP30*$I30</f>
        <v>0</v>
      </c>
      <c r="CQ30" s="3">
        <f>MR_Fixed_Asset_Register_List!CQ30*$I30</f>
        <v>0</v>
      </c>
      <c r="CR30" s="3">
        <f>MR_Fixed_Asset_Register_List!CR30*$I30</f>
        <v>0</v>
      </c>
      <c r="CS30" s="3">
        <f>MR_Fixed_Asset_Register_List!CS30*$I30</f>
        <v>0</v>
      </c>
      <c r="CT30" s="38"/>
    </row>
    <row r="31">
      <c r="A31" s="38" t="s">
        <v>73</v>
      </c>
      <c r="B31" s="38" t="s">
        <v>46</v>
      </c>
      <c r="C31" s="1" t="s">
        <v>5</v>
      </c>
      <c r="D31" s="38">
        <v>14214.0</v>
      </c>
      <c r="E31" s="39">
        <v>45908.0</v>
      </c>
      <c r="F31" s="40">
        <v>2182300.0</v>
      </c>
      <c r="G31" s="38">
        <v>5.0</v>
      </c>
      <c r="H31" s="41">
        <v>0.4</v>
      </c>
      <c r="I31" s="26">
        <f t="shared" si="20"/>
        <v>0.03333333333</v>
      </c>
      <c r="J31" s="1">
        <f>YEAR(MR_Fixed_Asset_Register_List!F31) - YEAR(E31)</f>
        <v>0</v>
      </c>
      <c r="K31" s="1">
        <f t="shared" si="21"/>
        <v>0</v>
      </c>
      <c r="L31" s="1">
        <f>MR_Fixed_Asset_Register_List!L31</f>
        <v>0</v>
      </c>
      <c r="M31" s="3">
        <f t="shared" si="22"/>
        <v>72743.33333</v>
      </c>
      <c r="N31" s="25"/>
      <c r="O31" s="25"/>
      <c r="P31" s="25"/>
      <c r="Q31" s="25"/>
      <c r="R31" s="45"/>
      <c r="S31" s="45"/>
      <c r="T31" s="45"/>
      <c r="U31" s="45"/>
      <c r="V31" s="3">
        <f>MR_Fixed_Asset_Register_List!V31*$I31</f>
        <v>72743.33333</v>
      </c>
      <c r="W31" s="3">
        <f>MR_Fixed_Asset_Register_List!W31*$I31</f>
        <v>70318.55556</v>
      </c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38"/>
    </row>
    <row r="32">
      <c r="A32" s="46" t="s">
        <v>74</v>
      </c>
      <c r="B32" s="46"/>
      <c r="D32" s="46"/>
      <c r="E32" s="46"/>
      <c r="F32" s="46"/>
      <c r="G32" s="46"/>
      <c r="H32" s="46"/>
    </row>
    <row r="33">
      <c r="A33" s="46"/>
      <c r="B33" s="46"/>
      <c r="D33" s="46"/>
      <c r="E33" s="46"/>
      <c r="F33" s="46"/>
      <c r="G33" s="46"/>
      <c r="H33" s="46"/>
    </row>
    <row r="34">
      <c r="A34" s="46"/>
      <c r="B34" s="46"/>
      <c r="D34" s="46"/>
      <c r="E34" s="46"/>
      <c r="F34" s="46"/>
      <c r="G34" s="46"/>
      <c r="H34" s="46"/>
    </row>
    <row r="35">
      <c r="A35" s="46"/>
      <c r="B35" s="46"/>
      <c r="D35" s="46"/>
      <c r="E35" s="46"/>
      <c r="F35" s="46"/>
      <c r="G35" s="46"/>
      <c r="H35" s="46"/>
    </row>
    <row r="36">
      <c r="A36" s="46"/>
      <c r="B36" s="46"/>
      <c r="D36" s="46"/>
      <c r="E36" s="46"/>
      <c r="F36" s="46"/>
      <c r="G36" s="46"/>
      <c r="H36" s="46"/>
    </row>
    <row r="37">
      <c r="A37" s="46"/>
      <c r="B37" s="46"/>
      <c r="D37" s="46"/>
      <c r="E37" s="46"/>
      <c r="F37" s="46"/>
      <c r="G37" s="46"/>
      <c r="H37" s="46"/>
    </row>
    <row r="38">
      <c r="A38" s="46"/>
      <c r="B38" s="46"/>
      <c r="D38" s="46"/>
      <c r="E38" s="46"/>
      <c r="F38" s="46"/>
      <c r="G38" s="46"/>
      <c r="H38" s="46"/>
    </row>
    <row r="39">
      <c r="A39" s="46"/>
      <c r="B39" s="46"/>
      <c r="D39" s="46"/>
      <c r="E39" s="46"/>
      <c r="F39" s="46"/>
      <c r="G39" s="46"/>
      <c r="H39" s="46"/>
    </row>
    <row r="40">
      <c r="A40" s="46"/>
      <c r="B40" s="46"/>
      <c r="D40" s="46"/>
      <c r="E40" s="46"/>
      <c r="F40" s="46"/>
      <c r="G40" s="46"/>
      <c r="H40" s="46"/>
    </row>
    <row r="41">
      <c r="A41" s="46"/>
      <c r="B41" s="46"/>
      <c r="D41" s="46"/>
      <c r="E41" s="46"/>
      <c r="F41" s="46"/>
      <c r="G41" s="46"/>
      <c r="H41" s="46"/>
    </row>
    <row r="42">
      <c r="A42" s="46"/>
      <c r="B42" s="46"/>
      <c r="D42" s="46"/>
      <c r="E42" s="46"/>
      <c r="F42" s="46"/>
      <c r="G42" s="46"/>
      <c r="H42" s="46"/>
    </row>
    <row r="43">
      <c r="A43" s="46"/>
      <c r="B43" s="46"/>
      <c r="D43" s="46"/>
      <c r="E43" s="46"/>
      <c r="F43" s="46"/>
      <c r="G43" s="46"/>
      <c r="H43" s="46"/>
    </row>
    <row r="44">
      <c r="A44" s="46"/>
      <c r="B44" s="46"/>
      <c r="D44" s="46"/>
      <c r="E44" s="46"/>
      <c r="F44" s="46"/>
      <c r="G44" s="46"/>
      <c r="H44" s="46"/>
    </row>
    <row r="45">
      <c r="A45" s="46"/>
      <c r="B45" s="46"/>
      <c r="D45" s="46"/>
      <c r="E45" s="46"/>
      <c r="F45" s="46"/>
      <c r="G45" s="46"/>
      <c r="H45" s="46"/>
    </row>
    <row r="46">
      <c r="A46" s="46"/>
      <c r="B46" s="46"/>
      <c r="D46" s="46"/>
      <c r="E46" s="46"/>
      <c r="F46" s="46"/>
      <c r="G46" s="46"/>
      <c r="H46" s="46"/>
    </row>
    <row r="47">
      <c r="A47" s="46"/>
      <c r="B47" s="46"/>
      <c r="D47" s="46"/>
      <c r="E47" s="46"/>
      <c r="F47" s="46"/>
      <c r="G47" s="46"/>
      <c r="H47" s="46"/>
    </row>
    <row r="48">
      <c r="A48" s="46"/>
      <c r="B48" s="46"/>
      <c r="D48" s="46"/>
      <c r="E48" s="46"/>
      <c r="F48" s="46"/>
      <c r="G48" s="46"/>
      <c r="H48" s="46"/>
    </row>
    <row r="49">
      <c r="A49" s="46"/>
      <c r="B49" s="46"/>
      <c r="D49" s="46"/>
      <c r="E49" s="46"/>
      <c r="F49" s="46"/>
      <c r="G49" s="46"/>
      <c r="H49" s="46"/>
    </row>
    <row r="50">
      <c r="A50" s="46"/>
      <c r="B50" s="46"/>
      <c r="D50" s="46"/>
      <c r="E50" s="46"/>
      <c r="F50" s="46"/>
      <c r="G50" s="46"/>
      <c r="H50" s="46"/>
    </row>
    <row r="51">
      <c r="F51" s="46"/>
      <c r="G51" s="46"/>
      <c r="H51" s="46"/>
    </row>
    <row r="52">
      <c r="F52" s="46"/>
      <c r="G52" s="46"/>
      <c r="H52" s="46"/>
    </row>
    <row r="53">
      <c r="F53" s="46"/>
      <c r="G53" s="46"/>
      <c r="H53" s="46"/>
    </row>
    <row r="54">
      <c r="F54" s="46"/>
      <c r="G54" s="46"/>
      <c r="H54" s="46"/>
    </row>
    <row r="55">
      <c r="F55" s="46"/>
    </row>
    <row r="56">
      <c r="F56" s="46"/>
    </row>
  </sheetData>
  <dataValidations>
    <dataValidation type="list" allowBlank="1" showErrorMessage="1" sqref="C12:C31">
      <formula1>MR_Fixed_Asset_Register_List!$M$3:$M$7</formula1>
    </dataValidation>
  </dataValidations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17.5"/>
    <col customWidth="1" min="2" max="2" width="40.38"/>
    <col customWidth="1" min="3" max="3" width="32.25"/>
    <col collapsed="1" customWidth="1" min="4" max="4" width="12.63"/>
    <col customWidth="1" hidden="1" min="5" max="6" width="12.63" outlineLevel="1"/>
    <col customWidth="1" hidden="1" min="7" max="7" width="17.88" outlineLevel="1"/>
    <col customWidth="1" hidden="1" min="8" max="9" width="15.5" outlineLevel="1"/>
    <col customWidth="1" hidden="1" min="10" max="10" width="17.5" outlineLevel="1"/>
    <col customWidth="1" hidden="1" min="11" max="11" width="22.75" outlineLevel="1"/>
    <col customWidth="1" hidden="1" min="12" max="12" width="17.63" outlineLevel="1"/>
    <col customWidth="1" min="13" max="13" width="25.63"/>
    <col customWidth="1" min="14" max="14" width="17.88"/>
    <col customWidth="1" min="15" max="15" width="23.75"/>
    <col customWidth="1" min="16" max="16" width="21.5"/>
    <col customWidth="1" min="17" max="17" width="19.0"/>
    <col customWidth="1" min="18" max="18" width="20.25"/>
    <col customWidth="1" min="19" max="19" width="19.63"/>
  </cols>
  <sheetData>
    <row r="2">
      <c r="M2" s="1" t="s">
        <v>0</v>
      </c>
      <c r="N2" s="1" t="s">
        <v>75</v>
      </c>
      <c r="O2" s="1" t="s">
        <v>1</v>
      </c>
      <c r="P2" s="1" t="str">
        <f t="shared" ref="P2:S2" si="1">P13</f>
        <v>Net Book Value for Feb-25</v>
      </c>
      <c r="Q2" s="1" t="str">
        <f t="shared" si="1"/>
        <v>Net Book Value for Mar-25</v>
      </c>
      <c r="R2" s="1" t="str">
        <f t="shared" si="1"/>
        <v>Net Book Value for April-25</v>
      </c>
      <c r="S2" s="1" t="str">
        <f t="shared" si="1"/>
        <v>Net Book Value for May-25</v>
      </c>
      <c r="T2" s="1" t="str">
        <f t="shared" ref="T2:CU2" si="2">T12</f>
        <v/>
      </c>
      <c r="U2" s="1" t="str">
        <f t="shared" si="2"/>
        <v/>
      </c>
      <c r="V2" s="1" t="str">
        <f t="shared" si="2"/>
        <v/>
      </c>
      <c r="W2" s="1" t="str">
        <f t="shared" si="2"/>
        <v/>
      </c>
      <c r="X2" s="1" t="str">
        <f t="shared" si="2"/>
        <v/>
      </c>
      <c r="Y2" s="1" t="str">
        <f t="shared" si="2"/>
        <v/>
      </c>
      <c r="Z2" s="1" t="str">
        <f t="shared" si="2"/>
        <v/>
      </c>
      <c r="AA2" s="1" t="str">
        <f t="shared" si="2"/>
        <v/>
      </c>
      <c r="AB2" s="1" t="str">
        <f t="shared" si="2"/>
        <v/>
      </c>
      <c r="AC2" s="1" t="str">
        <f t="shared" si="2"/>
        <v/>
      </c>
      <c r="AD2" s="1" t="str">
        <f t="shared" si="2"/>
        <v/>
      </c>
      <c r="AE2" s="1" t="str">
        <f t="shared" si="2"/>
        <v/>
      </c>
      <c r="AF2" s="1" t="str">
        <f t="shared" si="2"/>
        <v/>
      </c>
      <c r="AG2" s="1" t="str">
        <f t="shared" si="2"/>
        <v/>
      </c>
      <c r="AH2" s="1" t="str">
        <f t="shared" si="2"/>
        <v/>
      </c>
      <c r="AI2" s="1" t="str">
        <f t="shared" si="2"/>
        <v/>
      </c>
      <c r="AJ2" s="1" t="str">
        <f t="shared" si="2"/>
        <v/>
      </c>
      <c r="AK2" s="1" t="str">
        <f t="shared" si="2"/>
        <v/>
      </c>
      <c r="AL2" s="1" t="str">
        <f t="shared" si="2"/>
        <v/>
      </c>
      <c r="AM2" s="1" t="str">
        <f t="shared" si="2"/>
        <v/>
      </c>
      <c r="AN2" s="1" t="str">
        <f t="shared" si="2"/>
        <v/>
      </c>
      <c r="AO2" s="1" t="str">
        <f t="shared" si="2"/>
        <v/>
      </c>
      <c r="AP2" s="1" t="str">
        <f t="shared" si="2"/>
        <v/>
      </c>
      <c r="AQ2" s="1" t="str">
        <f t="shared" si="2"/>
        <v/>
      </c>
      <c r="AR2" s="1" t="str">
        <f t="shared" si="2"/>
        <v/>
      </c>
      <c r="AS2" s="1" t="str">
        <f t="shared" si="2"/>
        <v/>
      </c>
      <c r="AT2" s="1" t="str">
        <f t="shared" si="2"/>
        <v/>
      </c>
      <c r="AU2" s="1" t="str">
        <f t="shared" si="2"/>
        <v/>
      </c>
      <c r="AV2" s="1" t="str">
        <f t="shared" si="2"/>
        <v/>
      </c>
      <c r="AW2" s="1" t="str">
        <f t="shared" si="2"/>
        <v/>
      </c>
      <c r="AX2" s="1" t="str">
        <f t="shared" si="2"/>
        <v/>
      </c>
      <c r="AY2" s="1" t="str">
        <f t="shared" si="2"/>
        <v/>
      </c>
      <c r="AZ2" s="1" t="str">
        <f t="shared" si="2"/>
        <v/>
      </c>
      <c r="BA2" s="1" t="str">
        <f t="shared" si="2"/>
        <v/>
      </c>
      <c r="BB2" s="1" t="str">
        <f t="shared" si="2"/>
        <v/>
      </c>
      <c r="BC2" s="1" t="str">
        <f t="shared" si="2"/>
        <v/>
      </c>
      <c r="BD2" s="1" t="str">
        <f t="shared" si="2"/>
        <v/>
      </c>
      <c r="BE2" s="1" t="str">
        <f t="shared" si="2"/>
        <v/>
      </c>
      <c r="BF2" s="1" t="str">
        <f t="shared" si="2"/>
        <v/>
      </c>
      <c r="BG2" s="1" t="str">
        <f t="shared" si="2"/>
        <v/>
      </c>
      <c r="BH2" s="1" t="str">
        <f t="shared" si="2"/>
        <v/>
      </c>
      <c r="BI2" s="1" t="str">
        <f t="shared" si="2"/>
        <v/>
      </c>
      <c r="BJ2" s="1" t="str">
        <f t="shared" si="2"/>
        <v/>
      </c>
      <c r="BK2" s="1" t="str">
        <f t="shared" si="2"/>
        <v/>
      </c>
      <c r="BL2" s="1" t="str">
        <f t="shared" si="2"/>
        <v/>
      </c>
      <c r="BM2" s="1" t="str">
        <f t="shared" si="2"/>
        <v/>
      </c>
      <c r="BN2" s="1" t="str">
        <f t="shared" si="2"/>
        <v/>
      </c>
      <c r="BO2" s="1" t="str">
        <f t="shared" si="2"/>
        <v/>
      </c>
      <c r="BP2" s="1" t="str">
        <f t="shared" si="2"/>
        <v/>
      </c>
      <c r="BQ2" s="1" t="str">
        <f t="shared" si="2"/>
        <v/>
      </c>
      <c r="BR2" s="1" t="str">
        <f t="shared" si="2"/>
        <v/>
      </c>
      <c r="BS2" s="1" t="str">
        <f t="shared" si="2"/>
        <v/>
      </c>
      <c r="BT2" s="1" t="str">
        <f t="shared" si="2"/>
        <v/>
      </c>
      <c r="BU2" s="1" t="str">
        <f t="shared" si="2"/>
        <v/>
      </c>
      <c r="BV2" s="1" t="str">
        <f t="shared" si="2"/>
        <v/>
      </c>
      <c r="BW2" s="1" t="str">
        <f t="shared" si="2"/>
        <v/>
      </c>
      <c r="BX2" s="1" t="str">
        <f t="shared" si="2"/>
        <v/>
      </c>
      <c r="BY2" s="1" t="str">
        <f t="shared" si="2"/>
        <v/>
      </c>
      <c r="BZ2" s="1" t="str">
        <f t="shared" si="2"/>
        <v/>
      </c>
      <c r="CA2" s="1" t="str">
        <f t="shared" si="2"/>
        <v/>
      </c>
      <c r="CB2" s="1" t="str">
        <f t="shared" si="2"/>
        <v/>
      </c>
      <c r="CC2" s="1" t="str">
        <f t="shared" si="2"/>
        <v/>
      </c>
      <c r="CD2" s="1" t="str">
        <f t="shared" si="2"/>
        <v/>
      </c>
      <c r="CE2" s="1" t="str">
        <f t="shared" si="2"/>
        <v/>
      </c>
      <c r="CF2" s="1" t="str">
        <f t="shared" si="2"/>
        <v/>
      </c>
      <c r="CG2" s="1" t="str">
        <f t="shared" si="2"/>
        <v/>
      </c>
      <c r="CH2" s="1" t="str">
        <f t="shared" si="2"/>
        <v/>
      </c>
      <c r="CI2" s="1" t="str">
        <f t="shared" si="2"/>
        <v/>
      </c>
      <c r="CJ2" s="1" t="str">
        <f t="shared" si="2"/>
        <v/>
      </c>
      <c r="CK2" s="1" t="str">
        <f t="shared" si="2"/>
        <v/>
      </c>
      <c r="CL2" s="1" t="str">
        <f t="shared" si="2"/>
        <v/>
      </c>
      <c r="CM2" s="1" t="str">
        <f t="shared" si="2"/>
        <v/>
      </c>
      <c r="CN2" s="1" t="str">
        <f t="shared" si="2"/>
        <v/>
      </c>
      <c r="CO2" s="1" t="str">
        <f t="shared" si="2"/>
        <v/>
      </c>
      <c r="CP2" s="1" t="str">
        <f t="shared" si="2"/>
        <v/>
      </c>
      <c r="CQ2" s="1" t="str">
        <f t="shared" si="2"/>
        <v/>
      </c>
      <c r="CR2" s="1" t="str">
        <f t="shared" si="2"/>
        <v/>
      </c>
      <c r="CS2" s="1" t="str">
        <f t="shared" si="2"/>
        <v/>
      </c>
      <c r="CT2" s="1" t="str">
        <f t="shared" si="2"/>
        <v/>
      </c>
      <c r="CU2" s="1" t="str">
        <f t="shared" si="2"/>
        <v/>
      </c>
    </row>
    <row r="3">
      <c r="M3" s="1" t="s">
        <v>2</v>
      </c>
      <c r="N3" s="3">
        <f t="shared" ref="N3:N7" si="5">SUMIF($C$14:$C$26,$M3,G$14:G$26)</f>
        <v>219000000</v>
      </c>
      <c r="O3" s="2">
        <f t="shared" ref="O3:O7" si="6">SUMIF($C$14:$C$26,$M3,L$14:L$26)</f>
        <v>219000000</v>
      </c>
      <c r="P3" s="3">
        <f t="shared" ref="P3:S3" si="3">SUMIF($C$14:$C$29,$M3,P$14:P$29)</f>
        <v>429290000</v>
      </c>
      <c r="Q3" s="3">
        <f t="shared" si="3"/>
        <v>429290000</v>
      </c>
      <c r="R3" s="3">
        <f t="shared" si="3"/>
        <v>429290000</v>
      </c>
      <c r="S3" s="3">
        <f t="shared" si="3"/>
        <v>429290000</v>
      </c>
      <c r="T3" s="3">
        <f t="shared" ref="T3:CU3" si="4">SUMIF($C$13:$C$27,#REF!,T$13:T$27)</f>
        <v>0</v>
      </c>
      <c r="U3" s="3">
        <f t="shared" si="4"/>
        <v>0</v>
      </c>
      <c r="V3" s="3">
        <f t="shared" si="4"/>
        <v>0</v>
      </c>
      <c r="W3" s="3">
        <f t="shared" si="4"/>
        <v>0</v>
      </c>
      <c r="X3" s="3">
        <f t="shared" si="4"/>
        <v>0</v>
      </c>
      <c r="Y3" s="3">
        <f t="shared" si="4"/>
        <v>0</v>
      </c>
      <c r="Z3" s="3">
        <f t="shared" si="4"/>
        <v>0</v>
      </c>
      <c r="AA3" s="3">
        <f t="shared" si="4"/>
        <v>0</v>
      </c>
      <c r="AB3" s="3">
        <f t="shared" si="4"/>
        <v>0</v>
      </c>
      <c r="AC3" s="3">
        <f t="shared" si="4"/>
        <v>0</v>
      </c>
      <c r="AD3" s="3">
        <f t="shared" si="4"/>
        <v>0</v>
      </c>
      <c r="AE3" s="3">
        <f t="shared" si="4"/>
        <v>0</v>
      </c>
      <c r="AF3" s="3">
        <f t="shared" si="4"/>
        <v>0</v>
      </c>
      <c r="AG3" s="3">
        <f t="shared" si="4"/>
        <v>0</v>
      </c>
      <c r="AH3" s="3">
        <f t="shared" si="4"/>
        <v>0</v>
      </c>
      <c r="AI3" s="3">
        <f t="shared" si="4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4"/>
        <v>0</v>
      </c>
      <c r="AS3" s="3">
        <f t="shared" si="4"/>
        <v>0</v>
      </c>
      <c r="AT3" s="3">
        <f t="shared" si="4"/>
        <v>0</v>
      </c>
      <c r="AU3" s="3">
        <f t="shared" si="4"/>
        <v>0</v>
      </c>
      <c r="AV3" s="3">
        <f t="shared" si="4"/>
        <v>0</v>
      </c>
      <c r="AW3" s="3">
        <f t="shared" si="4"/>
        <v>0</v>
      </c>
      <c r="AX3" s="3">
        <f t="shared" si="4"/>
        <v>0</v>
      </c>
      <c r="AY3" s="3">
        <f t="shared" si="4"/>
        <v>0</v>
      </c>
      <c r="AZ3" s="3">
        <f t="shared" si="4"/>
        <v>0</v>
      </c>
      <c r="BA3" s="3">
        <f t="shared" si="4"/>
        <v>0</v>
      </c>
      <c r="BB3" s="3">
        <f t="shared" si="4"/>
        <v>0</v>
      </c>
      <c r="BC3" s="3">
        <f t="shared" si="4"/>
        <v>0</v>
      </c>
      <c r="BD3" s="3">
        <f t="shared" si="4"/>
        <v>0</v>
      </c>
      <c r="BE3" s="3">
        <f t="shared" si="4"/>
        <v>0</v>
      </c>
      <c r="BF3" s="3">
        <f t="shared" si="4"/>
        <v>0</v>
      </c>
      <c r="BG3" s="3">
        <f t="shared" si="4"/>
        <v>0</v>
      </c>
      <c r="BH3" s="3">
        <f t="shared" si="4"/>
        <v>0</v>
      </c>
      <c r="BI3" s="3">
        <f t="shared" si="4"/>
        <v>0</v>
      </c>
      <c r="BJ3" s="3">
        <f t="shared" si="4"/>
        <v>0</v>
      </c>
      <c r="BK3" s="3">
        <f t="shared" si="4"/>
        <v>0</v>
      </c>
      <c r="BL3" s="3">
        <f t="shared" si="4"/>
        <v>0</v>
      </c>
      <c r="BM3" s="3">
        <f t="shared" si="4"/>
        <v>0</v>
      </c>
      <c r="BN3" s="3">
        <f t="shared" si="4"/>
        <v>0</v>
      </c>
      <c r="BO3" s="3">
        <f t="shared" si="4"/>
        <v>0</v>
      </c>
      <c r="BP3" s="3">
        <f t="shared" si="4"/>
        <v>0</v>
      </c>
      <c r="BQ3" s="3">
        <f t="shared" si="4"/>
        <v>0</v>
      </c>
      <c r="BR3" s="3">
        <f t="shared" si="4"/>
        <v>0</v>
      </c>
      <c r="BS3" s="3">
        <f t="shared" si="4"/>
        <v>0</v>
      </c>
      <c r="BT3" s="3">
        <f t="shared" si="4"/>
        <v>0</v>
      </c>
      <c r="BU3" s="3">
        <f t="shared" si="4"/>
        <v>0</v>
      </c>
      <c r="BV3" s="3">
        <f t="shared" si="4"/>
        <v>0</v>
      </c>
      <c r="BW3" s="3">
        <f t="shared" si="4"/>
        <v>0</v>
      </c>
      <c r="BX3" s="3">
        <f t="shared" si="4"/>
        <v>0</v>
      </c>
      <c r="BY3" s="3">
        <f t="shared" si="4"/>
        <v>0</v>
      </c>
      <c r="BZ3" s="3">
        <f t="shared" si="4"/>
        <v>0</v>
      </c>
      <c r="CA3" s="3">
        <f t="shared" si="4"/>
        <v>0</v>
      </c>
      <c r="CB3" s="3">
        <f t="shared" si="4"/>
        <v>0</v>
      </c>
      <c r="CC3" s="3">
        <f t="shared" si="4"/>
        <v>0</v>
      </c>
      <c r="CD3" s="3">
        <f t="shared" si="4"/>
        <v>0</v>
      </c>
      <c r="CE3" s="3">
        <f t="shared" si="4"/>
        <v>0</v>
      </c>
      <c r="CF3" s="3">
        <f t="shared" si="4"/>
        <v>0</v>
      </c>
      <c r="CG3" s="3">
        <f t="shared" si="4"/>
        <v>0</v>
      </c>
      <c r="CH3" s="3">
        <f t="shared" si="4"/>
        <v>0</v>
      </c>
      <c r="CI3" s="3">
        <f t="shared" si="4"/>
        <v>0</v>
      </c>
      <c r="CJ3" s="3">
        <f t="shared" si="4"/>
        <v>0</v>
      </c>
      <c r="CK3" s="3">
        <f t="shared" si="4"/>
        <v>0</v>
      </c>
      <c r="CL3" s="3">
        <f t="shared" si="4"/>
        <v>0</v>
      </c>
      <c r="CM3" s="3">
        <f t="shared" si="4"/>
        <v>0</v>
      </c>
      <c r="CN3" s="3">
        <f t="shared" si="4"/>
        <v>0</v>
      </c>
      <c r="CO3" s="3">
        <f t="shared" si="4"/>
        <v>0</v>
      </c>
      <c r="CP3" s="3">
        <f t="shared" si="4"/>
        <v>0</v>
      </c>
      <c r="CQ3" s="3">
        <f t="shared" si="4"/>
        <v>0</v>
      </c>
      <c r="CR3" s="3">
        <f t="shared" si="4"/>
        <v>0</v>
      </c>
      <c r="CS3" s="3">
        <f t="shared" si="4"/>
        <v>0</v>
      </c>
      <c r="CT3" s="3">
        <f t="shared" si="4"/>
        <v>0</v>
      </c>
      <c r="CU3" s="3">
        <f t="shared" si="4"/>
        <v>0</v>
      </c>
    </row>
    <row r="4">
      <c r="M4" s="1" t="s">
        <v>4</v>
      </c>
      <c r="N4" s="3">
        <f t="shared" si="5"/>
        <v>133000000</v>
      </c>
      <c r="O4" s="2">
        <f t="shared" si="6"/>
        <v>113050000</v>
      </c>
      <c r="P4" s="3">
        <f t="shared" ref="P4:S4" si="7">SUMIF($C$14:$C$29,$M4,P$14:P$29)</f>
        <v>112495833.3</v>
      </c>
      <c r="Q4" s="3">
        <f t="shared" si="7"/>
        <v>111941666.7</v>
      </c>
      <c r="R4" s="3">
        <f t="shared" si="7"/>
        <v>111387500</v>
      </c>
      <c r="S4" s="3">
        <f t="shared" si="7"/>
        <v>110833333.3</v>
      </c>
      <c r="T4" s="3">
        <f t="shared" ref="T4:CU4" si="8">SUMIF($C$13:$C$27,#REF!,T$13:T$27)</f>
        <v>0</v>
      </c>
      <c r="U4" s="3">
        <f t="shared" si="8"/>
        <v>0</v>
      </c>
      <c r="V4" s="3">
        <f t="shared" si="8"/>
        <v>0</v>
      </c>
      <c r="W4" s="3">
        <f t="shared" si="8"/>
        <v>0</v>
      </c>
      <c r="X4" s="3">
        <f t="shared" si="8"/>
        <v>0</v>
      </c>
      <c r="Y4" s="3">
        <f t="shared" si="8"/>
        <v>0</v>
      </c>
      <c r="Z4" s="3">
        <f t="shared" si="8"/>
        <v>0</v>
      </c>
      <c r="AA4" s="3">
        <f t="shared" si="8"/>
        <v>0</v>
      </c>
      <c r="AB4" s="3">
        <f t="shared" si="8"/>
        <v>0</v>
      </c>
      <c r="AC4" s="3">
        <f t="shared" si="8"/>
        <v>0</v>
      </c>
      <c r="AD4" s="3">
        <f t="shared" si="8"/>
        <v>0</v>
      </c>
      <c r="AE4" s="3">
        <f t="shared" si="8"/>
        <v>0</v>
      </c>
      <c r="AF4" s="3">
        <f t="shared" si="8"/>
        <v>0</v>
      </c>
      <c r="AG4" s="3">
        <f t="shared" si="8"/>
        <v>0</v>
      </c>
      <c r="AH4" s="3">
        <f t="shared" si="8"/>
        <v>0</v>
      </c>
      <c r="AI4" s="3">
        <f t="shared" si="8"/>
        <v>0</v>
      </c>
      <c r="AJ4" s="3">
        <f t="shared" si="8"/>
        <v>0</v>
      </c>
      <c r="AK4" s="3">
        <f t="shared" si="8"/>
        <v>0</v>
      </c>
      <c r="AL4" s="3">
        <f t="shared" si="8"/>
        <v>0</v>
      </c>
      <c r="AM4" s="3">
        <f t="shared" si="8"/>
        <v>0</v>
      </c>
      <c r="AN4" s="3">
        <f t="shared" si="8"/>
        <v>0</v>
      </c>
      <c r="AO4" s="3">
        <f t="shared" si="8"/>
        <v>0</v>
      </c>
      <c r="AP4" s="3">
        <f t="shared" si="8"/>
        <v>0</v>
      </c>
      <c r="AQ4" s="3">
        <f t="shared" si="8"/>
        <v>0</v>
      </c>
      <c r="AR4" s="3">
        <f t="shared" si="8"/>
        <v>0</v>
      </c>
      <c r="AS4" s="3">
        <f t="shared" si="8"/>
        <v>0</v>
      </c>
      <c r="AT4" s="3">
        <f t="shared" si="8"/>
        <v>0</v>
      </c>
      <c r="AU4" s="3">
        <f t="shared" si="8"/>
        <v>0</v>
      </c>
      <c r="AV4" s="3">
        <f t="shared" si="8"/>
        <v>0</v>
      </c>
      <c r="AW4" s="3">
        <f t="shared" si="8"/>
        <v>0</v>
      </c>
      <c r="AX4" s="3">
        <f t="shared" si="8"/>
        <v>0</v>
      </c>
      <c r="AY4" s="3">
        <f t="shared" si="8"/>
        <v>0</v>
      </c>
      <c r="AZ4" s="3">
        <f t="shared" si="8"/>
        <v>0</v>
      </c>
      <c r="BA4" s="3">
        <f t="shared" si="8"/>
        <v>0</v>
      </c>
      <c r="BB4" s="3">
        <f t="shared" si="8"/>
        <v>0</v>
      </c>
      <c r="BC4" s="3">
        <f t="shared" si="8"/>
        <v>0</v>
      </c>
      <c r="BD4" s="3">
        <f t="shared" si="8"/>
        <v>0</v>
      </c>
      <c r="BE4" s="3">
        <f t="shared" si="8"/>
        <v>0</v>
      </c>
      <c r="BF4" s="3">
        <f t="shared" si="8"/>
        <v>0</v>
      </c>
      <c r="BG4" s="3">
        <f t="shared" si="8"/>
        <v>0</v>
      </c>
      <c r="BH4" s="3">
        <f t="shared" si="8"/>
        <v>0</v>
      </c>
      <c r="BI4" s="3">
        <f t="shared" si="8"/>
        <v>0</v>
      </c>
      <c r="BJ4" s="3">
        <f t="shared" si="8"/>
        <v>0</v>
      </c>
      <c r="BK4" s="3">
        <f t="shared" si="8"/>
        <v>0</v>
      </c>
      <c r="BL4" s="3">
        <f t="shared" si="8"/>
        <v>0</v>
      </c>
      <c r="BM4" s="3">
        <f t="shared" si="8"/>
        <v>0</v>
      </c>
      <c r="BN4" s="3">
        <f t="shared" si="8"/>
        <v>0</v>
      </c>
      <c r="BO4" s="3">
        <f t="shared" si="8"/>
        <v>0</v>
      </c>
      <c r="BP4" s="3">
        <f t="shared" si="8"/>
        <v>0</v>
      </c>
      <c r="BQ4" s="3">
        <f t="shared" si="8"/>
        <v>0</v>
      </c>
      <c r="BR4" s="3">
        <f t="shared" si="8"/>
        <v>0</v>
      </c>
      <c r="BS4" s="3">
        <f t="shared" si="8"/>
        <v>0</v>
      </c>
      <c r="BT4" s="3">
        <f t="shared" si="8"/>
        <v>0</v>
      </c>
      <c r="BU4" s="3">
        <f t="shared" si="8"/>
        <v>0</v>
      </c>
      <c r="BV4" s="3">
        <f t="shared" si="8"/>
        <v>0</v>
      </c>
      <c r="BW4" s="3">
        <f t="shared" si="8"/>
        <v>0</v>
      </c>
      <c r="BX4" s="3">
        <f t="shared" si="8"/>
        <v>0</v>
      </c>
      <c r="BY4" s="3">
        <f t="shared" si="8"/>
        <v>0</v>
      </c>
      <c r="BZ4" s="3">
        <f t="shared" si="8"/>
        <v>0</v>
      </c>
      <c r="CA4" s="3">
        <f t="shared" si="8"/>
        <v>0</v>
      </c>
      <c r="CB4" s="3">
        <f t="shared" si="8"/>
        <v>0</v>
      </c>
      <c r="CC4" s="3">
        <f t="shared" si="8"/>
        <v>0</v>
      </c>
      <c r="CD4" s="3">
        <f t="shared" si="8"/>
        <v>0</v>
      </c>
      <c r="CE4" s="3">
        <f t="shared" si="8"/>
        <v>0</v>
      </c>
      <c r="CF4" s="3">
        <f t="shared" si="8"/>
        <v>0</v>
      </c>
      <c r="CG4" s="3">
        <f t="shared" si="8"/>
        <v>0</v>
      </c>
      <c r="CH4" s="3">
        <f t="shared" si="8"/>
        <v>0</v>
      </c>
      <c r="CI4" s="3">
        <f t="shared" si="8"/>
        <v>0</v>
      </c>
      <c r="CJ4" s="3">
        <f t="shared" si="8"/>
        <v>0</v>
      </c>
      <c r="CK4" s="3">
        <f t="shared" si="8"/>
        <v>0</v>
      </c>
      <c r="CL4" s="3">
        <f t="shared" si="8"/>
        <v>0</v>
      </c>
      <c r="CM4" s="3">
        <f t="shared" si="8"/>
        <v>0</v>
      </c>
      <c r="CN4" s="3">
        <f t="shared" si="8"/>
        <v>0</v>
      </c>
      <c r="CO4" s="3">
        <f t="shared" si="8"/>
        <v>0</v>
      </c>
      <c r="CP4" s="3">
        <f t="shared" si="8"/>
        <v>0</v>
      </c>
      <c r="CQ4" s="3">
        <f t="shared" si="8"/>
        <v>0</v>
      </c>
      <c r="CR4" s="3">
        <f t="shared" si="8"/>
        <v>0</v>
      </c>
      <c r="CS4" s="3">
        <f t="shared" si="8"/>
        <v>0</v>
      </c>
      <c r="CT4" s="3">
        <f t="shared" si="8"/>
        <v>0</v>
      </c>
      <c r="CU4" s="3">
        <f t="shared" si="8"/>
        <v>0</v>
      </c>
    </row>
    <row r="5">
      <c r="M5" s="1" t="s">
        <v>5</v>
      </c>
      <c r="N5" s="3">
        <f t="shared" si="5"/>
        <v>66400000</v>
      </c>
      <c r="O5" s="2">
        <f t="shared" si="6"/>
        <v>54024700</v>
      </c>
      <c r="P5" s="3">
        <f t="shared" ref="P5:S5" si="9">SUMIF($C$14:$C$29,$M5,P$14:P$29)</f>
        <v>53680941.67</v>
      </c>
      <c r="Q5" s="3">
        <f t="shared" si="9"/>
        <v>54844516.67</v>
      </c>
      <c r="R5" s="3">
        <f t="shared" si="9"/>
        <v>54488091.67</v>
      </c>
      <c r="S5" s="3">
        <f t="shared" si="9"/>
        <v>54131666.67</v>
      </c>
      <c r="T5" s="3">
        <f t="shared" ref="T5:CU5" si="10">SUMIF($C$13:$C$27,#REF!,T$13:T$27)</f>
        <v>0</v>
      </c>
      <c r="U5" s="3">
        <f t="shared" si="10"/>
        <v>0</v>
      </c>
      <c r="V5" s="3">
        <f t="shared" si="10"/>
        <v>0</v>
      </c>
      <c r="W5" s="3">
        <f t="shared" si="10"/>
        <v>0</v>
      </c>
      <c r="X5" s="3">
        <f t="shared" si="10"/>
        <v>0</v>
      </c>
      <c r="Y5" s="3">
        <f t="shared" si="10"/>
        <v>0</v>
      </c>
      <c r="Z5" s="3">
        <f t="shared" si="10"/>
        <v>0</v>
      </c>
      <c r="AA5" s="3">
        <f t="shared" si="10"/>
        <v>0</v>
      </c>
      <c r="AB5" s="3">
        <f t="shared" si="10"/>
        <v>0</v>
      </c>
      <c r="AC5" s="3">
        <f t="shared" si="10"/>
        <v>0</v>
      </c>
      <c r="AD5" s="3">
        <f t="shared" si="10"/>
        <v>0</v>
      </c>
      <c r="AE5" s="3">
        <f t="shared" si="10"/>
        <v>0</v>
      </c>
      <c r="AF5" s="3">
        <f t="shared" si="10"/>
        <v>0</v>
      </c>
      <c r="AG5" s="3">
        <f t="shared" si="10"/>
        <v>0</v>
      </c>
      <c r="AH5" s="3">
        <f t="shared" si="10"/>
        <v>0</v>
      </c>
      <c r="AI5" s="3">
        <f t="shared" si="10"/>
        <v>0</v>
      </c>
      <c r="AJ5" s="3">
        <f t="shared" si="10"/>
        <v>0</v>
      </c>
      <c r="AK5" s="3">
        <f t="shared" si="10"/>
        <v>0</v>
      </c>
      <c r="AL5" s="3">
        <f t="shared" si="10"/>
        <v>0</v>
      </c>
      <c r="AM5" s="3">
        <f t="shared" si="10"/>
        <v>0</v>
      </c>
      <c r="AN5" s="3">
        <f t="shared" si="10"/>
        <v>0</v>
      </c>
      <c r="AO5" s="3">
        <f t="shared" si="10"/>
        <v>0</v>
      </c>
      <c r="AP5" s="3">
        <f t="shared" si="10"/>
        <v>0</v>
      </c>
      <c r="AQ5" s="3">
        <f t="shared" si="10"/>
        <v>0</v>
      </c>
      <c r="AR5" s="3">
        <f t="shared" si="10"/>
        <v>0</v>
      </c>
      <c r="AS5" s="3">
        <f t="shared" si="10"/>
        <v>0</v>
      </c>
      <c r="AT5" s="3">
        <f t="shared" si="10"/>
        <v>0</v>
      </c>
      <c r="AU5" s="3">
        <f t="shared" si="10"/>
        <v>0</v>
      </c>
      <c r="AV5" s="3">
        <f t="shared" si="10"/>
        <v>0</v>
      </c>
      <c r="AW5" s="3">
        <f t="shared" si="10"/>
        <v>0</v>
      </c>
      <c r="AX5" s="3">
        <f t="shared" si="10"/>
        <v>0</v>
      </c>
      <c r="AY5" s="3">
        <f t="shared" si="10"/>
        <v>0</v>
      </c>
      <c r="AZ5" s="3">
        <f t="shared" si="10"/>
        <v>0</v>
      </c>
      <c r="BA5" s="3">
        <f t="shared" si="10"/>
        <v>0</v>
      </c>
      <c r="BB5" s="3">
        <f t="shared" si="10"/>
        <v>0</v>
      </c>
      <c r="BC5" s="3">
        <f t="shared" si="10"/>
        <v>0</v>
      </c>
      <c r="BD5" s="3">
        <f t="shared" si="10"/>
        <v>0</v>
      </c>
      <c r="BE5" s="3">
        <f t="shared" si="10"/>
        <v>0</v>
      </c>
      <c r="BF5" s="3">
        <f t="shared" si="10"/>
        <v>0</v>
      </c>
      <c r="BG5" s="3">
        <f t="shared" si="10"/>
        <v>0</v>
      </c>
      <c r="BH5" s="3">
        <f t="shared" si="10"/>
        <v>0</v>
      </c>
      <c r="BI5" s="3">
        <f t="shared" si="10"/>
        <v>0</v>
      </c>
      <c r="BJ5" s="3">
        <f t="shared" si="10"/>
        <v>0</v>
      </c>
      <c r="BK5" s="3">
        <f t="shared" si="10"/>
        <v>0</v>
      </c>
      <c r="BL5" s="3">
        <f t="shared" si="10"/>
        <v>0</v>
      </c>
      <c r="BM5" s="3">
        <f t="shared" si="10"/>
        <v>0</v>
      </c>
      <c r="BN5" s="3">
        <f t="shared" si="10"/>
        <v>0</v>
      </c>
      <c r="BO5" s="3">
        <f t="shared" si="10"/>
        <v>0</v>
      </c>
      <c r="BP5" s="3">
        <f t="shared" si="10"/>
        <v>0</v>
      </c>
      <c r="BQ5" s="3">
        <f t="shared" si="10"/>
        <v>0</v>
      </c>
      <c r="BR5" s="3">
        <f t="shared" si="10"/>
        <v>0</v>
      </c>
      <c r="BS5" s="3">
        <f t="shared" si="10"/>
        <v>0</v>
      </c>
      <c r="BT5" s="3">
        <f t="shared" si="10"/>
        <v>0</v>
      </c>
      <c r="BU5" s="3">
        <f t="shared" si="10"/>
        <v>0</v>
      </c>
      <c r="BV5" s="3">
        <f t="shared" si="10"/>
        <v>0</v>
      </c>
      <c r="BW5" s="3">
        <f t="shared" si="10"/>
        <v>0</v>
      </c>
      <c r="BX5" s="3">
        <f t="shared" si="10"/>
        <v>0</v>
      </c>
      <c r="BY5" s="3">
        <f t="shared" si="10"/>
        <v>0</v>
      </c>
      <c r="BZ5" s="3">
        <f t="shared" si="10"/>
        <v>0</v>
      </c>
      <c r="CA5" s="3">
        <f t="shared" si="10"/>
        <v>0</v>
      </c>
      <c r="CB5" s="3">
        <f t="shared" si="10"/>
        <v>0</v>
      </c>
      <c r="CC5" s="3">
        <f t="shared" si="10"/>
        <v>0</v>
      </c>
      <c r="CD5" s="3">
        <f t="shared" si="10"/>
        <v>0</v>
      </c>
      <c r="CE5" s="3">
        <f t="shared" si="10"/>
        <v>0</v>
      </c>
      <c r="CF5" s="3">
        <f t="shared" si="10"/>
        <v>0</v>
      </c>
      <c r="CG5" s="3">
        <f t="shared" si="10"/>
        <v>0</v>
      </c>
      <c r="CH5" s="3">
        <f t="shared" si="10"/>
        <v>0</v>
      </c>
      <c r="CI5" s="3">
        <f t="shared" si="10"/>
        <v>0</v>
      </c>
      <c r="CJ5" s="3">
        <f t="shared" si="10"/>
        <v>0</v>
      </c>
      <c r="CK5" s="3">
        <f t="shared" si="10"/>
        <v>0</v>
      </c>
      <c r="CL5" s="3">
        <f t="shared" si="10"/>
        <v>0</v>
      </c>
      <c r="CM5" s="3">
        <f t="shared" si="10"/>
        <v>0</v>
      </c>
      <c r="CN5" s="3">
        <f t="shared" si="10"/>
        <v>0</v>
      </c>
      <c r="CO5" s="3">
        <f t="shared" si="10"/>
        <v>0</v>
      </c>
      <c r="CP5" s="3">
        <f t="shared" si="10"/>
        <v>0</v>
      </c>
      <c r="CQ5" s="3">
        <f t="shared" si="10"/>
        <v>0</v>
      </c>
      <c r="CR5" s="3">
        <f t="shared" si="10"/>
        <v>0</v>
      </c>
      <c r="CS5" s="3">
        <f t="shared" si="10"/>
        <v>0</v>
      </c>
      <c r="CT5" s="3">
        <f t="shared" si="10"/>
        <v>0</v>
      </c>
      <c r="CU5" s="3">
        <f t="shared" si="10"/>
        <v>0</v>
      </c>
    </row>
    <row r="6">
      <c r="M6" s="1" t="s">
        <v>6</v>
      </c>
      <c r="N6" s="3">
        <f t="shared" si="5"/>
        <v>0</v>
      </c>
      <c r="O6" s="2">
        <f t="shared" si="6"/>
        <v>0</v>
      </c>
      <c r="P6" s="3">
        <f t="shared" ref="P6:S6" si="11">SUMIF($C$14:$C$29,$M6,P$14:P$29)</f>
        <v>0</v>
      </c>
      <c r="Q6" s="3">
        <f t="shared" si="11"/>
        <v>0</v>
      </c>
      <c r="R6" s="3">
        <f t="shared" si="11"/>
        <v>0</v>
      </c>
      <c r="S6" s="3">
        <f t="shared" si="11"/>
        <v>0</v>
      </c>
      <c r="T6" s="3">
        <f t="shared" ref="T6:CU6" si="12">SUMIF($C$13:$C$27,#REF!,T$13:T$27)</f>
        <v>0</v>
      </c>
      <c r="U6" s="3">
        <f t="shared" si="12"/>
        <v>0</v>
      </c>
      <c r="V6" s="3">
        <f t="shared" si="12"/>
        <v>0</v>
      </c>
      <c r="W6" s="3">
        <f t="shared" si="12"/>
        <v>0</v>
      </c>
      <c r="X6" s="3">
        <f t="shared" si="12"/>
        <v>0</v>
      </c>
      <c r="Y6" s="3">
        <f t="shared" si="12"/>
        <v>0</v>
      </c>
      <c r="Z6" s="3">
        <f t="shared" si="12"/>
        <v>0</v>
      </c>
      <c r="AA6" s="3">
        <f t="shared" si="12"/>
        <v>0</v>
      </c>
      <c r="AB6" s="3">
        <f t="shared" si="12"/>
        <v>0</v>
      </c>
      <c r="AC6" s="3">
        <f t="shared" si="12"/>
        <v>0</v>
      </c>
      <c r="AD6" s="3">
        <f t="shared" si="12"/>
        <v>0</v>
      </c>
      <c r="AE6" s="3">
        <f t="shared" si="12"/>
        <v>0</v>
      </c>
      <c r="AF6" s="3">
        <f t="shared" si="12"/>
        <v>0</v>
      </c>
      <c r="AG6" s="3">
        <f t="shared" si="12"/>
        <v>0</v>
      </c>
      <c r="AH6" s="3">
        <f t="shared" si="12"/>
        <v>0</v>
      </c>
      <c r="AI6" s="3">
        <f t="shared" si="12"/>
        <v>0</v>
      </c>
      <c r="AJ6" s="3">
        <f t="shared" si="12"/>
        <v>0</v>
      </c>
      <c r="AK6" s="3">
        <f t="shared" si="12"/>
        <v>0</v>
      </c>
      <c r="AL6" s="3">
        <f t="shared" si="12"/>
        <v>0</v>
      </c>
      <c r="AM6" s="3">
        <f t="shared" si="12"/>
        <v>0</v>
      </c>
      <c r="AN6" s="3">
        <f t="shared" si="12"/>
        <v>0</v>
      </c>
      <c r="AO6" s="3">
        <f t="shared" si="12"/>
        <v>0</v>
      </c>
      <c r="AP6" s="3">
        <f t="shared" si="12"/>
        <v>0</v>
      </c>
      <c r="AQ6" s="3">
        <f t="shared" si="12"/>
        <v>0</v>
      </c>
      <c r="AR6" s="3">
        <f t="shared" si="12"/>
        <v>0</v>
      </c>
      <c r="AS6" s="3">
        <f t="shared" si="12"/>
        <v>0</v>
      </c>
      <c r="AT6" s="3">
        <f t="shared" si="12"/>
        <v>0</v>
      </c>
      <c r="AU6" s="3">
        <f t="shared" si="12"/>
        <v>0</v>
      </c>
      <c r="AV6" s="3">
        <f t="shared" si="12"/>
        <v>0</v>
      </c>
      <c r="AW6" s="3">
        <f t="shared" si="12"/>
        <v>0</v>
      </c>
      <c r="AX6" s="3">
        <f t="shared" si="12"/>
        <v>0</v>
      </c>
      <c r="AY6" s="3">
        <f t="shared" si="12"/>
        <v>0</v>
      </c>
      <c r="AZ6" s="3">
        <f t="shared" si="12"/>
        <v>0</v>
      </c>
      <c r="BA6" s="3">
        <f t="shared" si="12"/>
        <v>0</v>
      </c>
      <c r="BB6" s="3">
        <f t="shared" si="12"/>
        <v>0</v>
      </c>
      <c r="BC6" s="3">
        <f t="shared" si="12"/>
        <v>0</v>
      </c>
      <c r="BD6" s="3">
        <f t="shared" si="12"/>
        <v>0</v>
      </c>
      <c r="BE6" s="3">
        <f t="shared" si="12"/>
        <v>0</v>
      </c>
      <c r="BF6" s="3">
        <f t="shared" si="12"/>
        <v>0</v>
      </c>
      <c r="BG6" s="3">
        <f t="shared" si="12"/>
        <v>0</v>
      </c>
      <c r="BH6" s="3">
        <f t="shared" si="12"/>
        <v>0</v>
      </c>
      <c r="BI6" s="3">
        <f t="shared" si="12"/>
        <v>0</v>
      </c>
      <c r="BJ6" s="3">
        <f t="shared" si="12"/>
        <v>0</v>
      </c>
      <c r="BK6" s="3">
        <f t="shared" si="12"/>
        <v>0</v>
      </c>
      <c r="BL6" s="3">
        <f t="shared" si="12"/>
        <v>0</v>
      </c>
      <c r="BM6" s="3">
        <f t="shared" si="12"/>
        <v>0</v>
      </c>
      <c r="BN6" s="3">
        <f t="shared" si="12"/>
        <v>0</v>
      </c>
      <c r="BO6" s="3">
        <f t="shared" si="12"/>
        <v>0</v>
      </c>
      <c r="BP6" s="3">
        <f t="shared" si="12"/>
        <v>0</v>
      </c>
      <c r="BQ6" s="3">
        <f t="shared" si="12"/>
        <v>0</v>
      </c>
      <c r="BR6" s="3">
        <f t="shared" si="12"/>
        <v>0</v>
      </c>
      <c r="BS6" s="3">
        <f t="shared" si="12"/>
        <v>0</v>
      </c>
      <c r="BT6" s="3">
        <f t="shared" si="12"/>
        <v>0</v>
      </c>
      <c r="BU6" s="3">
        <f t="shared" si="12"/>
        <v>0</v>
      </c>
      <c r="BV6" s="3">
        <f t="shared" si="12"/>
        <v>0</v>
      </c>
      <c r="BW6" s="3">
        <f t="shared" si="12"/>
        <v>0</v>
      </c>
      <c r="BX6" s="3">
        <f t="shared" si="12"/>
        <v>0</v>
      </c>
      <c r="BY6" s="3">
        <f t="shared" si="12"/>
        <v>0</v>
      </c>
      <c r="BZ6" s="3">
        <f t="shared" si="12"/>
        <v>0</v>
      </c>
      <c r="CA6" s="3">
        <f t="shared" si="12"/>
        <v>0</v>
      </c>
      <c r="CB6" s="3">
        <f t="shared" si="12"/>
        <v>0</v>
      </c>
      <c r="CC6" s="3">
        <f t="shared" si="12"/>
        <v>0</v>
      </c>
      <c r="CD6" s="3">
        <f t="shared" si="12"/>
        <v>0</v>
      </c>
      <c r="CE6" s="3">
        <f t="shared" si="12"/>
        <v>0</v>
      </c>
      <c r="CF6" s="3">
        <f t="shared" si="12"/>
        <v>0</v>
      </c>
      <c r="CG6" s="3">
        <f t="shared" si="12"/>
        <v>0</v>
      </c>
      <c r="CH6" s="3">
        <f t="shared" si="12"/>
        <v>0</v>
      </c>
      <c r="CI6" s="3">
        <f t="shared" si="12"/>
        <v>0</v>
      </c>
      <c r="CJ6" s="3">
        <f t="shared" si="12"/>
        <v>0</v>
      </c>
      <c r="CK6" s="3">
        <f t="shared" si="12"/>
        <v>0</v>
      </c>
      <c r="CL6" s="3">
        <f t="shared" si="12"/>
        <v>0</v>
      </c>
      <c r="CM6" s="3">
        <f t="shared" si="12"/>
        <v>0</v>
      </c>
      <c r="CN6" s="3">
        <f t="shared" si="12"/>
        <v>0</v>
      </c>
      <c r="CO6" s="3">
        <f t="shared" si="12"/>
        <v>0</v>
      </c>
      <c r="CP6" s="3">
        <f t="shared" si="12"/>
        <v>0</v>
      </c>
      <c r="CQ6" s="3">
        <f t="shared" si="12"/>
        <v>0</v>
      </c>
      <c r="CR6" s="3">
        <f t="shared" si="12"/>
        <v>0</v>
      </c>
      <c r="CS6" s="3">
        <f t="shared" si="12"/>
        <v>0</v>
      </c>
      <c r="CT6" s="3">
        <f t="shared" si="12"/>
        <v>0</v>
      </c>
      <c r="CU6" s="3">
        <f t="shared" si="12"/>
        <v>0</v>
      </c>
    </row>
    <row r="7">
      <c r="M7" s="1" t="s">
        <v>7</v>
      </c>
      <c r="N7" s="3">
        <f t="shared" si="5"/>
        <v>7200000</v>
      </c>
      <c r="O7" s="2">
        <f t="shared" si="6"/>
        <v>5490000</v>
      </c>
      <c r="P7" s="3">
        <f t="shared" ref="P7:S7" si="13">SUMIF($C$14:$C$29,$M7,P$14:P$29)</f>
        <v>12298500</v>
      </c>
      <c r="Q7" s="3">
        <f t="shared" si="13"/>
        <v>12193866.67</v>
      </c>
      <c r="R7" s="3">
        <f t="shared" si="13"/>
        <v>12089233.33</v>
      </c>
      <c r="S7" s="3">
        <f t="shared" si="13"/>
        <v>11984600</v>
      </c>
      <c r="T7" s="3">
        <f t="shared" ref="T7:CU7" si="14">SUMIF($C$13:$C$27,#REF!,T$13:T$27)</f>
        <v>0</v>
      </c>
      <c r="U7" s="3">
        <f t="shared" si="14"/>
        <v>0</v>
      </c>
      <c r="V7" s="3">
        <f t="shared" si="14"/>
        <v>0</v>
      </c>
      <c r="W7" s="3">
        <f t="shared" si="14"/>
        <v>0</v>
      </c>
      <c r="X7" s="3">
        <f t="shared" si="14"/>
        <v>0</v>
      </c>
      <c r="Y7" s="3">
        <f t="shared" si="14"/>
        <v>0</v>
      </c>
      <c r="Z7" s="3">
        <f t="shared" si="14"/>
        <v>0</v>
      </c>
      <c r="AA7" s="3">
        <f t="shared" si="14"/>
        <v>0</v>
      </c>
      <c r="AB7" s="3">
        <f t="shared" si="14"/>
        <v>0</v>
      </c>
      <c r="AC7" s="3">
        <f t="shared" si="14"/>
        <v>0</v>
      </c>
      <c r="AD7" s="3">
        <f t="shared" si="14"/>
        <v>0</v>
      </c>
      <c r="AE7" s="3">
        <f t="shared" si="14"/>
        <v>0</v>
      </c>
      <c r="AF7" s="3">
        <f t="shared" si="14"/>
        <v>0</v>
      </c>
      <c r="AG7" s="3">
        <f t="shared" si="14"/>
        <v>0</v>
      </c>
      <c r="AH7" s="3">
        <f t="shared" si="14"/>
        <v>0</v>
      </c>
      <c r="AI7" s="3">
        <f t="shared" si="14"/>
        <v>0</v>
      </c>
      <c r="AJ7" s="3">
        <f t="shared" si="14"/>
        <v>0</v>
      </c>
      <c r="AK7" s="3">
        <f t="shared" si="14"/>
        <v>0</v>
      </c>
      <c r="AL7" s="3">
        <f t="shared" si="14"/>
        <v>0</v>
      </c>
      <c r="AM7" s="3">
        <f t="shared" si="14"/>
        <v>0</v>
      </c>
      <c r="AN7" s="3">
        <f t="shared" si="14"/>
        <v>0</v>
      </c>
      <c r="AO7" s="3">
        <f t="shared" si="14"/>
        <v>0</v>
      </c>
      <c r="AP7" s="3">
        <f t="shared" si="14"/>
        <v>0</v>
      </c>
      <c r="AQ7" s="3">
        <f t="shared" si="14"/>
        <v>0</v>
      </c>
      <c r="AR7" s="3">
        <f t="shared" si="14"/>
        <v>0</v>
      </c>
      <c r="AS7" s="3">
        <f t="shared" si="14"/>
        <v>0</v>
      </c>
      <c r="AT7" s="3">
        <f t="shared" si="14"/>
        <v>0</v>
      </c>
      <c r="AU7" s="3">
        <f t="shared" si="14"/>
        <v>0</v>
      </c>
      <c r="AV7" s="3">
        <f t="shared" si="14"/>
        <v>0</v>
      </c>
      <c r="AW7" s="3">
        <f t="shared" si="14"/>
        <v>0</v>
      </c>
      <c r="AX7" s="3">
        <f t="shared" si="14"/>
        <v>0</v>
      </c>
      <c r="AY7" s="3">
        <f t="shared" si="14"/>
        <v>0</v>
      </c>
      <c r="AZ7" s="3">
        <f t="shared" si="14"/>
        <v>0</v>
      </c>
      <c r="BA7" s="3">
        <f t="shared" si="14"/>
        <v>0</v>
      </c>
      <c r="BB7" s="3">
        <f t="shared" si="14"/>
        <v>0</v>
      </c>
      <c r="BC7" s="3">
        <f t="shared" si="14"/>
        <v>0</v>
      </c>
      <c r="BD7" s="3">
        <f t="shared" si="14"/>
        <v>0</v>
      </c>
      <c r="BE7" s="3">
        <f t="shared" si="14"/>
        <v>0</v>
      </c>
      <c r="BF7" s="3">
        <f t="shared" si="14"/>
        <v>0</v>
      </c>
      <c r="BG7" s="3">
        <f t="shared" si="14"/>
        <v>0</v>
      </c>
      <c r="BH7" s="3">
        <f t="shared" si="14"/>
        <v>0</v>
      </c>
      <c r="BI7" s="3">
        <f t="shared" si="14"/>
        <v>0</v>
      </c>
      <c r="BJ7" s="3">
        <f t="shared" si="14"/>
        <v>0</v>
      </c>
      <c r="BK7" s="3">
        <f t="shared" si="14"/>
        <v>0</v>
      </c>
      <c r="BL7" s="3">
        <f t="shared" si="14"/>
        <v>0</v>
      </c>
      <c r="BM7" s="3">
        <f t="shared" si="14"/>
        <v>0</v>
      </c>
      <c r="BN7" s="3">
        <f t="shared" si="14"/>
        <v>0</v>
      </c>
      <c r="BO7" s="3">
        <f t="shared" si="14"/>
        <v>0</v>
      </c>
      <c r="BP7" s="3">
        <f t="shared" si="14"/>
        <v>0</v>
      </c>
      <c r="BQ7" s="3">
        <f t="shared" si="14"/>
        <v>0</v>
      </c>
      <c r="BR7" s="3">
        <f t="shared" si="14"/>
        <v>0</v>
      </c>
      <c r="BS7" s="3">
        <f t="shared" si="14"/>
        <v>0</v>
      </c>
      <c r="BT7" s="3">
        <f t="shared" si="14"/>
        <v>0</v>
      </c>
      <c r="BU7" s="3">
        <f t="shared" si="14"/>
        <v>0</v>
      </c>
      <c r="BV7" s="3">
        <f t="shared" si="14"/>
        <v>0</v>
      </c>
      <c r="BW7" s="3">
        <f t="shared" si="14"/>
        <v>0</v>
      </c>
      <c r="BX7" s="3">
        <f t="shared" si="14"/>
        <v>0</v>
      </c>
      <c r="BY7" s="3">
        <f t="shared" si="14"/>
        <v>0</v>
      </c>
      <c r="BZ7" s="3">
        <f t="shared" si="14"/>
        <v>0</v>
      </c>
      <c r="CA7" s="3">
        <f t="shared" si="14"/>
        <v>0</v>
      </c>
      <c r="CB7" s="3">
        <f t="shared" si="14"/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  <c r="CF7" s="3">
        <f t="shared" si="14"/>
        <v>0</v>
      </c>
      <c r="CG7" s="3">
        <f t="shared" si="14"/>
        <v>0</v>
      </c>
      <c r="CH7" s="3">
        <f t="shared" si="14"/>
        <v>0</v>
      </c>
      <c r="CI7" s="3">
        <f t="shared" si="14"/>
        <v>0</v>
      </c>
      <c r="CJ7" s="3">
        <f t="shared" si="14"/>
        <v>0</v>
      </c>
      <c r="CK7" s="3">
        <f t="shared" si="14"/>
        <v>0</v>
      </c>
      <c r="CL7" s="3">
        <f t="shared" si="14"/>
        <v>0</v>
      </c>
      <c r="CM7" s="3">
        <f t="shared" si="14"/>
        <v>0</v>
      </c>
      <c r="CN7" s="3">
        <f t="shared" si="14"/>
        <v>0</v>
      </c>
      <c r="CO7" s="3">
        <f t="shared" si="14"/>
        <v>0</v>
      </c>
      <c r="CP7" s="3">
        <f t="shared" si="14"/>
        <v>0</v>
      </c>
      <c r="CQ7" s="3">
        <f t="shared" si="14"/>
        <v>0</v>
      </c>
      <c r="CR7" s="3">
        <f t="shared" si="14"/>
        <v>0</v>
      </c>
      <c r="CS7" s="3">
        <f t="shared" si="14"/>
        <v>0</v>
      </c>
      <c r="CT7" s="3">
        <f t="shared" si="14"/>
        <v>0</v>
      </c>
      <c r="CU7" s="3">
        <f t="shared" si="14"/>
        <v>0</v>
      </c>
    </row>
    <row r="8">
      <c r="M8" s="5" t="s">
        <v>8</v>
      </c>
      <c r="N8" s="47">
        <f t="shared" ref="N8:CU8" si="15">SUM(N3:N7)</f>
        <v>425600000</v>
      </c>
      <c r="O8" s="6">
        <f t="shared" si="15"/>
        <v>391564700</v>
      </c>
      <c r="P8" s="7">
        <f t="shared" si="15"/>
        <v>607765275</v>
      </c>
      <c r="Q8" s="7">
        <f t="shared" si="15"/>
        <v>608270050</v>
      </c>
      <c r="R8" s="7">
        <f t="shared" si="15"/>
        <v>607254825</v>
      </c>
      <c r="S8" s="7">
        <f t="shared" si="15"/>
        <v>606239600</v>
      </c>
      <c r="T8" s="7">
        <f t="shared" si="15"/>
        <v>0</v>
      </c>
      <c r="U8" s="7">
        <f t="shared" si="15"/>
        <v>0</v>
      </c>
      <c r="V8" s="7">
        <f t="shared" si="15"/>
        <v>0</v>
      </c>
      <c r="W8" s="7">
        <f t="shared" si="15"/>
        <v>0</v>
      </c>
      <c r="X8" s="7">
        <f t="shared" si="15"/>
        <v>0</v>
      </c>
      <c r="Y8" s="7">
        <f t="shared" si="15"/>
        <v>0</v>
      </c>
      <c r="Z8" s="7">
        <f t="shared" si="15"/>
        <v>0</v>
      </c>
      <c r="AA8" s="7">
        <f t="shared" si="15"/>
        <v>0</v>
      </c>
      <c r="AB8" s="7">
        <f t="shared" si="15"/>
        <v>0</v>
      </c>
      <c r="AC8" s="7">
        <f t="shared" si="15"/>
        <v>0</v>
      </c>
      <c r="AD8" s="7">
        <f t="shared" si="15"/>
        <v>0</v>
      </c>
      <c r="AE8" s="7">
        <f t="shared" si="15"/>
        <v>0</v>
      </c>
      <c r="AF8" s="7">
        <f t="shared" si="15"/>
        <v>0</v>
      </c>
      <c r="AG8" s="7">
        <f t="shared" si="15"/>
        <v>0</v>
      </c>
      <c r="AH8" s="7">
        <f t="shared" si="15"/>
        <v>0</v>
      </c>
      <c r="AI8" s="7">
        <f t="shared" si="15"/>
        <v>0</v>
      </c>
      <c r="AJ8" s="7">
        <f t="shared" si="15"/>
        <v>0</v>
      </c>
      <c r="AK8" s="7">
        <f t="shared" si="15"/>
        <v>0</v>
      </c>
      <c r="AL8" s="7">
        <f t="shared" si="15"/>
        <v>0</v>
      </c>
      <c r="AM8" s="7">
        <f t="shared" si="15"/>
        <v>0</v>
      </c>
      <c r="AN8" s="7">
        <f t="shared" si="15"/>
        <v>0</v>
      </c>
      <c r="AO8" s="7">
        <f t="shared" si="15"/>
        <v>0</v>
      </c>
      <c r="AP8" s="7">
        <f t="shared" si="15"/>
        <v>0</v>
      </c>
      <c r="AQ8" s="7">
        <f t="shared" si="15"/>
        <v>0</v>
      </c>
      <c r="AR8" s="7">
        <f t="shared" si="15"/>
        <v>0</v>
      </c>
      <c r="AS8" s="7">
        <f t="shared" si="15"/>
        <v>0</v>
      </c>
      <c r="AT8" s="7">
        <f t="shared" si="15"/>
        <v>0</v>
      </c>
      <c r="AU8" s="7">
        <f t="shared" si="15"/>
        <v>0</v>
      </c>
      <c r="AV8" s="7">
        <f t="shared" si="15"/>
        <v>0</v>
      </c>
      <c r="AW8" s="7">
        <f t="shared" si="15"/>
        <v>0</v>
      </c>
      <c r="AX8" s="7">
        <f t="shared" si="15"/>
        <v>0</v>
      </c>
      <c r="AY8" s="7">
        <f t="shared" si="15"/>
        <v>0</v>
      </c>
      <c r="AZ8" s="7">
        <f t="shared" si="15"/>
        <v>0</v>
      </c>
      <c r="BA8" s="7">
        <f t="shared" si="15"/>
        <v>0</v>
      </c>
      <c r="BB8" s="7">
        <f t="shared" si="15"/>
        <v>0</v>
      </c>
      <c r="BC8" s="7">
        <f t="shared" si="15"/>
        <v>0</v>
      </c>
      <c r="BD8" s="7">
        <f t="shared" si="15"/>
        <v>0</v>
      </c>
      <c r="BE8" s="7">
        <f t="shared" si="15"/>
        <v>0</v>
      </c>
      <c r="BF8" s="7">
        <f t="shared" si="15"/>
        <v>0</v>
      </c>
      <c r="BG8" s="7">
        <f t="shared" si="15"/>
        <v>0</v>
      </c>
      <c r="BH8" s="7">
        <f t="shared" si="15"/>
        <v>0</v>
      </c>
      <c r="BI8" s="7">
        <f t="shared" si="15"/>
        <v>0</v>
      </c>
      <c r="BJ8" s="7">
        <f t="shared" si="15"/>
        <v>0</v>
      </c>
      <c r="BK8" s="7">
        <f t="shared" si="15"/>
        <v>0</v>
      </c>
      <c r="BL8" s="7">
        <f t="shared" si="15"/>
        <v>0</v>
      </c>
      <c r="BM8" s="7">
        <f t="shared" si="15"/>
        <v>0</v>
      </c>
      <c r="BN8" s="7">
        <f t="shared" si="15"/>
        <v>0</v>
      </c>
      <c r="BO8" s="7">
        <f t="shared" si="15"/>
        <v>0</v>
      </c>
      <c r="BP8" s="7">
        <f t="shared" si="15"/>
        <v>0</v>
      </c>
      <c r="BQ8" s="7">
        <f t="shared" si="15"/>
        <v>0</v>
      </c>
      <c r="BR8" s="7">
        <f t="shared" si="15"/>
        <v>0</v>
      </c>
      <c r="BS8" s="7">
        <f t="shared" si="15"/>
        <v>0</v>
      </c>
      <c r="BT8" s="7">
        <f t="shared" si="15"/>
        <v>0</v>
      </c>
      <c r="BU8" s="7">
        <f t="shared" si="15"/>
        <v>0</v>
      </c>
      <c r="BV8" s="7">
        <f t="shared" si="15"/>
        <v>0</v>
      </c>
      <c r="BW8" s="7">
        <f t="shared" si="15"/>
        <v>0</v>
      </c>
      <c r="BX8" s="7">
        <f t="shared" si="15"/>
        <v>0</v>
      </c>
      <c r="BY8" s="7">
        <f t="shared" si="15"/>
        <v>0</v>
      </c>
      <c r="BZ8" s="7">
        <f t="shared" si="15"/>
        <v>0</v>
      </c>
      <c r="CA8" s="7">
        <f t="shared" si="15"/>
        <v>0</v>
      </c>
      <c r="CB8" s="7">
        <f t="shared" si="15"/>
        <v>0</v>
      </c>
      <c r="CC8" s="7">
        <f t="shared" si="15"/>
        <v>0</v>
      </c>
      <c r="CD8" s="7">
        <f t="shared" si="15"/>
        <v>0</v>
      </c>
      <c r="CE8" s="7">
        <f t="shared" si="15"/>
        <v>0</v>
      </c>
      <c r="CF8" s="7">
        <f t="shared" si="15"/>
        <v>0</v>
      </c>
      <c r="CG8" s="7">
        <f t="shared" si="15"/>
        <v>0</v>
      </c>
      <c r="CH8" s="7">
        <f t="shared" si="15"/>
        <v>0</v>
      </c>
      <c r="CI8" s="7">
        <f t="shared" si="15"/>
        <v>0</v>
      </c>
      <c r="CJ8" s="7">
        <f t="shared" si="15"/>
        <v>0</v>
      </c>
      <c r="CK8" s="7">
        <f t="shared" si="15"/>
        <v>0</v>
      </c>
      <c r="CL8" s="7">
        <f t="shared" si="15"/>
        <v>0</v>
      </c>
      <c r="CM8" s="7">
        <f t="shared" si="15"/>
        <v>0</v>
      </c>
      <c r="CN8" s="7">
        <f t="shared" si="15"/>
        <v>0</v>
      </c>
      <c r="CO8" s="7">
        <f t="shared" si="15"/>
        <v>0</v>
      </c>
      <c r="CP8" s="7">
        <f t="shared" si="15"/>
        <v>0</v>
      </c>
      <c r="CQ8" s="7">
        <f t="shared" si="15"/>
        <v>0</v>
      </c>
      <c r="CR8" s="7">
        <f t="shared" si="15"/>
        <v>0</v>
      </c>
      <c r="CS8" s="7">
        <f t="shared" si="15"/>
        <v>0</v>
      </c>
      <c r="CT8" s="7">
        <f t="shared" si="15"/>
        <v>0</v>
      </c>
      <c r="CU8" s="7">
        <f t="shared" si="15"/>
        <v>0</v>
      </c>
    </row>
    <row r="13" ht="33.0" customHeight="1">
      <c r="A13" s="9" t="s">
        <v>9</v>
      </c>
      <c r="B13" s="9" t="s">
        <v>10</v>
      </c>
      <c r="C13" s="9" t="s">
        <v>0</v>
      </c>
      <c r="D13" s="9" t="s">
        <v>11</v>
      </c>
      <c r="E13" s="9" t="s">
        <v>12</v>
      </c>
      <c r="F13" s="9" t="s">
        <v>13</v>
      </c>
      <c r="G13" s="9" t="s">
        <v>14</v>
      </c>
      <c r="H13" s="9" t="s">
        <v>15</v>
      </c>
      <c r="I13" s="9" t="s">
        <v>16</v>
      </c>
      <c r="J13" s="9" t="s">
        <v>17</v>
      </c>
      <c r="K13" s="9" t="s">
        <v>18</v>
      </c>
      <c r="L13" s="9" t="s">
        <v>1</v>
      </c>
      <c r="M13" s="10" t="s">
        <v>20</v>
      </c>
      <c r="N13" s="10" t="s">
        <v>21</v>
      </c>
      <c r="O13" s="9" t="s">
        <v>76</v>
      </c>
      <c r="P13" s="9" t="s">
        <v>77</v>
      </c>
      <c r="Q13" s="9" t="s">
        <v>78</v>
      </c>
      <c r="R13" s="9" t="s">
        <v>79</v>
      </c>
      <c r="S13" s="9" t="s">
        <v>80</v>
      </c>
    </row>
    <row r="14">
      <c r="A14" s="1" t="str">
        <f t="shared" ref="A14:A18" si="17">"FA-"&amp;TEXT(ROW(A1),"000")</f>
        <v>FA-001</v>
      </c>
      <c r="B14" s="1" t="s">
        <v>22</v>
      </c>
      <c r="C14" s="1" t="s">
        <v>2</v>
      </c>
      <c r="D14" s="1">
        <v>14000.0</v>
      </c>
      <c r="E14" s="11">
        <v>44621.0</v>
      </c>
      <c r="F14" s="11">
        <v>45697.0</v>
      </c>
      <c r="G14" s="3">
        <v>2.19E8</v>
      </c>
      <c r="H14" s="1"/>
      <c r="I14" s="1"/>
      <c r="J14" s="1"/>
      <c r="K14" s="1"/>
      <c r="L14" s="3">
        <f>G14</f>
        <v>219000000</v>
      </c>
      <c r="M14" s="12" t="s">
        <v>23</v>
      </c>
      <c r="N14" s="13" t="s">
        <v>24</v>
      </c>
      <c r="O14" s="1">
        <v>0.0</v>
      </c>
      <c r="P14" s="3">
        <f>L14-0</f>
        <v>219000000</v>
      </c>
      <c r="Q14" s="3">
        <f>P14-$O$14</f>
        <v>219000000</v>
      </c>
      <c r="R14" s="3">
        <f t="shared" ref="R14:S14" si="16">Q14-$O14</f>
        <v>219000000</v>
      </c>
      <c r="S14" s="3">
        <f t="shared" si="16"/>
        <v>219000000</v>
      </c>
    </row>
    <row r="15">
      <c r="A15" s="1" t="str">
        <f t="shared" si="17"/>
        <v>FA-002</v>
      </c>
      <c r="B15" s="14" t="s">
        <v>25</v>
      </c>
      <c r="C15" s="1" t="s">
        <v>4</v>
      </c>
      <c r="D15" s="1">
        <v>14100.0</v>
      </c>
      <c r="E15" s="11">
        <v>44621.0</v>
      </c>
      <c r="F15" s="11">
        <v>45697.0</v>
      </c>
      <c r="G15" s="3">
        <v>8.0E7</v>
      </c>
      <c r="H15" s="1">
        <v>20.0</v>
      </c>
      <c r="I15" s="15">
        <v>0.05</v>
      </c>
      <c r="J15" s="1" t="s">
        <v>26</v>
      </c>
      <c r="K15" s="3">
        <f t="array" ref="K15:K26">IRD_Depreciation_Schedule!L13:L24</f>
        <v>12000000</v>
      </c>
      <c r="L15" s="3">
        <f t="array" ref="L15:L26">IRD_Depreciation_Schedule!M13:M24</f>
        <v>68000000</v>
      </c>
      <c r="M15" s="12" t="s">
        <v>23</v>
      </c>
      <c r="N15" s="13" t="s">
        <v>24</v>
      </c>
      <c r="O15" s="3">
        <f t="array" ref="O15:O29">IRD_Depreciation_Schedule!N13:N27</f>
        <v>333333.3333</v>
      </c>
      <c r="P15" s="3">
        <f>L15-IRD_Depreciation_Schedule!O13</f>
        <v>67666666.67</v>
      </c>
      <c r="Q15" s="3">
        <f>P15-IRD_Depreciation_Schedule!P13</f>
        <v>67333333.33</v>
      </c>
      <c r="R15" s="3">
        <f>Q15-IRD_Depreciation_Schedule!Q13</f>
        <v>67000000</v>
      </c>
      <c r="S15" s="3">
        <f>R15-IRD_Depreciation_Schedule!S13</f>
        <v>66666666.67</v>
      </c>
    </row>
    <row r="16">
      <c r="A16" s="1" t="str">
        <f t="shared" si="17"/>
        <v>FA-003</v>
      </c>
      <c r="B16" s="14" t="s">
        <v>27</v>
      </c>
      <c r="C16" s="1" t="s">
        <v>4</v>
      </c>
      <c r="D16" s="1">
        <v>14101.0</v>
      </c>
      <c r="E16" s="11">
        <v>44621.0</v>
      </c>
      <c r="F16" s="11">
        <v>45697.0</v>
      </c>
      <c r="G16" s="3">
        <v>3.0E7</v>
      </c>
      <c r="H16" s="1">
        <v>20.0</v>
      </c>
      <c r="I16" s="15">
        <v>0.05</v>
      </c>
      <c r="J16" s="1" t="s">
        <v>26</v>
      </c>
      <c r="K16" s="3">
        <v>4500000.000000001</v>
      </c>
      <c r="L16" s="3">
        <v>2.55E7</v>
      </c>
      <c r="M16" s="12" t="s">
        <v>23</v>
      </c>
      <c r="N16" s="13" t="s">
        <v>24</v>
      </c>
      <c r="O16" s="3">
        <v>125000.0</v>
      </c>
      <c r="P16" s="3">
        <f>L16-IRD_Depreciation_Schedule!O14</f>
        <v>25375000</v>
      </c>
      <c r="Q16" s="3">
        <f>P16-IRD_Depreciation_Schedule!P14</f>
        <v>25250000</v>
      </c>
      <c r="R16" s="3">
        <f>Q16-IRD_Depreciation_Schedule!Q14</f>
        <v>25125000</v>
      </c>
      <c r="S16" s="3">
        <f>R16-IRD_Depreciation_Schedule!S14</f>
        <v>25000000</v>
      </c>
    </row>
    <row r="17">
      <c r="A17" s="1" t="str">
        <f t="shared" si="17"/>
        <v>FA-004</v>
      </c>
      <c r="B17" s="14" t="s">
        <v>28</v>
      </c>
      <c r="C17" s="1" t="s">
        <v>4</v>
      </c>
      <c r="D17" s="1">
        <v>14102.0</v>
      </c>
      <c r="E17" s="11">
        <v>44621.0</v>
      </c>
      <c r="F17" s="11">
        <v>45697.0</v>
      </c>
      <c r="G17" s="3">
        <v>1.5E7</v>
      </c>
      <c r="H17" s="1">
        <v>20.0</v>
      </c>
      <c r="I17" s="15">
        <v>0.05</v>
      </c>
      <c r="J17" s="1" t="s">
        <v>26</v>
      </c>
      <c r="K17" s="3">
        <v>2250000.0000000005</v>
      </c>
      <c r="L17" s="3">
        <v>1.275E7</v>
      </c>
      <c r="M17" s="12" t="s">
        <v>23</v>
      </c>
      <c r="N17" s="13" t="s">
        <v>24</v>
      </c>
      <c r="O17" s="3">
        <v>62500.0</v>
      </c>
      <c r="P17" s="3">
        <f>L17-IRD_Depreciation_Schedule!O15</f>
        <v>12687500</v>
      </c>
      <c r="Q17" s="3">
        <f>P17-IRD_Depreciation_Schedule!P15</f>
        <v>12625000</v>
      </c>
      <c r="R17" s="3">
        <f>Q17-IRD_Depreciation_Schedule!Q15</f>
        <v>12562500</v>
      </c>
      <c r="S17" s="3">
        <f>R17-IRD_Depreciation_Schedule!S15</f>
        <v>12500000</v>
      </c>
    </row>
    <row r="18">
      <c r="A18" s="1" t="str">
        <f t="shared" si="17"/>
        <v>FA-005</v>
      </c>
      <c r="B18" s="16" t="s">
        <v>29</v>
      </c>
      <c r="C18" s="1" t="s">
        <v>4</v>
      </c>
      <c r="D18" s="1">
        <v>14103.0</v>
      </c>
      <c r="E18" s="11">
        <v>44621.0</v>
      </c>
      <c r="F18" s="11">
        <v>45697.0</v>
      </c>
      <c r="G18" s="3">
        <v>8000000.0</v>
      </c>
      <c r="H18" s="1">
        <v>20.0</v>
      </c>
      <c r="I18" s="15">
        <v>0.05</v>
      </c>
      <c r="J18" s="1" t="s">
        <v>26</v>
      </c>
      <c r="K18" s="3">
        <v>1200000.0000000002</v>
      </c>
      <c r="L18" s="3">
        <v>6800000.0</v>
      </c>
      <c r="M18" s="12" t="s">
        <v>23</v>
      </c>
      <c r="N18" s="13" t="s">
        <v>24</v>
      </c>
      <c r="O18" s="3">
        <v>33333.333333333336</v>
      </c>
      <c r="P18" s="3">
        <f>L18-IRD_Depreciation_Schedule!O16</f>
        <v>6766666.667</v>
      </c>
      <c r="Q18" s="3">
        <f>P18-IRD_Depreciation_Schedule!P16</f>
        <v>6733333.333</v>
      </c>
      <c r="R18" s="3">
        <f>Q18-IRD_Depreciation_Schedule!Q16</f>
        <v>6700000</v>
      </c>
      <c r="S18" s="3">
        <f>R18-IRD_Depreciation_Schedule!S16</f>
        <v>6666666.667</v>
      </c>
    </row>
    <row r="19">
      <c r="A19" s="1" t="str">
        <f t="shared" ref="A19:A27" si="18">"FA-"&amp;TEXT(ROW(A12),"000")</f>
        <v>FA-012</v>
      </c>
      <c r="B19" s="14" t="s">
        <v>30</v>
      </c>
      <c r="C19" s="1" t="s">
        <v>5</v>
      </c>
      <c r="D19" s="1">
        <v>14200.0</v>
      </c>
      <c r="E19" s="11">
        <v>44621.0</v>
      </c>
      <c r="F19" s="11">
        <v>45697.0</v>
      </c>
      <c r="G19" s="3">
        <v>1.48E7</v>
      </c>
      <c r="H19" s="1">
        <v>16.0</v>
      </c>
      <c r="I19" s="26">
        <v>0.062</v>
      </c>
      <c r="J19" s="1" t="s">
        <v>26</v>
      </c>
      <c r="K19" s="3">
        <v>2752800.0</v>
      </c>
      <c r="L19" s="3">
        <v>1.20472E7</v>
      </c>
      <c r="M19" s="12" t="s">
        <v>23</v>
      </c>
      <c r="N19" s="13" t="s">
        <v>24</v>
      </c>
      <c r="O19" s="3">
        <v>76466.66666666667</v>
      </c>
      <c r="P19" s="3">
        <f>L19-IRD_Depreciation_Schedule!O17</f>
        <v>11970733.33</v>
      </c>
      <c r="Q19" s="3">
        <f>P19-IRD_Depreciation_Schedule!P17</f>
        <v>11894266.67</v>
      </c>
      <c r="R19" s="3">
        <f>Q19-IRD_Depreciation_Schedule!Q17</f>
        <v>11817800</v>
      </c>
      <c r="S19" s="3">
        <f>R19-IRD_Depreciation_Schedule!S17</f>
        <v>11741333.33</v>
      </c>
    </row>
    <row r="20">
      <c r="A20" s="1" t="str">
        <f t="shared" si="18"/>
        <v>FA-013</v>
      </c>
      <c r="B20" s="24" t="s">
        <v>32</v>
      </c>
      <c r="C20" s="1" t="s">
        <v>7</v>
      </c>
      <c r="D20" s="25">
        <v>14201.0</v>
      </c>
      <c r="E20" s="11">
        <v>44621.0</v>
      </c>
      <c r="F20" s="11">
        <v>45697.0</v>
      </c>
      <c r="G20" s="3">
        <v>2000000.0</v>
      </c>
      <c r="H20" s="1">
        <v>10.0</v>
      </c>
      <c r="I20" s="15">
        <v>0.1</v>
      </c>
      <c r="J20" s="1" t="s">
        <v>26</v>
      </c>
      <c r="K20" s="3">
        <v>600000.0000000001</v>
      </c>
      <c r="L20" s="3">
        <v>1400000.0</v>
      </c>
      <c r="M20" s="12" t="s">
        <v>23</v>
      </c>
      <c r="N20" s="13" t="s">
        <v>24</v>
      </c>
      <c r="O20" s="3">
        <v>16666.666666666668</v>
      </c>
      <c r="P20" s="3">
        <f>L20-IRD_Depreciation_Schedule!O18</f>
        <v>1383333.333</v>
      </c>
      <c r="Q20" s="3">
        <f>P20-IRD_Depreciation_Schedule!P18</f>
        <v>1366666.667</v>
      </c>
      <c r="R20" s="3">
        <f>Q20-IRD_Depreciation_Schedule!Q18</f>
        <v>1350000</v>
      </c>
      <c r="S20" s="3">
        <f>R20-IRD_Depreciation_Schedule!S18</f>
        <v>1333333.333</v>
      </c>
    </row>
    <row r="21">
      <c r="A21" s="1" t="str">
        <f t="shared" si="18"/>
        <v>FA-014</v>
      </c>
      <c r="B21" s="24" t="s">
        <v>33</v>
      </c>
      <c r="C21" s="1" t="s">
        <v>7</v>
      </c>
      <c r="D21" s="25">
        <v>14202.0</v>
      </c>
      <c r="E21" s="11">
        <v>44621.0</v>
      </c>
      <c r="F21" s="11">
        <v>45697.0</v>
      </c>
      <c r="G21" s="3">
        <v>4000000.0</v>
      </c>
      <c r="H21" s="1">
        <f>1/I21</f>
        <v>16</v>
      </c>
      <c r="I21" s="26">
        <v>0.0625</v>
      </c>
      <c r="J21" s="1" t="s">
        <v>26</v>
      </c>
      <c r="K21" s="3">
        <v>750000.0</v>
      </c>
      <c r="L21" s="3">
        <v>3250000.0</v>
      </c>
      <c r="M21" s="12" t="s">
        <v>23</v>
      </c>
      <c r="N21" s="13" t="s">
        <v>24</v>
      </c>
      <c r="O21" s="3">
        <v>20833.333333333332</v>
      </c>
      <c r="P21" s="3">
        <f>L21-IRD_Depreciation_Schedule!O19</f>
        <v>3229166.667</v>
      </c>
      <c r="Q21" s="3">
        <f>P21-IRD_Depreciation_Schedule!P19</f>
        <v>3208333.333</v>
      </c>
      <c r="R21" s="3">
        <f>Q21-IRD_Depreciation_Schedule!Q19</f>
        <v>3187500</v>
      </c>
      <c r="S21" s="3">
        <f>R21-IRD_Depreciation_Schedule!S19</f>
        <v>3166666.667</v>
      </c>
    </row>
    <row r="22">
      <c r="A22" s="1" t="str">
        <f t="shared" si="18"/>
        <v>FA-015</v>
      </c>
      <c r="B22" s="24" t="s">
        <v>34</v>
      </c>
      <c r="C22" s="1" t="s">
        <v>5</v>
      </c>
      <c r="D22" s="25">
        <v>14203.0</v>
      </c>
      <c r="E22" s="11">
        <v>44621.0</v>
      </c>
      <c r="F22" s="11">
        <v>45697.0</v>
      </c>
      <c r="G22" s="3">
        <v>5.0E7</v>
      </c>
      <c r="H22" s="1">
        <v>16.0</v>
      </c>
      <c r="I22" s="26">
        <v>0.062</v>
      </c>
      <c r="J22" s="1" t="s">
        <v>26</v>
      </c>
      <c r="K22" s="3">
        <v>9300000.0</v>
      </c>
      <c r="L22" s="3">
        <v>4.07E7</v>
      </c>
      <c r="M22" s="12" t="s">
        <v>23</v>
      </c>
      <c r="N22" s="13" t="s">
        <v>24</v>
      </c>
      <c r="O22" s="3">
        <v>258333.33333333334</v>
      </c>
      <c r="P22" s="3">
        <f>L22-IRD_Depreciation_Schedule!O20</f>
        <v>40441666.67</v>
      </c>
      <c r="Q22" s="3">
        <f>P22-IRD_Depreciation_Schedule!P20</f>
        <v>40183333.33</v>
      </c>
      <c r="R22" s="3">
        <f>Q22-IRD_Depreciation_Schedule!Q20</f>
        <v>39925000</v>
      </c>
      <c r="S22" s="3">
        <f>R22-IRD_Depreciation_Schedule!S20</f>
        <v>39666666.67</v>
      </c>
    </row>
    <row r="23">
      <c r="A23" s="1" t="str">
        <f t="shared" si="18"/>
        <v>FA-016</v>
      </c>
      <c r="B23" s="14" t="s">
        <v>35</v>
      </c>
      <c r="C23" s="1" t="s">
        <v>7</v>
      </c>
      <c r="D23" s="25">
        <v>14204.0</v>
      </c>
      <c r="E23" s="11">
        <v>44621.0</v>
      </c>
      <c r="F23" s="11">
        <v>45697.0</v>
      </c>
      <c r="G23" s="3">
        <v>1200000.0</v>
      </c>
      <c r="H23" s="1">
        <v>10.0</v>
      </c>
      <c r="I23" s="15">
        <v>0.1</v>
      </c>
      <c r="J23" s="1" t="s">
        <v>26</v>
      </c>
      <c r="K23" s="3">
        <v>360000.00000000006</v>
      </c>
      <c r="L23" s="3">
        <v>840000.0</v>
      </c>
      <c r="M23" s="12" t="s">
        <v>23</v>
      </c>
      <c r="N23" s="13" t="s">
        <v>24</v>
      </c>
      <c r="O23" s="3">
        <v>10000.0</v>
      </c>
      <c r="P23" s="3">
        <f>L23-IRD_Depreciation_Schedule!O21</f>
        <v>830000</v>
      </c>
      <c r="Q23" s="3">
        <f>P23-IRD_Depreciation_Schedule!P21</f>
        <v>820000</v>
      </c>
      <c r="R23" s="3">
        <f>Q23-IRD_Depreciation_Schedule!Q21</f>
        <v>810000</v>
      </c>
      <c r="S23" s="3">
        <f>R23-IRD_Depreciation_Schedule!S21</f>
        <v>800000</v>
      </c>
    </row>
    <row r="24">
      <c r="A24" s="1" t="str">
        <f t="shared" si="18"/>
        <v>FA-017</v>
      </c>
      <c r="B24" s="24" t="s">
        <v>36</v>
      </c>
      <c r="C24" s="1" t="s">
        <v>5</v>
      </c>
      <c r="D24" s="25">
        <v>14205.0</v>
      </c>
      <c r="E24" s="11">
        <v>44621.0</v>
      </c>
      <c r="F24" s="11">
        <v>45697.0</v>
      </c>
      <c r="G24" s="3">
        <v>600000.0</v>
      </c>
      <c r="H24" s="1">
        <f>1/I24</f>
        <v>16</v>
      </c>
      <c r="I24" s="26">
        <v>0.0625</v>
      </c>
      <c r="J24" s="1" t="s">
        <v>26</v>
      </c>
      <c r="K24" s="3">
        <v>112500.0</v>
      </c>
      <c r="L24" s="3">
        <v>487500.0</v>
      </c>
      <c r="M24" s="12" t="s">
        <v>23</v>
      </c>
      <c r="N24" s="13" t="s">
        <v>24</v>
      </c>
      <c r="O24" s="3">
        <v>3125.0</v>
      </c>
      <c r="P24" s="3">
        <f>L24-IRD_Depreciation_Schedule!O22</f>
        <v>484375</v>
      </c>
      <c r="Q24" s="3">
        <f>P24-IRD_Depreciation_Schedule!P22</f>
        <v>481250</v>
      </c>
      <c r="R24" s="3">
        <f>Q24-IRD_Depreciation_Schedule!Q22</f>
        <v>478125</v>
      </c>
      <c r="S24" s="3">
        <f>R24-IRD_Depreciation_Schedule!S22</f>
        <v>475000</v>
      </c>
    </row>
    <row r="25">
      <c r="A25" s="1" t="str">
        <f t="shared" si="18"/>
        <v>FA-018</v>
      </c>
      <c r="B25" s="14" t="s">
        <v>37</v>
      </c>
      <c r="C25" s="1" t="s">
        <v>5</v>
      </c>
      <c r="D25" s="25">
        <v>14206.0</v>
      </c>
      <c r="E25" s="11">
        <v>44621.0</v>
      </c>
      <c r="F25" s="11">
        <v>45697.0</v>
      </c>
      <c r="G25" s="3">
        <v>200000.0</v>
      </c>
      <c r="H25" s="1">
        <v>10.0</v>
      </c>
      <c r="I25" s="15">
        <v>0.1</v>
      </c>
      <c r="J25" s="1" t="s">
        <v>26</v>
      </c>
      <c r="K25" s="3">
        <v>60000.00000000001</v>
      </c>
      <c r="L25" s="3">
        <v>140000.0</v>
      </c>
      <c r="M25" s="12" t="s">
        <v>23</v>
      </c>
      <c r="N25" s="13" t="s">
        <v>24</v>
      </c>
      <c r="O25" s="3">
        <v>1666.6666666666667</v>
      </c>
      <c r="P25" s="3">
        <f>L25-IRD_Depreciation_Schedule!O23</f>
        <v>138333.3333</v>
      </c>
      <c r="Q25" s="3">
        <f>P25-IRD_Depreciation_Schedule!P23</f>
        <v>136666.6667</v>
      </c>
      <c r="R25" s="3">
        <f>Q25-IRD_Depreciation_Schedule!Q23</f>
        <v>135000</v>
      </c>
      <c r="S25" s="3">
        <f>R25-IRD_Depreciation_Schedule!S23</f>
        <v>133333.3333</v>
      </c>
    </row>
    <row r="26">
      <c r="A26" s="1" t="str">
        <f t="shared" si="18"/>
        <v>FA-019</v>
      </c>
      <c r="B26" s="14" t="s">
        <v>38</v>
      </c>
      <c r="C26" s="1" t="s">
        <v>5</v>
      </c>
      <c r="D26" s="25">
        <v>14207.0</v>
      </c>
      <c r="E26" s="11">
        <v>44621.0</v>
      </c>
      <c r="F26" s="11">
        <v>45697.0</v>
      </c>
      <c r="G26" s="3">
        <v>800000.0</v>
      </c>
      <c r="H26" s="1">
        <v>16.0</v>
      </c>
      <c r="I26" s="26">
        <v>0.0625</v>
      </c>
      <c r="J26" s="1" t="s">
        <v>26</v>
      </c>
      <c r="K26" s="3">
        <v>150000.0</v>
      </c>
      <c r="L26" s="3">
        <v>650000.0</v>
      </c>
      <c r="M26" s="12" t="s">
        <v>23</v>
      </c>
      <c r="N26" s="13" t="s">
        <v>24</v>
      </c>
      <c r="O26" s="3">
        <v>4166.666666666666</v>
      </c>
      <c r="P26" s="3">
        <f>L26-IRD_Depreciation_Schedule!O24</f>
        <v>645833.3333</v>
      </c>
      <c r="Q26" s="3">
        <f>P26-IRD_Depreciation_Schedule!P24</f>
        <v>641666.6667</v>
      </c>
      <c r="R26" s="3">
        <f>Q26-IRD_Depreciation_Schedule!Q24</f>
        <v>637500</v>
      </c>
      <c r="S26" s="3">
        <f>R26-IRD_Depreciation_Schedule!S24</f>
        <v>633333.3333</v>
      </c>
    </row>
    <row r="27">
      <c r="A27" s="1" t="str">
        <f t="shared" si="18"/>
        <v>FA-020</v>
      </c>
      <c r="B27" s="24" t="s">
        <v>39</v>
      </c>
      <c r="C27" s="1" t="s">
        <v>2</v>
      </c>
      <c r="D27" s="1">
        <v>14208.0</v>
      </c>
      <c r="E27" s="11">
        <v>45695.0</v>
      </c>
      <c r="F27" s="11">
        <v>45695.0</v>
      </c>
      <c r="G27" s="3">
        <v>2.1029E8</v>
      </c>
      <c r="H27" s="1"/>
      <c r="I27" s="26"/>
      <c r="J27" s="1"/>
      <c r="K27" s="3"/>
      <c r="L27" s="3">
        <f t="shared" ref="L27:L29" si="19">G27</f>
        <v>210290000</v>
      </c>
      <c r="M27" s="12" t="s">
        <v>23</v>
      </c>
      <c r="N27" s="13" t="s">
        <v>40</v>
      </c>
      <c r="O27" s="1"/>
      <c r="P27" s="3">
        <f>L27-0</f>
        <v>210290000</v>
      </c>
      <c r="Q27" s="3">
        <f>P27-IRD_Depreciation_Schedule!P25</f>
        <v>210290000</v>
      </c>
      <c r="R27" s="3">
        <f>Q27-IRD_Depreciation_Schedule!Q25</f>
        <v>210290000</v>
      </c>
      <c r="S27" s="3">
        <f>R27-IRD_Depreciation_Schedule!S25</f>
        <v>210290000</v>
      </c>
    </row>
    <row r="28">
      <c r="A28" s="1" t="s">
        <v>68</v>
      </c>
      <c r="B28" s="27" t="s">
        <v>41</v>
      </c>
      <c r="C28" s="1" t="s">
        <v>7</v>
      </c>
      <c r="D28" s="1">
        <v>14209.0</v>
      </c>
      <c r="E28" s="28">
        <v>45703.0</v>
      </c>
      <c r="F28" s="28">
        <v>45703.0</v>
      </c>
      <c r="G28" s="3">
        <v>6856000.0</v>
      </c>
      <c r="H28" s="1">
        <v>10.0</v>
      </c>
      <c r="I28" s="15">
        <v>0.1</v>
      </c>
      <c r="J28" s="1" t="s">
        <v>26</v>
      </c>
      <c r="K28" s="3">
        <v>0.0</v>
      </c>
      <c r="L28" s="3">
        <f t="shared" si="19"/>
        <v>6856000</v>
      </c>
      <c r="M28" s="12" t="s">
        <v>23</v>
      </c>
      <c r="N28" s="13" t="s">
        <v>40</v>
      </c>
      <c r="O28" s="3">
        <v>57133.333333333336</v>
      </c>
      <c r="P28" s="3">
        <f>L28-IRD_Depreciation_Schedule!O26</f>
        <v>6856000</v>
      </c>
      <c r="Q28" s="3">
        <f>P28-IRD_Depreciation_Schedule!P26</f>
        <v>6798866.667</v>
      </c>
      <c r="R28" s="3">
        <f>Q28-IRD_Depreciation_Schedule!Q26</f>
        <v>6741733.333</v>
      </c>
      <c r="S28" s="3">
        <f>R28-IRD_Depreciation_Schedule!S26</f>
        <v>6684600</v>
      </c>
    </row>
    <row r="29">
      <c r="A29" s="1" t="s">
        <v>69</v>
      </c>
      <c r="B29" s="27" t="s">
        <v>42</v>
      </c>
      <c r="C29" s="1" t="s">
        <v>5</v>
      </c>
      <c r="D29" s="1">
        <v>14210.0</v>
      </c>
      <c r="E29" s="28">
        <v>45724.0</v>
      </c>
      <c r="F29" s="28">
        <f>E29</f>
        <v>45724</v>
      </c>
      <c r="G29" s="3">
        <v>1520000.0</v>
      </c>
      <c r="H29" s="1">
        <v>10.0</v>
      </c>
      <c r="I29" s="15">
        <v>0.1</v>
      </c>
      <c r="J29" s="1" t="s">
        <v>26</v>
      </c>
      <c r="K29" s="3">
        <v>0.0</v>
      </c>
      <c r="L29" s="3">
        <f t="shared" si="19"/>
        <v>1520000</v>
      </c>
      <c r="M29" s="12" t="s">
        <v>23</v>
      </c>
      <c r="N29" s="13" t="s">
        <v>40</v>
      </c>
      <c r="O29" s="3">
        <v>12666.666666666666</v>
      </c>
      <c r="P29" s="1"/>
      <c r="Q29" s="3">
        <f>L29-IRD_Depreciation_Schedule!P27</f>
        <v>1507333.333</v>
      </c>
      <c r="R29" s="3">
        <f>Q29-IRD_Depreciation_Schedule!Q27</f>
        <v>1494666.667</v>
      </c>
      <c r="S29" s="3">
        <f>R29-IRD_Depreciation_Schedule!S27</f>
        <v>1482000</v>
      </c>
    </row>
    <row r="33">
      <c r="O33" s="48"/>
    </row>
  </sheetData>
  <dataValidations>
    <dataValidation type="list" allowBlank="1" showErrorMessage="1" sqref="N14:N29">
      <formula1>" သူဌေးကုန်းစက်ရုံ,ရန်ကင်းစက်ရုံ"</formula1>
    </dataValidation>
    <dataValidation type="list" allowBlank="1" showErrorMessage="1" sqref="C14:C29">
      <formula1>IRD_Fixed_Asset_Register_List!$M$3:$M$7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26.25"/>
    <col customWidth="1" min="2" max="2" width="43.0"/>
    <col collapsed="1" customWidth="1" min="3" max="3" width="14.5"/>
    <col customWidth="1" hidden="1" min="4" max="4" width="7.5" outlineLevel="1"/>
    <col customWidth="1" hidden="1" min="5" max="5" width="17.25" outlineLevel="1"/>
    <col hidden="1" min="6" max="6" width="12.63" outlineLevel="1"/>
    <col customWidth="1" hidden="1" min="7" max="7" width="15.38" outlineLevel="1"/>
    <col customWidth="1" hidden="1" min="8" max="9" width="21.13" outlineLevel="1"/>
    <col customWidth="1" hidden="1" min="10" max="11" width="17.75" outlineLevel="1"/>
    <col customWidth="1" hidden="1" min="12" max="12" width="32.88" outlineLevel="1"/>
    <col customWidth="1" hidden="1" min="13" max="13" width="17.75" outlineLevel="1"/>
    <col customWidth="1" min="14" max="14" width="26.0"/>
  </cols>
  <sheetData>
    <row r="2">
      <c r="N2" s="1" t="s">
        <v>0</v>
      </c>
      <c r="O2" s="31" t="str">
        <f t="shared" ref="O2:CT2" si="1">O12</f>
        <v>Feb-2025</v>
      </c>
      <c r="P2" s="31" t="str">
        <f t="shared" si="1"/>
        <v>Mar-2025</v>
      </c>
      <c r="Q2" s="31" t="str">
        <f t="shared" si="1"/>
        <v>Apr-2025</v>
      </c>
      <c r="R2" s="31" t="str">
        <f t="shared" si="1"/>
        <v>May-2025</v>
      </c>
      <c r="S2" s="31" t="str">
        <f t="shared" si="1"/>
        <v>Jun-2025</v>
      </c>
      <c r="T2" s="31" t="str">
        <f t="shared" si="1"/>
        <v>Jul-2025</v>
      </c>
      <c r="U2" s="31" t="str">
        <f t="shared" si="1"/>
        <v>Aug-2025</v>
      </c>
      <c r="V2" s="31" t="str">
        <f t="shared" si="1"/>
        <v>Sep-2025</v>
      </c>
      <c r="W2" s="31" t="str">
        <f t="shared" si="1"/>
        <v>Oct-2025</v>
      </c>
      <c r="X2" s="31" t="str">
        <f t="shared" si="1"/>
        <v>Nov-2025</v>
      </c>
      <c r="Y2" s="31" t="str">
        <f t="shared" si="1"/>
        <v>Dec-2025</v>
      </c>
      <c r="Z2" s="31" t="str">
        <f t="shared" si="1"/>
        <v>Jan-2026</v>
      </c>
      <c r="AA2" s="31" t="str">
        <f t="shared" si="1"/>
        <v>Feb-2026</v>
      </c>
      <c r="AB2" s="31" t="str">
        <f t="shared" si="1"/>
        <v>Mar-2026</v>
      </c>
      <c r="AC2" s="31" t="str">
        <f t="shared" si="1"/>
        <v>Apr-2026</v>
      </c>
      <c r="AD2" s="31" t="str">
        <f t="shared" si="1"/>
        <v>May-2026</v>
      </c>
      <c r="AE2" s="31" t="str">
        <f t="shared" si="1"/>
        <v>Jun-2026</v>
      </c>
      <c r="AF2" s="31" t="str">
        <f t="shared" si="1"/>
        <v>Jul-2026</v>
      </c>
      <c r="AG2" s="31" t="str">
        <f t="shared" si="1"/>
        <v>Aug-2026</v>
      </c>
      <c r="AH2" s="31" t="str">
        <f t="shared" si="1"/>
        <v>Sep-2026</v>
      </c>
      <c r="AI2" s="31" t="str">
        <f t="shared" si="1"/>
        <v>Oct-2026</v>
      </c>
      <c r="AJ2" s="31" t="str">
        <f t="shared" si="1"/>
        <v>Nov-2026</v>
      </c>
      <c r="AK2" s="31" t="str">
        <f t="shared" si="1"/>
        <v>Dec-2026</v>
      </c>
      <c r="AL2" s="31" t="str">
        <f t="shared" si="1"/>
        <v>Jan-2027</v>
      </c>
      <c r="AM2" s="31" t="str">
        <f t="shared" si="1"/>
        <v>Feb-2027</v>
      </c>
      <c r="AN2" s="31" t="str">
        <f t="shared" si="1"/>
        <v>Mar-2027</v>
      </c>
      <c r="AO2" s="31" t="str">
        <f t="shared" si="1"/>
        <v>Apr-2027</v>
      </c>
      <c r="AP2" s="31" t="str">
        <f t="shared" si="1"/>
        <v>May-2027</v>
      </c>
      <c r="AQ2" s="31" t="str">
        <f t="shared" si="1"/>
        <v>Jun-2027</v>
      </c>
      <c r="AR2" s="31" t="str">
        <f t="shared" si="1"/>
        <v>Jul-2027</v>
      </c>
      <c r="AS2" s="31" t="str">
        <f t="shared" si="1"/>
        <v>Aug-2027</v>
      </c>
      <c r="AT2" s="31" t="str">
        <f t="shared" si="1"/>
        <v>Sep-2027</v>
      </c>
      <c r="AU2" s="31" t="str">
        <f t="shared" si="1"/>
        <v>Oct-2027</v>
      </c>
      <c r="AV2" s="31" t="str">
        <f t="shared" si="1"/>
        <v>Nov-2027</v>
      </c>
      <c r="AW2" s="31" t="str">
        <f t="shared" si="1"/>
        <v>Dec-2027</v>
      </c>
      <c r="AX2" s="31" t="str">
        <f t="shared" si="1"/>
        <v>Jan-2028</v>
      </c>
      <c r="AY2" s="31" t="str">
        <f t="shared" si="1"/>
        <v>Feb-2028</v>
      </c>
      <c r="AZ2" s="31" t="str">
        <f t="shared" si="1"/>
        <v>Mar-2028</v>
      </c>
      <c r="BA2" s="31" t="str">
        <f t="shared" si="1"/>
        <v>Apr-2028</v>
      </c>
      <c r="BB2" s="31" t="str">
        <f t="shared" si="1"/>
        <v>May-2028</v>
      </c>
      <c r="BC2" s="31" t="str">
        <f t="shared" si="1"/>
        <v>Jun-2028</v>
      </c>
      <c r="BD2" s="31" t="str">
        <f t="shared" si="1"/>
        <v>Jul-2028</v>
      </c>
      <c r="BE2" s="31" t="str">
        <f t="shared" si="1"/>
        <v>Aug-2028</v>
      </c>
      <c r="BF2" s="31" t="str">
        <f t="shared" si="1"/>
        <v>Sep-2028</v>
      </c>
      <c r="BG2" s="31" t="str">
        <f t="shared" si="1"/>
        <v>Oct-2028</v>
      </c>
      <c r="BH2" s="31" t="str">
        <f t="shared" si="1"/>
        <v>Nov-2028</v>
      </c>
      <c r="BI2" s="31" t="str">
        <f t="shared" si="1"/>
        <v>Dec-2028</v>
      </c>
      <c r="BJ2" s="31" t="str">
        <f t="shared" si="1"/>
        <v>Jan-2029</v>
      </c>
      <c r="BK2" s="31" t="str">
        <f t="shared" si="1"/>
        <v>Feb-2029</v>
      </c>
      <c r="BL2" s="31" t="str">
        <f t="shared" si="1"/>
        <v>Mar-2029</v>
      </c>
      <c r="BM2" s="31" t="str">
        <f t="shared" si="1"/>
        <v>Apr-2029</v>
      </c>
      <c r="BN2" s="31" t="str">
        <f t="shared" si="1"/>
        <v>May-2029</v>
      </c>
      <c r="BO2" s="31" t="str">
        <f t="shared" si="1"/>
        <v>Jun-2029</v>
      </c>
      <c r="BP2" s="31" t="str">
        <f t="shared" si="1"/>
        <v>Jul-2029</v>
      </c>
      <c r="BQ2" s="31" t="str">
        <f t="shared" si="1"/>
        <v>Aug-2029</v>
      </c>
      <c r="BR2" s="31" t="str">
        <f t="shared" si="1"/>
        <v>Sep-2029</v>
      </c>
      <c r="BS2" s="31" t="str">
        <f t="shared" si="1"/>
        <v>Oct-2029</v>
      </c>
      <c r="BT2" s="31" t="str">
        <f t="shared" si="1"/>
        <v>Nov-2029</v>
      </c>
      <c r="BU2" s="31" t="str">
        <f t="shared" si="1"/>
        <v>Dec-2029</v>
      </c>
      <c r="BV2" s="31" t="str">
        <f t="shared" si="1"/>
        <v>Jan-2030</v>
      </c>
      <c r="BW2" s="31" t="str">
        <f t="shared" si="1"/>
        <v>Feb-2030</v>
      </c>
      <c r="BX2" s="31" t="str">
        <f t="shared" si="1"/>
        <v>Mar-2030</v>
      </c>
      <c r="BY2" s="31" t="str">
        <f t="shared" si="1"/>
        <v>Apr-2030</v>
      </c>
      <c r="BZ2" s="31" t="str">
        <f t="shared" si="1"/>
        <v>May-2030</v>
      </c>
      <c r="CA2" s="31" t="str">
        <f t="shared" si="1"/>
        <v>Jun-2030</v>
      </c>
      <c r="CB2" s="31" t="str">
        <f t="shared" si="1"/>
        <v>Jul-2030</v>
      </c>
      <c r="CC2" s="31" t="str">
        <f t="shared" si="1"/>
        <v>Aug-2030</v>
      </c>
      <c r="CD2" s="31" t="str">
        <f t="shared" si="1"/>
        <v>Sep-2030</v>
      </c>
      <c r="CE2" s="31" t="str">
        <f t="shared" si="1"/>
        <v>Oct-2030</v>
      </c>
      <c r="CF2" s="31" t="str">
        <f t="shared" si="1"/>
        <v>Nov-2030</v>
      </c>
      <c r="CG2" s="31" t="str">
        <f t="shared" si="1"/>
        <v>Dec-2030</v>
      </c>
      <c r="CH2" s="31" t="str">
        <f t="shared" si="1"/>
        <v>Jan-2031</v>
      </c>
      <c r="CI2" s="31" t="str">
        <f t="shared" si="1"/>
        <v>Feb-2031</v>
      </c>
      <c r="CJ2" s="31" t="str">
        <f t="shared" si="1"/>
        <v>Mar-2031</v>
      </c>
      <c r="CK2" s="31" t="str">
        <f t="shared" si="1"/>
        <v>Apr-2031</v>
      </c>
      <c r="CL2" s="31" t="str">
        <f t="shared" si="1"/>
        <v>May-2031</v>
      </c>
      <c r="CM2" s="31" t="str">
        <f t="shared" si="1"/>
        <v>Jun-2031</v>
      </c>
      <c r="CN2" s="31" t="str">
        <f t="shared" si="1"/>
        <v>Jul-2031</v>
      </c>
      <c r="CO2" s="31" t="str">
        <f t="shared" si="1"/>
        <v>Aug-2031</v>
      </c>
      <c r="CP2" s="31" t="str">
        <f t="shared" si="1"/>
        <v>Sep-2031</v>
      </c>
      <c r="CQ2" s="31" t="str">
        <f t="shared" si="1"/>
        <v>Oct-2031</v>
      </c>
      <c r="CR2" s="31" t="str">
        <f t="shared" si="1"/>
        <v>Nov-2031</v>
      </c>
      <c r="CS2" s="31" t="str">
        <f t="shared" si="1"/>
        <v>Dec-2031</v>
      </c>
      <c r="CT2" s="31" t="str">
        <f t="shared" si="1"/>
        <v>Jan-2032</v>
      </c>
    </row>
    <row r="3">
      <c r="N3" s="1" t="s">
        <v>2</v>
      </c>
      <c r="O3" s="3">
        <f t="shared" ref="O3:CT3" si="2">SUMIF($C$13:$C$27,$N3,O$13:O$27)</f>
        <v>0</v>
      </c>
      <c r="P3" s="3">
        <f t="shared" si="2"/>
        <v>0</v>
      </c>
      <c r="Q3" s="3">
        <f t="shared" si="2"/>
        <v>0</v>
      </c>
      <c r="R3" s="3">
        <f t="shared" si="2"/>
        <v>0</v>
      </c>
      <c r="S3" s="3">
        <f t="shared" si="2"/>
        <v>0</v>
      </c>
      <c r="T3" s="3">
        <f t="shared" si="2"/>
        <v>0</v>
      </c>
      <c r="U3" s="3">
        <f t="shared" si="2"/>
        <v>0</v>
      </c>
      <c r="V3" s="3">
        <f t="shared" si="2"/>
        <v>0</v>
      </c>
      <c r="W3" s="3">
        <f t="shared" si="2"/>
        <v>0</v>
      </c>
      <c r="X3" s="3">
        <f t="shared" si="2"/>
        <v>0</v>
      </c>
      <c r="Y3" s="3">
        <f t="shared" si="2"/>
        <v>0</v>
      </c>
      <c r="Z3" s="3">
        <f t="shared" si="2"/>
        <v>0</v>
      </c>
      <c r="AA3" s="3">
        <f t="shared" si="2"/>
        <v>0</v>
      </c>
      <c r="AB3" s="3">
        <f t="shared" si="2"/>
        <v>0</v>
      </c>
      <c r="AC3" s="3">
        <f t="shared" si="2"/>
        <v>0</v>
      </c>
      <c r="AD3" s="3">
        <f t="shared" si="2"/>
        <v>0</v>
      </c>
      <c r="AE3" s="3">
        <f t="shared" si="2"/>
        <v>0</v>
      </c>
      <c r="AF3" s="3">
        <f t="shared" si="2"/>
        <v>0</v>
      </c>
      <c r="AG3" s="3">
        <f t="shared" si="2"/>
        <v>0</v>
      </c>
      <c r="AH3" s="3">
        <f t="shared" si="2"/>
        <v>0</v>
      </c>
      <c r="AI3" s="3">
        <f t="shared" si="2"/>
        <v>0</v>
      </c>
      <c r="AJ3" s="3">
        <f t="shared" si="2"/>
        <v>0</v>
      </c>
      <c r="AK3" s="3">
        <f t="shared" si="2"/>
        <v>0</v>
      </c>
      <c r="AL3" s="3">
        <f t="shared" si="2"/>
        <v>0</v>
      </c>
      <c r="AM3" s="3">
        <f t="shared" si="2"/>
        <v>0</v>
      </c>
      <c r="AN3" s="3">
        <f t="shared" si="2"/>
        <v>0</v>
      </c>
      <c r="AO3" s="3">
        <f t="shared" si="2"/>
        <v>0</v>
      </c>
      <c r="AP3" s="3">
        <f t="shared" si="2"/>
        <v>0</v>
      </c>
      <c r="AQ3" s="3">
        <f t="shared" si="2"/>
        <v>0</v>
      </c>
      <c r="AR3" s="3">
        <f t="shared" si="2"/>
        <v>0</v>
      </c>
      <c r="AS3" s="3">
        <f t="shared" si="2"/>
        <v>0</v>
      </c>
      <c r="AT3" s="3">
        <f t="shared" si="2"/>
        <v>0</v>
      </c>
      <c r="AU3" s="3">
        <f t="shared" si="2"/>
        <v>0</v>
      </c>
      <c r="AV3" s="3">
        <f t="shared" si="2"/>
        <v>0</v>
      </c>
      <c r="AW3" s="3">
        <f t="shared" si="2"/>
        <v>0</v>
      </c>
      <c r="AX3" s="3">
        <f t="shared" si="2"/>
        <v>0</v>
      </c>
      <c r="AY3" s="3">
        <f t="shared" si="2"/>
        <v>0</v>
      </c>
      <c r="AZ3" s="3">
        <f t="shared" si="2"/>
        <v>0</v>
      </c>
      <c r="BA3" s="3">
        <f t="shared" si="2"/>
        <v>0</v>
      </c>
      <c r="BB3" s="3">
        <f t="shared" si="2"/>
        <v>0</v>
      </c>
      <c r="BC3" s="3">
        <f t="shared" si="2"/>
        <v>0</v>
      </c>
      <c r="BD3" s="3">
        <f t="shared" si="2"/>
        <v>0</v>
      </c>
      <c r="BE3" s="3">
        <f t="shared" si="2"/>
        <v>0</v>
      </c>
      <c r="BF3" s="3">
        <f t="shared" si="2"/>
        <v>0</v>
      </c>
      <c r="BG3" s="3">
        <f t="shared" si="2"/>
        <v>0</v>
      </c>
      <c r="BH3" s="3">
        <f t="shared" si="2"/>
        <v>0</v>
      </c>
      <c r="BI3" s="3">
        <f t="shared" si="2"/>
        <v>0</v>
      </c>
      <c r="BJ3" s="3">
        <f t="shared" si="2"/>
        <v>0</v>
      </c>
      <c r="BK3" s="3">
        <f t="shared" si="2"/>
        <v>0</v>
      </c>
      <c r="BL3" s="3">
        <f t="shared" si="2"/>
        <v>0</v>
      </c>
      <c r="BM3" s="3">
        <f t="shared" si="2"/>
        <v>0</v>
      </c>
      <c r="BN3" s="3">
        <f t="shared" si="2"/>
        <v>0</v>
      </c>
      <c r="BO3" s="3">
        <f t="shared" si="2"/>
        <v>0</v>
      </c>
      <c r="BP3" s="3">
        <f t="shared" si="2"/>
        <v>0</v>
      </c>
      <c r="BQ3" s="3">
        <f t="shared" si="2"/>
        <v>0</v>
      </c>
      <c r="BR3" s="3">
        <f t="shared" si="2"/>
        <v>0</v>
      </c>
      <c r="BS3" s="3">
        <f t="shared" si="2"/>
        <v>0</v>
      </c>
      <c r="BT3" s="3">
        <f t="shared" si="2"/>
        <v>0</v>
      </c>
      <c r="BU3" s="3">
        <f t="shared" si="2"/>
        <v>0</v>
      </c>
      <c r="BV3" s="3">
        <f t="shared" si="2"/>
        <v>0</v>
      </c>
      <c r="BW3" s="3">
        <f t="shared" si="2"/>
        <v>0</v>
      </c>
      <c r="BX3" s="3">
        <f t="shared" si="2"/>
        <v>0</v>
      </c>
      <c r="BY3" s="3">
        <f t="shared" si="2"/>
        <v>0</v>
      </c>
      <c r="BZ3" s="3">
        <f t="shared" si="2"/>
        <v>0</v>
      </c>
      <c r="CA3" s="3">
        <f t="shared" si="2"/>
        <v>0</v>
      </c>
      <c r="CB3" s="3">
        <f t="shared" si="2"/>
        <v>0</v>
      </c>
      <c r="CC3" s="3">
        <f t="shared" si="2"/>
        <v>0</v>
      </c>
      <c r="CD3" s="3">
        <f t="shared" si="2"/>
        <v>0</v>
      </c>
      <c r="CE3" s="3">
        <f t="shared" si="2"/>
        <v>0</v>
      </c>
      <c r="CF3" s="3">
        <f t="shared" si="2"/>
        <v>0</v>
      </c>
      <c r="CG3" s="3">
        <f t="shared" si="2"/>
        <v>0</v>
      </c>
      <c r="CH3" s="3">
        <f t="shared" si="2"/>
        <v>0</v>
      </c>
      <c r="CI3" s="3">
        <f t="shared" si="2"/>
        <v>0</v>
      </c>
      <c r="CJ3" s="3">
        <f t="shared" si="2"/>
        <v>0</v>
      </c>
      <c r="CK3" s="3">
        <f t="shared" si="2"/>
        <v>0</v>
      </c>
      <c r="CL3" s="3">
        <f t="shared" si="2"/>
        <v>0</v>
      </c>
      <c r="CM3" s="3">
        <f t="shared" si="2"/>
        <v>0</v>
      </c>
      <c r="CN3" s="3">
        <f t="shared" si="2"/>
        <v>0</v>
      </c>
      <c r="CO3" s="3">
        <f t="shared" si="2"/>
        <v>0</v>
      </c>
      <c r="CP3" s="3">
        <f t="shared" si="2"/>
        <v>0</v>
      </c>
      <c r="CQ3" s="3">
        <f t="shared" si="2"/>
        <v>0</v>
      </c>
      <c r="CR3" s="3">
        <f t="shared" si="2"/>
        <v>0</v>
      </c>
      <c r="CS3" s="3">
        <f t="shared" si="2"/>
        <v>0</v>
      </c>
      <c r="CT3" s="3">
        <f t="shared" si="2"/>
        <v>0</v>
      </c>
    </row>
    <row r="4">
      <c r="N4" s="1" t="s">
        <v>4</v>
      </c>
      <c r="O4" s="3">
        <f t="shared" ref="O4:CT4" si="3">SUMIF($C$13:$C$27,$N4,O$13:O$27)</f>
        <v>554166.6667</v>
      </c>
      <c r="P4" s="3">
        <f t="shared" si="3"/>
        <v>554166.6667</v>
      </c>
      <c r="Q4" s="3">
        <f t="shared" si="3"/>
        <v>554166.6667</v>
      </c>
      <c r="R4" s="3">
        <f t="shared" si="3"/>
        <v>554166.6667</v>
      </c>
      <c r="S4" s="3">
        <f t="shared" si="3"/>
        <v>554166.6667</v>
      </c>
      <c r="T4" s="3">
        <f t="shared" si="3"/>
        <v>554166.6667</v>
      </c>
      <c r="U4" s="3">
        <f t="shared" si="3"/>
        <v>554166.6667</v>
      </c>
      <c r="V4" s="3">
        <f t="shared" si="3"/>
        <v>554166.6667</v>
      </c>
      <c r="W4" s="3">
        <f t="shared" si="3"/>
        <v>554166.6667</v>
      </c>
      <c r="X4" s="3">
        <f t="shared" si="3"/>
        <v>554166.6667</v>
      </c>
      <c r="Y4" s="3">
        <f t="shared" si="3"/>
        <v>554166.6667</v>
      </c>
      <c r="Z4" s="3">
        <f t="shared" si="3"/>
        <v>554166.6667</v>
      </c>
      <c r="AA4" s="3">
        <f t="shared" si="3"/>
        <v>554166.6667</v>
      </c>
      <c r="AB4" s="3">
        <f t="shared" si="3"/>
        <v>554166.6667</v>
      </c>
      <c r="AC4" s="3">
        <f t="shared" si="3"/>
        <v>554166.6667</v>
      </c>
      <c r="AD4" s="3">
        <f t="shared" si="3"/>
        <v>554166.6667</v>
      </c>
      <c r="AE4" s="3">
        <f t="shared" si="3"/>
        <v>554166.6667</v>
      </c>
      <c r="AF4" s="3">
        <f t="shared" si="3"/>
        <v>554166.6667</v>
      </c>
      <c r="AG4" s="3">
        <f t="shared" si="3"/>
        <v>554166.6667</v>
      </c>
      <c r="AH4" s="3">
        <f t="shared" si="3"/>
        <v>554166.6667</v>
      </c>
      <c r="AI4" s="3">
        <f t="shared" si="3"/>
        <v>554166.6667</v>
      </c>
      <c r="AJ4" s="3">
        <f t="shared" si="3"/>
        <v>554166.6667</v>
      </c>
      <c r="AK4" s="3">
        <f t="shared" si="3"/>
        <v>554166.6667</v>
      </c>
      <c r="AL4" s="3">
        <f t="shared" si="3"/>
        <v>554166.6667</v>
      </c>
      <c r="AM4" s="3">
        <f t="shared" si="3"/>
        <v>554166.6667</v>
      </c>
      <c r="AN4" s="3">
        <f t="shared" si="3"/>
        <v>554166.6667</v>
      </c>
      <c r="AO4" s="3">
        <f t="shared" si="3"/>
        <v>554166.6667</v>
      </c>
      <c r="AP4" s="3">
        <f t="shared" si="3"/>
        <v>554166.6667</v>
      </c>
      <c r="AQ4" s="3">
        <f t="shared" si="3"/>
        <v>554166.6667</v>
      </c>
      <c r="AR4" s="3">
        <f t="shared" si="3"/>
        <v>554166.6667</v>
      </c>
      <c r="AS4" s="3">
        <f t="shared" si="3"/>
        <v>554166.6667</v>
      </c>
      <c r="AT4" s="3">
        <f t="shared" si="3"/>
        <v>554166.6667</v>
      </c>
      <c r="AU4" s="3">
        <f t="shared" si="3"/>
        <v>554166.6667</v>
      </c>
      <c r="AV4" s="3">
        <f t="shared" si="3"/>
        <v>554166.6667</v>
      </c>
      <c r="AW4" s="3">
        <f t="shared" si="3"/>
        <v>554166.6667</v>
      </c>
      <c r="AX4" s="3">
        <f t="shared" si="3"/>
        <v>554166.6667</v>
      </c>
      <c r="AY4" s="3">
        <f t="shared" si="3"/>
        <v>554166.6667</v>
      </c>
      <c r="AZ4" s="3">
        <f t="shared" si="3"/>
        <v>554166.6667</v>
      </c>
      <c r="BA4" s="3">
        <f t="shared" si="3"/>
        <v>554166.6667</v>
      </c>
      <c r="BB4" s="3">
        <f t="shared" si="3"/>
        <v>554166.6667</v>
      </c>
      <c r="BC4" s="3">
        <f t="shared" si="3"/>
        <v>554166.6667</v>
      </c>
      <c r="BD4" s="3">
        <f t="shared" si="3"/>
        <v>554166.6667</v>
      </c>
      <c r="BE4" s="3">
        <f t="shared" si="3"/>
        <v>554166.6667</v>
      </c>
      <c r="BF4" s="3">
        <f t="shared" si="3"/>
        <v>554166.6667</v>
      </c>
      <c r="BG4" s="3">
        <f t="shared" si="3"/>
        <v>554166.6667</v>
      </c>
      <c r="BH4" s="3">
        <f t="shared" si="3"/>
        <v>554166.6667</v>
      </c>
      <c r="BI4" s="3">
        <f t="shared" si="3"/>
        <v>554166.6667</v>
      </c>
      <c r="BJ4" s="3">
        <f t="shared" si="3"/>
        <v>554166.6667</v>
      </c>
      <c r="BK4" s="3">
        <f t="shared" si="3"/>
        <v>554166.6667</v>
      </c>
      <c r="BL4" s="3">
        <f t="shared" si="3"/>
        <v>554166.6667</v>
      </c>
      <c r="BM4" s="3">
        <f t="shared" si="3"/>
        <v>554166.6667</v>
      </c>
      <c r="BN4" s="3">
        <f t="shared" si="3"/>
        <v>554166.6667</v>
      </c>
      <c r="BO4" s="3">
        <f t="shared" si="3"/>
        <v>554166.6667</v>
      </c>
      <c r="BP4" s="3">
        <f t="shared" si="3"/>
        <v>554166.6667</v>
      </c>
      <c r="BQ4" s="3">
        <f t="shared" si="3"/>
        <v>554166.6667</v>
      </c>
      <c r="BR4" s="3">
        <f t="shared" si="3"/>
        <v>554166.6667</v>
      </c>
      <c r="BS4" s="3">
        <f t="shared" si="3"/>
        <v>554166.6667</v>
      </c>
      <c r="BT4" s="3">
        <f t="shared" si="3"/>
        <v>554166.6667</v>
      </c>
      <c r="BU4" s="3">
        <f t="shared" si="3"/>
        <v>554166.6667</v>
      </c>
      <c r="BV4" s="3">
        <f t="shared" si="3"/>
        <v>554166.6667</v>
      </c>
      <c r="BW4" s="3">
        <f t="shared" si="3"/>
        <v>554166.6667</v>
      </c>
      <c r="BX4" s="3">
        <f t="shared" si="3"/>
        <v>554166.6667</v>
      </c>
      <c r="BY4" s="3">
        <f t="shared" si="3"/>
        <v>554166.6667</v>
      </c>
      <c r="BZ4" s="3">
        <f t="shared" si="3"/>
        <v>554166.6667</v>
      </c>
      <c r="CA4" s="3">
        <f t="shared" si="3"/>
        <v>554166.6667</v>
      </c>
      <c r="CB4" s="3">
        <f t="shared" si="3"/>
        <v>554166.6667</v>
      </c>
      <c r="CC4" s="3">
        <f t="shared" si="3"/>
        <v>554166.6667</v>
      </c>
      <c r="CD4" s="3">
        <f t="shared" si="3"/>
        <v>554166.6667</v>
      </c>
      <c r="CE4" s="3">
        <f t="shared" si="3"/>
        <v>554166.6667</v>
      </c>
      <c r="CF4" s="3">
        <f t="shared" si="3"/>
        <v>554166.6667</v>
      </c>
      <c r="CG4" s="3">
        <f t="shared" si="3"/>
        <v>554166.6667</v>
      </c>
      <c r="CH4" s="3">
        <f t="shared" si="3"/>
        <v>554166.6667</v>
      </c>
      <c r="CI4" s="3">
        <f t="shared" si="3"/>
        <v>554166.6667</v>
      </c>
      <c r="CJ4" s="3">
        <f t="shared" si="3"/>
        <v>554166.6667</v>
      </c>
      <c r="CK4" s="3">
        <f t="shared" si="3"/>
        <v>554166.6667</v>
      </c>
      <c r="CL4" s="3">
        <f t="shared" si="3"/>
        <v>554166.6667</v>
      </c>
      <c r="CM4" s="3">
        <f t="shared" si="3"/>
        <v>554166.6667</v>
      </c>
      <c r="CN4" s="3">
        <f t="shared" si="3"/>
        <v>554166.6667</v>
      </c>
      <c r="CO4" s="3">
        <f t="shared" si="3"/>
        <v>554166.6667</v>
      </c>
      <c r="CP4" s="3">
        <f t="shared" si="3"/>
        <v>554166.6667</v>
      </c>
      <c r="CQ4" s="3">
        <f t="shared" si="3"/>
        <v>554166.6667</v>
      </c>
      <c r="CR4" s="3">
        <f t="shared" si="3"/>
        <v>554166.6667</v>
      </c>
      <c r="CS4" s="3">
        <f t="shared" si="3"/>
        <v>554166.6667</v>
      </c>
      <c r="CT4" s="3">
        <f t="shared" si="3"/>
        <v>554166.6667</v>
      </c>
    </row>
    <row r="5">
      <c r="N5" s="1" t="s">
        <v>5</v>
      </c>
      <c r="O5" s="3">
        <f t="shared" ref="O5:CT5" si="4">SUMIF($C$13:$C$27,$N5,O$13:O$27)</f>
        <v>343758.3333</v>
      </c>
      <c r="P5" s="3">
        <f t="shared" si="4"/>
        <v>356425</v>
      </c>
      <c r="Q5" s="3">
        <f t="shared" si="4"/>
        <v>356425</v>
      </c>
      <c r="R5" s="3">
        <f t="shared" si="4"/>
        <v>356425</v>
      </c>
      <c r="S5" s="3">
        <f t="shared" si="4"/>
        <v>356425</v>
      </c>
      <c r="T5" s="3">
        <f t="shared" si="4"/>
        <v>356425</v>
      </c>
      <c r="U5" s="3">
        <f t="shared" si="4"/>
        <v>356425</v>
      </c>
      <c r="V5" s="3">
        <f t="shared" si="4"/>
        <v>356425</v>
      </c>
      <c r="W5" s="3">
        <f t="shared" si="4"/>
        <v>356425</v>
      </c>
      <c r="X5" s="3">
        <f t="shared" si="4"/>
        <v>356425</v>
      </c>
      <c r="Y5" s="3">
        <f t="shared" si="4"/>
        <v>356425</v>
      </c>
      <c r="Z5" s="3">
        <f t="shared" si="4"/>
        <v>356425</v>
      </c>
      <c r="AA5" s="3">
        <f t="shared" si="4"/>
        <v>356425</v>
      </c>
      <c r="AB5" s="3">
        <f t="shared" si="4"/>
        <v>356425</v>
      </c>
      <c r="AC5" s="3">
        <f t="shared" si="4"/>
        <v>356425</v>
      </c>
      <c r="AD5" s="3">
        <f t="shared" si="4"/>
        <v>356425</v>
      </c>
      <c r="AE5" s="3">
        <f t="shared" si="4"/>
        <v>356425</v>
      </c>
      <c r="AF5" s="3">
        <f t="shared" si="4"/>
        <v>356425</v>
      </c>
      <c r="AG5" s="3">
        <f t="shared" si="4"/>
        <v>356425</v>
      </c>
      <c r="AH5" s="3">
        <f t="shared" si="4"/>
        <v>356425</v>
      </c>
      <c r="AI5" s="3">
        <f t="shared" si="4"/>
        <v>356425</v>
      </c>
      <c r="AJ5" s="3">
        <f t="shared" si="4"/>
        <v>356425</v>
      </c>
      <c r="AK5" s="3">
        <f t="shared" si="4"/>
        <v>356425</v>
      </c>
      <c r="AL5" s="3">
        <f t="shared" si="4"/>
        <v>356425</v>
      </c>
      <c r="AM5" s="3">
        <f t="shared" si="4"/>
        <v>356425</v>
      </c>
      <c r="AN5" s="3">
        <f t="shared" si="4"/>
        <v>356425</v>
      </c>
      <c r="AO5" s="3">
        <f t="shared" si="4"/>
        <v>356425</v>
      </c>
      <c r="AP5" s="3">
        <f t="shared" si="4"/>
        <v>356425</v>
      </c>
      <c r="AQ5" s="3">
        <f t="shared" si="4"/>
        <v>356425</v>
      </c>
      <c r="AR5" s="3">
        <f t="shared" si="4"/>
        <v>356425</v>
      </c>
      <c r="AS5" s="3">
        <f t="shared" si="4"/>
        <v>356425</v>
      </c>
      <c r="AT5" s="3">
        <f t="shared" si="4"/>
        <v>356425</v>
      </c>
      <c r="AU5" s="3">
        <f t="shared" si="4"/>
        <v>356425</v>
      </c>
      <c r="AV5" s="3">
        <f t="shared" si="4"/>
        <v>356425</v>
      </c>
      <c r="AW5" s="3">
        <f t="shared" si="4"/>
        <v>356425</v>
      </c>
      <c r="AX5" s="3">
        <f t="shared" si="4"/>
        <v>356425</v>
      </c>
      <c r="AY5" s="3">
        <f t="shared" si="4"/>
        <v>356425</v>
      </c>
      <c r="AZ5" s="3">
        <f t="shared" si="4"/>
        <v>356425</v>
      </c>
      <c r="BA5" s="3">
        <f t="shared" si="4"/>
        <v>356425</v>
      </c>
      <c r="BB5" s="3">
        <f t="shared" si="4"/>
        <v>356425</v>
      </c>
      <c r="BC5" s="3">
        <f t="shared" si="4"/>
        <v>356425</v>
      </c>
      <c r="BD5" s="3">
        <f t="shared" si="4"/>
        <v>356425</v>
      </c>
      <c r="BE5" s="3">
        <f t="shared" si="4"/>
        <v>356425</v>
      </c>
      <c r="BF5" s="3">
        <f t="shared" si="4"/>
        <v>356425</v>
      </c>
      <c r="BG5" s="3">
        <f t="shared" si="4"/>
        <v>356425</v>
      </c>
      <c r="BH5" s="3">
        <f t="shared" si="4"/>
        <v>356425</v>
      </c>
      <c r="BI5" s="3">
        <f t="shared" si="4"/>
        <v>356425</v>
      </c>
      <c r="BJ5" s="3">
        <f t="shared" si="4"/>
        <v>356425</v>
      </c>
      <c r="BK5" s="3">
        <f t="shared" si="4"/>
        <v>356425</v>
      </c>
      <c r="BL5" s="3">
        <f t="shared" si="4"/>
        <v>356425</v>
      </c>
      <c r="BM5" s="3">
        <f t="shared" si="4"/>
        <v>356425</v>
      </c>
      <c r="BN5" s="3">
        <f t="shared" si="4"/>
        <v>356425</v>
      </c>
      <c r="BO5" s="3">
        <f t="shared" si="4"/>
        <v>356425</v>
      </c>
      <c r="BP5" s="3">
        <f t="shared" si="4"/>
        <v>356425</v>
      </c>
      <c r="BQ5" s="3">
        <f t="shared" si="4"/>
        <v>356425</v>
      </c>
      <c r="BR5" s="3">
        <f t="shared" si="4"/>
        <v>356425</v>
      </c>
      <c r="BS5" s="3">
        <f t="shared" si="4"/>
        <v>356425</v>
      </c>
      <c r="BT5" s="3">
        <f t="shared" si="4"/>
        <v>356425</v>
      </c>
      <c r="BU5" s="3">
        <f t="shared" si="4"/>
        <v>356425</v>
      </c>
      <c r="BV5" s="3">
        <f t="shared" si="4"/>
        <v>356425</v>
      </c>
      <c r="BW5" s="3">
        <f t="shared" si="4"/>
        <v>356425</v>
      </c>
      <c r="BX5" s="3">
        <f t="shared" si="4"/>
        <v>356425</v>
      </c>
      <c r="BY5" s="3">
        <f t="shared" si="4"/>
        <v>356425</v>
      </c>
      <c r="BZ5" s="3">
        <f t="shared" si="4"/>
        <v>356425</v>
      </c>
      <c r="CA5" s="3">
        <f t="shared" si="4"/>
        <v>356425</v>
      </c>
      <c r="CB5" s="3">
        <f t="shared" si="4"/>
        <v>356425</v>
      </c>
      <c r="CC5" s="3">
        <f t="shared" si="4"/>
        <v>356425</v>
      </c>
      <c r="CD5" s="3">
        <f t="shared" si="4"/>
        <v>356425</v>
      </c>
      <c r="CE5" s="3">
        <f t="shared" si="4"/>
        <v>356425</v>
      </c>
      <c r="CF5" s="3">
        <f t="shared" si="4"/>
        <v>356425</v>
      </c>
      <c r="CG5" s="3">
        <f t="shared" si="4"/>
        <v>356425</v>
      </c>
      <c r="CH5" s="3">
        <f t="shared" si="4"/>
        <v>356425</v>
      </c>
      <c r="CI5" s="3">
        <f t="shared" si="4"/>
        <v>356425</v>
      </c>
      <c r="CJ5" s="3">
        <f t="shared" si="4"/>
        <v>356425</v>
      </c>
      <c r="CK5" s="3">
        <f t="shared" si="4"/>
        <v>356425</v>
      </c>
      <c r="CL5" s="3">
        <f t="shared" si="4"/>
        <v>356425</v>
      </c>
      <c r="CM5" s="3">
        <f t="shared" si="4"/>
        <v>356425</v>
      </c>
      <c r="CN5" s="3">
        <f t="shared" si="4"/>
        <v>356425</v>
      </c>
      <c r="CO5" s="3">
        <f t="shared" si="4"/>
        <v>356425</v>
      </c>
      <c r="CP5" s="3">
        <f t="shared" si="4"/>
        <v>356425</v>
      </c>
      <c r="CQ5" s="3">
        <f t="shared" si="4"/>
        <v>356425</v>
      </c>
      <c r="CR5" s="3">
        <f t="shared" si="4"/>
        <v>356425</v>
      </c>
      <c r="CS5" s="3">
        <f t="shared" si="4"/>
        <v>356425</v>
      </c>
      <c r="CT5" s="3">
        <f t="shared" si="4"/>
        <v>356425</v>
      </c>
    </row>
    <row r="6">
      <c r="N6" s="1" t="s">
        <v>6</v>
      </c>
      <c r="O6" s="3">
        <f t="shared" ref="O6:CT6" si="5">SUMIF($C$13:$C$27,$N6,O$13:O$27)</f>
        <v>0</v>
      </c>
      <c r="P6" s="3">
        <f t="shared" si="5"/>
        <v>0</v>
      </c>
      <c r="Q6" s="3">
        <f t="shared" si="5"/>
        <v>0</v>
      </c>
      <c r="R6" s="3">
        <f t="shared" si="5"/>
        <v>0</v>
      </c>
      <c r="S6" s="3">
        <f t="shared" si="5"/>
        <v>0</v>
      </c>
      <c r="T6" s="3">
        <f t="shared" si="5"/>
        <v>0</v>
      </c>
      <c r="U6" s="3">
        <f t="shared" si="5"/>
        <v>0</v>
      </c>
      <c r="V6" s="3">
        <f t="shared" si="5"/>
        <v>0</v>
      </c>
      <c r="W6" s="3">
        <f t="shared" si="5"/>
        <v>0</v>
      </c>
      <c r="X6" s="3">
        <f t="shared" si="5"/>
        <v>0</v>
      </c>
      <c r="Y6" s="3">
        <f t="shared" si="5"/>
        <v>0</v>
      </c>
      <c r="Z6" s="3">
        <f t="shared" si="5"/>
        <v>0</v>
      </c>
      <c r="AA6" s="3">
        <f t="shared" si="5"/>
        <v>0</v>
      </c>
      <c r="AB6" s="3">
        <f t="shared" si="5"/>
        <v>0</v>
      </c>
      <c r="AC6" s="3">
        <f t="shared" si="5"/>
        <v>0</v>
      </c>
      <c r="AD6" s="3">
        <f t="shared" si="5"/>
        <v>0</v>
      </c>
      <c r="AE6" s="3">
        <f t="shared" si="5"/>
        <v>0</v>
      </c>
      <c r="AF6" s="3">
        <f t="shared" si="5"/>
        <v>0</v>
      </c>
      <c r="AG6" s="3">
        <f t="shared" si="5"/>
        <v>0</v>
      </c>
      <c r="AH6" s="3">
        <f t="shared" si="5"/>
        <v>0</v>
      </c>
      <c r="AI6" s="3">
        <f t="shared" si="5"/>
        <v>0</v>
      </c>
      <c r="AJ6" s="3">
        <f t="shared" si="5"/>
        <v>0</v>
      </c>
      <c r="AK6" s="3">
        <f t="shared" si="5"/>
        <v>0</v>
      </c>
      <c r="AL6" s="3">
        <f t="shared" si="5"/>
        <v>0</v>
      </c>
      <c r="AM6" s="3">
        <f t="shared" si="5"/>
        <v>0</v>
      </c>
      <c r="AN6" s="3">
        <f t="shared" si="5"/>
        <v>0</v>
      </c>
      <c r="AO6" s="3">
        <f t="shared" si="5"/>
        <v>0</v>
      </c>
      <c r="AP6" s="3">
        <f t="shared" si="5"/>
        <v>0</v>
      </c>
      <c r="AQ6" s="3">
        <f t="shared" si="5"/>
        <v>0</v>
      </c>
      <c r="AR6" s="3">
        <f t="shared" si="5"/>
        <v>0</v>
      </c>
      <c r="AS6" s="3">
        <f t="shared" si="5"/>
        <v>0</v>
      </c>
      <c r="AT6" s="3">
        <f t="shared" si="5"/>
        <v>0</v>
      </c>
      <c r="AU6" s="3">
        <f t="shared" si="5"/>
        <v>0</v>
      </c>
      <c r="AV6" s="3">
        <f t="shared" si="5"/>
        <v>0</v>
      </c>
      <c r="AW6" s="3">
        <f t="shared" si="5"/>
        <v>0</v>
      </c>
      <c r="AX6" s="3">
        <f t="shared" si="5"/>
        <v>0</v>
      </c>
      <c r="AY6" s="3">
        <f t="shared" si="5"/>
        <v>0</v>
      </c>
      <c r="AZ6" s="3">
        <f t="shared" si="5"/>
        <v>0</v>
      </c>
      <c r="BA6" s="3">
        <f t="shared" si="5"/>
        <v>0</v>
      </c>
      <c r="BB6" s="3">
        <f t="shared" si="5"/>
        <v>0</v>
      </c>
      <c r="BC6" s="3">
        <f t="shared" si="5"/>
        <v>0</v>
      </c>
      <c r="BD6" s="3">
        <f t="shared" si="5"/>
        <v>0</v>
      </c>
      <c r="BE6" s="3">
        <f t="shared" si="5"/>
        <v>0</v>
      </c>
      <c r="BF6" s="3">
        <f t="shared" si="5"/>
        <v>0</v>
      </c>
      <c r="BG6" s="3">
        <f t="shared" si="5"/>
        <v>0</v>
      </c>
      <c r="BH6" s="3">
        <f t="shared" si="5"/>
        <v>0</v>
      </c>
      <c r="BI6" s="3">
        <f t="shared" si="5"/>
        <v>0</v>
      </c>
      <c r="BJ6" s="3">
        <f t="shared" si="5"/>
        <v>0</v>
      </c>
      <c r="BK6" s="3">
        <f t="shared" si="5"/>
        <v>0</v>
      </c>
      <c r="BL6" s="3">
        <f t="shared" si="5"/>
        <v>0</v>
      </c>
      <c r="BM6" s="3">
        <f t="shared" si="5"/>
        <v>0</v>
      </c>
      <c r="BN6" s="3">
        <f t="shared" si="5"/>
        <v>0</v>
      </c>
      <c r="BO6" s="3">
        <f t="shared" si="5"/>
        <v>0</v>
      </c>
      <c r="BP6" s="3">
        <f t="shared" si="5"/>
        <v>0</v>
      </c>
      <c r="BQ6" s="3">
        <f t="shared" si="5"/>
        <v>0</v>
      </c>
      <c r="BR6" s="3">
        <f t="shared" si="5"/>
        <v>0</v>
      </c>
      <c r="BS6" s="3">
        <f t="shared" si="5"/>
        <v>0</v>
      </c>
      <c r="BT6" s="3">
        <f t="shared" si="5"/>
        <v>0</v>
      </c>
      <c r="BU6" s="3">
        <f t="shared" si="5"/>
        <v>0</v>
      </c>
      <c r="BV6" s="3">
        <f t="shared" si="5"/>
        <v>0</v>
      </c>
      <c r="BW6" s="3">
        <f t="shared" si="5"/>
        <v>0</v>
      </c>
      <c r="BX6" s="3">
        <f t="shared" si="5"/>
        <v>0</v>
      </c>
      <c r="BY6" s="3">
        <f t="shared" si="5"/>
        <v>0</v>
      </c>
      <c r="BZ6" s="3">
        <f t="shared" si="5"/>
        <v>0</v>
      </c>
      <c r="CA6" s="3">
        <f t="shared" si="5"/>
        <v>0</v>
      </c>
      <c r="CB6" s="3">
        <f t="shared" si="5"/>
        <v>0</v>
      </c>
      <c r="CC6" s="3">
        <f t="shared" si="5"/>
        <v>0</v>
      </c>
      <c r="CD6" s="3">
        <f t="shared" si="5"/>
        <v>0</v>
      </c>
      <c r="CE6" s="3">
        <f t="shared" si="5"/>
        <v>0</v>
      </c>
      <c r="CF6" s="3">
        <f t="shared" si="5"/>
        <v>0</v>
      </c>
      <c r="CG6" s="3">
        <f t="shared" si="5"/>
        <v>0</v>
      </c>
      <c r="CH6" s="3">
        <f t="shared" si="5"/>
        <v>0</v>
      </c>
      <c r="CI6" s="3">
        <f t="shared" si="5"/>
        <v>0</v>
      </c>
      <c r="CJ6" s="3">
        <f t="shared" si="5"/>
        <v>0</v>
      </c>
      <c r="CK6" s="3">
        <f t="shared" si="5"/>
        <v>0</v>
      </c>
      <c r="CL6" s="3">
        <f t="shared" si="5"/>
        <v>0</v>
      </c>
      <c r="CM6" s="3">
        <f t="shared" si="5"/>
        <v>0</v>
      </c>
      <c r="CN6" s="3">
        <f t="shared" si="5"/>
        <v>0</v>
      </c>
      <c r="CO6" s="3">
        <f t="shared" si="5"/>
        <v>0</v>
      </c>
      <c r="CP6" s="3">
        <f t="shared" si="5"/>
        <v>0</v>
      </c>
      <c r="CQ6" s="3">
        <f t="shared" si="5"/>
        <v>0</v>
      </c>
      <c r="CR6" s="3">
        <f t="shared" si="5"/>
        <v>0</v>
      </c>
      <c r="CS6" s="3">
        <f t="shared" si="5"/>
        <v>0</v>
      </c>
      <c r="CT6" s="3">
        <f t="shared" si="5"/>
        <v>0</v>
      </c>
    </row>
    <row r="7">
      <c r="E7" s="1"/>
      <c r="F7" s="1"/>
      <c r="G7" s="1"/>
      <c r="H7" s="1"/>
      <c r="I7" s="1"/>
      <c r="J7" s="1"/>
      <c r="K7" s="1"/>
      <c r="L7" s="1"/>
      <c r="N7" s="1" t="s">
        <v>7</v>
      </c>
      <c r="O7" s="3">
        <f t="shared" ref="O7:CT7" si="6">SUMIF($C$13:$C$27,$N7,O$13:O$27)</f>
        <v>47500</v>
      </c>
      <c r="P7" s="3">
        <f t="shared" si="6"/>
        <v>104633.3333</v>
      </c>
      <c r="Q7" s="3">
        <f t="shared" si="6"/>
        <v>104633.3333</v>
      </c>
      <c r="R7" s="3">
        <f t="shared" si="6"/>
        <v>104633.3333</v>
      </c>
      <c r="S7" s="3">
        <f t="shared" si="6"/>
        <v>104633.3333</v>
      </c>
      <c r="T7" s="3">
        <f t="shared" si="6"/>
        <v>104633.3333</v>
      </c>
      <c r="U7" s="3">
        <f t="shared" si="6"/>
        <v>104633.3333</v>
      </c>
      <c r="V7" s="3">
        <f t="shared" si="6"/>
        <v>104633.3333</v>
      </c>
      <c r="W7" s="3">
        <f t="shared" si="6"/>
        <v>104633.3333</v>
      </c>
      <c r="X7" s="3">
        <f t="shared" si="6"/>
        <v>104633.3333</v>
      </c>
      <c r="Y7" s="3">
        <f t="shared" si="6"/>
        <v>104633.3333</v>
      </c>
      <c r="Z7" s="3">
        <f t="shared" si="6"/>
        <v>104633.3333</v>
      </c>
      <c r="AA7" s="3">
        <f t="shared" si="6"/>
        <v>104633.3333</v>
      </c>
      <c r="AB7" s="3">
        <f t="shared" si="6"/>
        <v>104633.3333</v>
      </c>
      <c r="AC7" s="3">
        <f t="shared" si="6"/>
        <v>104633.3333</v>
      </c>
      <c r="AD7" s="3">
        <f t="shared" si="6"/>
        <v>104633.3333</v>
      </c>
      <c r="AE7" s="3">
        <f t="shared" si="6"/>
        <v>104633.3333</v>
      </c>
      <c r="AF7" s="3">
        <f t="shared" si="6"/>
        <v>104633.3333</v>
      </c>
      <c r="AG7" s="3">
        <f t="shared" si="6"/>
        <v>104633.3333</v>
      </c>
      <c r="AH7" s="3">
        <f t="shared" si="6"/>
        <v>104633.3333</v>
      </c>
      <c r="AI7" s="3">
        <f t="shared" si="6"/>
        <v>104633.3333</v>
      </c>
      <c r="AJ7" s="3">
        <f t="shared" si="6"/>
        <v>104633.3333</v>
      </c>
      <c r="AK7" s="3">
        <f t="shared" si="6"/>
        <v>104633.3333</v>
      </c>
      <c r="AL7" s="3">
        <f t="shared" si="6"/>
        <v>104633.3333</v>
      </c>
      <c r="AM7" s="3">
        <f t="shared" si="6"/>
        <v>104633.3333</v>
      </c>
      <c r="AN7" s="3">
        <f t="shared" si="6"/>
        <v>104633.3333</v>
      </c>
      <c r="AO7" s="3">
        <f t="shared" si="6"/>
        <v>104633.3333</v>
      </c>
      <c r="AP7" s="3">
        <f t="shared" si="6"/>
        <v>104633.3333</v>
      </c>
      <c r="AQ7" s="3">
        <f t="shared" si="6"/>
        <v>104633.3333</v>
      </c>
      <c r="AR7" s="3">
        <f t="shared" si="6"/>
        <v>104633.3333</v>
      </c>
      <c r="AS7" s="3">
        <f t="shared" si="6"/>
        <v>104633.3333</v>
      </c>
      <c r="AT7" s="3">
        <f t="shared" si="6"/>
        <v>104633.3333</v>
      </c>
      <c r="AU7" s="3">
        <f t="shared" si="6"/>
        <v>104633.3333</v>
      </c>
      <c r="AV7" s="3">
        <f t="shared" si="6"/>
        <v>104633.3333</v>
      </c>
      <c r="AW7" s="3">
        <f t="shared" si="6"/>
        <v>104633.3333</v>
      </c>
      <c r="AX7" s="3">
        <f t="shared" si="6"/>
        <v>104633.3333</v>
      </c>
      <c r="AY7" s="3">
        <f t="shared" si="6"/>
        <v>104633.3333</v>
      </c>
      <c r="AZ7" s="3">
        <f t="shared" si="6"/>
        <v>104633.3333</v>
      </c>
      <c r="BA7" s="3">
        <f t="shared" si="6"/>
        <v>104633.3333</v>
      </c>
      <c r="BB7" s="3">
        <f t="shared" si="6"/>
        <v>104633.3333</v>
      </c>
      <c r="BC7" s="3">
        <f t="shared" si="6"/>
        <v>104633.3333</v>
      </c>
      <c r="BD7" s="3">
        <f t="shared" si="6"/>
        <v>104633.3333</v>
      </c>
      <c r="BE7" s="3">
        <f t="shared" si="6"/>
        <v>104633.3333</v>
      </c>
      <c r="BF7" s="3">
        <f t="shared" si="6"/>
        <v>104633.3333</v>
      </c>
      <c r="BG7" s="3">
        <f t="shared" si="6"/>
        <v>104633.3333</v>
      </c>
      <c r="BH7" s="3">
        <f t="shared" si="6"/>
        <v>104633.3333</v>
      </c>
      <c r="BI7" s="3">
        <f t="shared" si="6"/>
        <v>104633.3333</v>
      </c>
      <c r="BJ7" s="3">
        <f t="shared" si="6"/>
        <v>104633.3333</v>
      </c>
      <c r="BK7" s="3">
        <f t="shared" si="6"/>
        <v>104633.3333</v>
      </c>
      <c r="BL7" s="3">
        <f t="shared" si="6"/>
        <v>104633.3333</v>
      </c>
      <c r="BM7" s="3">
        <f t="shared" si="6"/>
        <v>104633.3333</v>
      </c>
      <c r="BN7" s="3">
        <f t="shared" si="6"/>
        <v>104633.3333</v>
      </c>
      <c r="BO7" s="3">
        <f t="shared" si="6"/>
        <v>104633.3333</v>
      </c>
      <c r="BP7" s="3">
        <f t="shared" si="6"/>
        <v>104633.3333</v>
      </c>
      <c r="BQ7" s="3">
        <f t="shared" si="6"/>
        <v>104633.3333</v>
      </c>
      <c r="BR7" s="3">
        <f t="shared" si="6"/>
        <v>104633.3333</v>
      </c>
      <c r="BS7" s="3">
        <f t="shared" si="6"/>
        <v>104633.3333</v>
      </c>
      <c r="BT7" s="3">
        <f t="shared" si="6"/>
        <v>104633.3333</v>
      </c>
      <c r="BU7" s="3">
        <f t="shared" si="6"/>
        <v>104633.3333</v>
      </c>
      <c r="BV7" s="3">
        <f t="shared" si="6"/>
        <v>104633.3333</v>
      </c>
      <c r="BW7" s="3">
        <f t="shared" si="6"/>
        <v>104633.3333</v>
      </c>
      <c r="BX7" s="3">
        <f t="shared" si="6"/>
        <v>104633.3333</v>
      </c>
      <c r="BY7" s="3">
        <f t="shared" si="6"/>
        <v>104633.3333</v>
      </c>
      <c r="BZ7" s="3">
        <f t="shared" si="6"/>
        <v>104633.3333</v>
      </c>
      <c r="CA7" s="3">
        <f t="shared" si="6"/>
        <v>104633.3333</v>
      </c>
      <c r="CB7" s="3">
        <f t="shared" si="6"/>
        <v>104633.3333</v>
      </c>
      <c r="CC7" s="3">
        <f t="shared" si="6"/>
        <v>104633.3333</v>
      </c>
      <c r="CD7" s="3">
        <f t="shared" si="6"/>
        <v>104633.3333</v>
      </c>
      <c r="CE7" s="3">
        <f t="shared" si="6"/>
        <v>104633.3333</v>
      </c>
      <c r="CF7" s="3">
        <f t="shared" si="6"/>
        <v>104633.3333</v>
      </c>
      <c r="CG7" s="3">
        <f t="shared" si="6"/>
        <v>104633.3333</v>
      </c>
      <c r="CH7" s="3">
        <f t="shared" si="6"/>
        <v>104633.3333</v>
      </c>
      <c r="CI7" s="3">
        <f t="shared" si="6"/>
        <v>104633.3333</v>
      </c>
      <c r="CJ7" s="3">
        <f t="shared" si="6"/>
        <v>104633.3333</v>
      </c>
      <c r="CK7" s="3">
        <f t="shared" si="6"/>
        <v>104633.3333</v>
      </c>
      <c r="CL7" s="3">
        <f t="shared" si="6"/>
        <v>104633.3333</v>
      </c>
      <c r="CM7" s="3">
        <f t="shared" si="6"/>
        <v>104633.3333</v>
      </c>
      <c r="CN7" s="3">
        <f t="shared" si="6"/>
        <v>104633.3333</v>
      </c>
      <c r="CO7" s="3">
        <f t="shared" si="6"/>
        <v>104633.3333</v>
      </c>
      <c r="CP7" s="3">
        <f t="shared" si="6"/>
        <v>104633.3333</v>
      </c>
      <c r="CQ7" s="3">
        <f t="shared" si="6"/>
        <v>104633.3333</v>
      </c>
      <c r="CR7" s="3">
        <f t="shared" si="6"/>
        <v>104633.3333</v>
      </c>
      <c r="CS7" s="3">
        <f t="shared" si="6"/>
        <v>104633.3333</v>
      </c>
      <c r="CT7" s="3">
        <f t="shared" si="6"/>
        <v>104633.3333</v>
      </c>
      <c r="C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5" t="s">
        <v>47</v>
      </c>
      <c r="O8" s="20">
        <f t="shared" ref="O8:CT8" si="7">SUM(O3:O7)</f>
        <v>945425</v>
      </c>
      <c r="P8" s="20">
        <f t="shared" si="7"/>
        <v>1015225</v>
      </c>
      <c r="Q8" s="20">
        <f t="shared" si="7"/>
        <v>1015225</v>
      </c>
      <c r="R8" s="20">
        <f t="shared" si="7"/>
        <v>1015225</v>
      </c>
      <c r="S8" s="20">
        <f t="shared" si="7"/>
        <v>1015225</v>
      </c>
      <c r="T8" s="20">
        <f t="shared" si="7"/>
        <v>1015225</v>
      </c>
      <c r="U8" s="20">
        <f t="shared" si="7"/>
        <v>1015225</v>
      </c>
      <c r="V8" s="20">
        <f t="shared" si="7"/>
        <v>1015225</v>
      </c>
      <c r="W8" s="20">
        <f t="shared" si="7"/>
        <v>1015225</v>
      </c>
      <c r="X8" s="20">
        <f t="shared" si="7"/>
        <v>1015225</v>
      </c>
      <c r="Y8" s="20">
        <f t="shared" si="7"/>
        <v>1015225</v>
      </c>
      <c r="Z8" s="20">
        <f t="shared" si="7"/>
        <v>1015225</v>
      </c>
      <c r="AA8" s="20">
        <f t="shared" si="7"/>
        <v>1015225</v>
      </c>
      <c r="AB8" s="20">
        <f t="shared" si="7"/>
        <v>1015225</v>
      </c>
      <c r="AC8" s="20">
        <f t="shared" si="7"/>
        <v>1015225</v>
      </c>
      <c r="AD8" s="20">
        <f t="shared" si="7"/>
        <v>1015225</v>
      </c>
      <c r="AE8" s="20">
        <f t="shared" si="7"/>
        <v>1015225</v>
      </c>
      <c r="AF8" s="20">
        <f t="shared" si="7"/>
        <v>1015225</v>
      </c>
      <c r="AG8" s="20">
        <f t="shared" si="7"/>
        <v>1015225</v>
      </c>
      <c r="AH8" s="20">
        <f t="shared" si="7"/>
        <v>1015225</v>
      </c>
      <c r="AI8" s="20">
        <f t="shared" si="7"/>
        <v>1015225</v>
      </c>
      <c r="AJ8" s="20">
        <f t="shared" si="7"/>
        <v>1015225</v>
      </c>
      <c r="AK8" s="20">
        <f t="shared" si="7"/>
        <v>1015225</v>
      </c>
      <c r="AL8" s="20">
        <f t="shared" si="7"/>
        <v>1015225</v>
      </c>
      <c r="AM8" s="20">
        <f t="shared" si="7"/>
        <v>1015225</v>
      </c>
      <c r="AN8" s="20">
        <f t="shared" si="7"/>
        <v>1015225</v>
      </c>
      <c r="AO8" s="20">
        <f t="shared" si="7"/>
        <v>1015225</v>
      </c>
      <c r="AP8" s="20">
        <f t="shared" si="7"/>
        <v>1015225</v>
      </c>
      <c r="AQ8" s="20">
        <f t="shared" si="7"/>
        <v>1015225</v>
      </c>
      <c r="AR8" s="20">
        <f t="shared" si="7"/>
        <v>1015225</v>
      </c>
      <c r="AS8" s="20">
        <f t="shared" si="7"/>
        <v>1015225</v>
      </c>
      <c r="AT8" s="20">
        <f t="shared" si="7"/>
        <v>1015225</v>
      </c>
      <c r="AU8" s="20">
        <f t="shared" si="7"/>
        <v>1015225</v>
      </c>
      <c r="AV8" s="20">
        <f t="shared" si="7"/>
        <v>1015225</v>
      </c>
      <c r="AW8" s="20">
        <f t="shared" si="7"/>
        <v>1015225</v>
      </c>
      <c r="AX8" s="20">
        <f t="shared" si="7"/>
        <v>1015225</v>
      </c>
      <c r="AY8" s="20">
        <f t="shared" si="7"/>
        <v>1015225</v>
      </c>
      <c r="AZ8" s="20">
        <f t="shared" si="7"/>
        <v>1015225</v>
      </c>
      <c r="BA8" s="20">
        <f t="shared" si="7"/>
        <v>1015225</v>
      </c>
      <c r="BB8" s="20">
        <f t="shared" si="7"/>
        <v>1015225</v>
      </c>
      <c r="BC8" s="20">
        <f t="shared" si="7"/>
        <v>1015225</v>
      </c>
      <c r="BD8" s="20">
        <f t="shared" si="7"/>
        <v>1015225</v>
      </c>
      <c r="BE8" s="20">
        <f t="shared" si="7"/>
        <v>1015225</v>
      </c>
      <c r="BF8" s="20">
        <f t="shared" si="7"/>
        <v>1015225</v>
      </c>
      <c r="BG8" s="20">
        <f t="shared" si="7"/>
        <v>1015225</v>
      </c>
      <c r="BH8" s="20">
        <f t="shared" si="7"/>
        <v>1015225</v>
      </c>
      <c r="BI8" s="20">
        <f t="shared" si="7"/>
        <v>1015225</v>
      </c>
      <c r="BJ8" s="20">
        <f t="shared" si="7"/>
        <v>1015225</v>
      </c>
      <c r="BK8" s="20">
        <f t="shared" si="7"/>
        <v>1015225</v>
      </c>
      <c r="BL8" s="20">
        <f t="shared" si="7"/>
        <v>1015225</v>
      </c>
      <c r="BM8" s="20">
        <f t="shared" si="7"/>
        <v>1015225</v>
      </c>
      <c r="BN8" s="20">
        <f t="shared" si="7"/>
        <v>1015225</v>
      </c>
      <c r="BO8" s="20">
        <f t="shared" si="7"/>
        <v>1015225</v>
      </c>
      <c r="BP8" s="20">
        <f t="shared" si="7"/>
        <v>1015225</v>
      </c>
      <c r="BQ8" s="20">
        <f t="shared" si="7"/>
        <v>1015225</v>
      </c>
      <c r="BR8" s="20">
        <f t="shared" si="7"/>
        <v>1015225</v>
      </c>
      <c r="BS8" s="20">
        <f t="shared" si="7"/>
        <v>1015225</v>
      </c>
      <c r="BT8" s="20">
        <f t="shared" si="7"/>
        <v>1015225</v>
      </c>
      <c r="BU8" s="20">
        <f t="shared" si="7"/>
        <v>1015225</v>
      </c>
      <c r="BV8" s="20">
        <f t="shared" si="7"/>
        <v>1015225</v>
      </c>
      <c r="BW8" s="20">
        <f t="shared" si="7"/>
        <v>1015225</v>
      </c>
      <c r="BX8" s="20">
        <f t="shared" si="7"/>
        <v>1015225</v>
      </c>
      <c r="BY8" s="20">
        <f t="shared" si="7"/>
        <v>1015225</v>
      </c>
      <c r="BZ8" s="20">
        <f t="shared" si="7"/>
        <v>1015225</v>
      </c>
      <c r="CA8" s="20">
        <f t="shared" si="7"/>
        <v>1015225</v>
      </c>
      <c r="CB8" s="20">
        <f t="shared" si="7"/>
        <v>1015225</v>
      </c>
      <c r="CC8" s="20">
        <f t="shared" si="7"/>
        <v>1015225</v>
      </c>
      <c r="CD8" s="20">
        <f t="shared" si="7"/>
        <v>1015225</v>
      </c>
      <c r="CE8" s="20">
        <f t="shared" si="7"/>
        <v>1015225</v>
      </c>
      <c r="CF8" s="20">
        <f t="shared" si="7"/>
        <v>1015225</v>
      </c>
      <c r="CG8" s="20">
        <f t="shared" si="7"/>
        <v>1015225</v>
      </c>
      <c r="CH8" s="20">
        <f t="shared" si="7"/>
        <v>1015225</v>
      </c>
      <c r="CI8" s="20">
        <f t="shared" si="7"/>
        <v>1015225</v>
      </c>
      <c r="CJ8" s="20">
        <f t="shared" si="7"/>
        <v>1015225</v>
      </c>
      <c r="CK8" s="20">
        <f t="shared" si="7"/>
        <v>1015225</v>
      </c>
      <c r="CL8" s="20">
        <f t="shared" si="7"/>
        <v>1015225</v>
      </c>
      <c r="CM8" s="20">
        <f t="shared" si="7"/>
        <v>1015225</v>
      </c>
      <c r="CN8" s="20">
        <f t="shared" si="7"/>
        <v>1015225</v>
      </c>
      <c r="CO8" s="20">
        <f t="shared" si="7"/>
        <v>1015225</v>
      </c>
      <c r="CP8" s="20">
        <f t="shared" si="7"/>
        <v>1015225</v>
      </c>
      <c r="CQ8" s="20">
        <f t="shared" si="7"/>
        <v>1015225</v>
      </c>
      <c r="CR8" s="20">
        <f t="shared" si="7"/>
        <v>1015225</v>
      </c>
      <c r="CS8" s="20">
        <f t="shared" si="7"/>
        <v>1015225</v>
      </c>
      <c r="CT8" s="20">
        <f t="shared" si="7"/>
        <v>1015225</v>
      </c>
      <c r="CU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1"/>
    </row>
    <row r="12">
      <c r="A12" s="1" t="s">
        <v>9</v>
      </c>
      <c r="B12" s="1" t="s">
        <v>10</v>
      </c>
      <c r="C12" s="1" t="s">
        <v>0</v>
      </c>
      <c r="D12" s="1" t="s">
        <v>11</v>
      </c>
      <c r="E12" s="1" t="s">
        <v>12</v>
      </c>
      <c r="F12" s="1" t="s">
        <v>14</v>
      </c>
      <c r="G12" s="1" t="s">
        <v>15</v>
      </c>
      <c r="H12" s="1" t="s">
        <v>48</v>
      </c>
      <c r="I12" s="1" t="s">
        <v>49</v>
      </c>
      <c r="J12" s="1" t="s">
        <v>50</v>
      </c>
      <c r="K12" s="1" t="s">
        <v>51</v>
      </c>
      <c r="L12" s="1" t="s">
        <v>81</v>
      </c>
      <c r="M12" s="1" t="s">
        <v>52</v>
      </c>
      <c r="N12" s="1" t="s">
        <v>53</v>
      </c>
      <c r="O12" s="32" t="str">
        <f>text("28/02/2025","MMM-YYYY")</f>
        <v>Feb-2025</v>
      </c>
      <c r="P12" s="31" t="str">
        <f t="shared" ref="P12:CT12" si="8">text(EOMONTH(O12,1),"MMM-YYYY")</f>
        <v>Mar-2025</v>
      </c>
      <c r="Q12" s="31" t="str">
        <f t="shared" si="8"/>
        <v>Apr-2025</v>
      </c>
      <c r="R12" s="31" t="str">
        <f t="shared" si="8"/>
        <v>May-2025</v>
      </c>
      <c r="S12" s="31" t="str">
        <f t="shared" si="8"/>
        <v>Jun-2025</v>
      </c>
      <c r="T12" s="31" t="str">
        <f t="shared" si="8"/>
        <v>Jul-2025</v>
      </c>
      <c r="U12" s="31" t="str">
        <f t="shared" si="8"/>
        <v>Aug-2025</v>
      </c>
      <c r="V12" s="31" t="str">
        <f t="shared" si="8"/>
        <v>Sep-2025</v>
      </c>
      <c r="W12" s="31" t="str">
        <f t="shared" si="8"/>
        <v>Oct-2025</v>
      </c>
      <c r="X12" s="31" t="str">
        <f t="shared" si="8"/>
        <v>Nov-2025</v>
      </c>
      <c r="Y12" s="31" t="str">
        <f t="shared" si="8"/>
        <v>Dec-2025</v>
      </c>
      <c r="Z12" s="31" t="str">
        <f t="shared" si="8"/>
        <v>Jan-2026</v>
      </c>
      <c r="AA12" s="31" t="str">
        <f t="shared" si="8"/>
        <v>Feb-2026</v>
      </c>
      <c r="AB12" s="31" t="str">
        <f t="shared" si="8"/>
        <v>Mar-2026</v>
      </c>
      <c r="AC12" s="31" t="str">
        <f t="shared" si="8"/>
        <v>Apr-2026</v>
      </c>
      <c r="AD12" s="31" t="str">
        <f t="shared" si="8"/>
        <v>May-2026</v>
      </c>
      <c r="AE12" s="31" t="str">
        <f t="shared" si="8"/>
        <v>Jun-2026</v>
      </c>
      <c r="AF12" s="31" t="str">
        <f t="shared" si="8"/>
        <v>Jul-2026</v>
      </c>
      <c r="AG12" s="31" t="str">
        <f t="shared" si="8"/>
        <v>Aug-2026</v>
      </c>
      <c r="AH12" s="31" t="str">
        <f t="shared" si="8"/>
        <v>Sep-2026</v>
      </c>
      <c r="AI12" s="31" t="str">
        <f t="shared" si="8"/>
        <v>Oct-2026</v>
      </c>
      <c r="AJ12" s="31" t="str">
        <f t="shared" si="8"/>
        <v>Nov-2026</v>
      </c>
      <c r="AK12" s="31" t="str">
        <f t="shared" si="8"/>
        <v>Dec-2026</v>
      </c>
      <c r="AL12" s="31" t="str">
        <f t="shared" si="8"/>
        <v>Jan-2027</v>
      </c>
      <c r="AM12" s="31" t="str">
        <f t="shared" si="8"/>
        <v>Feb-2027</v>
      </c>
      <c r="AN12" s="31" t="str">
        <f t="shared" si="8"/>
        <v>Mar-2027</v>
      </c>
      <c r="AO12" s="31" t="str">
        <f t="shared" si="8"/>
        <v>Apr-2027</v>
      </c>
      <c r="AP12" s="31" t="str">
        <f t="shared" si="8"/>
        <v>May-2027</v>
      </c>
      <c r="AQ12" s="31" t="str">
        <f t="shared" si="8"/>
        <v>Jun-2027</v>
      </c>
      <c r="AR12" s="31" t="str">
        <f t="shared" si="8"/>
        <v>Jul-2027</v>
      </c>
      <c r="AS12" s="31" t="str">
        <f t="shared" si="8"/>
        <v>Aug-2027</v>
      </c>
      <c r="AT12" s="31" t="str">
        <f t="shared" si="8"/>
        <v>Sep-2027</v>
      </c>
      <c r="AU12" s="31" t="str">
        <f t="shared" si="8"/>
        <v>Oct-2027</v>
      </c>
      <c r="AV12" s="31" t="str">
        <f t="shared" si="8"/>
        <v>Nov-2027</v>
      </c>
      <c r="AW12" s="31" t="str">
        <f t="shared" si="8"/>
        <v>Dec-2027</v>
      </c>
      <c r="AX12" s="31" t="str">
        <f t="shared" si="8"/>
        <v>Jan-2028</v>
      </c>
      <c r="AY12" s="31" t="str">
        <f t="shared" si="8"/>
        <v>Feb-2028</v>
      </c>
      <c r="AZ12" s="31" t="str">
        <f t="shared" si="8"/>
        <v>Mar-2028</v>
      </c>
      <c r="BA12" s="31" t="str">
        <f t="shared" si="8"/>
        <v>Apr-2028</v>
      </c>
      <c r="BB12" s="31" t="str">
        <f t="shared" si="8"/>
        <v>May-2028</v>
      </c>
      <c r="BC12" s="31" t="str">
        <f t="shared" si="8"/>
        <v>Jun-2028</v>
      </c>
      <c r="BD12" s="31" t="str">
        <f t="shared" si="8"/>
        <v>Jul-2028</v>
      </c>
      <c r="BE12" s="31" t="str">
        <f t="shared" si="8"/>
        <v>Aug-2028</v>
      </c>
      <c r="BF12" s="31" t="str">
        <f t="shared" si="8"/>
        <v>Sep-2028</v>
      </c>
      <c r="BG12" s="31" t="str">
        <f t="shared" si="8"/>
        <v>Oct-2028</v>
      </c>
      <c r="BH12" s="31" t="str">
        <f t="shared" si="8"/>
        <v>Nov-2028</v>
      </c>
      <c r="BI12" s="31" t="str">
        <f t="shared" si="8"/>
        <v>Dec-2028</v>
      </c>
      <c r="BJ12" s="31" t="str">
        <f t="shared" si="8"/>
        <v>Jan-2029</v>
      </c>
      <c r="BK12" s="31" t="str">
        <f t="shared" si="8"/>
        <v>Feb-2029</v>
      </c>
      <c r="BL12" s="31" t="str">
        <f t="shared" si="8"/>
        <v>Mar-2029</v>
      </c>
      <c r="BM12" s="31" t="str">
        <f t="shared" si="8"/>
        <v>Apr-2029</v>
      </c>
      <c r="BN12" s="31" t="str">
        <f t="shared" si="8"/>
        <v>May-2029</v>
      </c>
      <c r="BO12" s="31" t="str">
        <f t="shared" si="8"/>
        <v>Jun-2029</v>
      </c>
      <c r="BP12" s="31" t="str">
        <f t="shared" si="8"/>
        <v>Jul-2029</v>
      </c>
      <c r="BQ12" s="31" t="str">
        <f t="shared" si="8"/>
        <v>Aug-2029</v>
      </c>
      <c r="BR12" s="31" t="str">
        <f t="shared" si="8"/>
        <v>Sep-2029</v>
      </c>
      <c r="BS12" s="31" t="str">
        <f t="shared" si="8"/>
        <v>Oct-2029</v>
      </c>
      <c r="BT12" s="31" t="str">
        <f t="shared" si="8"/>
        <v>Nov-2029</v>
      </c>
      <c r="BU12" s="31" t="str">
        <f t="shared" si="8"/>
        <v>Dec-2029</v>
      </c>
      <c r="BV12" s="31" t="str">
        <f t="shared" si="8"/>
        <v>Jan-2030</v>
      </c>
      <c r="BW12" s="31" t="str">
        <f t="shared" si="8"/>
        <v>Feb-2030</v>
      </c>
      <c r="BX12" s="31" t="str">
        <f t="shared" si="8"/>
        <v>Mar-2030</v>
      </c>
      <c r="BY12" s="31" t="str">
        <f t="shared" si="8"/>
        <v>Apr-2030</v>
      </c>
      <c r="BZ12" s="31" t="str">
        <f t="shared" si="8"/>
        <v>May-2030</v>
      </c>
      <c r="CA12" s="31" t="str">
        <f t="shared" si="8"/>
        <v>Jun-2030</v>
      </c>
      <c r="CB12" s="31" t="str">
        <f t="shared" si="8"/>
        <v>Jul-2030</v>
      </c>
      <c r="CC12" s="31" t="str">
        <f t="shared" si="8"/>
        <v>Aug-2030</v>
      </c>
      <c r="CD12" s="31" t="str">
        <f t="shared" si="8"/>
        <v>Sep-2030</v>
      </c>
      <c r="CE12" s="31" t="str">
        <f t="shared" si="8"/>
        <v>Oct-2030</v>
      </c>
      <c r="CF12" s="31" t="str">
        <f t="shared" si="8"/>
        <v>Nov-2030</v>
      </c>
      <c r="CG12" s="31" t="str">
        <f t="shared" si="8"/>
        <v>Dec-2030</v>
      </c>
      <c r="CH12" s="31" t="str">
        <f t="shared" si="8"/>
        <v>Jan-2031</v>
      </c>
      <c r="CI12" s="31" t="str">
        <f t="shared" si="8"/>
        <v>Feb-2031</v>
      </c>
      <c r="CJ12" s="31" t="str">
        <f t="shared" si="8"/>
        <v>Mar-2031</v>
      </c>
      <c r="CK12" s="31" t="str">
        <f t="shared" si="8"/>
        <v>Apr-2031</v>
      </c>
      <c r="CL12" s="31" t="str">
        <f t="shared" si="8"/>
        <v>May-2031</v>
      </c>
      <c r="CM12" s="31" t="str">
        <f t="shared" si="8"/>
        <v>Jun-2031</v>
      </c>
      <c r="CN12" s="31" t="str">
        <f t="shared" si="8"/>
        <v>Jul-2031</v>
      </c>
      <c r="CO12" s="31" t="str">
        <f t="shared" si="8"/>
        <v>Aug-2031</v>
      </c>
      <c r="CP12" s="31" t="str">
        <f t="shared" si="8"/>
        <v>Sep-2031</v>
      </c>
      <c r="CQ12" s="31" t="str">
        <f t="shared" si="8"/>
        <v>Oct-2031</v>
      </c>
      <c r="CR12" s="31" t="str">
        <f t="shared" si="8"/>
        <v>Nov-2031</v>
      </c>
      <c r="CS12" s="31" t="str">
        <f t="shared" si="8"/>
        <v>Dec-2031</v>
      </c>
      <c r="CT12" s="31" t="str">
        <f t="shared" si="8"/>
        <v>Jan-2032</v>
      </c>
      <c r="CU12" s="1" t="s">
        <v>54</v>
      </c>
    </row>
    <row r="13">
      <c r="A13" s="1" t="str">
        <f t="array" ref="A13:A48">IRD_Fixed_Asset_Register_List!A15:A50</f>
        <v>FA-002</v>
      </c>
      <c r="B13" s="1" t="str">
        <f t="array" ref="B13:B48">IRD_Fixed_Asset_Register_List!B15:B50</f>
        <v>စက်ရုံပင်မအဆောက်အဦး ၄၅ ပေ  x  ၆၀ ပေ</v>
      </c>
      <c r="C13" s="1" t="s">
        <v>4</v>
      </c>
      <c r="D13" s="1">
        <f t="array" ref="D13:D48">IRD_Fixed_Asset_Register_List!D15:D50</f>
        <v>14100</v>
      </c>
      <c r="E13" s="28">
        <f t="array" ref="E13:E48">IRD_Fixed_Asset_Register_List!E15:E50</f>
        <v>44621</v>
      </c>
      <c r="F13" s="3">
        <f t="array" ref="F13:F54">IRD_Fixed_Asset_Register_List!G15:G56</f>
        <v>80000000</v>
      </c>
      <c r="G13" s="1">
        <f t="array" ref="G13:G54">IRD_Fixed_Asset_Register_List!H15:H56</f>
        <v>20</v>
      </c>
      <c r="H13" s="15">
        <f t="array" ref="H13:H54">IRD_Fixed_Asset_Register_List!I15:I56</f>
        <v>0.05</v>
      </c>
      <c r="I13" s="26">
        <f t="shared" ref="I13:I24" si="11">H13/12</f>
        <v>0.004166666667</v>
      </c>
      <c r="J13" s="1">
        <f>YEAR(IRD_Fixed_Asset_Register_List!F14) - YEAR(E13)</f>
        <v>3</v>
      </c>
      <c r="K13" s="1">
        <f t="shared" ref="K13:K24" si="12">J13*12</f>
        <v>36</v>
      </c>
      <c r="L13" s="3">
        <f t="shared" ref="L13:L24" si="13">J13*H13*F13</f>
        <v>12000000</v>
      </c>
      <c r="M13" s="3">
        <f t="shared" ref="M13:M24" si="14">F13-L13</f>
        <v>68000000</v>
      </c>
      <c r="N13" s="3">
        <f t="shared" ref="N13:N24" si="15">I13*F13</f>
        <v>333333.3333</v>
      </c>
      <c r="O13" s="3">
        <f t="shared" ref="O13:O24" si="16">IF(YEAR(TODAY())-YEAR($E13)+1&gt;$G13,0,$N13)</f>
        <v>333333.3333</v>
      </c>
      <c r="P13" s="3">
        <f t="shared" ref="P13:S13" si="9">IF(YEAR(TODAY())-YEAR($E$13)+1&gt;$G$13,0,$N$13)</f>
        <v>333333.3333</v>
      </c>
      <c r="Q13" s="3">
        <f t="shared" si="9"/>
        <v>333333.3333</v>
      </c>
      <c r="R13" s="3">
        <f t="shared" si="9"/>
        <v>333333.3333</v>
      </c>
      <c r="S13" s="3">
        <f t="shared" si="9"/>
        <v>333333.3333</v>
      </c>
      <c r="T13" s="3">
        <f t="shared" ref="T13:CT13" si="10">IF(YEAR(TODAY())-YEAR(J13)+1&gt;L13,0,S13)</f>
        <v>333333.3333</v>
      </c>
      <c r="U13" s="3">
        <f t="shared" si="10"/>
        <v>333333.3333</v>
      </c>
      <c r="V13" s="3">
        <f t="shared" si="10"/>
        <v>333333.3333</v>
      </c>
      <c r="W13" s="3">
        <f t="shared" si="10"/>
        <v>333333.3333</v>
      </c>
      <c r="X13" s="3">
        <f t="shared" si="10"/>
        <v>333333.3333</v>
      </c>
      <c r="Y13" s="3">
        <f t="shared" si="10"/>
        <v>333333.3333</v>
      </c>
      <c r="Z13" s="3">
        <f t="shared" si="10"/>
        <v>333333.3333</v>
      </c>
      <c r="AA13" s="3">
        <f t="shared" si="10"/>
        <v>333333.3333</v>
      </c>
      <c r="AB13" s="3">
        <f t="shared" si="10"/>
        <v>333333.3333</v>
      </c>
      <c r="AC13" s="3">
        <f t="shared" si="10"/>
        <v>333333.3333</v>
      </c>
      <c r="AD13" s="3">
        <f t="shared" si="10"/>
        <v>333333.3333</v>
      </c>
      <c r="AE13" s="3">
        <f t="shared" si="10"/>
        <v>333333.3333</v>
      </c>
      <c r="AF13" s="3">
        <f t="shared" si="10"/>
        <v>333333.3333</v>
      </c>
      <c r="AG13" s="3">
        <f t="shared" si="10"/>
        <v>333333.3333</v>
      </c>
      <c r="AH13" s="3">
        <f t="shared" si="10"/>
        <v>333333.3333</v>
      </c>
      <c r="AI13" s="3">
        <f t="shared" si="10"/>
        <v>333333.3333</v>
      </c>
      <c r="AJ13" s="3">
        <f t="shared" si="10"/>
        <v>333333.3333</v>
      </c>
      <c r="AK13" s="3">
        <f t="shared" si="10"/>
        <v>333333.3333</v>
      </c>
      <c r="AL13" s="3">
        <f t="shared" si="10"/>
        <v>333333.3333</v>
      </c>
      <c r="AM13" s="3">
        <f t="shared" si="10"/>
        <v>333333.3333</v>
      </c>
      <c r="AN13" s="3">
        <f t="shared" si="10"/>
        <v>333333.3333</v>
      </c>
      <c r="AO13" s="3">
        <f t="shared" si="10"/>
        <v>333333.3333</v>
      </c>
      <c r="AP13" s="3">
        <f t="shared" si="10"/>
        <v>333333.3333</v>
      </c>
      <c r="AQ13" s="3">
        <f t="shared" si="10"/>
        <v>333333.3333</v>
      </c>
      <c r="AR13" s="3">
        <f t="shared" si="10"/>
        <v>333333.3333</v>
      </c>
      <c r="AS13" s="3">
        <f t="shared" si="10"/>
        <v>333333.3333</v>
      </c>
      <c r="AT13" s="3">
        <f t="shared" si="10"/>
        <v>333333.3333</v>
      </c>
      <c r="AU13" s="3">
        <f t="shared" si="10"/>
        <v>333333.3333</v>
      </c>
      <c r="AV13" s="3">
        <f t="shared" si="10"/>
        <v>333333.3333</v>
      </c>
      <c r="AW13" s="3">
        <f t="shared" si="10"/>
        <v>333333.3333</v>
      </c>
      <c r="AX13" s="3">
        <f t="shared" si="10"/>
        <v>333333.3333</v>
      </c>
      <c r="AY13" s="3">
        <f t="shared" si="10"/>
        <v>333333.3333</v>
      </c>
      <c r="AZ13" s="3">
        <f t="shared" si="10"/>
        <v>333333.3333</v>
      </c>
      <c r="BA13" s="3">
        <f t="shared" si="10"/>
        <v>333333.3333</v>
      </c>
      <c r="BB13" s="3">
        <f t="shared" si="10"/>
        <v>333333.3333</v>
      </c>
      <c r="BC13" s="3">
        <f t="shared" si="10"/>
        <v>333333.3333</v>
      </c>
      <c r="BD13" s="3">
        <f t="shared" si="10"/>
        <v>333333.3333</v>
      </c>
      <c r="BE13" s="3">
        <f t="shared" si="10"/>
        <v>333333.3333</v>
      </c>
      <c r="BF13" s="3">
        <f t="shared" si="10"/>
        <v>333333.3333</v>
      </c>
      <c r="BG13" s="3">
        <f t="shared" si="10"/>
        <v>333333.3333</v>
      </c>
      <c r="BH13" s="3">
        <f t="shared" si="10"/>
        <v>333333.3333</v>
      </c>
      <c r="BI13" s="3">
        <f t="shared" si="10"/>
        <v>333333.3333</v>
      </c>
      <c r="BJ13" s="3">
        <f t="shared" si="10"/>
        <v>333333.3333</v>
      </c>
      <c r="BK13" s="3">
        <f t="shared" si="10"/>
        <v>333333.3333</v>
      </c>
      <c r="BL13" s="3">
        <f t="shared" si="10"/>
        <v>333333.3333</v>
      </c>
      <c r="BM13" s="3">
        <f t="shared" si="10"/>
        <v>333333.3333</v>
      </c>
      <c r="BN13" s="3">
        <f t="shared" si="10"/>
        <v>333333.3333</v>
      </c>
      <c r="BO13" s="3">
        <f t="shared" si="10"/>
        <v>333333.3333</v>
      </c>
      <c r="BP13" s="3">
        <f t="shared" si="10"/>
        <v>333333.3333</v>
      </c>
      <c r="BQ13" s="3">
        <f t="shared" si="10"/>
        <v>333333.3333</v>
      </c>
      <c r="BR13" s="3">
        <f t="shared" si="10"/>
        <v>333333.3333</v>
      </c>
      <c r="BS13" s="3">
        <f t="shared" si="10"/>
        <v>333333.3333</v>
      </c>
      <c r="BT13" s="3">
        <f t="shared" si="10"/>
        <v>333333.3333</v>
      </c>
      <c r="BU13" s="3">
        <f t="shared" si="10"/>
        <v>333333.3333</v>
      </c>
      <c r="BV13" s="3">
        <f t="shared" si="10"/>
        <v>333333.3333</v>
      </c>
      <c r="BW13" s="3">
        <f t="shared" si="10"/>
        <v>333333.3333</v>
      </c>
      <c r="BX13" s="3">
        <f t="shared" si="10"/>
        <v>333333.3333</v>
      </c>
      <c r="BY13" s="3">
        <f t="shared" si="10"/>
        <v>333333.3333</v>
      </c>
      <c r="BZ13" s="3">
        <f t="shared" si="10"/>
        <v>333333.3333</v>
      </c>
      <c r="CA13" s="3">
        <f t="shared" si="10"/>
        <v>333333.3333</v>
      </c>
      <c r="CB13" s="3">
        <f t="shared" si="10"/>
        <v>333333.3333</v>
      </c>
      <c r="CC13" s="3">
        <f t="shared" si="10"/>
        <v>333333.3333</v>
      </c>
      <c r="CD13" s="3">
        <f t="shared" si="10"/>
        <v>333333.3333</v>
      </c>
      <c r="CE13" s="3">
        <f t="shared" si="10"/>
        <v>333333.3333</v>
      </c>
      <c r="CF13" s="3">
        <f t="shared" si="10"/>
        <v>333333.3333</v>
      </c>
      <c r="CG13" s="3">
        <f t="shared" si="10"/>
        <v>333333.3333</v>
      </c>
      <c r="CH13" s="3">
        <f t="shared" si="10"/>
        <v>333333.3333</v>
      </c>
      <c r="CI13" s="3">
        <f t="shared" si="10"/>
        <v>333333.3333</v>
      </c>
      <c r="CJ13" s="3">
        <f t="shared" si="10"/>
        <v>333333.3333</v>
      </c>
      <c r="CK13" s="3">
        <f t="shared" si="10"/>
        <v>333333.3333</v>
      </c>
      <c r="CL13" s="3">
        <f t="shared" si="10"/>
        <v>333333.3333</v>
      </c>
      <c r="CM13" s="3">
        <f t="shared" si="10"/>
        <v>333333.3333</v>
      </c>
      <c r="CN13" s="3">
        <f t="shared" si="10"/>
        <v>333333.3333</v>
      </c>
      <c r="CO13" s="3">
        <f t="shared" si="10"/>
        <v>333333.3333</v>
      </c>
      <c r="CP13" s="3">
        <f t="shared" si="10"/>
        <v>333333.3333</v>
      </c>
      <c r="CQ13" s="3">
        <f t="shared" si="10"/>
        <v>333333.3333</v>
      </c>
      <c r="CR13" s="3">
        <f t="shared" si="10"/>
        <v>333333.3333</v>
      </c>
      <c r="CS13" s="3">
        <f t="shared" si="10"/>
        <v>333333.3333</v>
      </c>
      <c r="CT13" s="3">
        <f t="shared" si="10"/>
        <v>333333.3333</v>
      </c>
      <c r="CU13" s="1"/>
    </row>
    <row r="14">
      <c r="A14" s="1" t="s">
        <v>56</v>
      </c>
      <c r="B14" s="1" t="s">
        <v>27</v>
      </c>
      <c r="C14" s="1" t="s">
        <v>4</v>
      </c>
      <c r="D14" s="1">
        <v>14101.0</v>
      </c>
      <c r="E14" s="33">
        <v>44621.0</v>
      </c>
      <c r="F14" s="3">
        <v>3.0E7</v>
      </c>
      <c r="G14" s="1">
        <v>20.0</v>
      </c>
      <c r="H14" s="15">
        <v>0.05</v>
      </c>
      <c r="I14" s="26">
        <f t="shared" si="11"/>
        <v>0.004166666667</v>
      </c>
      <c r="J14" s="1">
        <f>YEAR(IRD_Fixed_Asset_Register_List!F15) - YEAR(E14)</f>
        <v>3</v>
      </c>
      <c r="K14" s="1">
        <f t="shared" si="12"/>
        <v>36</v>
      </c>
      <c r="L14" s="3">
        <f t="shared" si="13"/>
        <v>4500000</v>
      </c>
      <c r="M14" s="3">
        <f t="shared" si="14"/>
        <v>25500000</v>
      </c>
      <c r="N14" s="3">
        <f t="shared" si="15"/>
        <v>125000</v>
      </c>
      <c r="O14" s="3">
        <f t="shared" si="16"/>
        <v>125000</v>
      </c>
      <c r="P14" s="3">
        <f t="shared" ref="P14:CT14" si="17">IF(YEAR(TODAY())-YEAR($E14)+1&gt;$G14,0,$N14)</f>
        <v>125000</v>
      </c>
      <c r="Q14" s="3">
        <f t="shared" si="17"/>
        <v>125000</v>
      </c>
      <c r="R14" s="3">
        <f t="shared" si="17"/>
        <v>125000</v>
      </c>
      <c r="S14" s="3">
        <f t="shared" si="17"/>
        <v>125000</v>
      </c>
      <c r="T14" s="3">
        <f t="shared" si="17"/>
        <v>125000</v>
      </c>
      <c r="U14" s="3">
        <f t="shared" si="17"/>
        <v>125000</v>
      </c>
      <c r="V14" s="3">
        <f t="shared" si="17"/>
        <v>125000</v>
      </c>
      <c r="W14" s="3">
        <f t="shared" si="17"/>
        <v>125000</v>
      </c>
      <c r="X14" s="3">
        <f t="shared" si="17"/>
        <v>125000</v>
      </c>
      <c r="Y14" s="3">
        <f t="shared" si="17"/>
        <v>125000</v>
      </c>
      <c r="Z14" s="3">
        <f t="shared" si="17"/>
        <v>125000</v>
      </c>
      <c r="AA14" s="3">
        <f t="shared" si="17"/>
        <v>125000</v>
      </c>
      <c r="AB14" s="3">
        <f t="shared" si="17"/>
        <v>125000</v>
      </c>
      <c r="AC14" s="3">
        <f t="shared" si="17"/>
        <v>125000</v>
      </c>
      <c r="AD14" s="3">
        <f t="shared" si="17"/>
        <v>125000</v>
      </c>
      <c r="AE14" s="3">
        <f t="shared" si="17"/>
        <v>125000</v>
      </c>
      <c r="AF14" s="3">
        <f t="shared" si="17"/>
        <v>125000</v>
      </c>
      <c r="AG14" s="3">
        <f t="shared" si="17"/>
        <v>125000</v>
      </c>
      <c r="AH14" s="3">
        <f t="shared" si="17"/>
        <v>125000</v>
      </c>
      <c r="AI14" s="3">
        <f t="shared" si="17"/>
        <v>125000</v>
      </c>
      <c r="AJ14" s="3">
        <f t="shared" si="17"/>
        <v>125000</v>
      </c>
      <c r="AK14" s="3">
        <f t="shared" si="17"/>
        <v>125000</v>
      </c>
      <c r="AL14" s="3">
        <f t="shared" si="17"/>
        <v>125000</v>
      </c>
      <c r="AM14" s="3">
        <f t="shared" si="17"/>
        <v>125000</v>
      </c>
      <c r="AN14" s="3">
        <f t="shared" si="17"/>
        <v>125000</v>
      </c>
      <c r="AO14" s="3">
        <f t="shared" si="17"/>
        <v>125000</v>
      </c>
      <c r="AP14" s="3">
        <f t="shared" si="17"/>
        <v>125000</v>
      </c>
      <c r="AQ14" s="3">
        <f t="shared" si="17"/>
        <v>125000</v>
      </c>
      <c r="AR14" s="3">
        <f t="shared" si="17"/>
        <v>125000</v>
      </c>
      <c r="AS14" s="3">
        <f t="shared" si="17"/>
        <v>125000</v>
      </c>
      <c r="AT14" s="3">
        <f t="shared" si="17"/>
        <v>125000</v>
      </c>
      <c r="AU14" s="3">
        <f t="shared" si="17"/>
        <v>125000</v>
      </c>
      <c r="AV14" s="3">
        <f t="shared" si="17"/>
        <v>125000</v>
      </c>
      <c r="AW14" s="3">
        <f t="shared" si="17"/>
        <v>125000</v>
      </c>
      <c r="AX14" s="3">
        <f t="shared" si="17"/>
        <v>125000</v>
      </c>
      <c r="AY14" s="3">
        <f t="shared" si="17"/>
        <v>125000</v>
      </c>
      <c r="AZ14" s="3">
        <f t="shared" si="17"/>
        <v>125000</v>
      </c>
      <c r="BA14" s="3">
        <f t="shared" si="17"/>
        <v>125000</v>
      </c>
      <c r="BB14" s="3">
        <f t="shared" si="17"/>
        <v>125000</v>
      </c>
      <c r="BC14" s="3">
        <f t="shared" si="17"/>
        <v>125000</v>
      </c>
      <c r="BD14" s="3">
        <f t="shared" si="17"/>
        <v>125000</v>
      </c>
      <c r="BE14" s="3">
        <f t="shared" si="17"/>
        <v>125000</v>
      </c>
      <c r="BF14" s="3">
        <f t="shared" si="17"/>
        <v>125000</v>
      </c>
      <c r="BG14" s="3">
        <f t="shared" si="17"/>
        <v>125000</v>
      </c>
      <c r="BH14" s="3">
        <f t="shared" si="17"/>
        <v>125000</v>
      </c>
      <c r="BI14" s="3">
        <f t="shared" si="17"/>
        <v>125000</v>
      </c>
      <c r="BJ14" s="3">
        <f t="shared" si="17"/>
        <v>125000</v>
      </c>
      <c r="BK14" s="3">
        <f t="shared" si="17"/>
        <v>125000</v>
      </c>
      <c r="BL14" s="3">
        <f t="shared" si="17"/>
        <v>125000</v>
      </c>
      <c r="BM14" s="3">
        <f t="shared" si="17"/>
        <v>125000</v>
      </c>
      <c r="BN14" s="3">
        <f t="shared" si="17"/>
        <v>125000</v>
      </c>
      <c r="BO14" s="3">
        <f t="shared" si="17"/>
        <v>125000</v>
      </c>
      <c r="BP14" s="3">
        <f t="shared" si="17"/>
        <v>125000</v>
      </c>
      <c r="BQ14" s="3">
        <f t="shared" si="17"/>
        <v>125000</v>
      </c>
      <c r="BR14" s="3">
        <f t="shared" si="17"/>
        <v>125000</v>
      </c>
      <c r="BS14" s="3">
        <f t="shared" si="17"/>
        <v>125000</v>
      </c>
      <c r="BT14" s="3">
        <f t="shared" si="17"/>
        <v>125000</v>
      </c>
      <c r="BU14" s="3">
        <f t="shared" si="17"/>
        <v>125000</v>
      </c>
      <c r="BV14" s="3">
        <f t="shared" si="17"/>
        <v>125000</v>
      </c>
      <c r="BW14" s="3">
        <f t="shared" si="17"/>
        <v>125000</v>
      </c>
      <c r="BX14" s="3">
        <f t="shared" si="17"/>
        <v>125000</v>
      </c>
      <c r="BY14" s="3">
        <f t="shared" si="17"/>
        <v>125000</v>
      </c>
      <c r="BZ14" s="3">
        <f t="shared" si="17"/>
        <v>125000</v>
      </c>
      <c r="CA14" s="3">
        <f t="shared" si="17"/>
        <v>125000</v>
      </c>
      <c r="CB14" s="3">
        <f t="shared" si="17"/>
        <v>125000</v>
      </c>
      <c r="CC14" s="3">
        <f t="shared" si="17"/>
        <v>125000</v>
      </c>
      <c r="CD14" s="3">
        <f t="shared" si="17"/>
        <v>125000</v>
      </c>
      <c r="CE14" s="3">
        <f t="shared" si="17"/>
        <v>125000</v>
      </c>
      <c r="CF14" s="3">
        <f t="shared" si="17"/>
        <v>125000</v>
      </c>
      <c r="CG14" s="3">
        <f t="shared" si="17"/>
        <v>125000</v>
      </c>
      <c r="CH14" s="3">
        <f t="shared" si="17"/>
        <v>125000</v>
      </c>
      <c r="CI14" s="3">
        <f t="shared" si="17"/>
        <v>125000</v>
      </c>
      <c r="CJ14" s="3">
        <f t="shared" si="17"/>
        <v>125000</v>
      </c>
      <c r="CK14" s="3">
        <f t="shared" si="17"/>
        <v>125000</v>
      </c>
      <c r="CL14" s="3">
        <f t="shared" si="17"/>
        <v>125000</v>
      </c>
      <c r="CM14" s="3">
        <f t="shared" si="17"/>
        <v>125000</v>
      </c>
      <c r="CN14" s="3">
        <f t="shared" si="17"/>
        <v>125000</v>
      </c>
      <c r="CO14" s="3">
        <f t="shared" si="17"/>
        <v>125000</v>
      </c>
      <c r="CP14" s="3">
        <f t="shared" si="17"/>
        <v>125000</v>
      </c>
      <c r="CQ14" s="3">
        <f t="shared" si="17"/>
        <v>125000</v>
      </c>
      <c r="CR14" s="3">
        <f t="shared" si="17"/>
        <v>125000</v>
      </c>
      <c r="CS14" s="3">
        <f t="shared" si="17"/>
        <v>125000</v>
      </c>
      <c r="CT14" s="3">
        <f t="shared" si="17"/>
        <v>125000</v>
      </c>
      <c r="CU14" s="1"/>
    </row>
    <row r="15">
      <c r="A15" s="25" t="s">
        <v>57</v>
      </c>
      <c r="B15" s="25" t="s">
        <v>28</v>
      </c>
      <c r="C15" s="1" t="s">
        <v>4</v>
      </c>
      <c r="D15" s="25">
        <v>14102.0</v>
      </c>
      <c r="E15" s="28">
        <v>44621.0</v>
      </c>
      <c r="F15" s="3">
        <v>1.5E7</v>
      </c>
      <c r="G15" s="25">
        <v>20.0</v>
      </c>
      <c r="H15" s="15">
        <v>0.05</v>
      </c>
      <c r="I15" s="26">
        <f t="shared" si="11"/>
        <v>0.004166666667</v>
      </c>
      <c r="J15" s="1">
        <f>YEAR(IRD_Fixed_Asset_Register_List!F16) - YEAR(E15)</f>
        <v>3</v>
      </c>
      <c r="K15" s="1">
        <f t="shared" si="12"/>
        <v>36</v>
      </c>
      <c r="L15" s="3">
        <f t="shared" si="13"/>
        <v>2250000</v>
      </c>
      <c r="M15" s="3">
        <f t="shared" si="14"/>
        <v>12750000</v>
      </c>
      <c r="N15" s="3">
        <f t="shared" si="15"/>
        <v>62500</v>
      </c>
      <c r="O15" s="3">
        <f t="shared" si="16"/>
        <v>62500</v>
      </c>
      <c r="P15" s="3">
        <f t="shared" ref="P15:CT15" si="18">IF(YEAR(TODAY())-YEAR($E15)+1&gt;$G15,0,$N15)</f>
        <v>62500</v>
      </c>
      <c r="Q15" s="3">
        <f t="shared" si="18"/>
        <v>62500</v>
      </c>
      <c r="R15" s="3">
        <f t="shared" si="18"/>
        <v>62500</v>
      </c>
      <c r="S15" s="3">
        <f t="shared" si="18"/>
        <v>62500</v>
      </c>
      <c r="T15" s="3">
        <f t="shared" si="18"/>
        <v>62500</v>
      </c>
      <c r="U15" s="3">
        <f t="shared" si="18"/>
        <v>62500</v>
      </c>
      <c r="V15" s="3">
        <f t="shared" si="18"/>
        <v>62500</v>
      </c>
      <c r="W15" s="3">
        <f t="shared" si="18"/>
        <v>62500</v>
      </c>
      <c r="X15" s="3">
        <f t="shared" si="18"/>
        <v>62500</v>
      </c>
      <c r="Y15" s="3">
        <f t="shared" si="18"/>
        <v>62500</v>
      </c>
      <c r="Z15" s="3">
        <f t="shared" si="18"/>
        <v>62500</v>
      </c>
      <c r="AA15" s="3">
        <f t="shared" si="18"/>
        <v>62500</v>
      </c>
      <c r="AB15" s="3">
        <f t="shared" si="18"/>
        <v>62500</v>
      </c>
      <c r="AC15" s="3">
        <f t="shared" si="18"/>
        <v>62500</v>
      </c>
      <c r="AD15" s="3">
        <f t="shared" si="18"/>
        <v>62500</v>
      </c>
      <c r="AE15" s="3">
        <f t="shared" si="18"/>
        <v>62500</v>
      </c>
      <c r="AF15" s="3">
        <f t="shared" si="18"/>
        <v>62500</v>
      </c>
      <c r="AG15" s="3">
        <f t="shared" si="18"/>
        <v>62500</v>
      </c>
      <c r="AH15" s="3">
        <f t="shared" si="18"/>
        <v>62500</v>
      </c>
      <c r="AI15" s="3">
        <f t="shared" si="18"/>
        <v>62500</v>
      </c>
      <c r="AJ15" s="3">
        <f t="shared" si="18"/>
        <v>62500</v>
      </c>
      <c r="AK15" s="3">
        <f t="shared" si="18"/>
        <v>62500</v>
      </c>
      <c r="AL15" s="3">
        <f t="shared" si="18"/>
        <v>62500</v>
      </c>
      <c r="AM15" s="3">
        <f t="shared" si="18"/>
        <v>62500</v>
      </c>
      <c r="AN15" s="3">
        <f t="shared" si="18"/>
        <v>62500</v>
      </c>
      <c r="AO15" s="3">
        <f t="shared" si="18"/>
        <v>62500</v>
      </c>
      <c r="AP15" s="3">
        <f t="shared" si="18"/>
        <v>62500</v>
      </c>
      <c r="AQ15" s="3">
        <f t="shared" si="18"/>
        <v>62500</v>
      </c>
      <c r="AR15" s="3">
        <f t="shared" si="18"/>
        <v>62500</v>
      </c>
      <c r="AS15" s="3">
        <f t="shared" si="18"/>
        <v>62500</v>
      </c>
      <c r="AT15" s="3">
        <f t="shared" si="18"/>
        <v>62500</v>
      </c>
      <c r="AU15" s="3">
        <f t="shared" si="18"/>
        <v>62500</v>
      </c>
      <c r="AV15" s="3">
        <f t="shared" si="18"/>
        <v>62500</v>
      </c>
      <c r="AW15" s="3">
        <f t="shared" si="18"/>
        <v>62500</v>
      </c>
      <c r="AX15" s="3">
        <f t="shared" si="18"/>
        <v>62500</v>
      </c>
      <c r="AY15" s="3">
        <f t="shared" si="18"/>
        <v>62500</v>
      </c>
      <c r="AZ15" s="3">
        <f t="shared" si="18"/>
        <v>62500</v>
      </c>
      <c r="BA15" s="3">
        <f t="shared" si="18"/>
        <v>62500</v>
      </c>
      <c r="BB15" s="3">
        <f t="shared" si="18"/>
        <v>62500</v>
      </c>
      <c r="BC15" s="3">
        <f t="shared" si="18"/>
        <v>62500</v>
      </c>
      <c r="BD15" s="3">
        <f t="shared" si="18"/>
        <v>62500</v>
      </c>
      <c r="BE15" s="3">
        <f t="shared" si="18"/>
        <v>62500</v>
      </c>
      <c r="BF15" s="3">
        <f t="shared" si="18"/>
        <v>62500</v>
      </c>
      <c r="BG15" s="3">
        <f t="shared" si="18"/>
        <v>62500</v>
      </c>
      <c r="BH15" s="3">
        <f t="shared" si="18"/>
        <v>62500</v>
      </c>
      <c r="BI15" s="3">
        <f t="shared" si="18"/>
        <v>62500</v>
      </c>
      <c r="BJ15" s="3">
        <f t="shared" si="18"/>
        <v>62500</v>
      </c>
      <c r="BK15" s="3">
        <f t="shared" si="18"/>
        <v>62500</v>
      </c>
      <c r="BL15" s="3">
        <f t="shared" si="18"/>
        <v>62500</v>
      </c>
      <c r="BM15" s="3">
        <f t="shared" si="18"/>
        <v>62500</v>
      </c>
      <c r="BN15" s="3">
        <f t="shared" si="18"/>
        <v>62500</v>
      </c>
      <c r="BO15" s="3">
        <f t="shared" si="18"/>
        <v>62500</v>
      </c>
      <c r="BP15" s="3">
        <f t="shared" si="18"/>
        <v>62500</v>
      </c>
      <c r="BQ15" s="3">
        <f t="shared" si="18"/>
        <v>62500</v>
      </c>
      <c r="BR15" s="3">
        <f t="shared" si="18"/>
        <v>62500</v>
      </c>
      <c r="BS15" s="3">
        <f t="shared" si="18"/>
        <v>62500</v>
      </c>
      <c r="BT15" s="3">
        <f t="shared" si="18"/>
        <v>62500</v>
      </c>
      <c r="BU15" s="3">
        <f t="shared" si="18"/>
        <v>62500</v>
      </c>
      <c r="BV15" s="3">
        <f t="shared" si="18"/>
        <v>62500</v>
      </c>
      <c r="BW15" s="3">
        <f t="shared" si="18"/>
        <v>62500</v>
      </c>
      <c r="BX15" s="3">
        <f t="shared" si="18"/>
        <v>62500</v>
      </c>
      <c r="BY15" s="3">
        <f t="shared" si="18"/>
        <v>62500</v>
      </c>
      <c r="BZ15" s="3">
        <f t="shared" si="18"/>
        <v>62500</v>
      </c>
      <c r="CA15" s="3">
        <f t="shared" si="18"/>
        <v>62500</v>
      </c>
      <c r="CB15" s="3">
        <f t="shared" si="18"/>
        <v>62500</v>
      </c>
      <c r="CC15" s="3">
        <f t="shared" si="18"/>
        <v>62500</v>
      </c>
      <c r="CD15" s="3">
        <f t="shared" si="18"/>
        <v>62500</v>
      </c>
      <c r="CE15" s="3">
        <f t="shared" si="18"/>
        <v>62500</v>
      </c>
      <c r="CF15" s="3">
        <f t="shared" si="18"/>
        <v>62500</v>
      </c>
      <c r="CG15" s="3">
        <f t="shared" si="18"/>
        <v>62500</v>
      </c>
      <c r="CH15" s="3">
        <f t="shared" si="18"/>
        <v>62500</v>
      </c>
      <c r="CI15" s="3">
        <f t="shared" si="18"/>
        <v>62500</v>
      </c>
      <c r="CJ15" s="3">
        <f t="shared" si="18"/>
        <v>62500</v>
      </c>
      <c r="CK15" s="3">
        <f t="shared" si="18"/>
        <v>62500</v>
      </c>
      <c r="CL15" s="3">
        <f t="shared" si="18"/>
        <v>62500</v>
      </c>
      <c r="CM15" s="3">
        <f t="shared" si="18"/>
        <v>62500</v>
      </c>
      <c r="CN15" s="3">
        <f t="shared" si="18"/>
        <v>62500</v>
      </c>
      <c r="CO15" s="3">
        <f t="shared" si="18"/>
        <v>62500</v>
      </c>
      <c r="CP15" s="3">
        <f t="shared" si="18"/>
        <v>62500</v>
      </c>
      <c r="CQ15" s="3">
        <f t="shared" si="18"/>
        <v>62500</v>
      </c>
      <c r="CR15" s="3">
        <f t="shared" si="18"/>
        <v>62500</v>
      </c>
      <c r="CS15" s="3">
        <f t="shared" si="18"/>
        <v>62500</v>
      </c>
      <c r="CT15" s="3">
        <f t="shared" si="18"/>
        <v>62500</v>
      </c>
      <c r="CU15" s="25"/>
    </row>
    <row r="16">
      <c r="A16" s="25" t="s">
        <v>58</v>
      </c>
      <c r="B16" s="25" t="s">
        <v>29</v>
      </c>
      <c r="C16" s="1" t="s">
        <v>4</v>
      </c>
      <c r="D16" s="25">
        <v>14103.0</v>
      </c>
      <c r="E16" s="28">
        <v>44621.0</v>
      </c>
      <c r="F16" s="3">
        <v>8000000.0</v>
      </c>
      <c r="G16" s="25">
        <v>20.0</v>
      </c>
      <c r="H16" s="15">
        <v>0.05</v>
      </c>
      <c r="I16" s="26">
        <f t="shared" si="11"/>
        <v>0.004166666667</v>
      </c>
      <c r="J16" s="1">
        <f>YEAR(IRD_Fixed_Asset_Register_List!F17) - YEAR(E16)</f>
        <v>3</v>
      </c>
      <c r="K16" s="1">
        <f t="shared" si="12"/>
        <v>36</v>
      </c>
      <c r="L16" s="3">
        <f t="shared" si="13"/>
        <v>1200000</v>
      </c>
      <c r="M16" s="3">
        <f t="shared" si="14"/>
        <v>6800000</v>
      </c>
      <c r="N16" s="3">
        <f t="shared" si="15"/>
        <v>33333.33333</v>
      </c>
      <c r="O16" s="3">
        <f t="shared" si="16"/>
        <v>33333.33333</v>
      </c>
      <c r="P16" s="3">
        <f t="shared" ref="P16:CT16" si="19">IF(YEAR(TODAY())-YEAR($E16)+1&gt;$G16,0,$N16)</f>
        <v>33333.33333</v>
      </c>
      <c r="Q16" s="3">
        <f t="shared" si="19"/>
        <v>33333.33333</v>
      </c>
      <c r="R16" s="3">
        <f t="shared" si="19"/>
        <v>33333.33333</v>
      </c>
      <c r="S16" s="3">
        <f t="shared" si="19"/>
        <v>33333.33333</v>
      </c>
      <c r="T16" s="3">
        <f t="shared" si="19"/>
        <v>33333.33333</v>
      </c>
      <c r="U16" s="3">
        <f t="shared" si="19"/>
        <v>33333.33333</v>
      </c>
      <c r="V16" s="3">
        <f t="shared" si="19"/>
        <v>33333.33333</v>
      </c>
      <c r="W16" s="3">
        <f t="shared" si="19"/>
        <v>33333.33333</v>
      </c>
      <c r="X16" s="3">
        <f t="shared" si="19"/>
        <v>33333.33333</v>
      </c>
      <c r="Y16" s="3">
        <f t="shared" si="19"/>
        <v>33333.33333</v>
      </c>
      <c r="Z16" s="3">
        <f t="shared" si="19"/>
        <v>33333.33333</v>
      </c>
      <c r="AA16" s="3">
        <f t="shared" si="19"/>
        <v>33333.33333</v>
      </c>
      <c r="AB16" s="3">
        <f t="shared" si="19"/>
        <v>33333.33333</v>
      </c>
      <c r="AC16" s="3">
        <f t="shared" si="19"/>
        <v>33333.33333</v>
      </c>
      <c r="AD16" s="3">
        <f t="shared" si="19"/>
        <v>33333.33333</v>
      </c>
      <c r="AE16" s="3">
        <f t="shared" si="19"/>
        <v>33333.33333</v>
      </c>
      <c r="AF16" s="3">
        <f t="shared" si="19"/>
        <v>33333.33333</v>
      </c>
      <c r="AG16" s="3">
        <f t="shared" si="19"/>
        <v>33333.33333</v>
      </c>
      <c r="AH16" s="3">
        <f t="shared" si="19"/>
        <v>33333.33333</v>
      </c>
      <c r="AI16" s="3">
        <f t="shared" si="19"/>
        <v>33333.33333</v>
      </c>
      <c r="AJ16" s="3">
        <f t="shared" si="19"/>
        <v>33333.33333</v>
      </c>
      <c r="AK16" s="3">
        <f t="shared" si="19"/>
        <v>33333.33333</v>
      </c>
      <c r="AL16" s="3">
        <f t="shared" si="19"/>
        <v>33333.33333</v>
      </c>
      <c r="AM16" s="3">
        <f t="shared" si="19"/>
        <v>33333.33333</v>
      </c>
      <c r="AN16" s="3">
        <f t="shared" si="19"/>
        <v>33333.33333</v>
      </c>
      <c r="AO16" s="3">
        <f t="shared" si="19"/>
        <v>33333.33333</v>
      </c>
      <c r="AP16" s="3">
        <f t="shared" si="19"/>
        <v>33333.33333</v>
      </c>
      <c r="AQ16" s="3">
        <f t="shared" si="19"/>
        <v>33333.33333</v>
      </c>
      <c r="AR16" s="3">
        <f t="shared" si="19"/>
        <v>33333.33333</v>
      </c>
      <c r="AS16" s="3">
        <f t="shared" si="19"/>
        <v>33333.33333</v>
      </c>
      <c r="AT16" s="3">
        <f t="shared" si="19"/>
        <v>33333.33333</v>
      </c>
      <c r="AU16" s="3">
        <f t="shared" si="19"/>
        <v>33333.33333</v>
      </c>
      <c r="AV16" s="3">
        <f t="shared" si="19"/>
        <v>33333.33333</v>
      </c>
      <c r="AW16" s="3">
        <f t="shared" si="19"/>
        <v>33333.33333</v>
      </c>
      <c r="AX16" s="3">
        <f t="shared" si="19"/>
        <v>33333.33333</v>
      </c>
      <c r="AY16" s="3">
        <f t="shared" si="19"/>
        <v>33333.33333</v>
      </c>
      <c r="AZ16" s="3">
        <f t="shared" si="19"/>
        <v>33333.33333</v>
      </c>
      <c r="BA16" s="3">
        <f t="shared" si="19"/>
        <v>33333.33333</v>
      </c>
      <c r="BB16" s="3">
        <f t="shared" si="19"/>
        <v>33333.33333</v>
      </c>
      <c r="BC16" s="3">
        <f t="shared" si="19"/>
        <v>33333.33333</v>
      </c>
      <c r="BD16" s="3">
        <f t="shared" si="19"/>
        <v>33333.33333</v>
      </c>
      <c r="BE16" s="3">
        <f t="shared" si="19"/>
        <v>33333.33333</v>
      </c>
      <c r="BF16" s="3">
        <f t="shared" si="19"/>
        <v>33333.33333</v>
      </c>
      <c r="BG16" s="3">
        <f t="shared" si="19"/>
        <v>33333.33333</v>
      </c>
      <c r="BH16" s="3">
        <f t="shared" si="19"/>
        <v>33333.33333</v>
      </c>
      <c r="BI16" s="3">
        <f t="shared" si="19"/>
        <v>33333.33333</v>
      </c>
      <c r="BJ16" s="3">
        <f t="shared" si="19"/>
        <v>33333.33333</v>
      </c>
      <c r="BK16" s="3">
        <f t="shared" si="19"/>
        <v>33333.33333</v>
      </c>
      <c r="BL16" s="3">
        <f t="shared" si="19"/>
        <v>33333.33333</v>
      </c>
      <c r="BM16" s="3">
        <f t="shared" si="19"/>
        <v>33333.33333</v>
      </c>
      <c r="BN16" s="3">
        <f t="shared" si="19"/>
        <v>33333.33333</v>
      </c>
      <c r="BO16" s="3">
        <f t="shared" si="19"/>
        <v>33333.33333</v>
      </c>
      <c r="BP16" s="3">
        <f t="shared" si="19"/>
        <v>33333.33333</v>
      </c>
      <c r="BQ16" s="3">
        <f t="shared" si="19"/>
        <v>33333.33333</v>
      </c>
      <c r="BR16" s="3">
        <f t="shared" si="19"/>
        <v>33333.33333</v>
      </c>
      <c r="BS16" s="3">
        <f t="shared" si="19"/>
        <v>33333.33333</v>
      </c>
      <c r="BT16" s="3">
        <f t="shared" si="19"/>
        <v>33333.33333</v>
      </c>
      <c r="BU16" s="3">
        <f t="shared" si="19"/>
        <v>33333.33333</v>
      </c>
      <c r="BV16" s="3">
        <f t="shared" si="19"/>
        <v>33333.33333</v>
      </c>
      <c r="BW16" s="3">
        <f t="shared" si="19"/>
        <v>33333.33333</v>
      </c>
      <c r="BX16" s="3">
        <f t="shared" si="19"/>
        <v>33333.33333</v>
      </c>
      <c r="BY16" s="3">
        <f t="shared" si="19"/>
        <v>33333.33333</v>
      </c>
      <c r="BZ16" s="3">
        <f t="shared" si="19"/>
        <v>33333.33333</v>
      </c>
      <c r="CA16" s="3">
        <f t="shared" si="19"/>
        <v>33333.33333</v>
      </c>
      <c r="CB16" s="3">
        <f t="shared" si="19"/>
        <v>33333.33333</v>
      </c>
      <c r="CC16" s="3">
        <f t="shared" si="19"/>
        <v>33333.33333</v>
      </c>
      <c r="CD16" s="3">
        <f t="shared" si="19"/>
        <v>33333.33333</v>
      </c>
      <c r="CE16" s="3">
        <f t="shared" si="19"/>
        <v>33333.33333</v>
      </c>
      <c r="CF16" s="3">
        <f t="shared" si="19"/>
        <v>33333.33333</v>
      </c>
      <c r="CG16" s="3">
        <f t="shared" si="19"/>
        <v>33333.33333</v>
      </c>
      <c r="CH16" s="3">
        <f t="shared" si="19"/>
        <v>33333.33333</v>
      </c>
      <c r="CI16" s="3">
        <f t="shared" si="19"/>
        <v>33333.33333</v>
      </c>
      <c r="CJ16" s="3">
        <f t="shared" si="19"/>
        <v>33333.33333</v>
      </c>
      <c r="CK16" s="3">
        <f t="shared" si="19"/>
        <v>33333.33333</v>
      </c>
      <c r="CL16" s="3">
        <f t="shared" si="19"/>
        <v>33333.33333</v>
      </c>
      <c r="CM16" s="3">
        <f t="shared" si="19"/>
        <v>33333.33333</v>
      </c>
      <c r="CN16" s="3">
        <f t="shared" si="19"/>
        <v>33333.33333</v>
      </c>
      <c r="CO16" s="3">
        <f t="shared" si="19"/>
        <v>33333.33333</v>
      </c>
      <c r="CP16" s="3">
        <f t="shared" si="19"/>
        <v>33333.33333</v>
      </c>
      <c r="CQ16" s="3">
        <f t="shared" si="19"/>
        <v>33333.33333</v>
      </c>
      <c r="CR16" s="3">
        <f t="shared" si="19"/>
        <v>33333.33333</v>
      </c>
      <c r="CS16" s="3">
        <f t="shared" si="19"/>
        <v>33333.33333</v>
      </c>
      <c r="CT16" s="3">
        <f t="shared" si="19"/>
        <v>33333.33333</v>
      </c>
      <c r="CU16" s="25"/>
    </row>
    <row r="17">
      <c r="A17" s="25" t="s">
        <v>65</v>
      </c>
      <c r="B17" s="25" t="s">
        <v>30</v>
      </c>
      <c r="C17" s="1" t="s">
        <v>5</v>
      </c>
      <c r="D17" s="25">
        <v>14200.0</v>
      </c>
      <c r="E17" s="28">
        <v>44621.0</v>
      </c>
      <c r="F17" s="3">
        <v>1.48E7</v>
      </c>
      <c r="G17" s="25">
        <v>16.0</v>
      </c>
      <c r="H17" s="26">
        <v>0.062</v>
      </c>
      <c r="I17" s="26">
        <f t="shared" si="11"/>
        <v>0.005166666667</v>
      </c>
      <c r="J17" s="1">
        <f>YEAR(IRD_Fixed_Asset_Register_List!F18) - YEAR(E17)</f>
        <v>3</v>
      </c>
      <c r="K17" s="1">
        <f t="shared" si="12"/>
        <v>36</v>
      </c>
      <c r="L17" s="3">
        <f t="shared" si="13"/>
        <v>2752800</v>
      </c>
      <c r="M17" s="3">
        <f t="shared" si="14"/>
        <v>12047200</v>
      </c>
      <c r="N17" s="3">
        <f t="shared" si="15"/>
        <v>76466.66667</v>
      </c>
      <c r="O17" s="3">
        <f t="shared" si="16"/>
        <v>76466.66667</v>
      </c>
      <c r="P17" s="3">
        <f t="shared" ref="P17:CT17" si="20">IF(YEAR(TODAY())-YEAR($E17)+1&gt;$G17,0,$N17)</f>
        <v>76466.66667</v>
      </c>
      <c r="Q17" s="3">
        <f t="shared" si="20"/>
        <v>76466.66667</v>
      </c>
      <c r="R17" s="3">
        <f t="shared" si="20"/>
        <v>76466.66667</v>
      </c>
      <c r="S17" s="3">
        <f t="shared" si="20"/>
        <v>76466.66667</v>
      </c>
      <c r="T17" s="3">
        <f t="shared" si="20"/>
        <v>76466.66667</v>
      </c>
      <c r="U17" s="3">
        <f t="shared" si="20"/>
        <v>76466.66667</v>
      </c>
      <c r="V17" s="3">
        <f t="shared" si="20"/>
        <v>76466.66667</v>
      </c>
      <c r="W17" s="3">
        <f t="shared" si="20"/>
        <v>76466.66667</v>
      </c>
      <c r="X17" s="3">
        <f t="shared" si="20"/>
        <v>76466.66667</v>
      </c>
      <c r="Y17" s="3">
        <f t="shared" si="20"/>
        <v>76466.66667</v>
      </c>
      <c r="Z17" s="3">
        <f t="shared" si="20"/>
        <v>76466.66667</v>
      </c>
      <c r="AA17" s="3">
        <f t="shared" si="20"/>
        <v>76466.66667</v>
      </c>
      <c r="AB17" s="3">
        <f t="shared" si="20"/>
        <v>76466.66667</v>
      </c>
      <c r="AC17" s="3">
        <f t="shared" si="20"/>
        <v>76466.66667</v>
      </c>
      <c r="AD17" s="3">
        <f t="shared" si="20"/>
        <v>76466.66667</v>
      </c>
      <c r="AE17" s="3">
        <f t="shared" si="20"/>
        <v>76466.66667</v>
      </c>
      <c r="AF17" s="3">
        <f t="shared" si="20"/>
        <v>76466.66667</v>
      </c>
      <c r="AG17" s="3">
        <f t="shared" si="20"/>
        <v>76466.66667</v>
      </c>
      <c r="AH17" s="3">
        <f t="shared" si="20"/>
        <v>76466.66667</v>
      </c>
      <c r="AI17" s="3">
        <f t="shared" si="20"/>
        <v>76466.66667</v>
      </c>
      <c r="AJ17" s="3">
        <f t="shared" si="20"/>
        <v>76466.66667</v>
      </c>
      <c r="AK17" s="3">
        <f t="shared" si="20"/>
        <v>76466.66667</v>
      </c>
      <c r="AL17" s="3">
        <f t="shared" si="20"/>
        <v>76466.66667</v>
      </c>
      <c r="AM17" s="3">
        <f t="shared" si="20"/>
        <v>76466.66667</v>
      </c>
      <c r="AN17" s="3">
        <f t="shared" si="20"/>
        <v>76466.66667</v>
      </c>
      <c r="AO17" s="3">
        <f t="shared" si="20"/>
        <v>76466.66667</v>
      </c>
      <c r="AP17" s="3">
        <f t="shared" si="20"/>
        <v>76466.66667</v>
      </c>
      <c r="AQ17" s="3">
        <f t="shared" si="20"/>
        <v>76466.66667</v>
      </c>
      <c r="AR17" s="3">
        <f t="shared" si="20"/>
        <v>76466.66667</v>
      </c>
      <c r="AS17" s="3">
        <f t="shared" si="20"/>
        <v>76466.66667</v>
      </c>
      <c r="AT17" s="3">
        <f t="shared" si="20"/>
        <v>76466.66667</v>
      </c>
      <c r="AU17" s="3">
        <f t="shared" si="20"/>
        <v>76466.66667</v>
      </c>
      <c r="AV17" s="3">
        <f t="shared" si="20"/>
        <v>76466.66667</v>
      </c>
      <c r="AW17" s="3">
        <f t="shared" si="20"/>
        <v>76466.66667</v>
      </c>
      <c r="AX17" s="3">
        <f t="shared" si="20"/>
        <v>76466.66667</v>
      </c>
      <c r="AY17" s="3">
        <f t="shared" si="20"/>
        <v>76466.66667</v>
      </c>
      <c r="AZ17" s="3">
        <f t="shared" si="20"/>
        <v>76466.66667</v>
      </c>
      <c r="BA17" s="3">
        <f t="shared" si="20"/>
        <v>76466.66667</v>
      </c>
      <c r="BB17" s="3">
        <f t="shared" si="20"/>
        <v>76466.66667</v>
      </c>
      <c r="BC17" s="3">
        <f t="shared" si="20"/>
        <v>76466.66667</v>
      </c>
      <c r="BD17" s="3">
        <f t="shared" si="20"/>
        <v>76466.66667</v>
      </c>
      <c r="BE17" s="3">
        <f t="shared" si="20"/>
        <v>76466.66667</v>
      </c>
      <c r="BF17" s="3">
        <f t="shared" si="20"/>
        <v>76466.66667</v>
      </c>
      <c r="BG17" s="3">
        <f t="shared" si="20"/>
        <v>76466.66667</v>
      </c>
      <c r="BH17" s="3">
        <f t="shared" si="20"/>
        <v>76466.66667</v>
      </c>
      <c r="BI17" s="3">
        <f t="shared" si="20"/>
        <v>76466.66667</v>
      </c>
      <c r="BJ17" s="3">
        <f t="shared" si="20"/>
        <v>76466.66667</v>
      </c>
      <c r="BK17" s="3">
        <f t="shared" si="20"/>
        <v>76466.66667</v>
      </c>
      <c r="BL17" s="3">
        <f t="shared" si="20"/>
        <v>76466.66667</v>
      </c>
      <c r="BM17" s="3">
        <f t="shared" si="20"/>
        <v>76466.66667</v>
      </c>
      <c r="BN17" s="3">
        <f t="shared" si="20"/>
        <v>76466.66667</v>
      </c>
      <c r="BO17" s="3">
        <f t="shared" si="20"/>
        <v>76466.66667</v>
      </c>
      <c r="BP17" s="3">
        <f t="shared" si="20"/>
        <v>76466.66667</v>
      </c>
      <c r="BQ17" s="3">
        <f t="shared" si="20"/>
        <v>76466.66667</v>
      </c>
      <c r="BR17" s="3">
        <f t="shared" si="20"/>
        <v>76466.66667</v>
      </c>
      <c r="BS17" s="3">
        <f t="shared" si="20"/>
        <v>76466.66667</v>
      </c>
      <c r="BT17" s="3">
        <f t="shared" si="20"/>
        <v>76466.66667</v>
      </c>
      <c r="BU17" s="3">
        <f t="shared" si="20"/>
        <v>76466.66667</v>
      </c>
      <c r="BV17" s="3">
        <f t="shared" si="20"/>
        <v>76466.66667</v>
      </c>
      <c r="BW17" s="3">
        <f t="shared" si="20"/>
        <v>76466.66667</v>
      </c>
      <c r="BX17" s="3">
        <f t="shared" si="20"/>
        <v>76466.66667</v>
      </c>
      <c r="BY17" s="3">
        <f t="shared" si="20"/>
        <v>76466.66667</v>
      </c>
      <c r="BZ17" s="3">
        <f t="shared" si="20"/>
        <v>76466.66667</v>
      </c>
      <c r="CA17" s="3">
        <f t="shared" si="20"/>
        <v>76466.66667</v>
      </c>
      <c r="CB17" s="3">
        <f t="shared" si="20"/>
        <v>76466.66667</v>
      </c>
      <c r="CC17" s="3">
        <f t="shared" si="20"/>
        <v>76466.66667</v>
      </c>
      <c r="CD17" s="3">
        <f t="shared" si="20"/>
        <v>76466.66667</v>
      </c>
      <c r="CE17" s="3">
        <f t="shared" si="20"/>
        <v>76466.66667</v>
      </c>
      <c r="CF17" s="3">
        <f t="shared" si="20"/>
        <v>76466.66667</v>
      </c>
      <c r="CG17" s="3">
        <f t="shared" si="20"/>
        <v>76466.66667</v>
      </c>
      <c r="CH17" s="3">
        <f t="shared" si="20"/>
        <v>76466.66667</v>
      </c>
      <c r="CI17" s="3">
        <f t="shared" si="20"/>
        <v>76466.66667</v>
      </c>
      <c r="CJ17" s="3">
        <f t="shared" si="20"/>
        <v>76466.66667</v>
      </c>
      <c r="CK17" s="3">
        <f t="shared" si="20"/>
        <v>76466.66667</v>
      </c>
      <c r="CL17" s="3">
        <f t="shared" si="20"/>
        <v>76466.66667</v>
      </c>
      <c r="CM17" s="3">
        <f t="shared" si="20"/>
        <v>76466.66667</v>
      </c>
      <c r="CN17" s="3">
        <f t="shared" si="20"/>
        <v>76466.66667</v>
      </c>
      <c r="CO17" s="3">
        <f t="shared" si="20"/>
        <v>76466.66667</v>
      </c>
      <c r="CP17" s="3">
        <f t="shared" si="20"/>
        <v>76466.66667</v>
      </c>
      <c r="CQ17" s="3">
        <f t="shared" si="20"/>
        <v>76466.66667</v>
      </c>
      <c r="CR17" s="3">
        <f t="shared" si="20"/>
        <v>76466.66667</v>
      </c>
      <c r="CS17" s="3">
        <f t="shared" si="20"/>
        <v>76466.66667</v>
      </c>
      <c r="CT17" s="3">
        <f t="shared" si="20"/>
        <v>76466.66667</v>
      </c>
      <c r="CU17" s="25"/>
    </row>
    <row r="18">
      <c r="A18" s="25" t="s">
        <v>66</v>
      </c>
      <c r="B18" s="25" t="s">
        <v>32</v>
      </c>
      <c r="C18" s="1" t="s">
        <v>7</v>
      </c>
      <c r="D18" s="25">
        <v>14201.0</v>
      </c>
      <c r="E18" s="28">
        <v>44621.0</v>
      </c>
      <c r="F18" s="3">
        <v>2000000.0</v>
      </c>
      <c r="G18" s="25">
        <v>10.0</v>
      </c>
      <c r="H18" s="15">
        <v>0.1</v>
      </c>
      <c r="I18" s="26">
        <f t="shared" si="11"/>
        <v>0.008333333333</v>
      </c>
      <c r="J18" s="1">
        <f>YEAR(IRD_Fixed_Asset_Register_List!F19) - YEAR(E18)</f>
        <v>3</v>
      </c>
      <c r="K18" s="1">
        <f t="shared" si="12"/>
        <v>36</v>
      </c>
      <c r="L18" s="3">
        <f t="shared" si="13"/>
        <v>600000</v>
      </c>
      <c r="M18" s="3">
        <f t="shared" si="14"/>
        <v>1400000</v>
      </c>
      <c r="N18" s="3">
        <f t="shared" si="15"/>
        <v>16666.66667</v>
      </c>
      <c r="O18" s="3">
        <f t="shared" si="16"/>
        <v>16666.66667</v>
      </c>
      <c r="P18" s="3">
        <f t="shared" ref="P18:CT18" si="21">IF(YEAR(TODAY())-YEAR($E18)+1&gt;$G18,0,$N18)</f>
        <v>16666.66667</v>
      </c>
      <c r="Q18" s="3">
        <f t="shared" si="21"/>
        <v>16666.66667</v>
      </c>
      <c r="R18" s="3">
        <f t="shared" si="21"/>
        <v>16666.66667</v>
      </c>
      <c r="S18" s="3">
        <f t="shared" si="21"/>
        <v>16666.66667</v>
      </c>
      <c r="T18" s="3">
        <f t="shared" si="21"/>
        <v>16666.66667</v>
      </c>
      <c r="U18" s="3">
        <f t="shared" si="21"/>
        <v>16666.66667</v>
      </c>
      <c r="V18" s="3">
        <f t="shared" si="21"/>
        <v>16666.66667</v>
      </c>
      <c r="W18" s="3">
        <f t="shared" si="21"/>
        <v>16666.66667</v>
      </c>
      <c r="X18" s="3">
        <f t="shared" si="21"/>
        <v>16666.66667</v>
      </c>
      <c r="Y18" s="3">
        <f t="shared" si="21"/>
        <v>16666.66667</v>
      </c>
      <c r="Z18" s="3">
        <f t="shared" si="21"/>
        <v>16666.66667</v>
      </c>
      <c r="AA18" s="3">
        <f t="shared" si="21"/>
        <v>16666.66667</v>
      </c>
      <c r="AB18" s="3">
        <f t="shared" si="21"/>
        <v>16666.66667</v>
      </c>
      <c r="AC18" s="3">
        <f t="shared" si="21"/>
        <v>16666.66667</v>
      </c>
      <c r="AD18" s="3">
        <f t="shared" si="21"/>
        <v>16666.66667</v>
      </c>
      <c r="AE18" s="3">
        <f t="shared" si="21"/>
        <v>16666.66667</v>
      </c>
      <c r="AF18" s="3">
        <f t="shared" si="21"/>
        <v>16666.66667</v>
      </c>
      <c r="AG18" s="3">
        <f t="shared" si="21"/>
        <v>16666.66667</v>
      </c>
      <c r="AH18" s="3">
        <f t="shared" si="21"/>
        <v>16666.66667</v>
      </c>
      <c r="AI18" s="3">
        <f t="shared" si="21"/>
        <v>16666.66667</v>
      </c>
      <c r="AJ18" s="3">
        <f t="shared" si="21"/>
        <v>16666.66667</v>
      </c>
      <c r="AK18" s="3">
        <f t="shared" si="21"/>
        <v>16666.66667</v>
      </c>
      <c r="AL18" s="3">
        <f t="shared" si="21"/>
        <v>16666.66667</v>
      </c>
      <c r="AM18" s="3">
        <f t="shared" si="21"/>
        <v>16666.66667</v>
      </c>
      <c r="AN18" s="3">
        <f t="shared" si="21"/>
        <v>16666.66667</v>
      </c>
      <c r="AO18" s="3">
        <f t="shared" si="21"/>
        <v>16666.66667</v>
      </c>
      <c r="AP18" s="3">
        <f t="shared" si="21"/>
        <v>16666.66667</v>
      </c>
      <c r="AQ18" s="3">
        <f t="shared" si="21"/>
        <v>16666.66667</v>
      </c>
      <c r="AR18" s="3">
        <f t="shared" si="21"/>
        <v>16666.66667</v>
      </c>
      <c r="AS18" s="3">
        <f t="shared" si="21"/>
        <v>16666.66667</v>
      </c>
      <c r="AT18" s="3">
        <f t="shared" si="21"/>
        <v>16666.66667</v>
      </c>
      <c r="AU18" s="3">
        <f t="shared" si="21"/>
        <v>16666.66667</v>
      </c>
      <c r="AV18" s="3">
        <f t="shared" si="21"/>
        <v>16666.66667</v>
      </c>
      <c r="AW18" s="3">
        <f t="shared" si="21"/>
        <v>16666.66667</v>
      </c>
      <c r="AX18" s="3">
        <f t="shared" si="21"/>
        <v>16666.66667</v>
      </c>
      <c r="AY18" s="3">
        <f t="shared" si="21"/>
        <v>16666.66667</v>
      </c>
      <c r="AZ18" s="3">
        <f t="shared" si="21"/>
        <v>16666.66667</v>
      </c>
      <c r="BA18" s="3">
        <f t="shared" si="21"/>
        <v>16666.66667</v>
      </c>
      <c r="BB18" s="3">
        <f t="shared" si="21"/>
        <v>16666.66667</v>
      </c>
      <c r="BC18" s="3">
        <f t="shared" si="21"/>
        <v>16666.66667</v>
      </c>
      <c r="BD18" s="3">
        <f t="shared" si="21"/>
        <v>16666.66667</v>
      </c>
      <c r="BE18" s="3">
        <f t="shared" si="21"/>
        <v>16666.66667</v>
      </c>
      <c r="BF18" s="3">
        <f t="shared" si="21"/>
        <v>16666.66667</v>
      </c>
      <c r="BG18" s="3">
        <f t="shared" si="21"/>
        <v>16666.66667</v>
      </c>
      <c r="BH18" s="3">
        <f t="shared" si="21"/>
        <v>16666.66667</v>
      </c>
      <c r="BI18" s="3">
        <f t="shared" si="21"/>
        <v>16666.66667</v>
      </c>
      <c r="BJ18" s="3">
        <f t="shared" si="21"/>
        <v>16666.66667</v>
      </c>
      <c r="BK18" s="3">
        <f t="shared" si="21"/>
        <v>16666.66667</v>
      </c>
      <c r="BL18" s="3">
        <f t="shared" si="21"/>
        <v>16666.66667</v>
      </c>
      <c r="BM18" s="3">
        <f t="shared" si="21"/>
        <v>16666.66667</v>
      </c>
      <c r="BN18" s="3">
        <f t="shared" si="21"/>
        <v>16666.66667</v>
      </c>
      <c r="BO18" s="3">
        <f t="shared" si="21"/>
        <v>16666.66667</v>
      </c>
      <c r="BP18" s="3">
        <f t="shared" si="21"/>
        <v>16666.66667</v>
      </c>
      <c r="BQ18" s="3">
        <f t="shared" si="21"/>
        <v>16666.66667</v>
      </c>
      <c r="BR18" s="3">
        <f t="shared" si="21"/>
        <v>16666.66667</v>
      </c>
      <c r="BS18" s="3">
        <f t="shared" si="21"/>
        <v>16666.66667</v>
      </c>
      <c r="BT18" s="3">
        <f t="shared" si="21"/>
        <v>16666.66667</v>
      </c>
      <c r="BU18" s="3">
        <f t="shared" si="21"/>
        <v>16666.66667</v>
      </c>
      <c r="BV18" s="3">
        <f t="shared" si="21"/>
        <v>16666.66667</v>
      </c>
      <c r="BW18" s="3">
        <f t="shared" si="21"/>
        <v>16666.66667</v>
      </c>
      <c r="BX18" s="3">
        <f t="shared" si="21"/>
        <v>16666.66667</v>
      </c>
      <c r="BY18" s="3">
        <f t="shared" si="21"/>
        <v>16666.66667</v>
      </c>
      <c r="BZ18" s="3">
        <f t="shared" si="21"/>
        <v>16666.66667</v>
      </c>
      <c r="CA18" s="3">
        <f t="shared" si="21"/>
        <v>16666.66667</v>
      </c>
      <c r="CB18" s="3">
        <f t="shared" si="21"/>
        <v>16666.66667</v>
      </c>
      <c r="CC18" s="3">
        <f t="shared" si="21"/>
        <v>16666.66667</v>
      </c>
      <c r="CD18" s="3">
        <f t="shared" si="21"/>
        <v>16666.66667</v>
      </c>
      <c r="CE18" s="3">
        <f t="shared" si="21"/>
        <v>16666.66667</v>
      </c>
      <c r="CF18" s="3">
        <f t="shared" si="21"/>
        <v>16666.66667</v>
      </c>
      <c r="CG18" s="3">
        <f t="shared" si="21"/>
        <v>16666.66667</v>
      </c>
      <c r="CH18" s="3">
        <f t="shared" si="21"/>
        <v>16666.66667</v>
      </c>
      <c r="CI18" s="3">
        <f t="shared" si="21"/>
        <v>16666.66667</v>
      </c>
      <c r="CJ18" s="3">
        <f t="shared" si="21"/>
        <v>16666.66667</v>
      </c>
      <c r="CK18" s="3">
        <f t="shared" si="21"/>
        <v>16666.66667</v>
      </c>
      <c r="CL18" s="3">
        <f t="shared" si="21"/>
        <v>16666.66667</v>
      </c>
      <c r="CM18" s="3">
        <f t="shared" si="21"/>
        <v>16666.66667</v>
      </c>
      <c r="CN18" s="3">
        <f t="shared" si="21"/>
        <v>16666.66667</v>
      </c>
      <c r="CO18" s="3">
        <f t="shared" si="21"/>
        <v>16666.66667</v>
      </c>
      <c r="CP18" s="3">
        <f t="shared" si="21"/>
        <v>16666.66667</v>
      </c>
      <c r="CQ18" s="3">
        <f t="shared" si="21"/>
        <v>16666.66667</v>
      </c>
      <c r="CR18" s="3">
        <f t="shared" si="21"/>
        <v>16666.66667</v>
      </c>
      <c r="CS18" s="3">
        <f t="shared" si="21"/>
        <v>16666.66667</v>
      </c>
      <c r="CT18" s="3">
        <f t="shared" si="21"/>
        <v>16666.66667</v>
      </c>
      <c r="CU18" s="25"/>
    </row>
    <row r="19">
      <c r="A19" s="25" t="s">
        <v>67</v>
      </c>
      <c r="B19" s="25" t="s">
        <v>33</v>
      </c>
      <c r="C19" s="1" t="s">
        <v>7</v>
      </c>
      <c r="D19" s="25">
        <v>14202.0</v>
      </c>
      <c r="E19" s="28">
        <v>44621.0</v>
      </c>
      <c r="F19" s="3">
        <v>4000000.0</v>
      </c>
      <c r="G19" s="25">
        <v>16.0</v>
      </c>
      <c r="H19" s="26">
        <v>0.0625</v>
      </c>
      <c r="I19" s="26">
        <f t="shared" si="11"/>
        <v>0.005208333333</v>
      </c>
      <c r="J19" s="1">
        <f>YEAR(IRD_Fixed_Asset_Register_List!F20) - YEAR(E19)</f>
        <v>3</v>
      </c>
      <c r="K19" s="1">
        <f t="shared" si="12"/>
        <v>36</v>
      </c>
      <c r="L19" s="3">
        <f t="shared" si="13"/>
        <v>750000</v>
      </c>
      <c r="M19" s="3">
        <f t="shared" si="14"/>
        <v>3250000</v>
      </c>
      <c r="N19" s="3">
        <f t="shared" si="15"/>
        <v>20833.33333</v>
      </c>
      <c r="O19" s="3">
        <f t="shared" si="16"/>
        <v>20833.33333</v>
      </c>
      <c r="P19" s="3">
        <f t="shared" ref="P19:CT19" si="22">IF(YEAR(TODAY())-YEAR($E19)+1&gt;$G19,0,$N19)</f>
        <v>20833.33333</v>
      </c>
      <c r="Q19" s="3">
        <f t="shared" si="22"/>
        <v>20833.33333</v>
      </c>
      <c r="R19" s="3">
        <f t="shared" si="22"/>
        <v>20833.33333</v>
      </c>
      <c r="S19" s="3">
        <f t="shared" si="22"/>
        <v>20833.33333</v>
      </c>
      <c r="T19" s="3">
        <f t="shared" si="22"/>
        <v>20833.33333</v>
      </c>
      <c r="U19" s="3">
        <f t="shared" si="22"/>
        <v>20833.33333</v>
      </c>
      <c r="V19" s="3">
        <f t="shared" si="22"/>
        <v>20833.33333</v>
      </c>
      <c r="W19" s="3">
        <f t="shared" si="22"/>
        <v>20833.33333</v>
      </c>
      <c r="X19" s="3">
        <f t="shared" si="22"/>
        <v>20833.33333</v>
      </c>
      <c r="Y19" s="3">
        <f t="shared" si="22"/>
        <v>20833.33333</v>
      </c>
      <c r="Z19" s="3">
        <f t="shared" si="22"/>
        <v>20833.33333</v>
      </c>
      <c r="AA19" s="3">
        <f t="shared" si="22"/>
        <v>20833.33333</v>
      </c>
      <c r="AB19" s="3">
        <f t="shared" si="22"/>
        <v>20833.33333</v>
      </c>
      <c r="AC19" s="3">
        <f t="shared" si="22"/>
        <v>20833.33333</v>
      </c>
      <c r="AD19" s="3">
        <f t="shared" si="22"/>
        <v>20833.33333</v>
      </c>
      <c r="AE19" s="3">
        <f t="shared" si="22"/>
        <v>20833.33333</v>
      </c>
      <c r="AF19" s="3">
        <f t="shared" si="22"/>
        <v>20833.33333</v>
      </c>
      <c r="AG19" s="3">
        <f t="shared" si="22"/>
        <v>20833.33333</v>
      </c>
      <c r="AH19" s="3">
        <f t="shared" si="22"/>
        <v>20833.33333</v>
      </c>
      <c r="AI19" s="3">
        <f t="shared" si="22"/>
        <v>20833.33333</v>
      </c>
      <c r="AJ19" s="3">
        <f t="shared" si="22"/>
        <v>20833.33333</v>
      </c>
      <c r="AK19" s="3">
        <f t="shared" si="22"/>
        <v>20833.33333</v>
      </c>
      <c r="AL19" s="3">
        <f t="shared" si="22"/>
        <v>20833.33333</v>
      </c>
      <c r="AM19" s="3">
        <f t="shared" si="22"/>
        <v>20833.33333</v>
      </c>
      <c r="AN19" s="3">
        <f t="shared" si="22"/>
        <v>20833.33333</v>
      </c>
      <c r="AO19" s="3">
        <f t="shared" si="22"/>
        <v>20833.33333</v>
      </c>
      <c r="AP19" s="3">
        <f t="shared" si="22"/>
        <v>20833.33333</v>
      </c>
      <c r="AQ19" s="3">
        <f t="shared" si="22"/>
        <v>20833.33333</v>
      </c>
      <c r="AR19" s="3">
        <f t="shared" si="22"/>
        <v>20833.33333</v>
      </c>
      <c r="AS19" s="3">
        <f t="shared" si="22"/>
        <v>20833.33333</v>
      </c>
      <c r="AT19" s="3">
        <f t="shared" si="22"/>
        <v>20833.33333</v>
      </c>
      <c r="AU19" s="3">
        <f t="shared" si="22"/>
        <v>20833.33333</v>
      </c>
      <c r="AV19" s="3">
        <f t="shared" si="22"/>
        <v>20833.33333</v>
      </c>
      <c r="AW19" s="3">
        <f t="shared" si="22"/>
        <v>20833.33333</v>
      </c>
      <c r="AX19" s="3">
        <f t="shared" si="22"/>
        <v>20833.33333</v>
      </c>
      <c r="AY19" s="3">
        <f t="shared" si="22"/>
        <v>20833.33333</v>
      </c>
      <c r="AZ19" s="3">
        <f t="shared" si="22"/>
        <v>20833.33333</v>
      </c>
      <c r="BA19" s="3">
        <f t="shared" si="22"/>
        <v>20833.33333</v>
      </c>
      <c r="BB19" s="3">
        <f t="shared" si="22"/>
        <v>20833.33333</v>
      </c>
      <c r="BC19" s="3">
        <f t="shared" si="22"/>
        <v>20833.33333</v>
      </c>
      <c r="BD19" s="3">
        <f t="shared" si="22"/>
        <v>20833.33333</v>
      </c>
      <c r="BE19" s="3">
        <f t="shared" si="22"/>
        <v>20833.33333</v>
      </c>
      <c r="BF19" s="3">
        <f t="shared" si="22"/>
        <v>20833.33333</v>
      </c>
      <c r="BG19" s="3">
        <f t="shared" si="22"/>
        <v>20833.33333</v>
      </c>
      <c r="BH19" s="3">
        <f t="shared" si="22"/>
        <v>20833.33333</v>
      </c>
      <c r="BI19" s="3">
        <f t="shared" si="22"/>
        <v>20833.33333</v>
      </c>
      <c r="BJ19" s="3">
        <f t="shared" si="22"/>
        <v>20833.33333</v>
      </c>
      <c r="BK19" s="3">
        <f t="shared" si="22"/>
        <v>20833.33333</v>
      </c>
      <c r="BL19" s="3">
        <f t="shared" si="22"/>
        <v>20833.33333</v>
      </c>
      <c r="BM19" s="3">
        <f t="shared" si="22"/>
        <v>20833.33333</v>
      </c>
      <c r="BN19" s="3">
        <f t="shared" si="22"/>
        <v>20833.33333</v>
      </c>
      <c r="BO19" s="3">
        <f t="shared" si="22"/>
        <v>20833.33333</v>
      </c>
      <c r="BP19" s="3">
        <f t="shared" si="22"/>
        <v>20833.33333</v>
      </c>
      <c r="BQ19" s="3">
        <f t="shared" si="22"/>
        <v>20833.33333</v>
      </c>
      <c r="BR19" s="3">
        <f t="shared" si="22"/>
        <v>20833.33333</v>
      </c>
      <c r="BS19" s="3">
        <f t="shared" si="22"/>
        <v>20833.33333</v>
      </c>
      <c r="BT19" s="3">
        <f t="shared" si="22"/>
        <v>20833.33333</v>
      </c>
      <c r="BU19" s="3">
        <f t="shared" si="22"/>
        <v>20833.33333</v>
      </c>
      <c r="BV19" s="3">
        <f t="shared" si="22"/>
        <v>20833.33333</v>
      </c>
      <c r="BW19" s="3">
        <f t="shared" si="22"/>
        <v>20833.33333</v>
      </c>
      <c r="BX19" s="3">
        <f t="shared" si="22"/>
        <v>20833.33333</v>
      </c>
      <c r="BY19" s="3">
        <f t="shared" si="22"/>
        <v>20833.33333</v>
      </c>
      <c r="BZ19" s="3">
        <f t="shared" si="22"/>
        <v>20833.33333</v>
      </c>
      <c r="CA19" s="3">
        <f t="shared" si="22"/>
        <v>20833.33333</v>
      </c>
      <c r="CB19" s="3">
        <f t="shared" si="22"/>
        <v>20833.33333</v>
      </c>
      <c r="CC19" s="3">
        <f t="shared" si="22"/>
        <v>20833.33333</v>
      </c>
      <c r="CD19" s="3">
        <f t="shared" si="22"/>
        <v>20833.33333</v>
      </c>
      <c r="CE19" s="3">
        <f t="shared" si="22"/>
        <v>20833.33333</v>
      </c>
      <c r="CF19" s="3">
        <f t="shared" si="22"/>
        <v>20833.33333</v>
      </c>
      <c r="CG19" s="3">
        <f t="shared" si="22"/>
        <v>20833.33333</v>
      </c>
      <c r="CH19" s="3">
        <f t="shared" si="22"/>
        <v>20833.33333</v>
      </c>
      <c r="CI19" s="3">
        <f t="shared" si="22"/>
        <v>20833.33333</v>
      </c>
      <c r="CJ19" s="3">
        <f t="shared" si="22"/>
        <v>20833.33333</v>
      </c>
      <c r="CK19" s="3">
        <f t="shared" si="22"/>
        <v>20833.33333</v>
      </c>
      <c r="CL19" s="3">
        <f t="shared" si="22"/>
        <v>20833.33333</v>
      </c>
      <c r="CM19" s="3">
        <f t="shared" si="22"/>
        <v>20833.33333</v>
      </c>
      <c r="CN19" s="3">
        <f t="shared" si="22"/>
        <v>20833.33333</v>
      </c>
      <c r="CO19" s="3">
        <f t="shared" si="22"/>
        <v>20833.33333</v>
      </c>
      <c r="CP19" s="3">
        <f t="shared" si="22"/>
        <v>20833.33333</v>
      </c>
      <c r="CQ19" s="3">
        <f t="shared" si="22"/>
        <v>20833.33333</v>
      </c>
      <c r="CR19" s="3">
        <f t="shared" si="22"/>
        <v>20833.33333</v>
      </c>
      <c r="CS19" s="3">
        <f t="shared" si="22"/>
        <v>20833.33333</v>
      </c>
      <c r="CT19" s="3">
        <f t="shared" si="22"/>
        <v>20833.33333</v>
      </c>
      <c r="CU19" s="25"/>
    </row>
    <row r="20">
      <c r="A20" s="25" t="s">
        <v>68</v>
      </c>
      <c r="B20" s="25" t="s">
        <v>34</v>
      </c>
      <c r="C20" s="1" t="s">
        <v>5</v>
      </c>
      <c r="D20" s="25">
        <v>14203.0</v>
      </c>
      <c r="E20" s="28">
        <v>44621.0</v>
      </c>
      <c r="F20" s="3">
        <v>5.0E7</v>
      </c>
      <c r="G20" s="25">
        <v>16.0</v>
      </c>
      <c r="H20" s="26">
        <v>0.062</v>
      </c>
      <c r="I20" s="26">
        <f t="shared" si="11"/>
        <v>0.005166666667</v>
      </c>
      <c r="J20" s="1">
        <f>YEAR(IRD_Fixed_Asset_Register_List!F21) - YEAR(E20)</f>
        <v>3</v>
      </c>
      <c r="K20" s="1">
        <f t="shared" si="12"/>
        <v>36</v>
      </c>
      <c r="L20" s="3">
        <f t="shared" si="13"/>
        <v>9300000</v>
      </c>
      <c r="M20" s="3">
        <f t="shared" si="14"/>
        <v>40700000</v>
      </c>
      <c r="N20" s="3">
        <f t="shared" si="15"/>
        <v>258333.3333</v>
      </c>
      <c r="O20" s="3">
        <f t="shared" si="16"/>
        <v>258333.3333</v>
      </c>
      <c r="P20" s="3">
        <f t="shared" ref="P20:CT20" si="23">IF(YEAR(TODAY())-YEAR($E20)+1&gt;$G20,0,$N20)</f>
        <v>258333.3333</v>
      </c>
      <c r="Q20" s="3">
        <f t="shared" si="23"/>
        <v>258333.3333</v>
      </c>
      <c r="R20" s="3">
        <f t="shared" si="23"/>
        <v>258333.3333</v>
      </c>
      <c r="S20" s="3">
        <f t="shared" si="23"/>
        <v>258333.3333</v>
      </c>
      <c r="T20" s="3">
        <f t="shared" si="23"/>
        <v>258333.3333</v>
      </c>
      <c r="U20" s="3">
        <f t="shared" si="23"/>
        <v>258333.3333</v>
      </c>
      <c r="V20" s="3">
        <f t="shared" si="23"/>
        <v>258333.3333</v>
      </c>
      <c r="W20" s="3">
        <f t="shared" si="23"/>
        <v>258333.3333</v>
      </c>
      <c r="X20" s="3">
        <f t="shared" si="23"/>
        <v>258333.3333</v>
      </c>
      <c r="Y20" s="3">
        <f t="shared" si="23"/>
        <v>258333.3333</v>
      </c>
      <c r="Z20" s="3">
        <f t="shared" si="23"/>
        <v>258333.3333</v>
      </c>
      <c r="AA20" s="3">
        <f t="shared" si="23"/>
        <v>258333.3333</v>
      </c>
      <c r="AB20" s="3">
        <f t="shared" si="23"/>
        <v>258333.3333</v>
      </c>
      <c r="AC20" s="3">
        <f t="shared" si="23"/>
        <v>258333.3333</v>
      </c>
      <c r="AD20" s="3">
        <f t="shared" si="23"/>
        <v>258333.3333</v>
      </c>
      <c r="AE20" s="3">
        <f t="shared" si="23"/>
        <v>258333.3333</v>
      </c>
      <c r="AF20" s="3">
        <f t="shared" si="23"/>
        <v>258333.3333</v>
      </c>
      <c r="AG20" s="3">
        <f t="shared" si="23"/>
        <v>258333.3333</v>
      </c>
      <c r="AH20" s="3">
        <f t="shared" si="23"/>
        <v>258333.3333</v>
      </c>
      <c r="AI20" s="3">
        <f t="shared" si="23"/>
        <v>258333.3333</v>
      </c>
      <c r="AJ20" s="3">
        <f t="shared" si="23"/>
        <v>258333.3333</v>
      </c>
      <c r="AK20" s="3">
        <f t="shared" si="23"/>
        <v>258333.3333</v>
      </c>
      <c r="AL20" s="3">
        <f t="shared" si="23"/>
        <v>258333.3333</v>
      </c>
      <c r="AM20" s="3">
        <f t="shared" si="23"/>
        <v>258333.3333</v>
      </c>
      <c r="AN20" s="3">
        <f t="shared" si="23"/>
        <v>258333.3333</v>
      </c>
      <c r="AO20" s="3">
        <f t="shared" si="23"/>
        <v>258333.3333</v>
      </c>
      <c r="AP20" s="3">
        <f t="shared" si="23"/>
        <v>258333.3333</v>
      </c>
      <c r="AQ20" s="3">
        <f t="shared" si="23"/>
        <v>258333.3333</v>
      </c>
      <c r="AR20" s="3">
        <f t="shared" si="23"/>
        <v>258333.3333</v>
      </c>
      <c r="AS20" s="3">
        <f t="shared" si="23"/>
        <v>258333.3333</v>
      </c>
      <c r="AT20" s="3">
        <f t="shared" si="23"/>
        <v>258333.3333</v>
      </c>
      <c r="AU20" s="3">
        <f t="shared" si="23"/>
        <v>258333.3333</v>
      </c>
      <c r="AV20" s="3">
        <f t="shared" si="23"/>
        <v>258333.3333</v>
      </c>
      <c r="AW20" s="3">
        <f t="shared" si="23"/>
        <v>258333.3333</v>
      </c>
      <c r="AX20" s="3">
        <f t="shared" si="23"/>
        <v>258333.3333</v>
      </c>
      <c r="AY20" s="3">
        <f t="shared" si="23"/>
        <v>258333.3333</v>
      </c>
      <c r="AZ20" s="3">
        <f t="shared" si="23"/>
        <v>258333.3333</v>
      </c>
      <c r="BA20" s="3">
        <f t="shared" si="23"/>
        <v>258333.3333</v>
      </c>
      <c r="BB20" s="3">
        <f t="shared" si="23"/>
        <v>258333.3333</v>
      </c>
      <c r="BC20" s="3">
        <f t="shared" si="23"/>
        <v>258333.3333</v>
      </c>
      <c r="BD20" s="3">
        <f t="shared" si="23"/>
        <v>258333.3333</v>
      </c>
      <c r="BE20" s="3">
        <f t="shared" si="23"/>
        <v>258333.3333</v>
      </c>
      <c r="BF20" s="3">
        <f t="shared" si="23"/>
        <v>258333.3333</v>
      </c>
      <c r="BG20" s="3">
        <f t="shared" si="23"/>
        <v>258333.3333</v>
      </c>
      <c r="BH20" s="3">
        <f t="shared" si="23"/>
        <v>258333.3333</v>
      </c>
      <c r="BI20" s="3">
        <f t="shared" si="23"/>
        <v>258333.3333</v>
      </c>
      <c r="BJ20" s="3">
        <f t="shared" si="23"/>
        <v>258333.3333</v>
      </c>
      <c r="BK20" s="3">
        <f t="shared" si="23"/>
        <v>258333.3333</v>
      </c>
      <c r="BL20" s="3">
        <f t="shared" si="23"/>
        <v>258333.3333</v>
      </c>
      <c r="BM20" s="3">
        <f t="shared" si="23"/>
        <v>258333.3333</v>
      </c>
      <c r="BN20" s="3">
        <f t="shared" si="23"/>
        <v>258333.3333</v>
      </c>
      <c r="BO20" s="3">
        <f t="shared" si="23"/>
        <v>258333.3333</v>
      </c>
      <c r="BP20" s="3">
        <f t="shared" si="23"/>
        <v>258333.3333</v>
      </c>
      <c r="BQ20" s="3">
        <f t="shared" si="23"/>
        <v>258333.3333</v>
      </c>
      <c r="BR20" s="3">
        <f t="shared" si="23"/>
        <v>258333.3333</v>
      </c>
      <c r="BS20" s="3">
        <f t="shared" si="23"/>
        <v>258333.3333</v>
      </c>
      <c r="BT20" s="3">
        <f t="shared" si="23"/>
        <v>258333.3333</v>
      </c>
      <c r="BU20" s="3">
        <f t="shared" si="23"/>
        <v>258333.3333</v>
      </c>
      <c r="BV20" s="3">
        <f t="shared" si="23"/>
        <v>258333.3333</v>
      </c>
      <c r="BW20" s="3">
        <f t="shared" si="23"/>
        <v>258333.3333</v>
      </c>
      <c r="BX20" s="3">
        <f t="shared" si="23"/>
        <v>258333.3333</v>
      </c>
      <c r="BY20" s="3">
        <f t="shared" si="23"/>
        <v>258333.3333</v>
      </c>
      <c r="BZ20" s="3">
        <f t="shared" si="23"/>
        <v>258333.3333</v>
      </c>
      <c r="CA20" s="3">
        <f t="shared" si="23"/>
        <v>258333.3333</v>
      </c>
      <c r="CB20" s="3">
        <f t="shared" si="23"/>
        <v>258333.3333</v>
      </c>
      <c r="CC20" s="3">
        <f t="shared" si="23"/>
        <v>258333.3333</v>
      </c>
      <c r="CD20" s="3">
        <f t="shared" si="23"/>
        <v>258333.3333</v>
      </c>
      <c r="CE20" s="3">
        <f t="shared" si="23"/>
        <v>258333.3333</v>
      </c>
      <c r="CF20" s="3">
        <f t="shared" si="23"/>
        <v>258333.3333</v>
      </c>
      <c r="CG20" s="3">
        <f t="shared" si="23"/>
        <v>258333.3333</v>
      </c>
      <c r="CH20" s="3">
        <f t="shared" si="23"/>
        <v>258333.3333</v>
      </c>
      <c r="CI20" s="3">
        <f t="shared" si="23"/>
        <v>258333.3333</v>
      </c>
      <c r="CJ20" s="3">
        <f t="shared" si="23"/>
        <v>258333.3333</v>
      </c>
      <c r="CK20" s="3">
        <f t="shared" si="23"/>
        <v>258333.3333</v>
      </c>
      <c r="CL20" s="3">
        <f t="shared" si="23"/>
        <v>258333.3333</v>
      </c>
      <c r="CM20" s="3">
        <f t="shared" si="23"/>
        <v>258333.3333</v>
      </c>
      <c r="CN20" s="3">
        <f t="shared" si="23"/>
        <v>258333.3333</v>
      </c>
      <c r="CO20" s="3">
        <f t="shared" si="23"/>
        <v>258333.3333</v>
      </c>
      <c r="CP20" s="3">
        <f t="shared" si="23"/>
        <v>258333.3333</v>
      </c>
      <c r="CQ20" s="3">
        <f t="shared" si="23"/>
        <v>258333.3333</v>
      </c>
      <c r="CR20" s="3">
        <f t="shared" si="23"/>
        <v>258333.3333</v>
      </c>
      <c r="CS20" s="3">
        <f t="shared" si="23"/>
        <v>258333.3333</v>
      </c>
      <c r="CT20" s="3">
        <f t="shared" si="23"/>
        <v>258333.3333</v>
      </c>
      <c r="CU20" s="25"/>
    </row>
    <row r="21">
      <c r="A21" s="25" t="s">
        <v>69</v>
      </c>
      <c r="B21" s="25" t="s">
        <v>35</v>
      </c>
      <c r="C21" s="1" t="s">
        <v>7</v>
      </c>
      <c r="D21" s="25">
        <v>14204.0</v>
      </c>
      <c r="E21" s="28">
        <v>44621.0</v>
      </c>
      <c r="F21" s="3">
        <v>1200000.0</v>
      </c>
      <c r="G21" s="25">
        <v>10.0</v>
      </c>
      <c r="H21" s="15">
        <v>0.1</v>
      </c>
      <c r="I21" s="26">
        <f t="shared" si="11"/>
        <v>0.008333333333</v>
      </c>
      <c r="J21" s="1">
        <f>YEAR(IRD_Fixed_Asset_Register_List!F22) - YEAR(E21)</f>
        <v>3</v>
      </c>
      <c r="K21" s="1">
        <f t="shared" si="12"/>
        <v>36</v>
      </c>
      <c r="L21" s="3">
        <f t="shared" si="13"/>
        <v>360000</v>
      </c>
      <c r="M21" s="3">
        <f t="shared" si="14"/>
        <v>840000</v>
      </c>
      <c r="N21" s="3">
        <f t="shared" si="15"/>
        <v>10000</v>
      </c>
      <c r="O21" s="3">
        <f t="shared" si="16"/>
        <v>10000</v>
      </c>
      <c r="P21" s="3">
        <f t="shared" ref="P21:CT21" si="24">IF(YEAR(TODAY())-YEAR($E21)+1&gt;$G21,0,$N21)</f>
        <v>10000</v>
      </c>
      <c r="Q21" s="3">
        <f t="shared" si="24"/>
        <v>10000</v>
      </c>
      <c r="R21" s="3">
        <f t="shared" si="24"/>
        <v>10000</v>
      </c>
      <c r="S21" s="3">
        <f t="shared" si="24"/>
        <v>10000</v>
      </c>
      <c r="T21" s="3">
        <f t="shared" si="24"/>
        <v>10000</v>
      </c>
      <c r="U21" s="3">
        <f t="shared" si="24"/>
        <v>10000</v>
      </c>
      <c r="V21" s="3">
        <f t="shared" si="24"/>
        <v>10000</v>
      </c>
      <c r="W21" s="3">
        <f t="shared" si="24"/>
        <v>10000</v>
      </c>
      <c r="X21" s="3">
        <f t="shared" si="24"/>
        <v>10000</v>
      </c>
      <c r="Y21" s="3">
        <f t="shared" si="24"/>
        <v>10000</v>
      </c>
      <c r="Z21" s="3">
        <f t="shared" si="24"/>
        <v>10000</v>
      </c>
      <c r="AA21" s="3">
        <f t="shared" si="24"/>
        <v>10000</v>
      </c>
      <c r="AB21" s="3">
        <f t="shared" si="24"/>
        <v>10000</v>
      </c>
      <c r="AC21" s="3">
        <f t="shared" si="24"/>
        <v>10000</v>
      </c>
      <c r="AD21" s="3">
        <f t="shared" si="24"/>
        <v>10000</v>
      </c>
      <c r="AE21" s="3">
        <f t="shared" si="24"/>
        <v>10000</v>
      </c>
      <c r="AF21" s="3">
        <f t="shared" si="24"/>
        <v>10000</v>
      </c>
      <c r="AG21" s="3">
        <f t="shared" si="24"/>
        <v>10000</v>
      </c>
      <c r="AH21" s="3">
        <f t="shared" si="24"/>
        <v>10000</v>
      </c>
      <c r="AI21" s="3">
        <f t="shared" si="24"/>
        <v>10000</v>
      </c>
      <c r="AJ21" s="3">
        <f t="shared" si="24"/>
        <v>10000</v>
      </c>
      <c r="AK21" s="3">
        <f t="shared" si="24"/>
        <v>10000</v>
      </c>
      <c r="AL21" s="3">
        <f t="shared" si="24"/>
        <v>10000</v>
      </c>
      <c r="AM21" s="3">
        <f t="shared" si="24"/>
        <v>10000</v>
      </c>
      <c r="AN21" s="3">
        <f t="shared" si="24"/>
        <v>10000</v>
      </c>
      <c r="AO21" s="3">
        <f t="shared" si="24"/>
        <v>10000</v>
      </c>
      <c r="AP21" s="3">
        <f t="shared" si="24"/>
        <v>10000</v>
      </c>
      <c r="AQ21" s="3">
        <f t="shared" si="24"/>
        <v>10000</v>
      </c>
      <c r="AR21" s="3">
        <f t="shared" si="24"/>
        <v>10000</v>
      </c>
      <c r="AS21" s="3">
        <f t="shared" si="24"/>
        <v>10000</v>
      </c>
      <c r="AT21" s="3">
        <f t="shared" si="24"/>
        <v>10000</v>
      </c>
      <c r="AU21" s="3">
        <f t="shared" si="24"/>
        <v>10000</v>
      </c>
      <c r="AV21" s="3">
        <f t="shared" si="24"/>
        <v>10000</v>
      </c>
      <c r="AW21" s="3">
        <f t="shared" si="24"/>
        <v>10000</v>
      </c>
      <c r="AX21" s="3">
        <f t="shared" si="24"/>
        <v>10000</v>
      </c>
      <c r="AY21" s="3">
        <f t="shared" si="24"/>
        <v>10000</v>
      </c>
      <c r="AZ21" s="3">
        <f t="shared" si="24"/>
        <v>10000</v>
      </c>
      <c r="BA21" s="3">
        <f t="shared" si="24"/>
        <v>10000</v>
      </c>
      <c r="BB21" s="3">
        <f t="shared" si="24"/>
        <v>10000</v>
      </c>
      <c r="BC21" s="3">
        <f t="shared" si="24"/>
        <v>10000</v>
      </c>
      <c r="BD21" s="3">
        <f t="shared" si="24"/>
        <v>10000</v>
      </c>
      <c r="BE21" s="3">
        <f t="shared" si="24"/>
        <v>10000</v>
      </c>
      <c r="BF21" s="3">
        <f t="shared" si="24"/>
        <v>10000</v>
      </c>
      <c r="BG21" s="3">
        <f t="shared" si="24"/>
        <v>10000</v>
      </c>
      <c r="BH21" s="3">
        <f t="shared" si="24"/>
        <v>10000</v>
      </c>
      <c r="BI21" s="3">
        <f t="shared" si="24"/>
        <v>10000</v>
      </c>
      <c r="BJ21" s="3">
        <f t="shared" si="24"/>
        <v>10000</v>
      </c>
      <c r="BK21" s="3">
        <f t="shared" si="24"/>
        <v>10000</v>
      </c>
      <c r="BL21" s="3">
        <f t="shared" si="24"/>
        <v>10000</v>
      </c>
      <c r="BM21" s="3">
        <f t="shared" si="24"/>
        <v>10000</v>
      </c>
      <c r="BN21" s="3">
        <f t="shared" si="24"/>
        <v>10000</v>
      </c>
      <c r="BO21" s="3">
        <f t="shared" si="24"/>
        <v>10000</v>
      </c>
      <c r="BP21" s="3">
        <f t="shared" si="24"/>
        <v>10000</v>
      </c>
      <c r="BQ21" s="3">
        <f t="shared" si="24"/>
        <v>10000</v>
      </c>
      <c r="BR21" s="3">
        <f t="shared" si="24"/>
        <v>10000</v>
      </c>
      <c r="BS21" s="3">
        <f t="shared" si="24"/>
        <v>10000</v>
      </c>
      <c r="BT21" s="3">
        <f t="shared" si="24"/>
        <v>10000</v>
      </c>
      <c r="BU21" s="3">
        <f t="shared" si="24"/>
        <v>10000</v>
      </c>
      <c r="BV21" s="3">
        <f t="shared" si="24"/>
        <v>10000</v>
      </c>
      <c r="BW21" s="3">
        <f t="shared" si="24"/>
        <v>10000</v>
      </c>
      <c r="BX21" s="3">
        <f t="shared" si="24"/>
        <v>10000</v>
      </c>
      <c r="BY21" s="3">
        <f t="shared" si="24"/>
        <v>10000</v>
      </c>
      <c r="BZ21" s="3">
        <f t="shared" si="24"/>
        <v>10000</v>
      </c>
      <c r="CA21" s="3">
        <f t="shared" si="24"/>
        <v>10000</v>
      </c>
      <c r="CB21" s="3">
        <f t="shared" si="24"/>
        <v>10000</v>
      </c>
      <c r="CC21" s="3">
        <f t="shared" si="24"/>
        <v>10000</v>
      </c>
      <c r="CD21" s="3">
        <f t="shared" si="24"/>
        <v>10000</v>
      </c>
      <c r="CE21" s="3">
        <f t="shared" si="24"/>
        <v>10000</v>
      </c>
      <c r="CF21" s="3">
        <f t="shared" si="24"/>
        <v>10000</v>
      </c>
      <c r="CG21" s="3">
        <f t="shared" si="24"/>
        <v>10000</v>
      </c>
      <c r="CH21" s="3">
        <f t="shared" si="24"/>
        <v>10000</v>
      </c>
      <c r="CI21" s="3">
        <f t="shared" si="24"/>
        <v>10000</v>
      </c>
      <c r="CJ21" s="3">
        <f t="shared" si="24"/>
        <v>10000</v>
      </c>
      <c r="CK21" s="3">
        <f t="shared" si="24"/>
        <v>10000</v>
      </c>
      <c r="CL21" s="3">
        <f t="shared" si="24"/>
        <v>10000</v>
      </c>
      <c r="CM21" s="3">
        <f t="shared" si="24"/>
        <v>10000</v>
      </c>
      <c r="CN21" s="3">
        <f t="shared" si="24"/>
        <v>10000</v>
      </c>
      <c r="CO21" s="3">
        <f t="shared" si="24"/>
        <v>10000</v>
      </c>
      <c r="CP21" s="3">
        <f t="shared" si="24"/>
        <v>10000</v>
      </c>
      <c r="CQ21" s="3">
        <f t="shared" si="24"/>
        <v>10000</v>
      </c>
      <c r="CR21" s="3">
        <f t="shared" si="24"/>
        <v>10000</v>
      </c>
      <c r="CS21" s="3">
        <f t="shared" si="24"/>
        <v>10000</v>
      </c>
      <c r="CT21" s="3">
        <f t="shared" si="24"/>
        <v>10000</v>
      </c>
      <c r="CU21" s="25"/>
    </row>
    <row r="22">
      <c r="A22" s="25" t="s">
        <v>70</v>
      </c>
      <c r="B22" s="25" t="s">
        <v>36</v>
      </c>
      <c r="C22" s="1" t="s">
        <v>5</v>
      </c>
      <c r="D22" s="25">
        <v>14205.0</v>
      </c>
      <c r="E22" s="28">
        <v>44621.0</v>
      </c>
      <c r="F22" s="3">
        <v>600000.0</v>
      </c>
      <c r="G22" s="25">
        <v>16.0</v>
      </c>
      <c r="H22" s="26">
        <v>0.0625</v>
      </c>
      <c r="I22" s="26">
        <f t="shared" si="11"/>
        <v>0.005208333333</v>
      </c>
      <c r="J22" s="1">
        <f>YEAR(IRD_Fixed_Asset_Register_List!F23) - YEAR(E22)</f>
        <v>3</v>
      </c>
      <c r="K22" s="1">
        <f t="shared" si="12"/>
        <v>36</v>
      </c>
      <c r="L22" s="3">
        <f t="shared" si="13"/>
        <v>112500</v>
      </c>
      <c r="M22" s="3">
        <f t="shared" si="14"/>
        <v>487500</v>
      </c>
      <c r="N22" s="3">
        <f t="shared" si="15"/>
        <v>3125</v>
      </c>
      <c r="O22" s="3">
        <f t="shared" si="16"/>
        <v>3125</v>
      </c>
      <c r="P22" s="3">
        <f t="shared" ref="P22:CT22" si="25">IF(YEAR(TODAY())-YEAR($E22)+1&gt;$G22,0,$N22)</f>
        <v>3125</v>
      </c>
      <c r="Q22" s="3">
        <f t="shared" si="25"/>
        <v>3125</v>
      </c>
      <c r="R22" s="3">
        <f t="shared" si="25"/>
        <v>3125</v>
      </c>
      <c r="S22" s="3">
        <f t="shared" si="25"/>
        <v>3125</v>
      </c>
      <c r="T22" s="3">
        <f t="shared" si="25"/>
        <v>3125</v>
      </c>
      <c r="U22" s="3">
        <f t="shared" si="25"/>
        <v>3125</v>
      </c>
      <c r="V22" s="3">
        <f t="shared" si="25"/>
        <v>3125</v>
      </c>
      <c r="W22" s="3">
        <f t="shared" si="25"/>
        <v>3125</v>
      </c>
      <c r="X22" s="3">
        <f t="shared" si="25"/>
        <v>3125</v>
      </c>
      <c r="Y22" s="3">
        <f t="shared" si="25"/>
        <v>3125</v>
      </c>
      <c r="Z22" s="3">
        <f t="shared" si="25"/>
        <v>3125</v>
      </c>
      <c r="AA22" s="3">
        <f t="shared" si="25"/>
        <v>3125</v>
      </c>
      <c r="AB22" s="3">
        <f t="shared" si="25"/>
        <v>3125</v>
      </c>
      <c r="AC22" s="3">
        <f t="shared" si="25"/>
        <v>3125</v>
      </c>
      <c r="AD22" s="3">
        <f t="shared" si="25"/>
        <v>3125</v>
      </c>
      <c r="AE22" s="3">
        <f t="shared" si="25"/>
        <v>3125</v>
      </c>
      <c r="AF22" s="3">
        <f t="shared" si="25"/>
        <v>3125</v>
      </c>
      <c r="AG22" s="3">
        <f t="shared" si="25"/>
        <v>3125</v>
      </c>
      <c r="AH22" s="3">
        <f t="shared" si="25"/>
        <v>3125</v>
      </c>
      <c r="AI22" s="3">
        <f t="shared" si="25"/>
        <v>3125</v>
      </c>
      <c r="AJ22" s="3">
        <f t="shared" si="25"/>
        <v>3125</v>
      </c>
      <c r="AK22" s="3">
        <f t="shared" si="25"/>
        <v>3125</v>
      </c>
      <c r="AL22" s="3">
        <f t="shared" si="25"/>
        <v>3125</v>
      </c>
      <c r="AM22" s="3">
        <f t="shared" si="25"/>
        <v>3125</v>
      </c>
      <c r="AN22" s="3">
        <f t="shared" si="25"/>
        <v>3125</v>
      </c>
      <c r="AO22" s="3">
        <f t="shared" si="25"/>
        <v>3125</v>
      </c>
      <c r="AP22" s="3">
        <f t="shared" si="25"/>
        <v>3125</v>
      </c>
      <c r="AQ22" s="3">
        <f t="shared" si="25"/>
        <v>3125</v>
      </c>
      <c r="AR22" s="3">
        <f t="shared" si="25"/>
        <v>3125</v>
      </c>
      <c r="AS22" s="3">
        <f t="shared" si="25"/>
        <v>3125</v>
      </c>
      <c r="AT22" s="3">
        <f t="shared" si="25"/>
        <v>3125</v>
      </c>
      <c r="AU22" s="3">
        <f t="shared" si="25"/>
        <v>3125</v>
      </c>
      <c r="AV22" s="3">
        <f t="shared" si="25"/>
        <v>3125</v>
      </c>
      <c r="AW22" s="3">
        <f t="shared" si="25"/>
        <v>3125</v>
      </c>
      <c r="AX22" s="3">
        <f t="shared" si="25"/>
        <v>3125</v>
      </c>
      <c r="AY22" s="3">
        <f t="shared" si="25"/>
        <v>3125</v>
      </c>
      <c r="AZ22" s="3">
        <f t="shared" si="25"/>
        <v>3125</v>
      </c>
      <c r="BA22" s="3">
        <f t="shared" si="25"/>
        <v>3125</v>
      </c>
      <c r="BB22" s="3">
        <f t="shared" si="25"/>
        <v>3125</v>
      </c>
      <c r="BC22" s="3">
        <f t="shared" si="25"/>
        <v>3125</v>
      </c>
      <c r="BD22" s="3">
        <f t="shared" si="25"/>
        <v>3125</v>
      </c>
      <c r="BE22" s="3">
        <f t="shared" si="25"/>
        <v>3125</v>
      </c>
      <c r="BF22" s="3">
        <f t="shared" si="25"/>
        <v>3125</v>
      </c>
      <c r="BG22" s="3">
        <f t="shared" si="25"/>
        <v>3125</v>
      </c>
      <c r="BH22" s="3">
        <f t="shared" si="25"/>
        <v>3125</v>
      </c>
      <c r="BI22" s="3">
        <f t="shared" si="25"/>
        <v>3125</v>
      </c>
      <c r="BJ22" s="3">
        <f t="shared" si="25"/>
        <v>3125</v>
      </c>
      <c r="BK22" s="3">
        <f t="shared" si="25"/>
        <v>3125</v>
      </c>
      <c r="BL22" s="3">
        <f t="shared" si="25"/>
        <v>3125</v>
      </c>
      <c r="BM22" s="3">
        <f t="shared" si="25"/>
        <v>3125</v>
      </c>
      <c r="BN22" s="3">
        <f t="shared" si="25"/>
        <v>3125</v>
      </c>
      <c r="BO22" s="3">
        <f t="shared" si="25"/>
        <v>3125</v>
      </c>
      <c r="BP22" s="3">
        <f t="shared" si="25"/>
        <v>3125</v>
      </c>
      <c r="BQ22" s="3">
        <f t="shared" si="25"/>
        <v>3125</v>
      </c>
      <c r="BR22" s="3">
        <f t="shared" si="25"/>
        <v>3125</v>
      </c>
      <c r="BS22" s="3">
        <f t="shared" si="25"/>
        <v>3125</v>
      </c>
      <c r="BT22" s="3">
        <f t="shared" si="25"/>
        <v>3125</v>
      </c>
      <c r="BU22" s="3">
        <f t="shared" si="25"/>
        <v>3125</v>
      </c>
      <c r="BV22" s="3">
        <f t="shared" si="25"/>
        <v>3125</v>
      </c>
      <c r="BW22" s="3">
        <f t="shared" si="25"/>
        <v>3125</v>
      </c>
      <c r="BX22" s="3">
        <f t="shared" si="25"/>
        <v>3125</v>
      </c>
      <c r="BY22" s="3">
        <f t="shared" si="25"/>
        <v>3125</v>
      </c>
      <c r="BZ22" s="3">
        <f t="shared" si="25"/>
        <v>3125</v>
      </c>
      <c r="CA22" s="3">
        <f t="shared" si="25"/>
        <v>3125</v>
      </c>
      <c r="CB22" s="3">
        <f t="shared" si="25"/>
        <v>3125</v>
      </c>
      <c r="CC22" s="3">
        <f t="shared" si="25"/>
        <v>3125</v>
      </c>
      <c r="CD22" s="3">
        <f t="shared" si="25"/>
        <v>3125</v>
      </c>
      <c r="CE22" s="3">
        <f t="shared" si="25"/>
        <v>3125</v>
      </c>
      <c r="CF22" s="3">
        <f t="shared" si="25"/>
        <v>3125</v>
      </c>
      <c r="CG22" s="3">
        <f t="shared" si="25"/>
        <v>3125</v>
      </c>
      <c r="CH22" s="3">
        <f t="shared" si="25"/>
        <v>3125</v>
      </c>
      <c r="CI22" s="3">
        <f t="shared" si="25"/>
        <v>3125</v>
      </c>
      <c r="CJ22" s="3">
        <f t="shared" si="25"/>
        <v>3125</v>
      </c>
      <c r="CK22" s="3">
        <f t="shared" si="25"/>
        <v>3125</v>
      </c>
      <c r="CL22" s="3">
        <f t="shared" si="25"/>
        <v>3125</v>
      </c>
      <c r="CM22" s="3">
        <f t="shared" si="25"/>
        <v>3125</v>
      </c>
      <c r="CN22" s="3">
        <f t="shared" si="25"/>
        <v>3125</v>
      </c>
      <c r="CO22" s="3">
        <f t="shared" si="25"/>
        <v>3125</v>
      </c>
      <c r="CP22" s="3">
        <f t="shared" si="25"/>
        <v>3125</v>
      </c>
      <c r="CQ22" s="3">
        <f t="shared" si="25"/>
        <v>3125</v>
      </c>
      <c r="CR22" s="3">
        <f t="shared" si="25"/>
        <v>3125</v>
      </c>
      <c r="CS22" s="3">
        <f t="shared" si="25"/>
        <v>3125</v>
      </c>
      <c r="CT22" s="3">
        <f t="shared" si="25"/>
        <v>3125</v>
      </c>
      <c r="CU22" s="25"/>
    </row>
    <row r="23">
      <c r="A23" s="25" t="s">
        <v>71</v>
      </c>
      <c r="B23" s="25" t="s">
        <v>37</v>
      </c>
      <c r="C23" s="1" t="s">
        <v>5</v>
      </c>
      <c r="D23" s="25">
        <v>14206.0</v>
      </c>
      <c r="E23" s="28">
        <v>44621.0</v>
      </c>
      <c r="F23" s="3">
        <v>200000.0</v>
      </c>
      <c r="G23" s="25">
        <v>10.0</v>
      </c>
      <c r="H23" s="15">
        <v>0.1</v>
      </c>
      <c r="I23" s="26">
        <f t="shared" si="11"/>
        <v>0.008333333333</v>
      </c>
      <c r="J23" s="1">
        <f>YEAR(IRD_Fixed_Asset_Register_List!F24) - YEAR(E23)</f>
        <v>3</v>
      </c>
      <c r="K23" s="1">
        <f t="shared" si="12"/>
        <v>36</v>
      </c>
      <c r="L23" s="3">
        <f t="shared" si="13"/>
        <v>60000</v>
      </c>
      <c r="M23" s="3">
        <f t="shared" si="14"/>
        <v>140000</v>
      </c>
      <c r="N23" s="3">
        <f t="shared" si="15"/>
        <v>1666.666667</v>
      </c>
      <c r="O23" s="3">
        <f t="shared" si="16"/>
        <v>1666.666667</v>
      </c>
      <c r="P23" s="3">
        <f t="shared" ref="P23:CT23" si="26">IF(YEAR(TODAY())-YEAR($E23)+1&gt;$G23,0,$N23)</f>
        <v>1666.666667</v>
      </c>
      <c r="Q23" s="3">
        <f t="shared" si="26"/>
        <v>1666.666667</v>
      </c>
      <c r="R23" s="3">
        <f t="shared" si="26"/>
        <v>1666.666667</v>
      </c>
      <c r="S23" s="3">
        <f t="shared" si="26"/>
        <v>1666.666667</v>
      </c>
      <c r="T23" s="3">
        <f t="shared" si="26"/>
        <v>1666.666667</v>
      </c>
      <c r="U23" s="3">
        <f t="shared" si="26"/>
        <v>1666.666667</v>
      </c>
      <c r="V23" s="3">
        <f t="shared" si="26"/>
        <v>1666.666667</v>
      </c>
      <c r="W23" s="3">
        <f t="shared" si="26"/>
        <v>1666.666667</v>
      </c>
      <c r="X23" s="3">
        <f t="shared" si="26"/>
        <v>1666.666667</v>
      </c>
      <c r="Y23" s="3">
        <f t="shared" si="26"/>
        <v>1666.666667</v>
      </c>
      <c r="Z23" s="3">
        <f t="shared" si="26"/>
        <v>1666.666667</v>
      </c>
      <c r="AA23" s="3">
        <f t="shared" si="26"/>
        <v>1666.666667</v>
      </c>
      <c r="AB23" s="3">
        <f t="shared" si="26"/>
        <v>1666.666667</v>
      </c>
      <c r="AC23" s="3">
        <f t="shared" si="26"/>
        <v>1666.666667</v>
      </c>
      <c r="AD23" s="3">
        <f t="shared" si="26"/>
        <v>1666.666667</v>
      </c>
      <c r="AE23" s="3">
        <f t="shared" si="26"/>
        <v>1666.666667</v>
      </c>
      <c r="AF23" s="3">
        <f t="shared" si="26"/>
        <v>1666.666667</v>
      </c>
      <c r="AG23" s="3">
        <f t="shared" si="26"/>
        <v>1666.666667</v>
      </c>
      <c r="AH23" s="3">
        <f t="shared" si="26"/>
        <v>1666.666667</v>
      </c>
      <c r="AI23" s="3">
        <f t="shared" si="26"/>
        <v>1666.666667</v>
      </c>
      <c r="AJ23" s="3">
        <f t="shared" si="26"/>
        <v>1666.666667</v>
      </c>
      <c r="AK23" s="3">
        <f t="shared" si="26"/>
        <v>1666.666667</v>
      </c>
      <c r="AL23" s="3">
        <f t="shared" si="26"/>
        <v>1666.666667</v>
      </c>
      <c r="AM23" s="3">
        <f t="shared" si="26"/>
        <v>1666.666667</v>
      </c>
      <c r="AN23" s="3">
        <f t="shared" si="26"/>
        <v>1666.666667</v>
      </c>
      <c r="AO23" s="3">
        <f t="shared" si="26"/>
        <v>1666.666667</v>
      </c>
      <c r="AP23" s="3">
        <f t="shared" si="26"/>
        <v>1666.666667</v>
      </c>
      <c r="AQ23" s="3">
        <f t="shared" si="26"/>
        <v>1666.666667</v>
      </c>
      <c r="AR23" s="3">
        <f t="shared" si="26"/>
        <v>1666.666667</v>
      </c>
      <c r="AS23" s="3">
        <f t="shared" si="26"/>
        <v>1666.666667</v>
      </c>
      <c r="AT23" s="3">
        <f t="shared" si="26"/>
        <v>1666.666667</v>
      </c>
      <c r="AU23" s="3">
        <f t="shared" si="26"/>
        <v>1666.666667</v>
      </c>
      <c r="AV23" s="3">
        <f t="shared" si="26"/>
        <v>1666.666667</v>
      </c>
      <c r="AW23" s="3">
        <f t="shared" si="26"/>
        <v>1666.666667</v>
      </c>
      <c r="AX23" s="3">
        <f t="shared" si="26"/>
        <v>1666.666667</v>
      </c>
      <c r="AY23" s="3">
        <f t="shared" si="26"/>
        <v>1666.666667</v>
      </c>
      <c r="AZ23" s="3">
        <f t="shared" si="26"/>
        <v>1666.666667</v>
      </c>
      <c r="BA23" s="3">
        <f t="shared" si="26"/>
        <v>1666.666667</v>
      </c>
      <c r="BB23" s="3">
        <f t="shared" si="26"/>
        <v>1666.666667</v>
      </c>
      <c r="BC23" s="3">
        <f t="shared" si="26"/>
        <v>1666.666667</v>
      </c>
      <c r="BD23" s="3">
        <f t="shared" si="26"/>
        <v>1666.666667</v>
      </c>
      <c r="BE23" s="3">
        <f t="shared" si="26"/>
        <v>1666.666667</v>
      </c>
      <c r="BF23" s="3">
        <f t="shared" si="26"/>
        <v>1666.666667</v>
      </c>
      <c r="BG23" s="3">
        <f t="shared" si="26"/>
        <v>1666.666667</v>
      </c>
      <c r="BH23" s="3">
        <f t="shared" si="26"/>
        <v>1666.666667</v>
      </c>
      <c r="BI23" s="3">
        <f t="shared" si="26"/>
        <v>1666.666667</v>
      </c>
      <c r="BJ23" s="3">
        <f t="shared" si="26"/>
        <v>1666.666667</v>
      </c>
      <c r="BK23" s="3">
        <f t="shared" si="26"/>
        <v>1666.666667</v>
      </c>
      <c r="BL23" s="3">
        <f t="shared" si="26"/>
        <v>1666.666667</v>
      </c>
      <c r="BM23" s="3">
        <f t="shared" si="26"/>
        <v>1666.666667</v>
      </c>
      <c r="BN23" s="3">
        <f t="shared" si="26"/>
        <v>1666.666667</v>
      </c>
      <c r="BO23" s="3">
        <f t="shared" si="26"/>
        <v>1666.666667</v>
      </c>
      <c r="BP23" s="3">
        <f t="shared" si="26"/>
        <v>1666.666667</v>
      </c>
      <c r="BQ23" s="3">
        <f t="shared" si="26"/>
        <v>1666.666667</v>
      </c>
      <c r="BR23" s="3">
        <f t="shared" si="26"/>
        <v>1666.666667</v>
      </c>
      <c r="BS23" s="3">
        <f t="shared" si="26"/>
        <v>1666.666667</v>
      </c>
      <c r="BT23" s="3">
        <f t="shared" si="26"/>
        <v>1666.666667</v>
      </c>
      <c r="BU23" s="3">
        <f t="shared" si="26"/>
        <v>1666.666667</v>
      </c>
      <c r="BV23" s="3">
        <f t="shared" si="26"/>
        <v>1666.666667</v>
      </c>
      <c r="BW23" s="3">
        <f t="shared" si="26"/>
        <v>1666.666667</v>
      </c>
      <c r="BX23" s="3">
        <f t="shared" si="26"/>
        <v>1666.666667</v>
      </c>
      <c r="BY23" s="3">
        <f t="shared" si="26"/>
        <v>1666.666667</v>
      </c>
      <c r="BZ23" s="3">
        <f t="shared" si="26"/>
        <v>1666.666667</v>
      </c>
      <c r="CA23" s="3">
        <f t="shared" si="26"/>
        <v>1666.666667</v>
      </c>
      <c r="CB23" s="3">
        <f t="shared" si="26"/>
        <v>1666.666667</v>
      </c>
      <c r="CC23" s="3">
        <f t="shared" si="26"/>
        <v>1666.666667</v>
      </c>
      <c r="CD23" s="3">
        <f t="shared" si="26"/>
        <v>1666.666667</v>
      </c>
      <c r="CE23" s="3">
        <f t="shared" si="26"/>
        <v>1666.666667</v>
      </c>
      <c r="CF23" s="3">
        <f t="shared" si="26"/>
        <v>1666.666667</v>
      </c>
      <c r="CG23" s="3">
        <f t="shared" si="26"/>
        <v>1666.666667</v>
      </c>
      <c r="CH23" s="3">
        <f t="shared" si="26"/>
        <v>1666.666667</v>
      </c>
      <c r="CI23" s="3">
        <f t="shared" si="26"/>
        <v>1666.666667</v>
      </c>
      <c r="CJ23" s="3">
        <f t="shared" si="26"/>
        <v>1666.666667</v>
      </c>
      <c r="CK23" s="3">
        <f t="shared" si="26"/>
        <v>1666.666667</v>
      </c>
      <c r="CL23" s="3">
        <f t="shared" si="26"/>
        <v>1666.666667</v>
      </c>
      <c r="CM23" s="3">
        <f t="shared" si="26"/>
        <v>1666.666667</v>
      </c>
      <c r="CN23" s="3">
        <f t="shared" si="26"/>
        <v>1666.666667</v>
      </c>
      <c r="CO23" s="3">
        <f t="shared" si="26"/>
        <v>1666.666667</v>
      </c>
      <c r="CP23" s="3">
        <f t="shared" si="26"/>
        <v>1666.666667</v>
      </c>
      <c r="CQ23" s="3">
        <f t="shared" si="26"/>
        <v>1666.666667</v>
      </c>
      <c r="CR23" s="3">
        <f t="shared" si="26"/>
        <v>1666.666667</v>
      </c>
      <c r="CS23" s="3">
        <f t="shared" si="26"/>
        <v>1666.666667</v>
      </c>
      <c r="CT23" s="3">
        <f t="shared" si="26"/>
        <v>1666.666667</v>
      </c>
      <c r="CU23" s="25"/>
    </row>
    <row r="24">
      <c r="A24" s="25" t="s">
        <v>72</v>
      </c>
      <c r="B24" s="25" t="s">
        <v>38</v>
      </c>
      <c r="C24" s="1" t="s">
        <v>5</v>
      </c>
      <c r="D24" s="25">
        <v>14207.0</v>
      </c>
      <c r="E24" s="28">
        <v>44621.0</v>
      </c>
      <c r="F24" s="3">
        <v>800000.0</v>
      </c>
      <c r="G24" s="25">
        <v>16.0</v>
      </c>
      <c r="H24" s="26">
        <v>0.0625</v>
      </c>
      <c r="I24" s="26">
        <f t="shared" si="11"/>
        <v>0.005208333333</v>
      </c>
      <c r="J24" s="1">
        <f>YEAR(IRD_Fixed_Asset_Register_List!F25) - YEAR(E24)</f>
        <v>3</v>
      </c>
      <c r="K24" s="1">
        <f t="shared" si="12"/>
        <v>36</v>
      </c>
      <c r="L24" s="3">
        <f t="shared" si="13"/>
        <v>150000</v>
      </c>
      <c r="M24" s="3">
        <f t="shared" si="14"/>
        <v>650000</v>
      </c>
      <c r="N24" s="3">
        <f t="shared" si="15"/>
        <v>4166.666667</v>
      </c>
      <c r="O24" s="3">
        <f t="shared" si="16"/>
        <v>4166.666667</v>
      </c>
      <c r="P24" s="3">
        <f t="shared" ref="P24:CT24" si="27">IF(YEAR(TODAY())-YEAR($E24)+1&gt;$G24,0,$N24)</f>
        <v>4166.666667</v>
      </c>
      <c r="Q24" s="3">
        <f t="shared" si="27"/>
        <v>4166.666667</v>
      </c>
      <c r="R24" s="3">
        <f t="shared" si="27"/>
        <v>4166.666667</v>
      </c>
      <c r="S24" s="3">
        <f t="shared" si="27"/>
        <v>4166.666667</v>
      </c>
      <c r="T24" s="3">
        <f t="shared" si="27"/>
        <v>4166.666667</v>
      </c>
      <c r="U24" s="3">
        <f t="shared" si="27"/>
        <v>4166.666667</v>
      </c>
      <c r="V24" s="3">
        <f t="shared" si="27"/>
        <v>4166.666667</v>
      </c>
      <c r="W24" s="3">
        <f t="shared" si="27"/>
        <v>4166.666667</v>
      </c>
      <c r="X24" s="3">
        <f t="shared" si="27"/>
        <v>4166.666667</v>
      </c>
      <c r="Y24" s="3">
        <f t="shared" si="27"/>
        <v>4166.666667</v>
      </c>
      <c r="Z24" s="3">
        <f t="shared" si="27"/>
        <v>4166.666667</v>
      </c>
      <c r="AA24" s="3">
        <f t="shared" si="27"/>
        <v>4166.666667</v>
      </c>
      <c r="AB24" s="3">
        <f t="shared" si="27"/>
        <v>4166.666667</v>
      </c>
      <c r="AC24" s="3">
        <f t="shared" si="27"/>
        <v>4166.666667</v>
      </c>
      <c r="AD24" s="3">
        <f t="shared" si="27"/>
        <v>4166.666667</v>
      </c>
      <c r="AE24" s="3">
        <f t="shared" si="27"/>
        <v>4166.666667</v>
      </c>
      <c r="AF24" s="3">
        <f t="shared" si="27"/>
        <v>4166.666667</v>
      </c>
      <c r="AG24" s="3">
        <f t="shared" si="27"/>
        <v>4166.666667</v>
      </c>
      <c r="AH24" s="3">
        <f t="shared" si="27"/>
        <v>4166.666667</v>
      </c>
      <c r="AI24" s="3">
        <f t="shared" si="27"/>
        <v>4166.666667</v>
      </c>
      <c r="AJ24" s="3">
        <f t="shared" si="27"/>
        <v>4166.666667</v>
      </c>
      <c r="AK24" s="3">
        <f t="shared" si="27"/>
        <v>4166.666667</v>
      </c>
      <c r="AL24" s="3">
        <f t="shared" si="27"/>
        <v>4166.666667</v>
      </c>
      <c r="AM24" s="3">
        <f t="shared" si="27"/>
        <v>4166.666667</v>
      </c>
      <c r="AN24" s="3">
        <f t="shared" si="27"/>
        <v>4166.666667</v>
      </c>
      <c r="AO24" s="3">
        <f t="shared" si="27"/>
        <v>4166.666667</v>
      </c>
      <c r="AP24" s="3">
        <f t="shared" si="27"/>
        <v>4166.666667</v>
      </c>
      <c r="AQ24" s="3">
        <f t="shared" si="27"/>
        <v>4166.666667</v>
      </c>
      <c r="AR24" s="3">
        <f t="shared" si="27"/>
        <v>4166.666667</v>
      </c>
      <c r="AS24" s="3">
        <f t="shared" si="27"/>
        <v>4166.666667</v>
      </c>
      <c r="AT24" s="3">
        <f t="shared" si="27"/>
        <v>4166.666667</v>
      </c>
      <c r="AU24" s="3">
        <f t="shared" si="27"/>
        <v>4166.666667</v>
      </c>
      <c r="AV24" s="3">
        <f t="shared" si="27"/>
        <v>4166.666667</v>
      </c>
      <c r="AW24" s="3">
        <f t="shared" si="27"/>
        <v>4166.666667</v>
      </c>
      <c r="AX24" s="3">
        <f t="shared" si="27"/>
        <v>4166.666667</v>
      </c>
      <c r="AY24" s="3">
        <f t="shared" si="27"/>
        <v>4166.666667</v>
      </c>
      <c r="AZ24" s="3">
        <f t="shared" si="27"/>
        <v>4166.666667</v>
      </c>
      <c r="BA24" s="3">
        <f t="shared" si="27"/>
        <v>4166.666667</v>
      </c>
      <c r="BB24" s="3">
        <f t="shared" si="27"/>
        <v>4166.666667</v>
      </c>
      <c r="BC24" s="3">
        <f t="shared" si="27"/>
        <v>4166.666667</v>
      </c>
      <c r="BD24" s="3">
        <f t="shared" si="27"/>
        <v>4166.666667</v>
      </c>
      <c r="BE24" s="3">
        <f t="shared" si="27"/>
        <v>4166.666667</v>
      </c>
      <c r="BF24" s="3">
        <f t="shared" si="27"/>
        <v>4166.666667</v>
      </c>
      <c r="BG24" s="3">
        <f t="shared" si="27"/>
        <v>4166.666667</v>
      </c>
      <c r="BH24" s="3">
        <f t="shared" si="27"/>
        <v>4166.666667</v>
      </c>
      <c r="BI24" s="3">
        <f t="shared" si="27"/>
        <v>4166.666667</v>
      </c>
      <c r="BJ24" s="3">
        <f t="shared" si="27"/>
        <v>4166.666667</v>
      </c>
      <c r="BK24" s="3">
        <f t="shared" si="27"/>
        <v>4166.666667</v>
      </c>
      <c r="BL24" s="3">
        <f t="shared" si="27"/>
        <v>4166.666667</v>
      </c>
      <c r="BM24" s="3">
        <f t="shared" si="27"/>
        <v>4166.666667</v>
      </c>
      <c r="BN24" s="3">
        <f t="shared" si="27"/>
        <v>4166.666667</v>
      </c>
      <c r="BO24" s="3">
        <f t="shared" si="27"/>
        <v>4166.666667</v>
      </c>
      <c r="BP24" s="3">
        <f t="shared" si="27"/>
        <v>4166.666667</v>
      </c>
      <c r="BQ24" s="3">
        <f t="shared" si="27"/>
        <v>4166.666667</v>
      </c>
      <c r="BR24" s="3">
        <f t="shared" si="27"/>
        <v>4166.666667</v>
      </c>
      <c r="BS24" s="3">
        <f t="shared" si="27"/>
        <v>4166.666667</v>
      </c>
      <c r="BT24" s="3">
        <f t="shared" si="27"/>
        <v>4166.666667</v>
      </c>
      <c r="BU24" s="3">
        <f t="shared" si="27"/>
        <v>4166.666667</v>
      </c>
      <c r="BV24" s="3">
        <f t="shared" si="27"/>
        <v>4166.666667</v>
      </c>
      <c r="BW24" s="3">
        <f t="shared" si="27"/>
        <v>4166.666667</v>
      </c>
      <c r="BX24" s="3">
        <f t="shared" si="27"/>
        <v>4166.666667</v>
      </c>
      <c r="BY24" s="3">
        <f t="shared" si="27"/>
        <v>4166.666667</v>
      </c>
      <c r="BZ24" s="3">
        <f t="shared" si="27"/>
        <v>4166.666667</v>
      </c>
      <c r="CA24" s="3">
        <f t="shared" si="27"/>
        <v>4166.666667</v>
      </c>
      <c r="CB24" s="3">
        <f t="shared" si="27"/>
        <v>4166.666667</v>
      </c>
      <c r="CC24" s="3">
        <f t="shared" si="27"/>
        <v>4166.666667</v>
      </c>
      <c r="CD24" s="3">
        <f t="shared" si="27"/>
        <v>4166.666667</v>
      </c>
      <c r="CE24" s="3">
        <f t="shared" si="27"/>
        <v>4166.666667</v>
      </c>
      <c r="CF24" s="3">
        <f t="shared" si="27"/>
        <v>4166.666667</v>
      </c>
      <c r="CG24" s="3">
        <f t="shared" si="27"/>
        <v>4166.666667</v>
      </c>
      <c r="CH24" s="3">
        <f t="shared" si="27"/>
        <v>4166.666667</v>
      </c>
      <c r="CI24" s="3">
        <f t="shared" si="27"/>
        <v>4166.666667</v>
      </c>
      <c r="CJ24" s="3">
        <f t="shared" si="27"/>
        <v>4166.666667</v>
      </c>
      <c r="CK24" s="3">
        <f t="shared" si="27"/>
        <v>4166.666667</v>
      </c>
      <c r="CL24" s="3">
        <f t="shared" si="27"/>
        <v>4166.666667</v>
      </c>
      <c r="CM24" s="3">
        <f t="shared" si="27"/>
        <v>4166.666667</v>
      </c>
      <c r="CN24" s="3">
        <f t="shared" si="27"/>
        <v>4166.666667</v>
      </c>
      <c r="CO24" s="3">
        <f t="shared" si="27"/>
        <v>4166.666667</v>
      </c>
      <c r="CP24" s="3">
        <f t="shared" si="27"/>
        <v>4166.666667</v>
      </c>
      <c r="CQ24" s="3">
        <f t="shared" si="27"/>
        <v>4166.666667</v>
      </c>
      <c r="CR24" s="3">
        <f t="shared" si="27"/>
        <v>4166.666667</v>
      </c>
      <c r="CS24" s="3">
        <f t="shared" si="27"/>
        <v>4166.666667</v>
      </c>
      <c r="CT24" s="3">
        <f t="shared" si="27"/>
        <v>4166.666667</v>
      </c>
      <c r="CU24" s="25"/>
    </row>
    <row r="25">
      <c r="A25" s="38" t="s">
        <v>73</v>
      </c>
      <c r="B25" s="38" t="s">
        <v>39</v>
      </c>
      <c r="C25" s="1" t="s">
        <v>2</v>
      </c>
      <c r="D25" s="38">
        <v>14208.0</v>
      </c>
      <c r="E25" s="39">
        <v>45695.0</v>
      </c>
      <c r="F25" s="40">
        <v>2.1029E8</v>
      </c>
      <c r="G25" s="38"/>
      <c r="H25" s="41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</row>
    <row r="26">
      <c r="A26" s="38" t="s">
        <v>68</v>
      </c>
      <c r="B26" s="38" t="s">
        <v>41</v>
      </c>
      <c r="C26" s="1" t="s">
        <v>7</v>
      </c>
      <c r="D26" s="38">
        <v>14209.0</v>
      </c>
      <c r="E26" s="39">
        <v>45703.0</v>
      </c>
      <c r="F26" s="40">
        <v>6856000.0</v>
      </c>
      <c r="G26" s="38">
        <v>10.0</v>
      </c>
      <c r="H26" s="44">
        <v>0.1</v>
      </c>
      <c r="I26" s="26">
        <f t="shared" ref="I26:I27" si="29">H26/12</f>
        <v>0.008333333333</v>
      </c>
      <c r="J26" s="1">
        <f>YEAR(IRD_Fixed_Asset_Register_List!F27) - YEAR(E26)</f>
        <v>0</v>
      </c>
      <c r="K26" s="1">
        <v>0.0</v>
      </c>
      <c r="L26" s="3">
        <f>J26*H26*F26</f>
        <v>0</v>
      </c>
      <c r="M26" s="3">
        <f t="shared" ref="M26:M27" si="30">F26-L26</f>
        <v>6856000</v>
      </c>
      <c r="N26" s="3">
        <f t="shared" ref="N26:N27" si="31">I26*F26</f>
        <v>57133.33333</v>
      </c>
      <c r="O26" s="1"/>
      <c r="P26" s="3">
        <f t="shared" ref="P26:CT26" si="28">IF(YEAR(TODAY())-YEAR($E26)+1&gt;$G26,0,$N26)</f>
        <v>57133.33333</v>
      </c>
      <c r="Q26" s="3">
        <f t="shared" si="28"/>
        <v>57133.33333</v>
      </c>
      <c r="R26" s="3">
        <f t="shared" si="28"/>
        <v>57133.33333</v>
      </c>
      <c r="S26" s="3">
        <f t="shared" si="28"/>
        <v>57133.33333</v>
      </c>
      <c r="T26" s="3">
        <f t="shared" si="28"/>
        <v>57133.33333</v>
      </c>
      <c r="U26" s="3">
        <f t="shared" si="28"/>
        <v>57133.33333</v>
      </c>
      <c r="V26" s="3">
        <f t="shared" si="28"/>
        <v>57133.33333</v>
      </c>
      <c r="W26" s="3">
        <f t="shared" si="28"/>
        <v>57133.33333</v>
      </c>
      <c r="X26" s="3">
        <f t="shared" si="28"/>
        <v>57133.33333</v>
      </c>
      <c r="Y26" s="3">
        <f t="shared" si="28"/>
        <v>57133.33333</v>
      </c>
      <c r="Z26" s="3">
        <f t="shared" si="28"/>
        <v>57133.33333</v>
      </c>
      <c r="AA26" s="3">
        <f t="shared" si="28"/>
        <v>57133.33333</v>
      </c>
      <c r="AB26" s="3">
        <f t="shared" si="28"/>
        <v>57133.33333</v>
      </c>
      <c r="AC26" s="3">
        <f t="shared" si="28"/>
        <v>57133.33333</v>
      </c>
      <c r="AD26" s="3">
        <f t="shared" si="28"/>
        <v>57133.33333</v>
      </c>
      <c r="AE26" s="3">
        <f t="shared" si="28"/>
        <v>57133.33333</v>
      </c>
      <c r="AF26" s="3">
        <f t="shared" si="28"/>
        <v>57133.33333</v>
      </c>
      <c r="AG26" s="3">
        <f t="shared" si="28"/>
        <v>57133.33333</v>
      </c>
      <c r="AH26" s="3">
        <f t="shared" si="28"/>
        <v>57133.33333</v>
      </c>
      <c r="AI26" s="3">
        <f t="shared" si="28"/>
        <v>57133.33333</v>
      </c>
      <c r="AJ26" s="3">
        <f t="shared" si="28"/>
        <v>57133.33333</v>
      </c>
      <c r="AK26" s="3">
        <f t="shared" si="28"/>
        <v>57133.33333</v>
      </c>
      <c r="AL26" s="3">
        <f t="shared" si="28"/>
        <v>57133.33333</v>
      </c>
      <c r="AM26" s="3">
        <f t="shared" si="28"/>
        <v>57133.33333</v>
      </c>
      <c r="AN26" s="3">
        <f t="shared" si="28"/>
        <v>57133.33333</v>
      </c>
      <c r="AO26" s="3">
        <f t="shared" si="28"/>
        <v>57133.33333</v>
      </c>
      <c r="AP26" s="3">
        <f t="shared" si="28"/>
        <v>57133.33333</v>
      </c>
      <c r="AQ26" s="3">
        <f t="shared" si="28"/>
        <v>57133.33333</v>
      </c>
      <c r="AR26" s="3">
        <f t="shared" si="28"/>
        <v>57133.33333</v>
      </c>
      <c r="AS26" s="3">
        <f t="shared" si="28"/>
        <v>57133.33333</v>
      </c>
      <c r="AT26" s="3">
        <f t="shared" si="28"/>
        <v>57133.33333</v>
      </c>
      <c r="AU26" s="3">
        <f t="shared" si="28"/>
        <v>57133.33333</v>
      </c>
      <c r="AV26" s="3">
        <f t="shared" si="28"/>
        <v>57133.33333</v>
      </c>
      <c r="AW26" s="3">
        <f t="shared" si="28"/>
        <v>57133.33333</v>
      </c>
      <c r="AX26" s="3">
        <f t="shared" si="28"/>
        <v>57133.33333</v>
      </c>
      <c r="AY26" s="3">
        <f t="shared" si="28"/>
        <v>57133.33333</v>
      </c>
      <c r="AZ26" s="3">
        <f t="shared" si="28"/>
        <v>57133.33333</v>
      </c>
      <c r="BA26" s="3">
        <f t="shared" si="28"/>
        <v>57133.33333</v>
      </c>
      <c r="BB26" s="3">
        <f t="shared" si="28"/>
        <v>57133.33333</v>
      </c>
      <c r="BC26" s="3">
        <f t="shared" si="28"/>
        <v>57133.33333</v>
      </c>
      <c r="BD26" s="3">
        <f t="shared" si="28"/>
        <v>57133.33333</v>
      </c>
      <c r="BE26" s="3">
        <f t="shared" si="28"/>
        <v>57133.33333</v>
      </c>
      <c r="BF26" s="3">
        <f t="shared" si="28"/>
        <v>57133.33333</v>
      </c>
      <c r="BG26" s="3">
        <f t="shared" si="28"/>
        <v>57133.33333</v>
      </c>
      <c r="BH26" s="3">
        <f t="shared" si="28"/>
        <v>57133.33333</v>
      </c>
      <c r="BI26" s="3">
        <f t="shared" si="28"/>
        <v>57133.33333</v>
      </c>
      <c r="BJ26" s="3">
        <f t="shared" si="28"/>
        <v>57133.33333</v>
      </c>
      <c r="BK26" s="3">
        <f t="shared" si="28"/>
        <v>57133.33333</v>
      </c>
      <c r="BL26" s="3">
        <f t="shared" si="28"/>
        <v>57133.33333</v>
      </c>
      <c r="BM26" s="3">
        <f t="shared" si="28"/>
        <v>57133.33333</v>
      </c>
      <c r="BN26" s="3">
        <f t="shared" si="28"/>
        <v>57133.33333</v>
      </c>
      <c r="BO26" s="3">
        <f t="shared" si="28"/>
        <v>57133.33333</v>
      </c>
      <c r="BP26" s="3">
        <f t="shared" si="28"/>
        <v>57133.33333</v>
      </c>
      <c r="BQ26" s="3">
        <f t="shared" si="28"/>
        <v>57133.33333</v>
      </c>
      <c r="BR26" s="3">
        <f t="shared" si="28"/>
        <v>57133.33333</v>
      </c>
      <c r="BS26" s="3">
        <f t="shared" si="28"/>
        <v>57133.33333</v>
      </c>
      <c r="BT26" s="3">
        <f t="shared" si="28"/>
        <v>57133.33333</v>
      </c>
      <c r="BU26" s="3">
        <f t="shared" si="28"/>
        <v>57133.33333</v>
      </c>
      <c r="BV26" s="3">
        <f t="shared" si="28"/>
        <v>57133.33333</v>
      </c>
      <c r="BW26" s="3">
        <f t="shared" si="28"/>
        <v>57133.33333</v>
      </c>
      <c r="BX26" s="3">
        <f t="shared" si="28"/>
        <v>57133.33333</v>
      </c>
      <c r="BY26" s="3">
        <f t="shared" si="28"/>
        <v>57133.33333</v>
      </c>
      <c r="BZ26" s="3">
        <f t="shared" si="28"/>
        <v>57133.33333</v>
      </c>
      <c r="CA26" s="3">
        <f t="shared" si="28"/>
        <v>57133.33333</v>
      </c>
      <c r="CB26" s="3">
        <f t="shared" si="28"/>
        <v>57133.33333</v>
      </c>
      <c r="CC26" s="3">
        <f t="shared" si="28"/>
        <v>57133.33333</v>
      </c>
      <c r="CD26" s="3">
        <f t="shared" si="28"/>
        <v>57133.33333</v>
      </c>
      <c r="CE26" s="3">
        <f t="shared" si="28"/>
        <v>57133.33333</v>
      </c>
      <c r="CF26" s="3">
        <f t="shared" si="28"/>
        <v>57133.33333</v>
      </c>
      <c r="CG26" s="3">
        <f t="shared" si="28"/>
        <v>57133.33333</v>
      </c>
      <c r="CH26" s="3">
        <f t="shared" si="28"/>
        <v>57133.33333</v>
      </c>
      <c r="CI26" s="3">
        <f t="shared" si="28"/>
        <v>57133.33333</v>
      </c>
      <c r="CJ26" s="3">
        <f t="shared" si="28"/>
        <v>57133.33333</v>
      </c>
      <c r="CK26" s="3">
        <f t="shared" si="28"/>
        <v>57133.33333</v>
      </c>
      <c r="CL26" s="3">
        <f t="shared" si="28"/>
        <v>57133.33333</v>
      </c>
      <c r="CM26" s="3">
        <f t="shared" si="28"/>
        <v>57133.33333</v>
      </c>
      <c r="CN26" s="3">
        <f t="shared" si="28"/>
        <v>57133.33333</v>
      </c>
      <c r="CO26" s="3">
        <f t="shared" si="28"/>
        <v>57133.33333</v>
      </c>
      <c r="CP26" s="3">
        <f t="shared" si="28"/>
        <v>57133.33333</v>
      </c>
      <c r="CQ26" s="3">
        <f t="shared" si="28"/>
        <v>57133.33333</v>
      </c>
      <c r="CR26" s="3">
        <f t="shared" si="28"/>
        <v>57133.33333</v>
      </c>
      <c r="CS26" s="3">
        <f t="shared" si="28"/>
        <v>57133.33333</v>
      </c>
      <c r="CT26" s="3">
        <f t="shared" si="28"/>
        <v>57133.33333</v>
      </c>
      <c r="CU26" s="38"/>
    </row>
    <row r="27">
      <c r="A27" s="38" t="s">
        <v>69</v>
      </c>
      <c r="B27" s="38" t="s">
        <v>42</v>
      </c>
      <c r="C27" s="1" t="s">
        <v>5</v>
      </c>
      <c r="D27" s="38">
        <v>14210.0</v>
      </c>
      <c r="E27" s="39">
        <v>45724.0</v>
      </c>
      <c r="F27" s="40">
        <v>1520000.0</v>
      </c>
      <c r="G27" s="38">
        <v>10.0</v>
      </c>
      <c r="H27" s="44">
        <v>0.1</v>
      </c>
      <c r="I27" s="26">
        <f t="shared" si="29"/>
        <v>0.008333333333</v>
      </c>
      <c r="J27" s="1">
        <f>YEAR(IRD_Fixed_Asset_Register_List!F28) - YEAR(E27)</f>
        <v>0</v>
      </c>
      <c r="K27" s="1">
        <v>0.0</v>
      </c>
      <c r="L27" s="1">
        <v>0.0</v>
      </c>
      <c r="M27" s="3">
        <f t="shared" si="30"/>
        <v>1520000</v>
      </c>
      <c r="N27" s="3">
        <f t="shared" si="31"/>
        <v>12666.66667</v>
      </c>
      <c r="O27" s="1"/>
      <c r="P27" s="3">
        <f t="shared" ref="P27:CT27" si="32">IF(YEAR(TODAY())-YEAR($E27)+1&gt;$G27,0,$N27)</f>
        <v>12666.66667</v>
      </c>
      <c r="Q27" s="3">
        <f t="shared" si="32"/>
        <v>12666.66667</v>
      </c>
      <c r="R27" s="3">
        <f t="shared" si="32"/>
        <v>12666.66667</v>
      </c>
      <c r="S27" s="3">
        <f t="shared" si="32"/>
        <v>12666.66667</v>
      </c>
      <c r="T27" s="3">
        <f t="shared" si="32"/>
        <v>12666.66667</v>
      </c>
      <c r="U27" s="3">
        <f t="shared" si="32"/>
        <v>12666.66667</v>
      </c>
      <c r="V27" s="3">
        <f t="shared" si="32"/>
        <v>12666.66667</v>
      </c>
      <c r="W27" s="3">
        <f t="shared" si="32"/>
        <v>12666.66667</v>
      </c>
      <c r="X27" s="3">
        <f t="shared" si="32"/>
        <v>12666.66667</v>
      </c>
      <c r="Y27" s="3">
        <f t="shared" si="32"/>
        <v>12666.66667</v>
      </c>
      <c r="Z27" s="3">
        <f t="shared" si="32"/>
        <v>12666.66667</v>
      </c>
      <c r="AA27" s="3">
        <f t="shared" si="32"/>
        <v>12666.66667</v>
      </c>
      <c r="AB27" s="3">
        <f t="shared" si="32"/>
        <v>12666.66667</v>
      </c>
      <c r="AC27" s="3">
        <f t="shared" si="32"/>
        <v>12666.66667</v>
      </c>
      <c r="AD27" s="3">
        <f t="shared" si="32"/>
        <v>12666.66667</v>
      </c>
      <c r="AE27" s="3">
        <f t="shared" si="32"/>
        <v>12666.66667</v>
      </c>
      <c r="AF27" s="3">
        <f t="shared" si="32"/>
        <v>12666.66667</v>
      </c>
      <c r="AG27" s="3">
        <f t="shared" si="32"/>
        <v>12666.66667</v>
      </c>
      <c r="AH27" s="3">
        <f t="shared" si="32"/>
        <v>12666.66667</v>
      </c>
      <c r="AI27" s="3">
        <f t="shared" si="32"/>
        <v>12666.66667</v>
      </c>
      <c r="AJ27" s="3">
        <f t="shared" si="32"/>
        <v>12666.66667</v>
      </c>
      <c r="AK27" s="3">
        <f t="shared" si="32"/>
        <v>12666.66667</v>
      </c>
      <c r="AL27" s="3">
        <f t="shared" si="32"/>
        <v>12666.66667</v>
      </c>
      <c r="AM27" s="3">
        <f t="shared" si="32"/>
        <v>12666.66667</v>
      </c>
      <c r="AN27" s="3">
        <f t="shared" si="32"/>
        <v>12666.66667</v>
      </c>
      <c r="AO27" s="3">
        <f t="shared" si="32"/>
        <v>12666.66667</v>
      </c>
      <c r="AP27" s="3">
        <f t="shared" si="32"/>
        <v>12666.66667</v>
      </c>
      <c r="AQ27" s="3">
        <f t="shared" si="32"/>
        <v>12666.66667</v>
      </c>
      <c r="AR27" s="3">
        <f t="shared" si="32"/>
        <v>12666.66667</v>
      </c>
      <c r="AS27" s="3">
        <f t="shared" si="32"/>
        <v>12666.66667</v>
      </c>
      <c r="AT27" s="3">
        <f t="shared" si="32"/>
        <v>12666.66667</v>
      </c>
      <c r="AU27" s="3">
        <f t="shared" si="32"/>
        <v>12666.66667</v>
      </c>
      <c r="AV27" s="3">
        <f t="shared" si="32"/>
        <v>12666.66667</v>
      </c>
      <c r="AW27" s="3">
        <f t="shared" si="32"/>
        <v>12666.66667</v>
      </c>
      <c r="AX27" s="3">
        <f t="shared" si="32"/>
        <v>12666.66667</v>
      </c>
      <c r="AY27" s="3">
        <f t="shared" si="32"/>
        <v>12666.66667</v>
      </c>
      <c r="AZ27" s="3">
        <f t="shared" si="32"/>
        <v>12666.66667</v>
      </c>
      <c r="BA27" s="3">
        <f t="shared" si="32"/>
        <v>12666.66667</v>
      </c>
      <c r="BB27" s="3">
        <f t="shared" si="32"/>
        <v>12666.66667</v>
      </c>
      <c r="BC27" s="3">
        <f t="shared" si="32"/>
        <v>12666.66667</v>
      </c>
      <c r="BD27" s="3">
        <f t="shared" si="32"/>
        <v>12666.66667</v>
      </c>
      <c r="BE27" s="3">
        <f t="shared" si="32"/>
        <v>12666.66667</v>
      </c>
      <c r="BF27" s="3">
        <f t="shared" si="32"/>
        <v>12666.66667</v>
      </c>
      <c r="BG27" s="3">
        <f t="shared" si="32"/>
        <v>12666.66667</v>
      </c>
      <c r="BH27" s="3">
        <f t="shared" si="32"/>
        <v>12666.66667</v>
      </c>
      <c r="BI27" s="3">
        <f t="shared" si="32"/>
        <v>12666.66667</v>
      </c>
      <c r="BJ27" s="3">
        <f t="shared" si="32"/>
        <v>12666.66667</v>
      </c>
      <c r="BK27" s="3">
        <f t="shared" si="32"/>
        <v>12666.66667</v>
      </c>
      <c r="BL27" s="3">
        <f t="shared" si="32"/>
        <v>12666.66667</v>
      </c>
      <c r="BM27" s="3">
        <f t="shared" si="32"/>
        <v>12666.66667</v>
      </c>
      <c r="BN27" s="3">
        <f t="shared" si="32"/>
        <v>12666.66667</v>
      </c>
      <c r="BO27" s="3">
        <f t="shared" si="32"/>
        <v>12666.66667</v>
      </c>
      <c r="BP27" s="3">
        <f t="shared" si="32"/>
        <v>12666.66667</v>
      </c>
      <c r="BQ27" s="3">
        <f t="shared" si="32"/>
        <v>12666.66667</v>
      </c>
      <c r="BR27" s="3">
        <f t="shared" si="32"/>
        <v>12666.66667</v>
      </c>
      <c r="BS27" s="3">
        <f t="shared" si="32"/>
        <v>12666.66667</v>
      </c>
      <c r="BT27" s="3">
        <f t="shared" si="32"/>
        <v>12666.66667</v>
      </c>
      <c r="BU27" s="3">
        <f t="shared" si="32"/>
        <v>12666.66667</v>
      </c>
      <c r="BV27" s="3">
        <f t="shared" si="32"/>
        <v>12666.66667</v>
      </c>
      <c r="BW27" s="3">
        <f t="shared" si="32"/>
        <v>12666.66667</v>
      </c>
      <c r="BX27" s="3">
        <f t="shared" si="32"/>
        <v>12666.66667</v>
      </c>
      <c r="BY27" s="3">
        <f t="shared" si="32"/>
        <v>12666.66667</v>
      </c>
      <c r="BZ27" s="3">
        <f t="shared" si="32"/>
        <v>12666.66667</v>
      </c>
      <c r="CA27" s="3">
        <f t="shared" si="32"/>
        <v>12666.66667</v>
      </c>
      <c r="CB27" s="3">
        <f t="shared" si="32"/>
        <v>12666.66667</v>
      </c>
      <c r="CC27" s="3">
        <f t="shared" si="32"/>
        <v>12666.66667</v>
      </c>
      <c r="CD27" s="3">
        <f t="shared" si="32"/>
        <v>12666.66667</v>
      </c>
      <c r="CE27" s="3">
        <f t="shared" si="32"/>
        <v>12666.66667</v>
      </c>
      <c r="CF27" s="3">
        <f t="shared" si="32"/>
        <v>12666.66667</v>
      </c>
      <c r="CG27" s="3">
        <f t="shared" si="32"/>
        <v>12666.66667</v>
      </c>
      <c r="CH27" s="3">
        <f t="shared" si="32"/>
        <v>12666.66667</v>
      </c>
      <c r="CI27" s="3">
        <f t="shared" si="32"/>
        <v>12666.66667</v>
      </c>
      <c r="CJ27" s="3">
        <f t="shared" si="32"/>
        <v>12666.66667</v>
      </c>
      <c r="CK27" s="3">
        <f t="shared" si="32"/>
        <v>12666.66667</v>
      </c>
      <c r="CL27" s="3">
        <f t="shared" si="32"/>
        <v>12666.66667</v>
      </c>
      <c r="CM27" s="3">
        <f t="shared" si="32"/>
        <v>12666.66667</v>
      </c>
      <c r="CN27" s="3">
        <f t="shared" si="32"/>
        <v>12666.66667</v>
      </c>
      <c r="CO27" s="3">
        <f t="shared" si="32"/>
        <v>12666.66667</v>
      </c>
      <c r="CP27" s="3">
        <f t="shared" si="32"/>
        <v>12666.66667</v>
      </c>
      <c r="CQ27" s="3">
        <f t="shared" si="32"/>
        <v>12666.66667</v>
      </c>
      <c r="CR27" s="3">
        <f t="shared" si="32"/>
        <v>12666.66667</v>
      </c>
      <c r="CS27" s="3">
        <f t="shared" si="32"/>
        <v>12666.66667</v>
      </c>
      <c r="CT27" s="3">
        <f t="shared" si="32"/>
        <v>12666.66667</v>
      </c>
      <c r="CU27" s="38"/>
    </row>
    <row r="28">
      <c r="A28" s="46"/>
      <c r="B28" s="46"/>
      <c r="D28" s="46"/>
      <c r="E28" s="46"/>
      <c r="F28" s="46"/>
      <c r="G28" s="46"/>
      <c r="H28" s="46"/>
    </row>
    <row r="29">
      <c r="A29" s="46"/>
      <c r="B29" s="46"/>
      <c r="D29" s="46"/>
      <c r="E29" s="46"/>
      <c r="F29" s="46"/>
      <c r="G29" s="46"/>
      <c r="H29" s="46"/>
    </row>
    <row r="30">
      <c r="A30" s="46"/>
      <c r="B30" s="46"/>
      <c r="D30" s="46"/>
      <c r="E30" s="46"/>
      <c r="F30" s="46"/>
      <c r="G30" s="46"/>
      <c r="H30" s="46"/>
    </row>
    <row r="31">
      <c r="A31" s="46"/>
      <c r="B31" s="46"/>
      <c r="D31" s="46"/>
      <c r="E31" s="46"/>
      <c r="F31" s="46"/>
      <c r="G31" s="46"/>
      <c r="H31" s="46"/>
    </row>
    <row r="32">
      <c r="A32" s="46"/>
      <c r="B32" s="46"/>
      <c r="D32" s="46"/>
      <c r="E32" s="46"/>
      <c r="F32" s="46"/>
      <c r="G32" s="46"/>
      <c r="H32" s="46"/>
    </row>
    <row r="33">
      <c r="A33" s="46"/>
      <c r="B33" s="46"/>
      <c r="D33" s="46"/>
      <c r="E33" s="46"/>
      <c r="F33" s="46"/>
      <c r="G33" s="46"/>
      <c r="H33" s="46"/>
    </row>
    <row r="34">
      <c r="A34" s="46"/>
      <c r="B34" s="46"/>
      <c r="D34" s="46"/>
      <c r="E34" s="46"/>
      <c r="F34" s="46"/>
      <c r="G34" s="46"/>
      <c r="H34" s="46"/>
    </row>
    <row r="35">
      <c r="A35" s="46"/>
      <c r="B35" s="46"/>
      <c r="D35" s="46"/>
      <c r="E35" s="46"/>
      <c r="F35" s="46"/>
      <c r="G35" s="46"/>
      <c r="H35" s="46"/>
    </row>
    <row r="36">
      <c r="A36" s="46"/>
      <c r="B36" s="46"/>
      <c r="D36" s="46"/>
      <c r="E36" s="46"/>
      <c r="F36" s="46"/>
      <c r="G36" s="46"/>
      <c r="H36" s="46"/>
    </row>
    <row r="37">
      <c r="A37" s="46"/>
      <c r="B37" s="46"/>
      <c r="D37" s="46"/>
      <c r="E37" s="46"/>
      <c r="F37" s="46"/>
      <c r="G37" s="46"/>
      <c r="H37" s="46"/>
    </row>
    <row r="38">
      <c r="A38" s="46"/>
      <c r="B38" s="46"/>
      <c r="D38" s="46"/>
      <c r="E38" s="46"/>
      <c r="F38" s="46"/>
      <c r="G38" s="46"/>
      <c r="H38" s="46"/>
    </row>
    <row r="39">
      <c r="A39" s="46"/>
      <c r="B39" s="46"/>
      <c r="D39" s="46"/>
      <c r="E39" s="46"/>
      <c r="F39" s="46"/>
      <c r="G39" s="46"/>
      <c r="H39" s="46"/>
    </row>
    <row r="40">
      <c r="A40" s="46"/>
      <c r="B40" s="46"/>
      <c r="D40" s="46"/>
      <c r="E40" s="46"/>
      <c r="F40" s="46"/>
      <c r="G40" s="46"/>
      <c r="H40" s="46"/>
    </row>
    <row r="41">
      <c r="A41" s="46"/>
      <c r="B41" s="46"/>
      <c r="D41" s="46"/>
      <c r="E41" s="46"/>
      <c r="F41" s="46"/>
      <c r="G41" s="46"/>
      <c r="H41" s="46"/>
    </row>
    <row r="42">
      <c r="A42" s="46"/>
      <c r="B42" s="46"/>
      <c r="D42" s="46"/>
      <c r="E42" s="46"/>
      <c r="F42" s="46"/>
      <c r="G42" s="46"/>
      <c r="H42" s="46"/>
    </row>
    <row r="43">
      <c r="A43" s="46"/>
      <c r="B43" s="46"/>
      <c r="D43" s="46"/>
      <c r="E43" s="46"/>
      <c r="F43" s="46"/>
      <c r="G43" s="46"/>
      <c r="H43" s="46"/>
    </row>
    <row r="44">
      <c r="A44" s="46"/>
      <c r="B44" s="46"/>
      <c r="D44" s="46"/>
      <c r="E44" s="46"/>
      <c r="F44" s="46"/>
      <c r="G44" s="46"/>
      <c r="H44" s="46"/>
    </row>
    <row r="45">
      <c r="A45" s="46"/>
      <c r="B45" s="46"/>
      <c r="D45" s="46"/>
      <c r="E45" s="46"/>
      <c r="F45" s="46"/>
      <c r="G45" s="46"/>
      <c r="H45" s="46"/>
    </row>
    <row r="46">
      <c r="A46" s="46"/>
      <c r="B46" s="46"/>
      <c r="D46" s="46"/>
      <c r="E46" s="46"/>
      <c r="F46" s="46"/>
      <c r="G46" s="46"/>
      <c r="H46" s="46"/>
    </row>
    <row r="47">
      <c r="A47" s="46"/>
      <c r="B47" s="46"/>
      <c r="D47" s="46"/>
      <c r="E47" s="46"/>
      <c r="F47" s="46"/>
      <c r="G47" s="46"/>
      <c r="H47" s="46"/>
    </row>
    <row r="48">
      <c r="A48" s="46"/>
      <c r="B48" s="46"/>
      <c r="D48" s="46"/>
      <c r="E48" s="46"/>
      <c r="F48" s="46"/>
      <c r="G48" s="46"/>
      <c r="H48" s="46"/>
    </row>
    <row r="49">
      <c r="F49" s="46"/>
      <c r="G49" s="46"/>
      <c r="H49" s="46"/>
    </row>
    <row r="50">
      <c r="F50" s="46"/>
      <c r="G50" s="46"/>
      <c r="H50" s="46"/>
    </row>
    <row r="51">
      <c r="F51" s="46"/>
      <c r="G51" s="46"/>
      <c r="H51" s="46"/>
    </row>
    <row r="52">
      <c r="F52" s="46"/>
      <c r="G52" s="46"/>
      <c r="H52" s="46"/>
    </row>
    <row r="53">
      <c r="F53" s="46"/>
      <c r="G53" s="46"/>
      <c r="H53" s="46"/>
    </row>
    <row r="54">
      <c r="F54" s="46"/>
      <c r="G54" s="46"/>
      <c r="H54" s="46"/>
    </row>
  </sheetData>
  <dataValidations>
    <dataValidation type="list" allowBlank="1" showErrorMessage="1" sqref="C13:C27">
      <formula1>IRD_Depreciation_Schedule!$N$3:$N$7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13"/>
    <col customWidth="1" min="3" max="3" width="25.0"/>
  </cols>
  <sheetData>
    <row r="3">
      <c r="B3" s="8" t="s">
        <v>82</v>
      </c>
    </row>
    <row r="5">
      <c r="A5" s="49" t="s">
        <v>83</v>
      </c>
      <c r="B5" s="49" t="s">
        <v>84</v>
      </c>
      <c r="C5" s="49" t="s">
        <v>85</v>
      </c>
      <c r="D5" s="49" t="s">
        <v>86</v>
      </c>
    </row>
    <row r="6">
      <c r="A6" s="13">
        <v>1.0</v>
      </c>
      <c r="B6" s="13" t="s">
        <v>87</v>
      </c>
      <c r="C6" s="4">
        <v>3.589E7</v>
      </c>
    </row>
    <row r="7">
      <c r="A7" s="13">
        <v>2.0</v>
      </c>
      <c r="B7" s="13" t="s">
        <v>88</v>
      </c>
      <c r="C7" s="4">
        <v>1.017E7</v>
      </c>
    </row>
    <row r="8">
      <c r="A8" s="46">
        <f t="shared" ref="A8:A22" si="1">A7+1</f>
        <v>3</v>
      </c>
      <c r="B8" s="13" t="s">
        <v>89</v>
      </c>
      <c r="C8" s="4">
        <v>5450000.0</v>
      </c>
    </row>
    <row r="9">
      <c r="A9" s="46">
        <f t="shared" si="1"/>
        <v>4</v>
      </c>
      <c r="B9" s="13" t="s">
        <v>90</v>
      </c>
      <c r="C9" s="4">
        <v>2500000.0</v>
      </c>
    </row>
    <row r="10">
      <c r="A10" s="46">
        <f t="shared" si="1"/>
        <v>5</v>
      </c>
      <c r="B10" s="13" t="s">
        <v>91</v>
      </c>
      <c r="C10" s="4">
        <v>9.10046E7</v>
      </c>
    </row>
    <row r="11">
      <c r="A11" s="46">
        <f t="shared" si="1"/>
        <v>6</v>
      </c>
      <c r="B11" s="13" t="s">
        <v>92</v>
      </c>
      <c r="C11" s="4">
        <v>2973300.0</v>
      </c>
    </row>
    <row r="12">
      <c r="A12" s="46">
        <f t="shared" si="1"/>
        <v>7</v>
      </c>
      <c r="B12" s="13" t="s">
        <v>93</v>
      </c>
      <c r="C12" s="4">
        <v>4810000.0</v>
      </c>
    </row>
    <row r="13">
      <c r="A13" s="46">
        <f t="shared" si="1"/>
        <v>8</v>
      </c>
      <c r="B13" s="13" t="s">
        <v>94</v>
      </c>
      <c r="C13" s="4">
        <v>7400000.0</v>
      </c>
    </row>
    <row r="14">
      <c r="A14" s="46">
        <f t="shared" si="1"/>
        <v>9</v>
      </c>
      <c r="B14" s="13" t="s">
        <v>95</v>
      </c>
      <c r="C14" s="4">
        <v>2.0821E7</v>
      </c>
    </row>
    <row r="15">
      <c r="A15" s="46">
        <f t="shared" si="1"/>
        <v>10</v>
      </c>
      <c r="B15" s="13" t="s">
        <v>96</v>
      </c>
      <c r="C15" s="4">
        <v>2479400.0</v>
      </c>
    </row>
    <row r="16">
      <c r="A16" s="46">
        <f t="shared" si="1"/>
        <v>11</v>
      </c>
      <c r="B16" s="13" t="s">
        <v>97</v>
      </c>
      <c r="C16" s="4">
        <v>5.4E7</v>
      </c>
    </row>
    <row r="17">
      <c r="A17" s="46">
        <f t="shared" si="1"/>
        <v>12</v>
      </c>
      <c r="B17" s="13" t="s">
        <v>98</v>
      </c>
      <c r="C17" s="4">
        <v>6750000.0</v>
      </c>
    </row>
    <row r="18">
      <c r="A18" s="46">
        <f t="shared" si="1"/>
        <v>13</v>
      </c>
      <c r="B18" s="13" t="s">
        <v>99</v>
      </c>
      <c r="C18" s="4">
        <v>1.35E7</v>
      </c>
    </row>
    <row r="19">
      <c r="A19" s="46">
        <f t="shared" si="1"/>
        <v>14</v>
      </c>
      <c r="B19" s="13" t="s">
        <v>100</v>
      </c>
      <c r="C19" s="4">
        <v>1500000.0</v>
      </c>
    </row>
    <row r="20">
      <c r="A20" s="46">
        <f t="shared" si="1"/>
        <v>15</v>
      </c>
      <c r="B20" s="13" t="s">
        <v>101</v>
      </c>
      <c r="C20" s="4">
        <v>2000000.0</v>
      </c>
    </row>
    <row r="21">
      <c r="A21" s="46">
        <f t="shared" si="1"/>
        <v>16</v>
      </c>
      <c r="B21" s="13" t="s">
        <v>102</v>
      </c>
      <c r="C21" s="4">
        <v>1500000.0</v>
      </c>
    </row>
    <row r="22">
      <c r="A22" s="46">
        <f t="shared" si="1"/>
        <v>17</v>
      </c>
      <c r="B22" s="13" t="s">
        <v>103</v>
      </c>
      <c r="C22" s="4">
        <v>5500000.0</v>
      </c>
    </row>
    <row r="23">
      <c r="B23" s="13" t="s">
        <v>104</v>
      </c>
      <c r="C23" s="48">
        <f>SUM(C5:C22)</f>
        <v>268248300</v>
      </c>
    </row>
  </sheetData>
  <drawing r:id="rId1"/>
</worksheet>
</file>