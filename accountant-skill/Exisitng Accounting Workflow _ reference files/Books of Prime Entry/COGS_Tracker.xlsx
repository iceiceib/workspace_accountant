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Helper" sheetId="2" r:id="rId5"/>
  </sheets>
  <definedNames/>
  <calcPr/>
  <extLst>
    <ext uri="GoogleSheetsCustomDataVersion2">
      <go:sheetsCustomData xmlns:go="http://customooxmlschemas.google.com/" r:id="rId6" roundtripDataChecksum="np1jJ2NEB2oYP/Zvn98fbvYPCPN3k4AfOnBUWfLMKmw="/>
    </ext>
  </extLst>
</workbook>
</file>

<file path=xl/sharedStrings.xml><?xml version="1.0" encoding="utf-8"?>
<sst xmlns="http://schemas.openxmlformats.org/spreadsheetml/2006/main" count="29" uniqueCount="29">
  <si>
    <t>Is Formula</t>
  </si>
  <si>
    <t>Period</t>
  </si>
  <si>
    <t>Opening Finished Goods Value</t>
  </si>
  <si>
    <t>Opening Stock Units</t>
  </si>
  <si>
    <t xml:space="preserve">Old Unit Cost </t>
  </si>
  <si>
    <t>Packaging Cost</t>
  </si>
  <si>
    <t>Raw Material Cost</t>
  </si>
  <si>
    <t>Manufacturing Overhead</t>
  </si>
  <si>
    <t>Inventory Write-off</t>
  </si>
  <si>
    <t>Total Cost of Prouduction</t>
  </si>
  <si>
    <t>Units Produced</t>
  </si>
  <si>
    <t>New Unit Cost Produced</t>
  </si>
  <si>
    <t>Current Stock Value</t>
  </si>
  <si>
    <t>Average Unit Cost</t>
  </si>
  <si>
    <t>Units Sold</t>
  </si>
  <si>
    <t>COGS</t>
  </si>
  <si>
    <t>Closing Inventory Units</t>
  </si>
  <si>
    <t>Closing Inventory Value</t>
  </si>
  <si>
    <t>Units Losses due to earthquake</t>
  </si>
  <si>
    <t>Value of Unit lost</t>
  </si>
  <si>
    <t>Feb_2025</t>
  </si>
  <si>
    <t>Mar_2025</t>
  </si>
  <si>
    <t>April_2025</t>
  </si>
  <si>
    <t>May_2025</t>
  </si>
  <si>
    <t>June_2025</t>
  </si>
  <si>
    <t>July_2025</t>
  </si>
  <si>
    <t>Aug_2025</t>
  </si>
  <si>
    <t>Sep_2025</t>
  </si>
  <si>
    <t>Oct_2025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</si>
</sst>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3" xfId="0" applyFont="1" applyNumberFormat="1"/>
    <xf borderId="0" fillId="0" fontId="1" numFmtId="4" xfId="0" applyFont="1" applyNumberFormat="1"/>
    <xf borderId="0" fillId="0" fontId="1" numFmtId="4" xfId="0" applyFont="1" applyNumberFormat="1"/>
    <xf borderId="0" fillId="0" fontId="1" numFmtId="3" xfId="0" applyFont="1" applyNumberFormat="1"/>
    <xf borderId="0" fillId="0" fontId="1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2">
    <tableStyle count="3" pivot="0" name="Dashboard-style">
      <tableStyleElement dxfId="1" type="headerRow"/>
      <tableStyleElement dxfId="2" type="firstRowStripe"/>
      <tableStyleElement dxfId="3" type="secondRowStripe"/>
    </tableStyle>
    <tableStyle count="3" pivot="0" name="Help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T13" displayName="Table_1" name="Table_1" id="1">
  <tableColumns count="19">
    <tableColumn name="Period" id="1"/>
    <tableColumn name="Opening Finished Goods Value" id="2"/>
    <tableColumn name="Opening Stock Units" id="3"/>
    <tableColumn name="Old Unit Cost " id="4"/>
    <tableColumn name="Packaging Cost" id="5"/>
    <tableColumn name="Raw Material Cost" id="6"/>
    <tableColumn name="Manufacturing Overhead" id="7"/>
    <tableColumn name="Inventory Write-off" id="8"/>
    <tableColumn name="Total Cost of Prouduction" id="9"/>
    <tableColumn name="Units Produced" id="10"/>
    <tableColumn name="New Unit Cost Produced" id="11"/>
    <tableColumn name="Current Stock Value" id="12"/>
    <tableColumn name="Average Unit Cost" id="13"/>
    <tableColumn name="Units Sold" id="14"/>
    <tableColumn name="COGS" id="15"/>
    <tableColumn name="Closing Inventory Units" id="16"/>
    <tableColumn name="Closing Inventory Value" id="17"/>
    <tableColumn name="Units Losses due to earthquake" id="18"/>
    <tableColumn name="Value of Unit lost" id="19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headerRowCount="0" ref="B9:G51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elp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" width="12.63"/>
    <col customWidth="1" min="3" max="3" width="24.0"/>
    <col customWidth="1" min="4" max="5" width="16.25"/>
    <col customWidth="1" min="6" max="6" width="14.0"/>
    <col customWidth="1" min="7" max="7" width="14.63"/>
    <col customWidth="1" min="8" max="8" width="19.38"/>
    <col customWidth="1" min="9" max="9" width="18.0"/>
    <col customWidth="1" min="10" max="10" width="22.25"/>
    <col customWidth="1" min="11" max="11" width="12.38"/>
    <col customWidth="1" min="12" max="12" width="13.88"/>
    <col customWidth="1" min="13" max="13" width="15.75"/>
    <col customWidth="1" min="14" max="14" width="14.5"/>
    <col customWidth="1" min="15" max="15" width="8.63"/>
    <col customWidth="1" min="16" max="16" width="13.5"/>
    <col customWidth="1" min="17" max="17" width="18.13"/>
    <col customWidth="1" min="18" max="18" width="18.5"/>
  </cols>
  <sheetData>
    <row r="1" ht="15.75" customHeight="1"/>
    <row r="2" ht="15.75" customHeight="1">
      <c r="B2" s="1" t="s">
        <v>0</v>
      </c>
      <c r="C2" s="1" t="b">
        <f t="shared" ref="C2:R2" si="1">_xlfn.ISFORMULA(C5)</f>
        <v>1</v>
      </c>
      <c r="D2" s="1" t="b">
        <f t="shared" si="1"/>
        <v>1</v>
      </c>
      <c r="E2" s="1" t="b">
        <f t="shared" si="1"/>
        <v>1</v>
      </c>
      <c r="F2" s="1" t="b">
        <f t="shared" si="1"/>
        <v>1</v>
      </c>
      <c r="G2" s="1" t="b">
        <f t="shared" si="1"/>
        <v>1</v>
      </c>
      <c r="H2" s="1" t="b">
        <f t="shared" si="1"/>
        <v>0</v>
      </c>
      <c r="I2" s="1" t="b">
        <f t="shared" si="1"/>
        <v>0</v>
      </c>
      <c r="J2" s="1" t="b">
        <f t="shared" si="1"/>
        <v>1</v>
      </c>
      <c r="K2" s="1" t="b">
        <f t="shared" si="1"/>
        <v>1</v>
      </c>
      <c r="L2" s="1" t="b">
        <f t="shared" si="1"/>
        <v>1</v>
      </c>
      <c r="M2" s="1" t="b">
        <f t="shared" si="1"/>
        <v>1</v>
      </c>
      <c r="N2" s="1" t="b">
        <f t="shared" si="1"/>
        <v>1</v>
      </c>
      <c r="O2" s="1" t="b">
        <f t="shared" si="1"/>
        <v>1</v>
      </c>
      <c r="P2" s="1" t="b">
        <f t="shared" si="1"/>
        <v>1</v>
      </c>
      <c r="Q2" s="1" t="b">
        <f t="shared" si="1"/>
        <v>1</v>
      </c>
      <c r="R2" s="1" t="b">
        <f t="shared" si="1"/>
        <v>1</v>
      </c>
    </row>
    <row r="3" ht="15.75" customHeight="1"/>
    <row r="4" ht="15.75" customHeight="1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</row>
    <row r="5" ht="15.75" customHeight="1">
      <c r="B5" s="2" t="s">
        <v>20</v>
      </c>
      <c r="C5" s="3" t="str">
        <f>Helper!D15</f>
        <v/>
      </c>
      <c r="D5" s="3" t="str">
        <f>IFERROR(__xludf.DUMMYFUNCTION("QUERY(IMPORTRANGE(""https://docs.google.com/spreadsheets/d/1W1ow1-0uMM8P-qRV7n95FuZrsQiNRSErsyhAV0vW48Y/edit?gid=546626350#gid=546626350"",""Feb_2025_Bal!B3:F3""),""SELECT Col2"",0)"),"#REF!")</f>
        <v>#REF!</v>
      </c>
      <c r="E5" s="4" t="str">
        <f t="shared" ref="E5:E13" si="2">C5/D5</f>
        <v>#REF!</v>
      </c>
      <c r="F5" s="3" t="str">
        <f>IFERROR(__xludf.DUMMYFUNCTION("QUERY(IMPORTRANGE(""https://docs.google.com/spreadsheets/d/1NOk8Yu9RJ9yGHrwt_i1Tz9wyW3Ui7WYDEI6qXmqFj4k/edit?gid=1319850902#gid=1319850902"",""COP &amp; Purchases Tracker!AR6:AR""),""SELECT Col1"",0)"),"#REF!")</f>
        <v>#REF!</v>
      </c>
      <c r="G5" s="4" t="str">
        <f>IFERROR(__xludf.DUMMYFUNCTION("QUERY(IMPORTRANGE(""https://docs.google.com/spreadsheets/d/14S0HJfNYnQgG6SRcGTYzfOZnTTdDhMLlxkITjRRJmRM/edit?gid=1513057896#gid=1513057896"",""COP &amp; Purchases Tracker!CU6:CU993""),""SELECT Col1"",0)"),"#REF!")</f>
        <v>#REF!</v>
      </c>
      <c r="H5" s="4">
        <v>2459958.33</v>
      </c>
      <c r="I5" s="2"/>
      <c r="J5" s="3" t="str">
        <f t="shared" ref="J5:J13" si="3">SUM(F5:H5)-I5</f>
        <v>#REF!</v>
      </c>
      <c r="K5" s="3" t="str">
        <f>IFERROR(__xludf.DUMMYFUNCTION("QUERY(IMPORTRANGE(""https://docs.google.com/spreadsheets/d/1W1ow1-0uMM8P-qRV7n95FuZrsQiNRSErsyhAV0vW48Y/edit?gid=546626350#gid=546626350"",""Feb_2025_Bal!B3:F3""),""SELECT Col3"",0)"),"#REF!")</f>
        <v>#REF!</v>
      </c>
      <c r="L5" s="4" t="str">
        <f t="shared" ref="L5:L13" si="4">J5/K5</f>
        <v>#REF!</v>
      </c>
      <c r="M5" s="3" t="str">
        <f t="shared" ref="M5:M13" si="5">C5+J5
</f>
        <v>#REF!</v>
      </c>
      <c r="N5" s="4" t="str">
        <f t="shared" ref="N5:N13" si="6">M5/(K5+D5)</f>
        <v>#REF!</v>
      </c>
      <c r="O5" s="3" t="str">
        <f>IFERROR(__xludf.DUMMYFUNCTION("QUERY(IMPORTRANGE(""https://docs.google.com/spreadsheets/d/1W1ow1-0uMM8P-qRV7n95FuZrsQiNRSErsyhAV0vW48Y/edit?gid=546626350#gid=546626350"",""Feb_2025_Bal!B3:F3""),""SELECT Col4"",0)"),"#REF!")</f>
        <v>#REF!</v>
      </c>
      <c r="P5" s="4" t="str">
        <f t="shared" ref="P5:P13" si="7">N5*O5</f>
        <v>#REF!</v>
      </c>
      <c r="Q5" s="3" t="str">
        <f>IFERROR(__xludf.DUMMYFUNCTION("QUERY(IMPORTRANGE(""https://docs.google.com/spreadsheets/d/1W1ow1-0uMM8P-qRV7n95FuZrsQiNRSErsyhAV0vW48Y/edit?gid=546626350#gid=546626350"",""Feb_2025_Bal!B3:F3""),""SELECT Col5"",0)"),"#REF!")</f>
        <v>#REF!</v>
      </c>
      <c r="R5" s="4" t="str">
        <f t="shared" ref="R5:R13" si="8">Q5*N5</f>
        <v>#REF!</v>
      </c>
      <c r="S5" s="2"/>
      <c r="T5" s="2"/>
    </row>
    <row r="6" ht="15.75" customHeight="1">
      <c r="B6" s="2" t="s">
        <v>21</v>
      </c>
      <c r="C6" s="4" t="str">
        <f>R5</f>
        <v>#REF!</v>
      </c>
      <c r="D6" s="3" t="str">
        <f>IFERROR(__xludf.DUMMYFUNCTION("QUERY(IMPORTRANGE(""https://docs.google.com/spreadsheets/d/1W1ow1-0uMM8P-qRV7n95FuZrsQiNRSErsyhAV0vW48Y/edit?gid=546626350#gid=546626350"",""Mar_2025_Bal!B3:F3""),""SELECT Col2"",0)"),"#REF!")</f>
        <v>#REF!</v>
      </c>
      <c r="E6" s="4" t="str">
        <f t="shared" si="2"/>
        <v>#REF!</v>
      </c>
      <c r="F6" s="3"/>
      <c r="G6" s="4"/>
      <c r="H6" s="4">
        <f>1650000+356425</f>
        <v>2006425</v>
      </c>
      <c r="I6" s="2"/>
      <c r="J6" s="3">
        <f t="shared" si="3"/>
        <v>2006425</v>
      </c>
      <c r="K6" s="3" t="str">
        <f>IFERROR(__xludf.DUMMYFUNCTION("QUERY(IMPORTRANGE(""https://docs.google.com/spreadsheets/d/1W1ow1-0uMM8P-qRV7n95FuZrsQiNRSErsyhAV0vW48Y/edit?gid=546626350#gid=546626350"",""Mar_2025_Bal!B3:F3""),""SELECT Col3"",0)"),"#REF!")</f>
        <v>#REF!</v>
      </c>
      <c r="L6" s="4" t="str">
        <f t="shared" si="4"/>
        <v>#REF!</v>
      </c>
      <c r="M6" s="4" t="str">
        <f t="shared" si="5"/>
        <v>#REF!</v>
      </c>
      <c r="N6" s="4" t="str">
        <f t="shared" si="6"/>
        <v>#REF!</v>
      </c>
      <c r="O6" s="3" t="str">
        <f>IFERROR(__xludf.DUMMYFUNCTION("QUERY(IMPORTRANGE(""https://docs.google.com/spreadsheets/d/1W1ow1-0uMM8P-qRV7n95FuZrsQiNRSErsyhAV0vW48Y/edit?gid=546626350#gid=546626350"",""Mar_2025_Bal!B3:F3""),""SELECT Col4"",0)"),"#REF!")</f>
        <v>#REF!</v>
      </c>
      <c r="P6" s="4" t="str">
        <f t="shared" si="7"/>
        <v>#REF!</v>
      </c>
      <c r="Q6" s="3" t="str">
        <f>IFERROR(__xludf.DUMMYFUNCTION("QUERY(IMPORTRANGE(""https://docs.google.com/spreadsheets/d/1W1ow1-0uMM8P-qRV7n95FuZrsQiNRSErsyhAV0vW48Y/edit?gid=546626350#gid=546626350"",""Mar_2025_Bal!B3:F3""),""SELECT Col5"",0)"),"#REF!")</f>
        <v>#REF!</v>
      </c>
      <c r="R6" s="4" t="str">
        <f t="shared" si="8"/>
        <v>#REF!</v>
      </c>
      <c r="S6" s="2">
        <v>179.0</v>
      </c>
      <c r="T6" s="4" t="str">
        <f>S6*N6</f>
        <v>#REF!</v>
      </c>
    </row>
    <row r="7" ht="15.75" customHeight="1">
      <c r="B7" s="2" t="s">
        <v>22</v>
      </c>
      <c r="C7" s="4" t="str">
        <f>R6-T6</f>
        <v>#REF!</v>
      </c>
      <c r="D7" s="3" t="str">
        <f>IFERROR(__xludf.DUMMYFUNCTION("QUERY(IMPORTRANGE(""https://docs.google.com/spreadsheets/d/1W1ow1-0uMM8P-qRV7n95FuZrsQiNRSErsyhAV0vW48Y/edit?gid=546626350#gid=546626350"",""April_2025_Bal!B3:F3""),""SELECT Col2"",0)"),"#REF!")</f>
        <v>#REF!</v>
      </c>
      <c r="E7" s="4" t="str">
        <f t="shared" si="2"/>
        <v>#REF!</v>
      </c>
      <c r="F7" s="3"/>
      <c r="G7" s="4"/>
      <c r="H7" s="4">
        <f>1650000+1828151+59000</f>
        <v>3537151</v>
      </c>
      <c r="I7" s="2"/>
      <c r="J7" s="3">
        <f t="shared" si="3"/>
        <v>3537151</v>
      </c>
      <c r="K7" s="3" t="str">
        <f>IFERROR(__xludf.DUMMYFUNCTION("QUERY(IMPORTRANGE(""https://docs.google.com/spreadsheets/d/1W1ow1-0uMM8P-qRV7n95FuZrsQiNRSErsyhAV0vW48Y/edit?gid=546626350#gid=546626350"",""April_2025_Bal!B3:F3""),""SELECT Col3"",0)"),"#REF!")</f>
        <v>#REF!</v>
      </c>
      <c r="L7" s="4" t="str">
        <f t="shared" si="4"/>
        <v>#REF!</v>
      </c>
      <c r="M7" s="4" t="str">
        <f t="shared" si="5"/>
        <v>#REF!</v>
      </c>
      <c r="N7" s="4" t="str">
        <f t="shared" si="6"/>
        <v>#REF!</v>
      </c>
      <c r="O7" s="3" t="str">
        <f>IFERROR(__xludf.DUMMYFUNCTION("QUERY(IMPORTRANGE(""https://docs.google.com/spreadsheets/d/1W1ow1-0uMM8P-qRV7n95FuZrsQiNRSErsyhAV0vW48Y/edit?gid=546626350#gid=546626350"",""April_2025_Bal!B3:F3""),""SELECT Col4"",0)"),"#REF!")</f>
        <v>#REF!</v>
      </c>
      <c r="P7" s="4" t="str">
        <f t="shared" si="7"/>
        <v>#REF!</v>
      </c>
      <c r="Q7" s="3" t="str">
        <f>IFERROR(__xludf.DUMMYFUNCTION("QUERY(IMPORTRANGE(""https://docs.google.com/spreadsheets/d/1W1ow1-0uMM8P-qRV7n95FuZrsQiNRSErsyhAV0vW48Y/edit?gid=546626350#gid=546626350"",""April_2025_Bal!B3:F3""),""SELECT Col5"",0)"),"#REF!")</f>
        <v>#REF!</v>
      </c>
      <c r="R7" s="4" t="str">
        <f t="shared" si="8"/>
        <v>#REF!</v>
      </c>
      <c r="S7" s="2"/>
      <c r="T7" s="2"/>
    </row>
    <row r="8" ht="15.75" customHeight="1">
      <c r="B8" s="2" t="s">
        <v>23</v>
      </c>
      <c r="C8" s="4" t="str">
        <f t="shared" ref="C8:C13" si="9">R7</f>
        <v>#REF!</v>
      </c>
      <c r="D8" s="3" t="str">
        <f>IFERROR(__xludf.DUMMYFUNCTION("QUERY(IMPORTRANGE(""https://docs.google.com/spreadsheets/d/1W1ow1-0uMM8P-qRV7n95FuZrsQiNRSErsyhAV0vW48Y/edit?gid=546626350#gid=546626350"",""May_2025_Bal!B3:F3""),""SELECT Col2"",0)"),"#REF!")</f>
        <v>#REF!</v>
      </c>
      <c r="E8" s="4" t="str">
        <f t="shared" si="2"/>
        <v>#REF!</v>
      </c>
      <c r="F8" s="3"/>
      <c r="G8" s="4"/>
      <c r="H8" s="4">
        <f>1745000+1767212+213000</f>
        <v>3725212</v>
      </c>
      <c r="I8" s="2"/>
      <c r="J8" s="3">
        <f t="shared" si="3"/>
        <v>3725212</v>
      </c>
      <c r="K8" s="3" t="str">
        <f>IFERROR(__xludf.DUMMYFUNCTION("QUERY(IMPORTRANGE(""https://docs.google.com/spreadsheets/d/1W1ow1-0uMM8P-qRV7n95FuZrsQiNRSErsyhAV0vW48Y/edit?gid=546626350#gid=546626350"",""May_2025_Bal!B3:F3""),""SELECT Col3"",0)"),"#REF!")</f>
        <v>#REF!</v>
      </c>
      <c r="L8" s="4" t="str">
        <f t="shared" si="4"/>
        <v>#REF!</v>
      </c>
      <c r="M8" s="4" t="str">
        <f t="shared" si="5"/>
        <v>#REF!</v>
      </c>
      <c r="N8" s="4" t="str">
        <f t="shared" si="6"/>
        <v>#REF!</v>
      </c>
      <c r="O8" s="3" t="str">
        <f>IFERROR(__xludf.DUMMYFUNCTION("QUERY(IMPORTRANGE(""https://docs.google.com/spreadsheets/d/1W1ow1-0uMM8P-qRV7n95FuZrsQiNRSErsyhAV0vW48Y/edit?gid=546626350#gid=546626350"",""May_2025_Bal!B3:F3""),""SELECT Col4"",0)"),"#REF!")</f>
        <v>#REF!</v>
      </c>
      <c r="P8" s="4" t="str">
        <f t="shared" si="7"/>
        <v>#REF!</v>
      </c>
      <c r="Q8" s="3" t="str">
        <f>IFERROR(__xludf.DUMMYFUNCTION("QUERY(IMPORTRANGE(""https://docs.google.com/spreadsheets/d/1W1ow1-0uMM8P-qRV7n95FuZrsQiNRSErsyhAV0vW48Y/edit?gid=546626350#gid=546626350"",""May_2025_Bal!B3:F3""),""SELECT Col5"",0)"),"#REF!")</f>
        <v>#REF!</v>
      </c>
      <c r="R8" s="4" t="str">
        <f t="shared" si="8"/>
        <v>#REF!</v>
      </c>
      <c r="S8" s="2"/>
      <c r="T8" s="2"/>
    </row>
    <row r="9" ht="15.75" customHeight="1">
      <c r="B9" s="2" t="s">
        <v>24</v>
      </c>
      <c r="C9" s="4" t="str">
        <f t="shared" si="9"/>
        <v>#REF!</v>
      </c>
      <c r="D9" s="3" t="str">
        <f>IFERROR(__xludf.DUMMYFUNCTION("QUERY(IMPORTRANGE(""https://docs.google.com/spreadsheets/d/1W1ow1-0uMM8P-qRV7n95FuZrsQiNRSErsyhAV0vW48Y/edit?gid=546626350#gid=546626350"",""June_2025_Bal!B3:F3""),""SELECT Col2"",0)"),"#REF!")</f>
        <v>#REF!</v>
      </c>
      <c r="E9" s="4" t="str">
        <f t="shared" si="2"/>
        <v>#REF!</v>
      </c>
      <c r="F9" s="3"/>
      <c r="G9" s="4"/>
      <c r="H9" s="4">
        <f>1708305+1245000</f>
        <v>2953305</v>
      </c>
      <c r="I9" s="2"/>
      <c r="J9" s="3">
        <f t="shared" si="3"/>
        <v>2953305</v>
      </c>
      <c r="K9" s="3" t="str">
        <f>IFERROR(__xludf.DUMMYFUNCTION("QUERY(IMPORTRANGE(""https://docs.google.com/spreadsheets/d/1W1ow1-0uMM8P-qRV7n95FuZrsQiNRSErsyhAV0vW48Y/edit?gid=546626350#gid=546626350"",""June_2025_Bal!B3:F3""),""SELECT Col3"",0)"),"#REF!")</f>
        <v>#REF!</v>
      </c>
      <c r="L9" s="4" t="str">
        <f t="shared" si="4"/>
        <v>#REF!</v>
      </c>
      <c r="M9" s="4" t="str">
        <f t="shared" si="5"/>
        <v>#REF!</v>
      </c>
      <c r="N9" s="4" t="str">
        <f t="shared" si="6"/>
        <v>#REF!</v>
      </c>
      <c r="O9" s="3" t="str">
        <f>IFERROR(__xludf.DUMMYFUNCTION("QUERY(IMPORTRANGE(""https://docs.google.com/spreadsheets/d/1W1ow1-0uMM8P-qRV7n95FuZrsQiNRSErsyhAV0vW48Y/edit?gid=546626350#gid=546626350"",""June_2025_Bal!B3:F3""),""SELECT Col4"",0)"),"#REF!")</f>
        <v>#REF!</v>
      </c>
      <c r="P9" s="4" t="str">
        <f t="shared" si="7"/>
        <v>#REF!</v>
      </c>
      <c r="Q9" s="3" t="str">
        <f>IFERROR(__xludf.DUMMYFUNCTION("QUERY(IMPORTRANGE(""https://docs.google.com/spreadsheets/d/1W1ow1-0uMM8P-qRV7n95FuZrsQiNRSErsyhAV0vW48Y/edit?gid=546626350#gid=546626350"",""June_2025_Bal!B3:F3""),""SELECT Col5"",0)"),"#REF!")</f>
        <v>#REF!</v>
      </c>
      <c r="R9" s="4" t="str">
        <f t="shared" si="8"/>
        <v>#REF!</v>
      </c>
      <c r="S9" s="2"/>
      <c r="T9" s="2"/>
    </row>
    <row r="10" ht="15.75" customHeight="1">
      <c r="B10" s="2" t="s">
        <v>25</v>
      </c>
      <c r="C10" s="4" t="str">
        <f t="shared" si="9"/>
        <v>#REF!</v>
      </c>
      <c r="D10" s="3" t="str">
        <f>IFERROR(__xludf.DUMMYFUNCTION("QUERY(IMPORTRANGE(""https://docs.google.com/spreadsheets/d/1W1ow1-0uMM8P-qRV7n95FuZrsQiNRSErsyhAV0vW48Y/edit?gid=546626350#gid=546626350"",""July_2025_Bal!B3:F3""),""SELECT Col2"",0)"),"#REF!")</f>
        <v>#REF!</v>
      </c>
      <c r="E10" s="4" t="str">
        <f t="shared" si="2"/>
        <v>#REF!</v>
      </c>
      <c r="F10" s="3"/>
      <c r="G10" s="4"/>
      <c r="H10" s="4">
        <v>3810662.0</v>
      </c>
      <c r="I10" s="2"/>
      <c r="J10" s="3">
        <f t="shared" si="3"/>
        <v>3810662</v>
      </c>
      <c r="K10" s="3" t="str">
        <f>IFERROR(__xludf.DUMMYFUNCTION("QUERY(IMPORTRANGE(""https://docs.google.com/spreadsheets/d/1W1ow1-0uMM8P-qRV7n95FuZrsQiNRSErsyhAV0vW48Y/edit?gid=546626350#gid=546626350"",""July_2025_Bal!B3:F3""),""SELECT Col3"",0)"),"#REF!")</f>
        <v>#REF!</v>
      </c>
      <c r="L10" s="4" t="str">
        <f t="shared" si="4"/>
        <v>#REF!</v>
      </c>
      <c r="M10" s="4" t="str">
        <f t="shared" si="5"/>
        <v>#REF!</v>
      </c>
      <c r="N10" s="4" t="str">
        <f t="shared" si="6"/>
        <v>#REF!</v>
      </c>
      <c r="O10" s="3" t="str">
        <f>IFERROR(__xludf.DUMMYFUNCTION("QUERY(IMPORTRANGE(""https://docs.google.com/spreadsheets/d/1W1ow1-0uMM8P-qRV7n95FuZrsQiNRSErsyhAV0vW48Y/edit?gid=546626350#gid=546626350"",""July_2025_Bal!B3:F3""),""SELECT Col4"",0)"),"#REF!")</f>
        <v>#REF!</v>
      </c>
      <c r="P10" s="4" t="str">
        <f t="shared" si="7"/>
        <v>#REF!</v>
      </c>
      <c r="Q10" s="3" t="str">
        <f>IFERROR(__xludf.DUMMYFUNCTION("QUERY(IMPORTRANGE(""https://docs.google.com/spreadsheets/d/1W1ow1-0uMM8P-qRV7n95FuZrsQiNRSErsyhAV0vW48Y/edit?gid=546626350#gid=546626350"",""July_2025_Bal!B3:F3""),""SELECT Col5"",0)"),"#REF!")</f>
        <v>#REF!</v>
      </c>
      <c r="R10" s="4" t="str">
        <f t="shared" si="8"/>
        <v>#REF!</v>
      </c>
      <c r="S10" s="2"/>
      <c r="T10" s="2"/>
    </row>
    <row r="11" ht="15.75" customHeight="1">
      <c r="B11" s="2" t="s">
        <v>26</v>
      </c>
      <c r="C11" s="4" t="str">
        <f t="shared" si="9"/>
        <v>#REF!</v>
      </c>
      <c r="D11" s="3" t="str">
        <f>IFERROR(__xludf.DUMMYFUNCTION("QUERY(IMPORTRANGE(""https://docs.google.com/spreadsheets/d/1W1ow1-0uMM8P-qRV7n95FuZrsQiNRSErsyhAV0vW48Y/edit?gid=546626350#gid=546626350"",""Aug_2025_Bal!B3:F3""),""SELECT Col2"",0)"),"#REF!")</f>
        <v>#REF!</v>
      </c>
      <c r="E11" s="4" t="str">
        <f t="shared" si="2"/>
        <v>#REF!</v>
      </c>
      <c r="F11" s="3"/>
      <c r="G11" s="4"/>
      <c r="H11" s="4">
        <v>3038316.0</v>
      </c>
      <c r="I11" s="3">
        <v>1729738.5</v>
      </c>
      <c r="J11" s="3">
        <f t="shared" si="3"/>
        <v>1308577.5</v>
      </c>
      <c r="K11" s="3" t="str">
        <f>IFERROR(__xludf.DUMMYFUNCTION("QUERY(IMPORTRANGE(""https://docs.google.com/spreadsheets/d/1W1ow1-0uMM8P-qRV7n95FuZrsQiNRSErsyhAV0vW48Y/edit?gid=546626350#gid=546626350"",""Aug_2025_Bal!B3:F3""),""SELECT Col3"",0)"),"#REF!")</f>
        <v>#REF!</v>
      </c>
      <c r="L11" s="4" t="str">
        <f t="shared" si="4"/>
        <v>#REF!</v>
      </c>
      <c r="M11" s="4" t="str">
        <f t="shared" si="5"/>
        <v>#REF!</v>
      </c>
      <c r="N11" s="4" t="str">
        <f t="shared" si="6"/>
        <v>#REF!</v>
      </c>
      <c r="O11" s="3" t="str">
        <f>IFERROR(__xludf.DUMMYFUNCTION("QUERY(IMPORTRANGE(""https://docs.google.com/spreadsheets/d/1W1ow1-0uMM8P-qRV7n95FuZrsQiNRSErsyhAV0vW48Y/edit?gid=546626350#gid=546626350"",""Aug_2025_Bal!B3:F3""),""SELECT Col4"",0)"),"#REF!")</f>
        <v>#REF!</v>
      </c>
      <c r="P11" s="4" t="str">
        <f t="shared" si="7"/>
        <v>#REF!</v>
      </c>
      <c r="Q11" s="3" t="str">
        <f>IFERROR(__xludf.DUMMYFUNCTION("QUERY(IMPORTRANGE(""https://docs.google.com/spreadsheets/d/1W1ow1-0uMM8P-qRV7n95FuZrsQiNRSErsyhAV0vW48Y/edit?gid=546626350#gid=546626350"",""Aug_2025_Bal!B3:F3""),""SELECT Col5"",0)"),"#REF!")</f>
        <v>#REF!</v>
      </c>
      <c r="R11" s="4" t="str">
        <f t="shared" si="8"/>
        <v>#REF!</v>
      </c>
      <c r="S11" s="2"/>
      <c r="T11" s="2"/>
      <c r="AB11" s="5"/>
    </row>
    <row r="12" ht="15.75" customHeight="1">
      <c r="B12" s="2" t="s">
        <v>27</v>
      </c>
      <c r="C12" s="4" t="str">
        <f t="shared" si="9"/>
        <v>#REF!</v>
      </c>
      <c r="D12" s="3" t="str">
        <f>IFERROR(__xludf.DUMMYFUNCTION("QUERY(IMPORTRANGE(""https://docs.google.com/spreadsheets/d/1W1ow1-0uMM8P-qRV7n95FuZrsQiNRSErsyhAV0vW48Y/edit?gid=546626350#gid=546626350"",""Sep_2025_Bal!B3:F3""),""SELECT Col2"",0)"),"#REF!")</f>
        <v>#REF!</v>
      </c>
      <c r="E12" s="4" t="str">
        <f t="shared" si="2"/>
        <v>#REF!</v>
      </c>
      <c r="F12" s="3"/>
      <c r="G12" s="4"/>
      <c r="H12" s="4">
        <v>5247106.0</v>
      </c>
      <c r="I12" s="3">
        <v>1340478.0</v>
      </c>
      <c r="J12" s="3">
        <f t="shared" si="3"/>
        <v>3906628</v>
      </c>
      <c r="K12" s="3" t="str">
        <f>IFERROR(__xludf.DUMMYFUNCTION("QUERY(IMPORTRANGE(""https://docs.google.com/spreadsheets/d/1W1ow1-0uMM8P-qRV7n95FuZrsQiNRSErsyhAV0vW48Y/edit?gid=546626350#gid=546626350"",""Sep_2025_Bal!B3:F3""),""SELECT Col3"",0)"),"#REF!")</f>
        <v>#REF!</v>
      </c>
      <c r="L12" s="4" t="str">
        <f t="shared" si="4"/>
        <v>#REF!</v>
      </c>
      <c r="M12" s="4" t="str">
        <f t="shared" si="5"/>
        <v>#REF!</v>
      </c>
      <c r="N12" s="4" t="str">
        <f t="shared" si="6"/>
        <v>#REF!</v>
      </c>
      <c r="O12" s="3" t="str">
        <f>IFERROR(__xludf.DUMMYFUNCTION("QUERY(IMPORTRANGE(""https://docs.google.com/spreadsheets/d/1W1ow1-0uMM8P-qRV7n95FuZrsQiNRSErsyhAV0vW48Y/edit?gid=546626350#gid=546626350"",""Sep_2025_Bal!B3:F3""),""SELECT Col4"",0)"),"#REF!")</f>
        <v>#REF!</v>
      </c>
      <c r="P12" s="4" t="str">
        <f t="shared" si="7"/>
        <v>#REF!</v>
      </c>
      <c r="Q12" s="3" t="str">
        <f>IFERROR(__xludf.DUMMYFUNCTION("QUERY(IMPORTRANGE(""https://docs.google.com/spreadsheets/d/1W1ow1-0uMM8P-qRV7n95FuZrsQiNRSErsyhAV0vW48Y/edit?gid=546626350#gid=546626350"",""Sep_2025_Bal!B3:F3""),""SELECT Col5"",0)"),"#REF!")</f>
        <v>#REF!</v>
      </c>
      <c r="R12" s="4" t="str">
        <f t="shared" si="8"/>
        <v>#REF!</v>
      </c>
      <c r="S12" s="2"/>
      <c r="T12" s="2"/>
      <c r="AB12" s="5"/>
    </row>
    <row r="13" ht="15.75" customHeight="1">
      <c r="B13" s="2" t="s">
        <v>28</v>
      </c>
      <c r="C13" s="4" t="str">
        <f t="shared" si="9"/>
        <v>#REF!</v>
      </c>
      <c r="D13" s="3" t="str">
        <f>IFERROR(__xludf.DUMMYFUNCTION("QUERY(IMPORTRANGE(""https://docs.google.com/spreadsheets/d/1W1ow1-0uMM8P-qRV7n95FuZrsQiNRSErsyhAV0vW48Y/edit?gid=546626350#gid=546626350"",""Oct_2025_Bal!B3:F3""),""SELECT Col2"",0)"),"#REF!")</f>
        <v>#REF!</v>
      </c>
      <c r="E13" s="4" t="str">
        <f t="shared" si="2"/>
        <v>#REF!</v>
      </c>
      <c r="F13" s="3"/>
      <c r="G13" s="4"/>
      <c r="H13" s="4">
        <v>5150269.0</v>
      </c>
      <c r="I13" s="2">
        <v>0.0</v>
      </c>
      <c r="J13" s="3">
        <f t="shared" si="3"/>
        <v>5150269</v>
      </c>
      <c r="K13" s="3" t="str">
        <f>IFERROR(__xludf.DUMMYFUNCTION("QUERY(IMPORTRANGE(""https://docs.google.com/spreadsheets/d/1W1ow1-0uMM8P-qRV7n95FuZrsQiNRSErsyhAV0vW48Y/edit?gid=546626350#gid=546626350"",""Oct_2025_Bal!B3:F3""),""SELECT Col3"",0)"),"#REF!")</f>
        <v>#REF!</v>
      </c>
      <c r="L13" s="4" t="str">
        <f t="shared" si="4"/>
        <v>#REF!</v>
      </c>
      <c r="M13" s="4" t="str">
        <f t="shared" si="5"/>
        <v>#REF!</v>
      </c>
      <c r="N13" s="4" t="str">
        <f t="shared" si="6"/>
        <v>#REF!</v>
      </c>
      <c r="O13" s="3" t="str">
        <f>IFERROR(__xludf.DUMMYFUNCTION("QUERY(IMPORTRANGE(""https://docs.google.com/spreadsheets/d/1W1ow1-0uMM8P-qRV7n95FuZrsQiNRSErsyhAV0vW48Y/edit?gid=546626350#gid=546626350"",""Oct_2025_Bal!B3:F3""),""SELECT Col4"",0)"),"#REF!")</f>
        <v>#REF!</v>
      </c>
      <c r="P13" s="4" t="str">
        <f t="shared" si="7"/>
        <v>#REF!</v>
      </c>
      <c r="Q13" s="3" t="str">
        <f>IFERROR(__xludf.DUMMYFUNCTION("QUERY(IMPORTRANGE(""https://docs.google.com/spreadsheets/d/1W1ow1-0uMM8P-qRV7n95FuZrsQiNRSErsyhAV0vW48Y/edit?gid=546626350#gid=546626350"",""Oct_2025_Bal!B3:F3""),""SELECT Col5"",0)"),"#REF!")</f>
        <v>#REF!</v>
      </c>
      <c r="R13" s="4" t="str">
        <f t="shared" si="8"/>
        <v>#REF!</v>
      </c>
      <c r="S13" s="2"/>
      <c r="T13" s="2"/>
      <c r="AB13" s="5"/>
    </row>
    <row r="14" ht="15.75" customHeight="1">
      <c r="F14" s="6"/>
      <c r="G14" s="5"/>
    </row>
    <row r="15" ht="15.75" customHeight="1">
      <c r="A15" s="5"/>
      <c r="F15" s="6"/>
      <c r="G15" s="5"/>
      <c r="H15" s="5"/>
    </row>
    <row r="16" ht="15.75" customHeight="1">
      <c r="F16" s="6"/>
      <c r="G16" s="5"/>
    </row>
    <row r="17" ht="15.75" customHeight="1">
      <c r="F17" s="6"/>
      <c r="G17" s="5"/>
    </row>
    <row r="18" ht="15.75" customHeight="1">
      <c r="F18" s="6"/>
      <c r="G18" s="5"/>
      <c r="P18" s="5"/>
    </row>
    <row r="19" ht="15.75" customHeight="1">
      <c r="F19" s="6"/>
      <c r="G19" s="5"/>
    </row>
    <row r="20" ht="15.75" customHeight="1">
      <c r="F20" s="6"/>
      <c r="G20" s="5"/>
    </row>
    <row r="21" ht="15.75" customHeight="1">
      <c r="F21" s="6"/>
      <c r="G21" s="5"/>
    </row>
    <row r="22" ht="15.75" customHeight="1">
      <c r="F22" s="6"/>
      <c r="G22" s="5"/>
    </row>
    <row r="23" ht="15.75" customHeight="1">
      <c r="F23" s="6"/>
      <c r="G23" s="5"/>
    </row>
    <row r="24" ht="15.75" customHeight="1">
      <c r="F24" s="6"/>
      <c r="G24" s="5"/>
    </row>
    <row r="25" ht="15.75" customHeight="1">
      <c r="F25" s="6"/>
      <c r="G25" s="5"/>
    </row>
    <row r="26" ht="15.75" customHeight="1">
      <c r="F26" s="6"/>
      <c r="G26" s="5"/>
    </row>
    <row r="27" ht="15.75" customHeight="1">
      <c r="F27" s="6"/>
      <c r="G27" s="5"/>
      <c r="H27" s="5"/>
    </row>
    <row r="28" ht="15.75" customHeight="1">
      <c r="F28" s="6"/>
      <c r="G28" s="5"/>
    </row>
    <row r="29" ht="15.75" customHeight="1">
      <c r="F29" s="6"/>
      <c r="G29" s="5"/>
      <c r="H29" s="5"/>
    </row>
    <row r="30" ht="15.75" customHeight="1">
      <c r="F30" s="6"/>
      <c r="G30" s="5"/>
      <c r="I30" s="5"/>
      <c r="J30" s="5"/>
    </row>
    <row r="31" ht="15.75" customHeight="1">
      <c r="F31" s="6"/>
      <c r="G31" s="5"/>
    </row>
    <row r="32" ht="15.75" customHeight="1">
      <c r="F32" s="6"/>
      <c r="G32" s="5"/>
    </row>
    <row r="33" ht="15.75" customHeight="1">
      <c r="F33" s="6"/>
      <c r="G33" s="5"/>
    </row>
    <row r="34" ht="15.75" customHeight="1">
      <c r="F34" s="6"/>
      <c r="G34" s="5"/>
    </row>
    <row r="35" ht="15.75" customHeight="1">
      <c r="F35" s="6"/>
      <c r="G35" s="5"/>
    </row>
    <row r="36" ht="15.75" customHeight="1">
      <c r="F36" s="6"/>
      <c r="G36" s="5"/>
    </row>
    <row r="37" ht="15.75" customHeight="1">
      <c r="F37" s="6"/>
      <c r="G37" s="5"/>
    </row>
    <row r="38" ht="15.75" customHeight="1">
      <c r="F38" s="6"/>
      <c r="G38" s="5"/>
    </row>
    <row r="39" ht="15.75" customHeight="1">
      <c r="F39" s="6"/>
      <c r="G39" s="5"/>
    </row>
    <row r="40" ht="15.75" customHeight="1">
      <c r="F40" s="6"/>
      <c r="G40" s="5"/>
    </row>
    <row r="41" ht="15.75" customHeight="1">
      <c r="F41" s="6"/>
      <c r="G41" s="5"/>
    </row>
    <row r="42" ht="15.75" customHeight="1">
      <c r="F42" s="6"/>
      <c r="G42" s="5"/>
    </row>
    <row r="43" ht="15.75" customHeight="1">
      <c r="F43" s="6"/>
      <c r="G43" s="5"/>
    </row>
    <row r="44" ht="15.75" customHeight="1">
      <c r="F44" s="6"/>
      <c r="G44" s="5"/>
    </row>
    <row r="45" ht="15.75" customHeight="1">
      <c r="F45" s="6"/>
      <c r="G45" s="5"/>
    </row>
    <row r="46" ht="15.75" customHeight="1">
      <c r="F46" s="6"/>
      <c r="G46" s="5"/>
    </row>
    <row r="47" ht="15.75" customHeight="1">
      <c r="F47" s="6"/>
      <c r="G47" s="5"/>
    </row>
    <row r="48" ht="15.75" customHeight="1">
      <c r="F48" s="6"/>
      <c r="G48" s="5"/>
    </row>
    <row r="49" ht="15.75" customHeight="1">
      <c r="F49" s="6"/>
      <c r="G49" s="5"/>
    </row>
    <row r="50" ht="15.75" customHeight="1">
      <c r="F50" s="6"/>
      <c r="G50" s="5"/>
    </row>
    <row r="51" ht="15.75" customHeight="1">
      <c r="F51" s="6"/>
      <c r="G51" s="5"/>
    </row>
    <row r="52" ht="15.75" customHeight="1">
      <c r="F52" s="6"/>
      <c r="G52" s="5"/>
    </row>
    <row r="53" ht="15.75" customHeight="1">
      <c r="F53" s="6"/>
      <c r="G53" s="5"/>
    </row>
    <row r="54" ht="15.75" customHeight="1">
      <c r="F54" s="6"/>
      <c r="G54" s="5"/>
    </row>
    <row r="55" ht="15.75" customHeight="1">
      <c r="F55" s="6"/>
      <c r="G55" s="5"/>
    </row>
    <row r="56" ht="15.75" customHeight="1">
      <c r="F56" s="6"/>
      <c r="G56" s="5"/>
    </row>
    <row r="57" ht="15.75" customHeight="1">
      <c r="F57" s="6"/>
      <c r="G57" s="5"/>
    </row>
    <row r="58" ht="15.75" customHeight="1">
      <c r="F58" s="6"/>
      <c r="G58" s="5"/>
    </row>
    <row r="59" ht="15.75" customHeight="1">
      <c r="F59" s="6"/>
      <c r="G59" s="5"/>
    </row>
    <row r="60" ht="15.75" customHeight="1">
      <c r="F60" s="6"/>
      <c r="G60" s="5"/>
    </row>
    <row r="61" ht="15.75" customHeight="1">
      <c r="F61" s="6"/>
      <c r="G61" s="5"/>
    </row>
    <row r="62" ht="15.75" customHeight="1">
      <c r="F62" s="6"/>
      <c r="G62" s="5"/>
    </row>
    <row r="63" ht="15.75" customHeight="1">
      <c r="F63" s="6"/>
      <c r="G63" s="5"/>
    </row>
    <row r="64" ht="15.75" customHeight="1">
      <c r="F64" s="6"/>
      <c r="G64" s="5"/>
    </row>
    <row r="65" ht="15.75" customHeight="1">
      <c r="F65" s="6"/>
      <c r="G65" s="5"/>
    </row>
    <row r="66" ht="15.75" customHeight="1">
      <c r="F66" s="6"/>
      <c r="G66" s="5"/>
    </row>
    <row r="67" ht="15.75" customHeight="1">
      <c r="F67" s="6"/>
      <c r="G67" s="5"/>
    </row>
    <row r="68" ht="15.75" customHeight="1">
      <c r="F68" s="6"/>
      <c r="G68" s="5"/>
    </row>
    <row r="69" ht="15.75" customHeight="1">
      <c r="F69" s="6"/>
      <c r="G69" s="5"/>
    </row>
    <row r="70" ht="15.75" customHeight="1">
      <c r="F70" s="6"/>
      <c r="G70" s="5"/>
    </row>
    <row r="71" ht="15.75" customHeight="1">
      <c r="F71" s="6"/>
      <c r="G71" s="5"/>
    </row>
    <row r="72" ht="15.75" customHeight="1">
      <c r="F72" s="6"/>
      <c r="G72" s="5"/>
    </row>
    <row r="73" ht="15.75" customHeight="1">
      <c r="F73" s="6"/>
      <c r="G73" s="5"/>
    </row>
    <row r="74" ht="15.75" customHeight="1">
      <c r="F74" s="6"/>
      <c r="G74" s="5"/>
    </row>
    <row r="75" ht="15.75" customHeight="1">
      <c r="F75" s="6"/>
      <c r="G75" s="5"/>
    </row>
    <row r="76" ht="15.75" customHeight="1">
      <c r="F76" s="6"/>
      <c r="G76" s="5"/>
    </row>
    <row r="77" ht="15.75" customHeight="1">
      <c r="F77" s="6"/>
      <c r="G77" s="5"/>
    </row>
    <row r="78" ht="15.75" customHeight="1">
      <c r="F78" s="6"/>
      <c r="G78" s="5"/>
    </row>
    <row r="79" ht="15.75" customHeight="1">
      <c r="F79" s="6"/>
      <c r="G79" s="5"/>
    </row>
    <row r="80" ht="15.75" customHeight="1">
      <c r="F80" s="6"/>
      <c r="G80" s="5"/>
    </row>
    <row r="81" ht="15.75" customHeight="1">
      <c r="F81" s="6"/>
      <c r="G81" s="5"/>
    </row>
    <row r="82" ht="15.75" customHeight="1">
      <c r="F82" s="6"/>
      <c r="G82" s="5"/>
    </row>
    <row r="83" ht="15.75" customHeight="1">
      <c r="F83" s="6"/>
      <c r="G83" s="5"/>
    </row>
    <row r="84" ht="15.75" customHeight="1">
      <c r="F84" s="6"/>
      <c r="G84" s="5"/>
    </row>
    <row r="85" ht="15.75" customHeight="1">
      <c r="F85" s="6"/>
      <c r="G85" s="5"/>
    </row>
    <row r="86" ht="15.75" customHeight="1">
      <c r="F86" s="6"/>
      <c r="G86" s="5"/>
    </row>
    <row r="87" ht="15.75" customHeight="1">
      <c r="F87" s="6"/>
      <c r="G87" s="5"/>
    </row>
    <row r="88" ht="15.75" customHeight="1">
      <c r="F88" s="6"/>
      <c r="G88" s="5"/>
    </row>
    <row r="89" ht="15.75" customHeight="1">
      <c r="F89" s="6"/>
      <c r="G89" s="5"/>
    </row>
    <row r="90" ht="15.75" customHeight="1">
      <c r="F90" s="6"/>
      <c r="G90" s="5"/>
    </row>
    <row r="91" ht="15.75" customHeight="1">
      <c r="F91" s="6"/>
      <c r="G91" s="5"/>
    </row>
    <row r="92" ht="15.75" customHeight="1">
      <c r="F92" s="6"/>
      <c r="G92" s="5"/>
    </row>
    <row r="93" ht="15.75" customHeight="1">
      <c r="F93" s="6"/>
      <c r="G93" s="5"/>
    </row>
    <row r="94" ht="15.75" customHeight="1">
      <c r="F94" s="6"/>
      <c r="G94" s="5"/>
    </row>
    <row r="95" ht="15.75" customHeight="1">
      <c r="F95" s="6"/>
      <c r="G95" s="5"/>
    </row>
    <row r="96" ht="15.75" customHeight="1">
      <c r="F96" s="6"/>
      <c r="G96" s="5"/>
    </row>
    <row r="97" ht="15.75" customHeight="1">
      <c r="F97" s="6"/>
      <c r="G97" s="5"/>
    </row>
    <row r="98" ht="15.75" customHeight="1">
      <c r="F98" s="6"/>
      <c r="G98" s="5"/>
    </row>
    <row r="99" ht="15.75" customHeight="1">
      <c r="F99" s="6"/>
      <c r="G99" s="5"/>
    </row>
    <row r="100" ht="15.75" customHeight="1">
      <c r="F100" s="6"/>
      <c r="G100" s="5"/>
    </row>
    <row r="101" ht="15.75" customHeight="1">
      <c r="F101" s="6"/>
      <c r="G101" s="5"/>
    </row>
    <row r="102" ht="15.75" customHeight="1">
      <c r="F102" s="6"/>
      <c r="G102" s="5"/>
    </row>
    <row r="103" ht="15.75" customHeight="1">
      <c r="F103" s="6"/>
      <c r="G103" s="5"/>
    </row>
    <row r="104" ht="15.75" customHeight="1">
      <c r="F104" s="6"/>
      <c r="G104" s="5"/>
    </row>
    <row r="105" ht="15.75" customHeight="1">
      <c r="F105" s="6"/>
      <c r="G105" s="5"/>
    </row>
    <row r="106" ht="15.75" customHeight="1">
      <c r="F106" s="6"/>
      <c r="G106" s="5"/>
    </row>
    <row r="107" ht="15.75" customHeight="1">
      <c r="F107" s="6"/>
      <c r="G107" s="5"/>
    </row>
    <row r="108" ht="15.75" customHeight="1">
      <c r="F108" s="6"/>
      <c r="G108" s="5"/>
    </row>
    <row r="109" ht="15.75" customHeight="1">
      <c r="F109" s="6"/>
      <c r="G109" s="5"/>
    </row>
    <row r="110" ht="15.75" customHeight="1">
      <c r="F110" s="6"/>
      <c r="G110" s="5"/>
    </row>
    <row r="111" ht="15.75" customHeight="1">
      <c r="F111" s="6"/>
      <c r="G111" s="5"/>
    </row>
    <row r="112" ht="15.75" customHeight="1">
      <c r="F112" s="6"/>
      <c r="G112" s="5"/>
    </row>
    <row r="113" ht="15.75" customHeight="1">
      <c r="F113" s="6"/>
      <c r="G113" s="5"/>
    </row>
    <row r="114" ht="15.75" customHeight="1">
      <c r="F114" s="6"/>
      <c r="G114" s="5"/>
    </row>
    <row r="115" ht="15.75" customHeight="1">
      <c r="F115" s="6"/>
      <c r="G115" s="5"/>
    </row>
    <row r="116" ht="15.75" customHeight="1">
      <c r="F116" s="6"/>
      <c r="G116" s="5"/>
    </row>
    <row r="117" ht="15.75" customHeight="1">
      <c r="F117" s="6"/>
      <c r="G117" s="5"/>
    </row>
    <row r="118" ht="15.75" customHeight="1">
      <c r="F118" s="6"/>
      <c r="G118" s="5"/>
    </row>
    <row r="119" ht="15.75" customHeight="1">
      <c r="F119" s="6"/>
      <c r="G119" s="5"/>
    </row>
    <row r="120" ht="15.75" customHeight="1">
      <c r="F120" s="6"/>
      <c r="G120" s="5"/>
    </row>
    <row r="121" ht="15.75" customHeight="1">
      <c r="F121" s="6"/>
      <c r="G121" s="5"/>
    </row>
    <row r="122" ht="15.75" customHeight="1">
      <c r="F122" s="6"/>
      <c r="G122" s="5"/>
    </row>
    <row r="123" ht="15.75" customHeight="1">
      <c r="F123" s="6"/>
      <c r="G123" s="5"/>
    </row>
    <row r="124" ht="15.75" customHeight="1">
      <c r="F124" s="6"/>
      <c r="G124" s="5"/>
    </row>
    <row r="125" ht="15.75" customHeight="1">
      <c r="F125" s="6"/>
      <c r="G125" s="5"/>
    </row>
    <row r="126" ht="15.75" customHeight="1">
      <c r="F126" s="6"/>
      <c r="G126" s="5"/>
    </row>
    <row r="127" ht="15.75" customHeight="1">
      <c r="F127" s="6"/>
      <c r="G127" s="5"/>
    </row>
    <row r="128" ht="15.75" customHeight="1">
      <c r="F128" s="6"/>
      <c r="G128" s="5"/>
    </row>
    <row r="129" ht="15.75" customHeight="1">
      <c r="F129" s="6"/>
      <c r="G129" s="5"/>
    </row>
    <row r="130" ht="15.75" customHeight="1">
      <c r="F130" s="6"/>
      <c r="G130" s="5"/>
    </row>
    <row r="131" ht="15.75" customHeight="1">
      <c r="F131" s="6"/>
      <c r="G131" s="5"/>
    </row>
    <row r="132" ht="15.75" customHeight="1">
      <c r="F132" s="6"/>
      <c r="G132" s="5"/>
    </row>
    <row r="133" ht="15.75" customHeight="1">
      <c r="F133" s="6"/>
      <c r="G133" s="5"/>
    </row>
    <row r="134" ht="15.75" customHeight="1">
      <c r="F134" s="6"/>
      <c r="G134" s="5"/>
    </row>
    <row r="135" ht="15.75" customHeight="1">
      <c r="F135" s="6"/>
      <c r="G135" s="5"/>
    </row>
    <row r="136" ht="15.75" customHeight="1">
      <c r="F136" s="6"/>
      <c r="G136" s="5"/>
    </row>
    <row r="137" ht="15.75" customHeight="1">
      <c r="F137" s="6"/>
      <c r="G137" s="5"/>
    </row>
    <row r="138" ht="15.75" customHeight="1">
      <c r="F138" s="6"/>
      <c r="G138" s="5"/>
    </row>
    <row r="139" ht="15.75" customHeight="1">
      <c r="F139" s="6"/>
      <c r="G139" s="5"/>
    </row>
    <row r="140" ht="15.75" customHeight="1">
      <c r="F140" s="6"/>
      <c r="G140" s="5"/>
    </row>
    <row r="141" ht="15.75" customHeight="1">
      <c r="F141" s="6"/>
      <c r="G141" s="5"/>
    </row>
    <row r="142" ht="15.75" customHeight="1">
      <c r="F142" s="6"/>
      <c r="G142" s="5"/>
    </row>
    <row r="143" ht="15.75" customHeight="1">
      <c r="F143" s="6"/>
      <c r="G143" s="5"/>
    </row>
    <row r="144" ht="15.75" customHeight="1">
      <c r="F144" s="6"/>
      <c r="G144" s="5"/>
    </row>
    <row r="145" ht="15.75" customHeight="1">
      <c r="F145" s="6"/>
      <c r="G145" s="5"/>
    </row>
    <row r="146" ht="15.75" customHeight="1">
      <c r="F146" s="6"/>
      <c r="G146" s="5"/>
    </row>
    <row r="147" ht="15.75" customHeight="1">
      <c r="F147" s="6"/>
      <c r="G147" s="5"/>
    </row>
    <row r="148" ht="15.75" customHeight="1">
      <c r="F148" s="6"/>
      <c r="G148" s="5"/>
    </row>
    <row r="149" ht="15.75" customHeight="1">
      <c r="F149" s="6"/>
      <c r="G149" s="5"/>
    </row>
    <row r="150" ht="15.75" customHeight="1">
      <c r="F150" s="6"/>
      <c r="G150" s="5"/>
    </row>
    <row r="151" ht="15.75" customHeight="1">
      <c r="F151" s="6"/>
      <c r="G151" s="5"/>
    </row>
    <row r="152" ht="15.75" customHeight="1">
      <c r="F152" s="6"/>
      <c r="G152" s="5"/>
    </row>
    <row r="153" ht="15.75" customHeight="1">
      <c r="F153" s="6"/>
      <c r="G153" s="5"/>
    </row>
    <row r="154" ht="15.75" customHeight="1">
      <c r="F154" s="6"/>
      <c r="G154" s="5"/>
    </row>
    <row r="155" ht="15.75" customHeight="1">
      <c r="F155" s="6"/>
      <c r="G155" s="5"/>
    </row>
    <row r="156" ht="15.75" customHeight="1">
      <c r="F156" s="6"/>
      <c r="G156" s="5"/>
    </row>
    <row r="157" ht="15.75" customHeight="1">
      <c r="F157" s="6"/>
      <c r="G157" s="5"/>
    </row>
    <row r="158" ht="15.75" customHeight="1">
      <c r="F158" s="6"/>
      <c r="G158" s="5"/>
    </row>
    <row r="159" ht="15.75" customHeight="1">
      <c r="F159" s="6"/>
      <c r="G159" s="5"/>
    </row>
    <row r="160" ht="15.75" customHeight="1">
      <c r="F160" s="6"/>
      <c r="G160" s="5"/>
    </row>
    <row r="161" ht="15.75" customHeight="1">
      <c r="F161" s="6"/>
      <c r="G161" s="5"/>
    </row>
    <row r="162" ht="15.75" customHeight="1">
      <c r="F162" s="6"/>
      <c r="G162" s="5"/>
    </row>
    <row r="163" ht="15.75" customHeight="1">
      <c r="F163" s="6"/>
      <c r="G163" s="5"/>
    </row>
    <row r="164" ht="15.75" customHeight="1">
      <c r="F164" s="6"/>
      <c r="G164" s="5"/>
    </row>
    <row r="165" ht="15.75" customHeight="1">
      <c r="F165" s="6"/>
      <c r="G165" s="5"/>
    </row>
    <row r="166" ht="15.75" customHeight="1">
      <c r="F166" s="6"/>
      <c r="G166" s="5"/>
    </row>
    <row r="167" ht="15.75" customHeight="1">
      <c r="F167" s="6"/>
      <c r="G167" s="5"/>
    </row>
    <row r="168" ht="15.75" customHeight="1">
      <c r="F168" s="6"/>
      <c r="G168" s="5"/>
    </row>
    <row r="169" ht="15.75" customHeight="1">
      <c r="F169" s="6"/>
      <c r="G169" s="5"/>
    </row>
    <row r="170" ht="15.75" customHeight="1">
      <c r="F170" s="6"/>
      <c r="G170" s="5"/>
    </row>
    <row r="171" ht="15.75" customHeight="1">
      <c r="F171" s="6"/>
      <c r="G171" s="5"/>
    </row>
    <row r="172" ht="15.75" customHeight="1">
      <c r="F172" s="6"/>
      <c r="G172" s="5"/>
    </row>
    <row r="173" ht="15.75" customHeight="1">
      <c r="F173" s="6"/>
      <c r="G173" s="5"/>
    </row>
    <row r="174" ht="15.75" customHeight="1">
      <c r="F174" s="6"/>
      <c r="G174" s="5"/>
    </row>
    <row r="175" ht="15.75" customHeight="1">
      <c r="F175" s="6"/>
      <c r="G175" s="5"/>
    </row>
    <row r="176" ht="15.75" customHeight="1">
      <c r="F176" s="6"/>
      <c r="G176" s="5"/>
    </row>
    <row r="177" ht="15.75" customHeight="1">
      <c r="F177" s="6"/>
      <c r="G177" s="5"/>
    </row>
    <row r="178" ht="15.75" customHeight="1">
      <c r="F178" s="6"/>
      <c r="G178" s="5"/>
    </row>
    <row r="179" ht="15.75" customHeight="1">
      <c r="F179" s="6"/>
      <c r="G179" s="5"/>
    </row>
    <row r="180" ht="15.75" customHeight="1">
      <c r="F180" s="6"/>
      <c r="G180" s="5"/>
    </row>
    <row r="181" ht="15.75" customHeight="1">
      <c r="F181" s="6"/>
      <c r="G181" s="5"/>
    </row>
    <row r="182" ht="15.75" customHeight="1">
      <c r="F182" s="6"/>
      <c r="G182" s="5"/>
    </row>
    <row r="183" ht="15.75" customHeight="1">
      <c r="F183" s="6"/>
      <c r="G183" s="5"/>
    </row>
    <row r="184" ht="15.75" customHeight="1">
      <c r="F184" s="6"/>
      <c r="G184" s="5"/>
    </row>
    <row r="185" ht="15.75" customHeight="1">
      <c r="F185" s="6"/>
      <c r="G185" s="5"/>
    </row>
    <row r="186" ht="15.75" customHeight="1">
      <c r="F186" s="6"/>
      <c r="G186" s="5"/>
    </row>
    <row r="187" ht="15.75" customHeight="1">
      <c r="F187" s="6"/>
      <c r="G187" s="5"/>
    </row>
    <row r="188" ht="15.75" customHeight="1">
      <c r="F188" s="6"/>
      <c r="G188" s="5"/>
    </row>
    <row r="189" ht="15.75" customHeight="1">
      <c r="F189" s="6"/>
      <c r="G189" s="5"/>
    </row>
    <row r="190" ht="15.75" customHeight="1">
      <c r="F190" s="6"/>
      <c r="G190" s="5"/>
    </row>
    <row r="191" ht="15.75" customHeight="1">
      <c r="F191" s="6"/>
      <c r="G191" s="5"/>
    </row>
    <row r="192" ht="15.75" customHeight="1">
      <c r="F192" s="6"/>
      <c r="G192" s="5"/>
    </row>
    <row r="193" ht="15.75" customHeight="1">
      <c r="F193" s="6"/>
      <c r="G193" s="5"/>
    </row>
    <row r="194" ht="15.75" customHeight="1">
      <c r="F194" s="6"/>
      <c r="G194" s="5"/>
    </row>
    <row r="195" ht="15.75" customHeight="1">
      <c r="F195" s="6"/>
      <c r="G195" s="5"/>
    </row>
    <row r="196" ht="15.75" customHeight="1">
      <c r="F196" s="6"/>
      <c r="G196" s="5"/>
    </row>
    <row r="197" ht="15.75" customHeight="1">
      <c r="F197" s="6"/>
      <c r="G197" s="5"/>
    </row>
    <row r="198" ht="15.75" customHeight="1">
      <c r="F198" s="6"/>
      <c r="G198" s="5"/>
    </row>
    <row r="199" ht="15.75" customHeight="1">
      <c r="F199" s="6"/>
      <c r="G199" s="5"/>
    </row>
    <row r="200" ht="15.75" customHeight="1">
      <c r="F200" s="6"/>
      <c r="G200" s="5"/>
    </row>
    <row r="201" ht="15.75" customHeight="1">
      <c r="F201" s="6"/>
      <c r="G201" s="5"/>
    </row>
    <row r="202" ht="15.75" customHeight="1">
      <c r="F202" s="6"/>
      <c r="G202" s="5"/>
    </row>
    <row r="203" ht="15.75" customHeight="1">
      <c r="F203" s="6"/>
      <c r="G203" s="5"/>
    </row>
    <row r="204" ht="15.75" customHeight="1">
      <c r="F204" s="6"/>
      <c r="G204" s="5"/>
    </row>
    <row r="205" ht="15.75" customHeight="1">
      <c r="F205" s="6"/>
      <c r="G205" s="5"/>
    </row>
    <row r="206" ht="15.75" customHeight="1">
      <c r="F206" s="6"/>
      <c r="G206" s="5"/>
    </row>
    <row r="207" ht="15.75" customHeight="1">
      <c r="F207" s="6"/>
      <c r="G207" s="5"/>
    </row>
    <row r="208" ht="15.75" customHeight="1">
      <c r="F208" s="6"/>
      <c r="G208" s="5"/>
    </row>
    <row r="209" ht="15.75" customHeight="1">
      <c r="F209" s="6"/>
      <c r="G209" s="5"/>
    </row>
    <row r="210" ht="15.75" customHeight="1">
      <c r="F210" s="6"/>
      <c r="G210" s="5"/>
    </row>
    <row r="211" ht="15.75" customHeight="1">
      <c r="F211" s="6"/>
      <c r="G211" s="5"/>
    </row>
    <row r="212" ht="15.75" customHeight="1">
      <c r="F212" s="6"/>
      <c r="G212" s="5"/>
    </row>
    <row r="213" ht="15.75" customHeight="1">
      <c r="F213" s="6"/>
      <c r="G213" s="5"/>
    </row>
    <row r="214" ht="15.75" customHeight="1">
      <c r="F214" s="6"/>
      <c r="G214" s="5"/>
    </row>
    <row r="215" ht="15.75" customHeight="1">
      <c r="F215" s="6"/>
      <c r="G215" s="5"/>
    </row>
    <row r="216" ht="15.75" customHeight="1">
      <c r="F216" s="6"/>
      <c r="G216" s="5"/>
    </row>
    <row r="217" ht="15.75" customHeight="1">
      <c r="F217" s="6"/>
      <c r="G217" s="5"/>
    </row>
    <row r="218" ht="15.75" customHeight="1">
      <c r="F218" s="6"/>
      <c r="G218" s="5"/>
    </row>
    <row r="219" ht="15.75" customHeight="1">
      <c r="F219" s="6"/>
      <c r="G219" s="5"/>
    </row>
    <row r="220" ht="15.75" customHeight="1">
      <c r="F220" s="6"/>
      <c r="G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28.5"/>
    <col customWidth="1" min="3" max="6" width="12.63"/>
  </cols>
  <sheetData>
    <row r="1" ht="15.75" customHeight="1"/>
    <row r="2" ht="15.75" customHeight="1"/>
    <row r="3" ht="15.75" customHeight="1">
      <c r="B3" s="1" t="str">
        <f>IFERROR(__xludf.DUMMYFUNCTION("QUERY(IMPORTRANGE(""https://docs.google.com/spreadsheets/d/1cPJkZTbu617m80O_L5dMmofSU_pxmkDRV8wMXv-kDfI/edit?gid=0#gid=0"",""Feb_2025!A1:F65""),""SELECT *"",1)"),"#REF!")</f>
        <v>#REF!</v>
      </c>
      <c r="C3" s="1"/>
      <c r="D3" s="1"/>
      <c r="E3" s="1"/>
      <c r="F3" s="1"/>
      <c r="G3" s="1"/>
    </row>
    <row r="4" ht="15.75" customHeight="1">
      <c r="B4" s="1"/>
      <c r="C4" s="1"/>
      <c r="D4" s="7"/>
      <c r="E4" s="5"/>
      <c r="F4" s="5"/>
      <c r="G4" s="5"/>
    </row>
    <row r="5" ht="15.75" customHeight="1">
      <c r="B5" s="1"/>
      <c r="C5" s="1"/>
      <c r="D5" s="7"/>
      <c r="E5" s="5"/>
      <c r="F5" s="5"/>
      <c r="G5" s="5"/>
    </row>
    <row r="6" ht="15.75" customHeight="1">
      <c r="B6" s="1"/>
      <c r="C6" s="1"/>
      <c r="D6" s="6"/>
      <c r="E6" s="5"/>
      <c r="F6" s="5"/>
      <c r="G6" s="5"/>
    </row>
    <row r="7" ht="15.75" customHeight="1">
      <c r="B7" s="1"/>
      <c r="C7" s="1"/>
      <c r="D7" s="6"/>
      <c r="E7" s="5"/>
      <c r="F7" s="5"/>
      <c r="G7" s="5"/>
    </row>
    <row r="8" ht="15.75" customHeight="1">
      <c r="B8" s="1"/>
      <c r="C8" s="1"/>
      <c r="D8" s="6"/>
      <c r="E8" s="5"/>
      <c r="F8" s="5"/>
      <c r="G8" s="5"/>
    </row>
    <row r="9" ht="15.75" customHeight="1">
      <c r="B9" s="2"/>
      <c r="C9" s="2"/>
      <c r="D9" s="3"/>
      <c r="E9" s="4"/>
      <c r="F9" s="4"/>
      <c r="G9" s="4"/>
    </row>
    <row r="10" ht="15.75" customHeight="1">
      <c r="B10" s="2"/>
      <c r="C10" s="2"/>
      <c r="D10" s="3"/>
      <c r="E10" s="4"/>
      <c r="F10" s="4"/>
      <c r="G10" s="4"/>
    </row>
    <row r="11" ht="15.75" customHeight="1">
      <c r="B11" s="2"/>
      <c r="C11" s="2"/>
      <c r="D11" s="3"/>
      <c r="E11" s="4"/>
      <c r="F11" s="4"/>
      <c r="G11" s="4"/>
    </row>
    <row r="12" ht="15.75" customHeight="1">
      <c r="B12" s="2"/>
      <c r="C12" s="2"/>
      <c r="D12" s="3"/>
      <c r="E12" s="4"/>
      <c r="F12" s="4"/>
      <c r="G12" s="4"/>
    </row>
    <row r="13" ht="15.75" customHeight="1">
      <c r="B13" s="2"/>
      <c r="C13" s="2"/>
      <c r="D13" s="3"/>
      <c r="E13" s="4"/>
      <c r="F13" s="4"/>
      <c r="G13" s="4"/>
    </row>
    <row r="14" ht="15.75" customHeight="1">
      <c r="B14" s="2"/>
      <c r="C14" s="2"/>
      <c r="D14" s="3"/>
      <c r="E14" s="4"/>
      <c r="F14" s="4"/>
      <c r="G14" s="4"/>
    </row>
    <row r="15" ht="15.75" customHeight="1">
      <c r="B15" s="2"/>
      <c r="C15" s="2"/>
      <c r="D15" s="3"/>
      <c r="E15" s="4"/>
      <c r="F15" s="4"/>
      <c r="G15" s="4"/>
    </row>
    <row r="16" ht="15.75" customHeight="1">
      <c r="B16" s="2"/>
      <c r="C16" s="2"/>
      <c r="D16" s="3"/>
      <c r="E16" s="4"/>
      <c r="F16" s="4"/>
      <c r="G16" s="4"/>
    </row>
    <row r="17" ht="15.75" customHeight="1">
      <c r="B17" s="2"/>
      <c r="C17" s="2"/>
      <c r="D17" s="3"/>
      <c r="E17" s="4"/>
      <c r="F17" s="4"/>
      <c r="G17" s="4"/>
    </row>
    <row r="18" ht="15.75" customHeight="1">
      <c r="B18" s="2"/>
      <c r="C18" s="2"/>
      <c r="D18" s="3"/>
      <c r="E18" s="4"/>
      <c r="F18" s="4"/>
      <c r="G18" s="4"/>
    </row>
    <row r="19" ht="15.75" customHeight="1">
      <c r="B19" s="2"/>
      <c r="C19" s="2"/>
      <c r="D19" s="3"/>
      <c r="E19" s="4"/>
      <c r="F19" s="4"/>
      <c r="G19" s="4"/>
    </row>
    <row r="20" ht="15.75" customHeight="1">
      <c r="B20" s="2"/>
      <c r="C20" s="2"/>
      <c r="D20" s="3"/>
      <c r="E20" s="4"/>
      <c r="F20" s="4"/>
      <c r="G20" s="4"/>
    </row>
    <row r="21" ht="15.75" customHeight="1">
      <c r="B21" s="2"/>
      <c r="C21" s="2"/>
      <c r="D21" s="3"/>
      <c r="E21" s="4"/>
      <c r="F21" s="4"/>
      <c r="G21" s="4"/>
    </row>
    <row r="22" ht="15.75" customHeight="1">
      <c r="B22" s="2"/>
      <c r="C22" s="2"/>
      <c r="D22" s="3"/>
      <c r="E22" s="4"/>
      <c r="F22" s="4"/>
      <c r="G22" s="4"/>
    </row>
    <row r="23" ht="15.75" customHeight="1">
      <c r="B23" s="2"/>
      <c r="C23" s="2"/>
      <c r="D23" s="3"/>
      <c r="E23" s="4"/>
      <c r="F23" s="4"/>
      <c r="G23" s="4"/>
    </row>
    <row r="24" ht="15.75" customHeight="1">
      <c r="B24" s="2"/>
      <c r="C24" s="2"/>
      <c r="D24" s="3"/>
      <c r="E24" s="4"/>
      <c r="F24" s="4"/>
      <c r="G24" s="4"/>
    </row>
    <row r="25" ht="15.75" customHeight="1">
      <c r="B25" s="2"/>
      <c r="C25" s="2"/>
      <c r="D25" s="3"/>
      <c r="E25" s="4"/>
      <c r="F25" s="4"/>
      <c r="G25" s="4"/>
    </row>
    <row r="26" ht="15.75" customHeight="1">
      <c r="B26" s="2"/>
      <c r="C26" s="2"/>
      <c r="D26" s="3"/>
      <c r="E26" s="4"/>
      <c r="F26" s="4"/>
      <c r="G26" s="4"/>
    </row>
    <row r="27" ht="15.75" customHeight="1">
      <c r="B27" s="2"/>
      <c r="C27" s="2"/>
      <c r="D27" s="3"/>
      <c r="E27" s="4"/>
      <c r="F27" s="4"/>
      <c r="G27" s="4"/>
    </row>
    <row r="28" ht="15.75" customHeight="1">
      <c r="B28" s="2"/>
      <c r="C28" s="2"/>
      <c r="D28" s="3"/>
      <c r="E28" s="4"/>
      <c r="F28" s="4"/>
      <c r="G28" s="4"/>
    </row>
    <row r="29" ht="15.75" customHeight="1">
      <c r="B29" s="2"/>
      <c r="C29" s="2"/>
      <c r="D29" s="3"/>
      <c r="E29" s="4"/>
      <c r="F29" s="4"/>
      <c r="G29" s="4"/>
    </row>
    <row r="30" ht="15.75" customHeight="1">
      <c r="B30" s="2"/>
      <c r="C30" s="2"/>
      <c r="D30" s="3"/>
      <c r="E30" s="4"/>
      <c r="F30" s="4"/>
      <c r="G30" s="4"/>
    </row>
    <row r="31" ht="15.75" customHeight="1">
      <c r="B31" s="2"/>
      <c r="C31" s="2"/>
      <c r="D31" s="3"/>
      <c r="E31" s="4"/>
      <c r="F31" s="4"/>
      <c r="G31" s="4"/>
    </row>
    <row r="32" ht="15.75" customHeight="1">
      <c r="B32" s="2"/>
      <c r="C32" s="2"/>
      <c r="D32" s="3"/>
      <c r="E32" s="4"/>
      <c r="F32" s="4"/>
      <c r="G32" s="4"/>
    </row>
    <row r="33" ht="15.75" customHeight="1">
      <c r="B33" s="2"/>
      <c r="C33" s="2"/>
      <c r="D33" s="3"/>
      <c r="E33" s="4"/>
      <c r="F33" s="4"/>
      <c r="G33" s="4"/>
    </row>
    <row r="34" ht="15.75" customHeight="1">
      <c r="B34" s="2"/>
      <c r="C34" s="2"/>
      <c r="D34" s="3"/>
      <c r="E34" s="4"/>
      <c r="F34" s="4"/>
      <c r="G34" s="4"/>
    </row>
    <row r="35" ht="15.75" customHeight="1">
      <c r="B35" s="2"/>
      <c r="C35" s="2"/>
      <c r="D35" s="3"/>
      <c r="E35" s="4"/>
      <c r="F35" s="4"/>
      <c r="G35" s="4"/>
    </row>
    <row r="36" ht="15.75" customHeight="1">
      <c r="B36" s="2"/>
      <c r="C36" s="2"/>
      <c r="D36" s="3"/>
      <c r="E36" s="4"/>
      <c r="F36" s="4"/>
      <c r="G36" s="4"/>
    </row>
    <row r="37" ht="15.75" customHeight="1">
      <c r="B37" s="2"/>
      <c r="C37" s="2"/>
      <c r="D37" s="3"/>
      <c r="E37" s="4"/>
      <c r="F37" s="4"/>
      <c r="G37" s="4"/>
    </row>
    <row r="38" ht="15.75" customHeight="1">
      <c r="B38" s="2"/>
      <c r="C38" s="2"/>
      <c r="D38" s="3"/>
      <c r="E38" s="4"/>
      <c r="F38" s="4"/>
      <c r="G38" s="4"/>
    </row>
    <row r="39" ht="15.75" customHeight="1">
      <c r="B39" s="2"/>
      <c r="C39" s="2"/>
      <c r="D39" s="3"/>
      <c r="E39" s="4"/>
      <c r="F39" s="4"/>
      <c r="G39" s="4"/>
    </row>
    <row r="40" ht="15.75" customHeight="1">
      <c r="B40" s="2"/>
      <c r="C40" s="2"/>
      <c r="D40" s="3"/>
      <c r="E40" s="4"/>
      <c r="F40" s="4"/>
      <c r="G40" s="4"/>
    </row>
    <row r="41" ht="15.75" customHeight="1">
      <c r="B41" s="2"/>
      <c r="C41" s="2"/>
      <c r="D41" s="3"/>
      <c r="E41" s="4"/>
      <c r="F41" s="4"/>
      <c r="G41" s="4"/>
    </row>
    <row r="42" ht="15.75" customHeight="1">
      <c r="B42" s="2"/>
      <c r="C42" s="2"/>
      <c r="D42" s="3"/>
      <c r="E42" s="4"/>
      <c r="F42" s="4"/>
      <c r="G42" s="4"/>
    </row>
    <row r="43" ht="15.75" customHeight="1">
      <c r="B43" s="2"/>
      <c r="C43" s="2"/>
      <c r="D43" s="3"/>
      <c r="E43" s="4"/>
      <c r="F43" s="4"/>
      <c r="G43" s="4"/>
    </row>
    <row r="44" ht="15.75" customHeight="1">
      <c r="B44" s="2"/>
      <c r="C44" s="2"/>
      <c r="D44" s="3"/>
      <c r="E44" s="4"/>
      <c r="F44" s="4"/>
      <c r="G44" s="4"/>
    </row>
    <row r="45" ht="15.75" customHeight="1">
      <c r="B45" s="2"/>
      <c r="C45" s="2"/>
      <c r="D45" s="3"/>
      <c r="E45" s="4"/>
      <c r="F45" s="4"/>
      <c r="G45" s="4"/>
    </row>
    <row r="46" ht="15.75" customHeight="1">
      <c r="B46" s="2"/>
      <c r="C46" s="2"/>
      <c r="D46" s="3"/>
      <c r="E46" s="4"/>
      <c r="F46" s="4"/>
      <c r="G46" s="4"/>
    </row>
    <row r="47" ht="15.75" customHeight="1">
      <c r="B47" s="2"/>
      <c r="C47" s="2"/>
      <c r="D47" s="3"/>
      <c r="E47" s="4"/>
      <c r="F47" s="4"/>
      <c r="G47" s="4"/>
    </row>
    <row r="48" ht="15.75" customHeight="1">
      <c r="B48" s="2"/>
      <c r="C48" s="2"/>
      <c r="D48" s="3"/>
      <c r="E48" s="4"/>
      <c r="F48" s="4"/>
      <c r="G48" s="4"/>
    </row>
    <row r="49" ht="15.75" customHeight="1">
      <c r="B49" s="2"/>
      <c r="C49" s="2"/>
      <c r="D49" s="3"/>
      <c r="E49" s="4"/>
      <c r="F49" s="4"/>
      <c r="G49" s="4"/>
    </row>
    <row r="50" ht="15.75" customHeight="1">
      <c r="B50" s="2"/>
      <c r="C50" s="2"/>
      <c r="D50" s="3"/>
      <c r="E50" s="4"/>
      <c r="F50" s="4"/>
      <c r="G50" s="4"/>
    </row>
    <row r="51" ht="15.75" customHeight="1">
      <c r="B51" s="2"/>
      <c r="C51" s="2"/>
      <c r="D51" s="3"/>
      <c r="E51" s="4"/>
      <c r="F51" s="4"/>
      <c r="G51" s="4"/>
    </row>
    <row r="52" ht="15.75" customHeight="1">
      <c r="B52" s="1"/>
      <c r="C52" s="1"/>
      <c r="D52" s="6"/>
      <c r="E52" s="5"/>
      <c r="F52" s="5"/>
      <c r="G52" s="5"/>
    </row>
    <row r="53" ht="15.75" customHeight="1">
      <c r="B53" s="1"/>
      <c r="C53" s="1"/>
      <c r="D53" s="6"/>
      <c r="E53" s="5"/>
      <c r="F53" s="5"/>
      <c r="G53" s="5"/>
    </row>
    <row r="54" ht="15.75" customHeight="1">
      <c r="B54" s="1"/>
      <c r="C54" s="1"/>
      <c r="D54" s="6"/>
      <c r="E54" s="5"/>
      <c r="F54" s="5"/>
      <c r="G54" s="5"/>
    </row>
    <row r="55" ht="15.75" customHeight="1">
      <c r="B55" s="1"/>
      <c r="C55" s="1"/>
      <c r="D55" s="6"/>
      <c r="E55" s="5"/>
      <c r="F55" s="5"/>
      <c r="G55" s="5"/>
    </row>
    <row r="56" ht="15.75" customHeight="1">
      <c r="B56" s="1"/>
      <c r="C56" s="1"/>
      <c r="D56" s="6"/>
      <c r="E56" s="5"/>
      <c r="F56" s="5"/>
      <c r="G56" s="5"/>
    </row>
    <row r="57" ht="15.75" customHeight="1">
      <c r="B57" s="1"/>
      <c r="C57" s="1"/>
      <c r="D57" s="6"/>
      <c r="E57" s="5"/>
      <c r="F57" s="5"/>
      <c r="G57" s="5"/>
    </row>
    <row r="58" ht="15.75" customHeight="1">
      <c r="B58" s="1"/>
      <c r="C58" s="1"/>
      <c r="D58" s="6"/>
      <c r="E58" s="5"/>
      <c r="F58" s="5"/>
      <c r="G58" s="5"/>
    </row>
    <row r="59" ht="15.75" customHeight="1">
      <c r="B59" s="1"/>
      <c r="C59" s="1"/>
      <c r="D59" s="6"/>
      <c r="E59" s="5"/>
      <c r="F59" s="5"/>
      <c r="G59" s="5"/>
    </row>
    <row r="60" ht="15.75" customHeight="1">
      <c r="B60" s="1"/>
      <c r="C60" s="1"/>
      <c r="D60" s="6"/>
      <c r="E60" s="5"/>
      <c r="F60" s="5"/>
      <c r="G60" s="5"/>
    </row>
    <row r="61" ht="15.75" customHeight="1">
      <c r="B61" s="1"/>
      <c r="C61" s="1"/>
      <c r="D61" s="6"/>
      <c r="E61" s="5"/>
      <c r="F61" s="5"/>
      <c r="G61" s="5"/>
    </row>
    <row r="62" ht="15.75" customHeight="1">
      <c r="B62" s="1"/>
      <c r="C62" s="1"/>
      <c r="D62" s="6"/>
      <c r="E62" s="5"/>
      <c r="F62" s="5"/>
      <c r="G62" s="5"/>
    </row>
    <row r="63" ht="15.75" customHeight="1">
      <c r="B63" s="1"/>
      <c r="C63" s="1"/>
      <c r="D63" s="6"/>
      <c r="E63" s="5"/>
      <c r="F63" s="5"/>
      <c r="G63" s="5"/>
    </row>
    <row r="64" ht="15.75" customHeight="1">
      <c r="B64" s="1"/>
      <c r="C64" s="1"/>
      <c r="D64" s="6"/>
      <c r="E64" s="5"/>
      <c r="F64" s="5"/>
      <c r="G64" s="5"/>
    </row>
    <row r="65" ht="15.75" customHeight="1">
      <c r="B65" s="1"/>
      <c r="C65" s="1"/>
      <c r="D65" s="6"/>
      <c r="E65" s="5"/>
      <c r="F65" s="5"/>
      <c r="G65" s="5"/>
    </row>
    <row r="66" ht="15.75" customHeight="1">
      <c r="B66" s="1"/>
      <c r="C66" s="1"/>
      <c r="D66" s="6"/>
      <c r="E66" s="5"/>
      <c r="F66" s="5"/>
      <c r="G66" s="5"/>
    </row>
    <row r="67" ht="15.75" customHeight="1">
      <c r="B67" s="1"/>
      <c r="C67" s="1"/>
      <c r="D67" s="6"/>
      <c r="E67" s="5"/>
      <c r="F67" s="5"/>
      <c r="G67" s="5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