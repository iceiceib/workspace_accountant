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OP &amp; Purchases Tracker" sheetId="2" r:id="rId5"/>
    <sheet state="visible" name="Raw Material Tracker&gt;&gt;&gt;&gt;&gt;&gt;&gt;" sheetId="3" r:id="rId6"/>
    <sheet state="visible" name="12001" sheetId="4" r:id="rId7"/>
    <sheet state="visible" name="12002" sheetId="5" r:id="rId8"/>
    <sheet state="visible" name="12003" sheetId="6" r:id="rId9"/>
    <sheet state="visible" name="12004" sheetId="7" r:id="rId10"/>
    <sheet state="visible" name="12005" sheetId="8" r:id="rId11"/>
    <sheet state="visible" name="12006" sheetId="9" r:id="rId12"/>
    <sheet state="visible" name="12007" sheetId="10" r:id="rId13"/>
    <sheet state="visible" name="12008" sheetId="11" r:id="rId14"/>
    <sheet state="visible" name="12009" sheetId="12" r:id="rId15"/>
    <sheet state="visible" name="12010" sheetId="13" r:id="rId16"/>
    <sheet state="visible" name="12011" sheetId="14" r:id="rId17"/>
    <sheet state="visible" name="12012" sheetId="15" r:id="rId18"/>
    <sheet state="visible" name="12013" sheetId="16" r:id="rId19"/>
    <sheet state="visible" name="12014" sheetId="17" r:id="rId20"/>
    <sheet state="visible" name="12015" sheetId="18" r:id="rId21"/>
    <sheet state="visible" name="12016" sheetId="19" r:id="rId22"/>
    <sheet state="visible" name="12017" sheetId="20" r:id="rId23"/>
    <sheet state="visible" name="12018" sheetId="21" r:id="rId24"/>
    <sheet state="visible" name="Opening Balance &gt;&gt;&gt;&gt;&gt;&gt;" sheetId="22" r:id="rId25"/>
    <sheet state="visible" name="OBR_Feb_2025" sheetId="23" r:id="rId26"/>
    <sheet state="visible" name="OBR_Mar_2025" sheetId="24" r:id="rId27"/>
    <sheet state="visible" name="OBR_April_2025" sheetId="25" r:id="rId28"/>
    <sheet state="visible" name="OBR_May_2025" sheetId="26" r:id="rId29"/>
    <sheet state="visible" name="OBR_June_2025" sheetId="27" r:id="rId30"/>
    <sheet state="visible" name="OBR_July_2025" sheetId="28" r:id="rId31"/>
    <sheet state="visible" name="OBR_Aug_2025" sheetId="29" r:id="rId32"/>
    <sheet state="visible" name="OBR_Sept_2025" sheetId="30" r:id="rId33"/>
    <sheet state="visible" name="OBR_Oct_2025" sheetId="31" r:id="rId34"/>
    <sheet state="visible" name="OBR_Nov_2025" sheetId="32" r:id="rId35"/>
  </sheets>
  <definedNames/>
  <calcPr/>
  <extLst>
    <ext uri="GoogleSheetsCustomDataVersion2">
      <go:sheetsCustomData xmlns:go="http://customooxmlschemas.google.com/" r:id="rId36" roundtripDataChecksum="9Ps1A16VDHUUbRbZ5JeEdKUqyJ8wyGFNUO2T82mDJ0g="/>
    </ext>
  </extLst>
</workbook>
</file>

<file path=xl/sharedStrings.xml><?xml version="1.0" encoding="utf-8"?>
<sst xmlns="http://schemas.openxmlformats.org/spreadsheetml/2006/main" count="743" uniqueCount="44">
  <si>
    <t>Live Dashboard</t>
  </si>
  <si>
    <t>Total Stock Value Before Production</t>
  </si>
  <si>
    <t>Total Closing Stock Value</t>
  </si>
  <si>
    <t>Total Cost of Production</t>
  </si>
  <si>
    <t>Inventory Code</t>
  </si>
  <si>
    <t>Raw Material Name</t>
  </si>
  <si>
    <t>Unit Measure</t>
  </si>
  <si>
    <t>Latest Stock Date</t>
  </si>
  <si>
    <t>Total Stock Before Production</t>
  </si>
  <si>
    <t>Total Stock Value 
Before Production (MMK)</t>
  </si>
  <si>
    <t xml:space="preserve">Ground Stock </t>
  </si>
  <si>
    <t>Weighted Average Cost Per Unit (MMK)</t>
  </si>
  <si>
    <t>Stock Units Used in Production</t>
  </si>
  <si>
    <t>Closing Stock Value 
(MMK)</t>
  </si>
  <si>
    <t>Cost of Production</t>
  </si>
  <si>
    <t>Status</t>
  </si>
  <si>
    <t>pack</t>
  </si>
  <si>
    <t>In stock</t>
  </si>
  <si>
    <t>Bag</t>
  </si>
  <si>
    <t>gram</t>
  </si>
  <si>
    <t>Bottles</t>
  </si>
  <si>
    <t>bag</t>
  </si>
  <si>
    <t>Purchase Quantity</t>
  </si>
  <si>
    <t>Total Cost ( Purchase + Carriage Inward)</t>
  </si>
  <si>
    <t>Weighted  Average Unit Cost</t>
  </si>
  <si>
    <t>Period</t>
  </si>
  <si>
    <t>Raw Material Tracker &gt;&gt;&gt;&gt;&gt;&gt;&gt;&gt;&gt;&gt;&gt;&gt;</t>
  </si>
  <si>
    <t>Received Date</t>
  </si>
  <si>
    <t>Particular</t>
  </si>
  <si>
    <t>Opening Stock</t>
  </si>
  <si>
    <t xml:space="preserve">Unit Cost </t>
  </si>
  <si>
    <t>Total Cost (Purchase + Carriage Inward)</t>
  </si>
  <si>
    <t>WAC per Unit</t>
  </si>
  <si>
    <t>Used in Production</t>
  </si>
  <si>
    <t>Ground Stock</t>
  </si>
  <si>
    <t>Closing Inventory Value</t>
  </si>
  <si>
    <t>Purchase Cost Per Unit (MMK)</t>
  </si>
  <si>
    <t>Total Stock Value 
(MMK)</t>
  </si>
  <si>
    <t>As of Date</t>
  </si>
  <si>
    <t>Sold out</t>
  </si>
  <si>
    <t>Total Stock Value</t>
  </si>
  <si>
    <t>Changes in Stock</t>
  </si>
  <si>
    <t>Changes in Unit Price</t>
  </si>
  <si>
    <t>Weighted Average Cost per Unit (MMK)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</si>
</sst>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MMK ]#,##0"/>
    <numFmt numFmtId="165" formatCode="#,##0.0"/>
    <numFmt numFmtId="166" formatCode="d&quot;/&quot;m&quot;/&quot;yyyy"/>
    <numFmt numFmtId="167" formatCode="d/m/yyyy"/>
    <numFmt numFmtId="168" formatCode="#,##0.0000000000000"/>
    <numFmt numFmtId="169" formatCode="D/M/YYYY"/>
    <numFmt numFmtId="170" formatCode="0.000"/>
    <numFmt numFmtId="171" formatCode="0.0%"/>
  </numFmts>
  <fonts count="12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rgb="FF434343"/>
      <name val="Roboto"/>
    </font>
    <font>
      <color rgb="FF4A86E8"/>
      <name val="Roboto"/>
    </font>
    <font>
      <color rgb="FF0000FF"/>
      <name val="Arial"/>
    </font>
    <font>
      <color rgb="FFFFFFFF"/>
      <name val="Arial"/>
    </font>
    <font/>
    <font>
      <sz val="36.0"/>
      <color theme="1"/>
      <name val="Arial"/>
    </font>
    <font>
      <color rgb="FF4A86E8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  <fill>
      <patternFill patternType="solid">
        <fgColor rgb="FFF7CB4D"/>
        <bgColor rgb="FFF7CB4D"/>
      </patternFill>
    </fill>
    <fill>
      <patternFill patternType="solid">
        <fgColor rgb="FFFF0000"/>
        <bgColor rgb="FFFF0000"/>
      </patternFill>
    </fill>
    <fill>
      <patternFill patternType="solid">
        <fgColor rgb="FF5B95F9"/>
        <bgColor rgb="FF5B95F9"/>
      </patternFill>
    </fill>
    <fill>
      <patternFill patternType="solid">
        <fgColor rgb="FFF46524"/>
        <bgColor rgb="FFF46524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1" numFmtId="0" xfId="0" applyFill="1" applyFont="1"/>
    <xf borderId="0" fillId="0" fontId="1" numFmtId="0" xfId="0" applyFont="1"/>
    <xf borderId="1" fillId="0" fontId="3" numFmtId="164" xfId="0" applyBorder="1" applyFont="1" applyNumberFormat="1"/>
    <xf borderId="0" fillId="0" fontId="4" numFmtId="0" xfId="0" applyFont="1"/>
    <xf borderId="1" fillId="0" fontId="4" numFmtId="165" xfId="0" applyBorder="1" applyFont="1" applyNumberFormat="1"/>
    <xf borderId="1" fillId="0" fontId="4" numFmtId="4" xfId="0" applyBorder="1" applyFont="1" applyNumberFormat="1"/>
    <xf borderId="0" fillId="0" fontId="1" numFmtId="4" xfId="0" applyFont="1" applyNumberForma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49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166" xfId="0" applyAlignment="1" applyBorder="1" applyFont="1" applyNumberFormat="1">
      <alignment shrinkToFit="0" vertical="center" wrapText="0"/>
    </xf>
    <xf borderId="3" fillId="0" fontId="1" numFmtId="4" xfId="0" applyAlignment="1" applyBorder="1" applyFont="1" applyNumberFormat="1">
      <alignment shrinkToFit="0" vertical="center" wrapText="0"/>
    </xf>
    <xf borderId="4" fillId="3" fontId="5" numFmtId="3" xfId="0" applyAlignment="1" applyBorder="1" applyFill="1" applyFont="1" applyNumberFormat="1">
      <alignment horizontal="right" shrinkToFit="0" vertical="center" wrapText="0"/>
    </xf>
    <xf borderId="4" fillId="3" fontId="6" numFmtId="165" xfId="0" applyAlignment="1" applyBorder="1" applyFont="1" applyNumberFormat="1">
      <alignment shrinkToFit="0" vertical="center" wrapText="0"/>
    </xf>
    <xf borderId="3" fillId="0" fontId="1" numFmtId="165" xfId="0" applyAlignment="1" applyBorder="1" applyFont="1" applyNumberFormat="1">
      <alignment shrinkToFit="0" vertical="center" wrapText="0"/>
    </xf>
    <xf borderId="3" fillId="0" fontId="1" numFmtId="3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7" fillId="3" fontId="5" numFmtId="3" xfId="0" applyAlignment="1" applyBorder="1" applyFont="1" applyNumberFormat="1">
      <alignment horizontal="right" shrinkToFit="0" vertical="center" wrapText="0"/>
    </xf>
    <xf borderId="7" fillId="3" fontId="6" numFmtId="165" xfId="0" applyAlignment="1" applyBorder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0" fillId="0" fontId="1" numFmtId="49" xfId="0" applyFont="1" applyNumberFormat="1"/>
    <xf borderId="0" fillId="0" fontId="7" numFmtId="165" xfId="0" applyAlignment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49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3" fontId="5" numFmtId="3" xfId="0" applyAlignment="1" applyBorder="1" applyFont="1" applyNumberFormat="1">
      <alignment horizontal="right" shrinkToFit="0" vertical="center" wrapText="0"/>
    </xf>
    <xf borderId="11" fillId="3" fontId="6" numFmtId="165" xfId="0" applyAlignment="1" applyBorder="1" applyFont="1" applyNumberFormat="1">
      <alignment shrinkToFit="0" vertical="center" wrapText="0"/>
    </xf>
    <xf borderId="10" fillId="0" fontId="1" numFmtId="165" xfId="0" applyAlignment="1" applyBorder="1" applyFont="1" applyNumberFormat="1">
      <alignment shrinkToFit="0" vertical="center" wrapText="0"/>
    </xf>
    <xf borderId="10" fillId="0" fontId="1" numFmtId="4" xfId="0" applyAlignment="1" applyBorder="1" applyFont="1" applyNumberForma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165" xfId="0" applyAlignment="1" applyFont="1" applyNumberFormat="1">
      <alignment vertical="bottom"/>
    </xf>
    <xf borderId="0" fillId="4" fontId="1" numFmtId="165" xfId="0" applyAlignment="1" applyFont="1" applyNumberFormat="1">
      <alignment vertical="bottom"/>
    </xf>
    <xf borderId="0" fillId="5" fontId="1" numFmtId="0" xfId="0" applyAlignment="1" applyFill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4" fontId="8" numFmtId="0" xfId="0" applyAlignment="1" applyFont="1">
      <alignment horizontal="center" vertical="bottom"/>
    </xf>
    <xf borderId="10" fillId="6" fontId="8" numFmtId="0" xfId="0" applyAlignment="1" applyBorder="1" applyFill="1" applyFont="1">
      <alignment horizontal="center" vertical="bottom"/>
    </xf>
    <xf borderId="10" fillId="0" fontId="9" numFmtId="0" xfId="0" applyBorder="1" applyFont="1"/>
    <xf borderId="10" fillId="7" fontId="1" numFmtId="0" xfId="0" applyAlignment="1" applyBorder="1" applyFill="1" applyFont="1">
      <alignment horizontal="center" vertical="bottom"/>
    </xf>
    <xf borderId="10" fillId="8" fontId="1" numFmtId="0" xfId="0" applyAlignment="1" applyBorder="1" applyFill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7" fontId="1" numFmtId="0" xfId="0" applyAlignment="1" applyFont="1">
      <alignment vertical="bottom"/>
    </xf>
    <xf borderId="0" fillId="4" fontId="8" numFmtId="0" xfId="0" applyAlignment="1" applyFont="1">
      <alignment horizontal="right" shrinkToFit="0" vertical="bottom" wrapText="1"/>
    </xf>
    <xf borderId="0" fillId="6" fontId="8" numFmtId="0" xfId="0" applyAlignment="1" applyFont="1">
      <alignment horizontal="right" shrinkToFit="0" vertical="bottom" wrapText="1"/>
    </xf>
    <xf borderId="0" fillId="7" fontId="1" numFmtId="0" xfId="0" applyAlignment="1" applyFont="1">
      <alignment horizontal="right" shrinkToFit="0" vertical="bottom" wrapText="1"/>
    </xf>
    <xf borderId="0" fillId="7" fontId="1" numFmtId="49" xfId="0" applyAlignment="1" applyFont="1" applyNumberFormat="1">
      <alignment horizontal="right" shrinkToFit="0" vertical="bottom" wrapText="1"/>
    </xf>
    <xf borderId="0" fillId="5" fontId="1" numFmtId="0" xfId="0" applyAlignment="1" applyFont="1">
      <alignment horizontal="right" vertical="bottom"/>
    </xf>
    <xf borderId="0" fillId="9" fontId="8" numFmtId="0" xfId="0" applyAlignment="1" applyFill="1" applyFont="1">
      <alignment horizontal="right" shrinkToFit="0" vertical="bottom" wrapText="1"/>
    </xf>
    <xf borderId="0" fillId="10" fontId="1" numFmtId="0" xfId="0" applyAlignment="1" applyFill="1" applyFont="1">
      <alignment horizontal="right" vertical="bottom"/>
    </xf>
    <xf borderId="0" fillId="4" fontId="1" numFmtId="0" xfId="0" applyAlignment="1" applyFont="1">
      <alignment horizontal="right" vertical="bottom"/>
    </xf>
    <xf borderId="0" fillId="11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7" xfId="0" applyFont="1" applyNumberFormat="1"/>
    <xf borderId="0" fillId="7" fontId="1" numFmtId="165" xfId="0" applyAlignment="1" applyFont="1" applyNumberFormat="1">
      <alignment shrinkToFit="0" vertical="bottom" wrapText="1"/>
    </xf>
    <xf borderId="0" fillId="4" fontId="1" numFmtId="165" xfId="0" applyAlignment="1" applyFont="1" applyNumberFormat="1">
      <alignment shrinkToFit="0" vertical="bottom" wrapText="1"/>
    </xf>
    <xf borderId="0" fillId="4" fontId="1" numFmtId="4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" numFmtId="3" xfId="0" applyFont="1" applyNumberFormat="1"/>
    <xf borderId="0" fillId="7" fontId="1" numFmtId="0" xfId="0" applyAlignment="1" applyFont="1">
      <alignment shrinkToFit="0" vertical="bottom" wrapText="1"/>
    </xf>
    <xf borderId="0" fillId="0" fontId="1" numFmtId="168" xfId="0" applyAlignment="1" applyFont="1" applyNumberFormat="1">
      <alignment vertical="bottom"/>
    </xf>
    <xf borderId="0" fillId="4" fontId="1" numFmtId="0" xfId="0" applyAlignment="1" applyFont="1">
      <alignment shrinkToFit="0" vertical="bottom" wrapText="1"/>
    </xf>
    <xf borderId="0" fillId="0" fontId="10" numFmtId="0" xfId="0" applyFont="1"/>
    <xf borderId="0" fillId="0" fontId="7" numFmtId="3" xfId="0" applyAlignment="1" applyFont="1" applyNumberFormat="1">
      <alignment shrinkToFit="0" vertical="center" wrapText="0"/>
    </xf>
    <xf borderId="0" fillId="11" fontId="1" numFmtId="4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" numFmtId="169" xfId="0" applyFont="1" applyNumberFormat="1"/>
    <xf borderId="0" fillId="11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horizontal="right" shrinkToFit="0" vertical="center" wrapText="1"/>
    </xf>
    <xf borderId="0" fillId="0" fontId="1" numFmtId="165" xfId="0" applyFont="1" applyNumberFormat="1"/>
    <xf borderId="0" fillId="0" fontId="7" numFmtId="4" xfId="0" applyAlignment="1" applyFont="1" applyNumberFormat="1">
      <alignment shrinkToFit="0" vertical="center" wrapText="0"/>
    </xf>
    <xf borderId="0" fillId="0" fontId="11" numFmtId="3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7" numFmtId="170" xfId="0" applyAlignment="1" applyFont="1" applyNumberForma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wrapText="1"/>
    </xf>
    <xf borderId="1" fillId="12" fontId="1" numFmtId="0" xfId="0" applyAlignment="1" applyBorder="1" applyFill="1" applyFont="1">
      <alignment horizontal="left" shrinkToFit="0" wrapText="1"/>
    </xf>
    <xf borderId="1" fillId="12" fontId="1" numFmtId="4" xfId="0" applyAlignment="1" applyBorder="1" applyFont="1" applyNumberFormat="1">
      <alignment horizontal="left" shrinkToFit="0" wrapText="1"/>
    </xf>
    <xf borderId="7" fillId="3" fontId="5" numFmtId="166" xfId="0" applyAlignment="1" applyBorder="1" applyFont="1" applyNumberFormat="1">
      <alignment horizontal="right" shrinkToFit="0" vertical="center" wrapText="0"/>
    </xf>
    <xf borderId="0" fillId="0" fontId="1" numFmtId="171" xfId="0" applyAlignment="1" applyFont="1" applyNumberFormat="1">
      <alignment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</dxfs>
  <tableStyles count="33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Dashboard-style 2">
      <tableStyleElement dxfId="1" type="headerRow"/>
      <tableStyleElement dxfId="2" type="firstRowStripe"/>
      <tableStyleElement dxfId="3" type="secondRowStripe"/>
    </tableStyle>
    <tableStyle count="3" pivot="0" name="Dashboard-style 3">
      <tableStyleElement dxfId="4" type="headerRow"/>
      <tableStyleElement dxfId="2" type="firstRowStripe"/>
      <tableStyleElement dxfId="5" type="secondRowStripe"/>
    </tableStyle>
    <tableStyle count="3" pivot="0" name="COP &amp; Purchases Tracker-style">
      <tableStyleElement dxfId="1" type="headerRow"/>
      <tableStyleElement dxfId="2" type="firstRowStripe"/>
      <tableStyleElement dxfId="3" type="secondRowStripe"/>
    </tableStyle>
    <tableStyle count="3" pivot="0" name="COP &amp; Purchases Tracker-style 2">
      <tableStyleElement dxfId="1" type="headerRow"/>
      <tableStyleElement dxfId="2" type="firstRowStripe"/>
      <tableStyleElement dxfId="3" type="secondRowStripe"/>
    </tableStyle>
    <tableStyle count="3" pivot="0" name="12001-style">
      <tableStyleElement dxfId="6" type="headerRow"/>
      <tableStyleElement dxfId="2" type="firstRowStripe"/>
      <tableStyleElement dxfId="5" type="secondRowStripe"/>
    </tableStyle>
    <tableStyle count="3" pivot="0" name="12002-style">
      <tableStyleElement dxfId="6" type="headerRow"/>
      <tableStyleElement dxfId="2" type="firstRowStripe"/>
      <tableStyleElement dxfId="5" type="secondRowStripe"/>
    </tableStyle>
    <tableStyle count="3" pivot="0" name="12003-style">
      <tableStyleElement dxfId="6" type="headerRow"/>
      <tableStyleElement dxfId="2" type="firstRowStripe"/>
      <tableStyleElement dxfId="5" type="secondRowStripe"/>
    </tableStyle>
    <tableStyle count="3" pivot="0" name="12004-style">
      <tableStyleElement dxfId="6" type="headerRow"/>
      <tableStyleElement dxfId="2" type="firstRowStripe"/>
      <tableStyleElement dxfId="5" type="secondRowStripe"/>
    </tableStyle>
    <tableStyle count="3" pivot="0" name="12005-style">
      <tableStyleElement dxfId="6" type="headerRow"/>
      <tableStyleElement dxfId="2" type="firstRowStripe"/>
      <tableStyleElement dxfId="5" type="secondRowStripe"/>
    </tableStyle>
    <tableStyle count="3" pivot="0" name="12006-style">
      <tableStyleElement dxfId="6" type="headerRow"/>
      <tableStyleElement dxfId="2" type="firstRowStripe"/>
      <tableStyleElement dxfId="5" type="secondRowStripe"/>
    </tableStyle>
    <tableStyle count="3" pivot="0" name="12007-style">
      <tableStyleElement dxfId="6" type="headerRow"/>
      <tableStyleElement dxfId="2" type="firstRowStripe"/>
      <tableStyleElement dxfId="5" type="secondRowStripe"/>
    </tableStyle>
    <tableStyle count="3" pivot="0" name="12008-style">
      <tableStyleElement dxfId="6" type="headerRow"/>
      <tableStyleElement dxfId="2" type="firstRowStripe"/>
      <tableStyleElement dxfId="5" type="secondRowStripe"/>
    </tableStyle>
    <tableStyle count="3" pivot="0" name="12009-style">
      <tableStyleElement dxfId="6" type="headerRow"/>
      <tableStyleElement dxfId="2" type="firstRowStripe"/>
      <tableStyleElement dxfId="5" type="secondRowStripe"/>
    </tableStyle>
    <tableStyle count="3" pivot="0" name="12010-style">
      <tableStyleElement dxfId="6" type="headerRow"/>
      <tableStyleElement dxfId="2" type="firstRowStripe"/>
      <tableStyleElement dxfId="5" type="secondRowStripe"/>
    </tableStyle>
    <tableStyle count="3" pivot="0" name="12011-style">
      <tableStyleElement dxfId="6" type="headerRow"/>
      <tableStyleElement dxfId="2" type="firstRowStripe"/>
      <tableStyleElement dxfId="5" type="secondRowStripe"/>
    </tableStyle>
    <tableStyle count="3" pivot="0" name="12012-style">
      <tableStyleElement dxfId="6" type="headerRow"/>
      <tableStyleElement dxfId="2" type="firstRowStripe"/>
      <tableStyleElement dxfId="5" type="secondRowStripe"/>
    </tableStyle>
    <tableStyle count="3" pivot="0" name="12013-style">
      <tableStyleElement dxfId="6" type="headerRow"/>
      <tableStyleElement dxfId="2" type="firstRowStripe"/>
      <tableStyleElement dxfId="5" type="secondRowStripe"/>
    </tableStyle>
    <tableStyle count="3" pivot="0" name="12014-style">
      <tableStyleElement dxfId="6" type="headerRow"/>
      <tableStyleElement dxfId="2" type="firstRowStripe"/>
      <tableStyleElement dxfId="5" type="secondRowStripe"/>
    </tableStyle>
    <tableStyle count="3" pivot="0" name="12015-style">
      <tableStyleElement dxfId="6" type="headerRow"/>
      <tableStyleElement dxfId="2" type="firstRowStripe"/>
      <tableStyleElement dxfId="5" type="secondRowStripe"/>
    </tableStyle>
    <tableStyle count="3" pivot="0" name="12016-style">
      <tableStyleElement dxfId="6" type="headerRow"/>
      <tableStyleElement dxfId="2" type="firstRowStripe"/>
      <tableStyleElement dxfId="5" type="secondRowStripe"/>
    </tableStyle>
    <tableStyle count="3" pivot="0" name="12017-style">
      <tableStyleElement dxfId="6" type="headerRow"/>
      <tableStyleElement dxfId="2" type="firstRowStripe"/>
      <tableStyleElement dxfId="5" type="secondRowStripe"/>
    </tableStyle>
    <tableStyle count="3" pivot="0" name="12018-style">
      <tableStyleElement dxfId="6" type="headerRow"/>
      <tableStyleElement dxfId="2" type="firstRowStripe"/>
      <tableStyleElement dxfId="5" type="secondRowStripe"/>
    </tableStyle>
    <tableStyle count="3" pivot="0" name="OBR_Feb_2025-style">
      <tableStyleElement dxfId="6" type="headerRow"/>
      <tableStyleElement dxfId="2" type="firstRowStripe"/>
      <tableStyleElement dxfId="5" type="secondRowStripe"/>
    </tableStyle>
    <tableStyle count="3" pivot="0" name="OBR_Mar_2025-style">
      <tableStyleElement dxfId="6" type="headerRow"/>
      <tableStyleElement dxfId="2" type="firstRowStripe"/>
      <tableStyleElement dxfId="5" type="secondRowStripe"/>
    </tableStyle>
    <tableStyle count="3" pivot="0" name="OBR_April_2025-style">
      <tableStyleElement dxfId="6" type="headerRow"/>
      <tableStyleElement dxfId="2" type="firstRowStripe"/>
      <tableStyleElement dxfId="5" type="secondRowStripe"/>
    </tableStyle>
    <tableStyle count="3" pivot="0" name="OBR_May_2025-style">
      <tableStyleElement dxfId="6" type="headerRow"/>
      <tableStyleElement dxfId="2" type="firstRowStripe"/>
      <tableStyleElement dxfId="5" type="secondRowStripe"/>
    </tableStyle>
    <tableStyle count="3" pivot="0" name="OBR_June_2025-style">
      <tableStyleElement dxfId="6" type="headerRow"/>
      <tableStyleElement dxfId="2" type="firstRowStripe"/>
      <tableStyleElement dxfId="5" type="secondRowStripe"/>
    </tableStyle>
    <tableStyle count="3" pivot="0" name="OBR_July_2025-style">
      <tableStyleElement dxfId="6" type="headerRow"/>
      <tableStyleElement dxfId="2" type="firstRowStripe"/>
      <tableStyleElement dxfId="5" type="secondRowStripe"/>
    </tableStyle>
    <tableStyle count="3" pivot="0" name="OBR_Aug_2025-style">
      <tableStyleElement dxfId="6" type="headerRow"/>
      <tableStyleElement dxfId="2" type="firstRowStripe"/>
      <tableStyleElement dxfId="5" type="secondRowStripe"/>
    </tableStyle>
    <tableStyle count="3" pivot="0" name="OBR_Sept_2025-style">
      <tableStyleElement dxfId="6" type="headerRow"/>
      <tableStyleElement dxfId="2" type="firstRowStripe"/>
      <tableStyleElement dxfId="5" type="secondRowStripe"/>
    </tableStyle>
    <tableStyle count="3" pivot="0" name="OBR_Oct_2025-style">
      <tableStyleElement dxfId="6" type="headerRow"/>
      <tableStyleElement dxfId="2" type="firstRowStripe"/>
      <tableStyleElement dxfId="5" type="secondRowStripe"/>
    </tableStyle>
    <tableStyle count="3" pivot="0" name="OBR_Nov_2025-style">
      <tableStyleElement dxfId="6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Dashboard!$B$7:$B$24</c:f>
            </c:strRef>
          </c:cat>
          <c:val>
            <c:numRef>
              <c:f>Dashboard!$F$7:$F$24</c:f>
              <c:numCache/>
            </c:numRef>
          </c:val>
        </c:ser>
        <c:ser>
          <c:idx val="1"/>
          <c:order val="1"/>
          <c:cat>
            <c:strRef>
              <c:f>Dashboard!$B$7:$B$24</c:f>
            </c:strRef>
          </c:cat>
          <c:val>
            <c:numRef>
              <c:f>Dashboard!$K$6:$K$24</c:f>
              <c:numCache/>
            </c:numRef>
          </c:val>
        </c:ser>
        <c:ser>
          <c:idx val="2"/>
          <c:order val="2"/>
          <c:cat>
            <c:strRef>
              <c:f>Dashboard!$B$7:$B$24</c:f>
            </c:strRef>
          </c:cat>
          <c:val>
            <c:numRef>
              <c:f>Dashboard!$J$6:$J$24</c:f>
              <c:numCache/>
            </c:numRef>
          </c:val>
        </c:ser>
        <c:axId val="1971971452"/>
        <c:axId val="778087038"/>
      </c:barChart>
      <c:catAx>
        <c:axId val="1971971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8087038"/>
      </c:catAx>
      <c:valAx>
        <c:axId val="77808703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7197145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OBR_Mar_2025!$F$3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OBR_Mar_2025!$B$4:$B$21</c:f>
            </c:strRef>
          </c:cat>
          <c:val>
            <c:numRef>
              <c:f>OBR_Mar_2025!$F$4:$F$21</c:f>
              <c:numCache/>
            </c:numRef>
          </c:val>
        </c:ser>
        <c:axId val="1166298542"/>
        <c:axId val="1491032434"/>
      </c:barChart>
      <c:catAx>
        <c:axId val="1166298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91032434"/>
      </c:catAx>
      <c:valAx>
        <c:axId val="1491032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6629854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OBR_April_2025!$F$3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OBR_April_2025!$B$4:$B$21</c:f>
            </c:strRef>
          </c:cat>
          <c:val>
            <c:numRef>
              <c:f>OBR_April_2025!$F$4:$F$21</c:f>
              <c:numCache/>
            </c:numRef>
          </c:val>
        </c:ser>
        <c:axId val="573372347"/>
        <c:axId val="1925432398"/>
      </c:barChart>
      <c:catAx>
        <c:axId val="573372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5432398"/>
      </c:catAx>
      <c:valAx>
        <c:axId val="1925432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337234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OBR_May_2025!$F$3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OBR_May_2025!$B$4:$B$21</c:f>
            </c:strRef>
          </c:cat>
          <c:val>
            <c:numRef>
              <c:f>OBR_May_2025!$F$4:$F$21</c:f>
              <c:numCache/>
            </c:numRef>
          </c:val>
        </c:ser>
        <c:axId val="372186410"/>
        <c:axId val="726462208"/>
      </c:barChart>
      <c:catAx>
        <c:axId val="372186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6462208"/>
      </c:catAx>
      <c:valAx>
        <c:axId val="726462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218641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OBR_June_2025!$F$3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OBR_June_2025!$B$4:$B$21</c:f>
            </c:strRef>
          </c:cat>
          <c:val>
            <c:numRef>
              <c:f>OBR_June_2025!$F$4:$F$21</c:f>
              <c:numCache/>
            </c:numRef>
          </c:val>
        </c:ser>
        <c:axId val="213710159"/>
        <c:axId val="281944658"/>
      </c:barChart>
      <c:catAx>
        <c:axId val="21371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1944658"/>
      </c:catAx>
      <c:valAx>
        <c:axId val="281944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7101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OBR_July_2025!$F$3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OBR_July_2025!$B$4:$B$21</c:f>
            </c:strRef>
          </c:cat>
          <c:val>
            <c:numRef>
              <c:f>OBR_July_2025!$F$4:$F$21</c:f>
              <c:numCache/>
            </c:numRef>
          </c:val>
        </c:ser>
        <c:axId val="310335637"/>
        <c:axId val="1942488028"/>
      </c:barChart>
      <c:catAx>
        <c:axId val="310335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42488028"/>
      </c:catAx>
      <c:valAx>
        <c:axId val="1942488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1033563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OBR_Aug_2025!$F$3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OBR_Aug_2025!$B$4:$B$21</c:f>
            </c:strRef>
          </c:cat>
          <c:val>
            <c:numRef>
              <c:f>OBR_Aug_2025!$F$4:$F$21</c:f>
              <c:numCache/>
            </c:numRef>
          </c:val>
        </c:ser>
        <c:axId val="1299206803"/>
        <c:axId val="461845451"/>
      </c:barChart>
      <c:catAx>
        <c:axId val="1299206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1845451"/>
      </c:catAx>
      <c:valAx>
        <c:axId val="461845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920680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OBR_Sept_2025!$F$3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OBR_Sept_2025!$B$4:$B$21</c:f>
            </c:strRef>
          </c:cat>
          <c:val>
            <c:numRef>
              <c:f>OBR_Sept_2025!$F$4:$F$21</c:f>
              <c:numCache/>
            </c:numRef>
          </c:val>
        </c:ser>
        <c:axId val="977486708"/>
        <c:axId val="696316623"/>
      </c:barChart>
      <c:catAx>
        <c:axId val="977486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96316623"/>
      </c:catAx>
      <c:valAx>
        <c:axId val="696316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748670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OBR_Oct_2025!$F$3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OBR_Oct_2025!$B$4:$B$21</c:f>
            </c:strRef>
          </c:cat>
          <c:val>
            <c:numRef>
              <c:f>OBR_Oct_2025!$F$4:$F$21</c:f>
              <c:numCache/>
            </c:numRef>
          </c:val>
        </c:ser>
        <c:axId val="1011188699"/>
        <c:axId val="1149997868"/>
      </c:barChart>
      <c:catAx>
        <c:axId val="1011188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49997868"/>
      </c:catAx>
      <c:valAx>
        <c:axId val="1149997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1118869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OBR_Nov_2025!$F$3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OBR_Nov_2025!$B$4:$B$21</c:f>
            </c:strRef>
          </c:cat>
          <c:val>
            <c:numRef>
              <c:f>OBR_Nov_2025!$F$4:$F$21</c:f>
              <c:numCache/>
            </c:numRef>
          </c:val>
        </c:ser>
        <c:axId val="1746582260"/>
        <c:axId val="1083889704"/>
      </c:barChart>
      <c:catAx>
        <c:axId val="1746582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3889704"/>
      </c:catAx>
      <c:valAx>
        <c:axId val="1083889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65822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25</xdr:row>
      <xdr:rowOff>38100</xdr:rowOff>
    </xdr:from>
    <xdr:ext cx="17154525" cy="8648700"/>
    <xdr:graphicFrame>
      <xdr:nvGraphicFramePr>
        <xdr:cNvPr id="168154521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171450</xdr:rowOff>
    </xdr:from>
    <xdr:ext cx="12344400" cy="4695825"/>
    <xdr:graphicFrame>
      <xdr:nvGraphicFramePr>
        <xdr:cNvPr id="195052685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171450</xdr:rowOff>
    </xdr:from>
    <xdr:ext cx="12344400" cy="4695825"/>
    <xdr:graphicFrame>
      <xdr:nvGraphicFramePr>
        <xdr:cNvPr id="19585571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171450</xdr:rowOff>
    </xdr:from>
    <xdr:ext cx="12344400" cy="4695825"/>
    <xdr:graphicFrame>
      <xdr:nvGraphicFramePr>
        <xdr:cNvPr id="566844672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171450</xdr:rowOff>
    </xdr:from>
    <xdr:ext cx="12344400" cy="4695825"/>
    <xdr:graphicFrame>
      <xdr:nvGraphicFramePr>
        <xdr:cNvPr id="285043062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171450</xdr:rowOff>
    </xdr:from>
    <xdr:ext cx="12344400" cy="4695825"/>
    <xdr:graphicFrame>
      <xdr:nvGraphicFramePr>
        <xdr:cNvPr id="1324203154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171450</xdr:rowOff>
    </xdr:from>
    <xdr:ext cx="12344400" cy="4695825"/>
    <xdr:graphicFrame>
      <xdr:nvGraphicFramePr>
        <xdr:cNvPr id="625677330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171450</xdr:rowOff>
    </xdr:from>
    <xdr:ext cx="12344400" cy="4695825"/>
    <xdr:graphicFrame>
      <xdr:nvGraphicFramePr>
        <xdr:cNvPr id="1110930135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171450</xdr:rowOff>
    </xdr:from>
    <xdr:ext cx="12344400" cy="4695825"/>
    <xdr:graphicFrame>
      <xdr:nvGraphicFramePr>
        <xdr:cNvPr id="591216623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171450</xdr:rowOff>
    </xdr:from>
    <xdr:ext cx="12344400" cy="4695825"/>
    <xdr:graphicFrame>
      <xdr:nvGraphicFramePr>
        <xdr:cNvPr id="685764862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2:F3" displayName="Table_1" name="Table_1" id="1">
  <tableColumns count="1">
    <tableColumn name="Total Stock Value Before Production" id="1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I2:K3" displayName="Table_2" name="Table_2" id="2">
  <tableColumns count="3">
    <tableColumn name="Column1" id="1"/>
    <tableColumn name="Column2" id="2"/>
    <tableColumn name="Column3" id="3"/>
  </tableColumns>
  <tableStyleInfo name="Dashboar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6:L24" displayName="Table_3" name="Table_3" id="3">
  <tableColumns count="12">
    <tableColumn name="Inventory Code" id="1"/>
    <tableColumn name="Raw Material Name" id="2"/>
    <tableColumn name="Unit Measure" id="3"/>
    <tableColumn name="Latest Stock Date" id="4"/>
    <tableColumn name="Total Stock Before Production" id="5"/>
    <tableColumn name="Total Stock Value _x000a_Before Production (MMK)" id="6"/>
    <tableColumn name="Ground Stock " id="7"/>
    <tableColumn name="Weighted Average Cost Per Unit (MMK)" id="8"/>
    <tableColumn name="Stock Units Used in Production" id="9"/>
    <tableColumn name="Closing Stock Value _x000a_(MMK)" id="10"/>
    <tableColumn name="Cost of Production" id="11"/>
    <tableColumn name="Status" id="12"/>
  </tableColumns>
  <tableStyleInfo name="Dashboard-style 3" showColumnStripes="0" showFirstColumn="1" showLastColumn="1" showRowStripes="1"/>
</table>
</file>

<file path=xl/tables/table4.xml><?xml version="1.0" encoding="utf-8"?>
<table xmlns="http://schemas.openxmlformats.org/spreadsheetml/2006/main" ref="B5:B14" displayName="Table_4" name="Table_4" id="4">
  <tableColumns count="1">
    <tableColumn name="Period" id="1"/>
  </tableColumns>
  <tableStyleInfo name="COP &amp; Purchases Tracker-style" showColumnStripes="0" showFirstColumn="1" showLastColumn="1" showRowStripes="1"/>
</table>
</file>

<file path=xl/tables/table5.xml><?xml version="1.0" encoding="utf-8"?>
<table xmlns="http://schemas.openxmlformats.org/spreadsheetml/2006/main" headerRowCount="0" ref="C5:BG29" displayName="Table_5" name="Table_5" id="5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COP &amp; Purchases Track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L15" displayName="Table_6" name="Table_6" id="6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01-style" showColumnStripes="0" showFirstColumn="1" showLastColumn="1" showRowStripes="1"/>
</table>
</file>

<file path=xl/tables/table7.xml><?xml version="1.0" encoding="utf-8"?>
<table xmlns="http://schemas.openxmlformats.org/spreadsheetml/2006/main" ref="A1:L15" displayName="Table_7" name="Table_7" id="7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02-style" showColumnStripes="0" showFirstColumn="1" showLastColumn="1" showRowStripes="1"/>
</table>
</file>

<file path=xl/tables/table8.xml><?xml version="1.0" encoding="utf-8"?>
<table xmlns="http://schemas.openxmlformats.org/spreadsheetml/2006/main" ref="A1:L15" displayName="Table_8" name="Table_8" id="8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03-style" showColumnStripes="0" showFirstColumn="1" showLastColumn="1" showRowStripes="1"/>
</table>
</file>

<file path=xl/tables/table9.xml><?xml version="1.0" encoding="utf-8"?>
<table xmlns="http://schemas.openxmlformats.org/spreadsheetml/2006/main" ref="A1:L15" displayName="Table_9" name="Table_9" id="9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04-style" showColumnStripes="0" showFirstColumn="1" showLastColumn="1" showRowStripes="1"/>
</table>
</file>

<file path=xl/tables/table10.xml><?xml version="1.0" encoding="utf-8"?>
<table xmlns="http://schemas.openxmlformats.org/spreadsheetml/2006/main" ref="A1:L15" displayName="Table_10" name="Table_10" id="10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05-style" showColumnStripes="0" showFirstColumn="1" showLastColumn="1" showRowStripes="1"/>
</table>
</file>

<file path=xl/tables/table11.xml><?xml version="1.0" encoding="utf-8"?>
<table xmlns="http://schemas.openxmlformats.org/spreadsheetml/2006/main" ref="A1:L15" displayName="Table_11" name="Table_11" id="11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06-style" showColumnStripes="0" showFirstColumn="1" showLastColumn="1" showRowStripes="1"/>
</table>
</file>

<file path=xl/tables/table12.xml><?xml version="1.0" encoding="utf-8"?>
<table xmlns="http://schemas.openxmlformats.org/spreadsheetml/2006/main" ref="A1:L15" displayName="Table_12" name="Table_12" id="12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07-style" showColumnStripes="0" showFirstColumn="1" showLastColumn="1" showRowStripes="1"/>
</table>
</file>

<file path=xl/tables/table13.xml><?xml version="1.0" encoding="utf-8"?>
<table xmlns="http://schemas.openxmlformats.org/spreadsheetml/2006/main" ref="A1:L15" displayName="Table_13" name="Table_13" id="13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08-style" showColumnStripes="0" showFirstColumn="1" showLastColumn="1" showRowStripes="1"/>
</table>
</file>

<file path=xl/tables/table14.xml><?xml version="1.0" encoding="utf-8"?>
<table xmlns="http://schemas.openxmlformats.org/spreadsheetml/2006/main" ref="A1:L15" displayName="Table_14" name="Table_14" id="14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09-style" showColumnStripes="0" showFirstColumn="1" showLastColumn="1" showRowStripes="1"/>
</table>
</file>

<file path=xl/tables/table15.xml><?xml version="1.0" encoding="utf-8"?>
<table xmlns="http://schemas.openxmlformats.org/spreadsheetml/2006/main" ref="A1:L15" displayName="Table_15" name="Table_15" id="15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10-style" showColumnStripes="0" showFirstColumn="1" showLastColumn="1" showRowStripes="1"/>
</table>
</file>

<file path=xl/tables/table16.xml><?xml version="1.0" encoding="utf-8"?>
<table xmlns="http://schemas.openxmlformats.org/spreadsheetml/2006/main" ref="A1:L15" displayName="Table_16" name="Table_16" id="16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11-style" showColumnStripes="0" showFirstColumn="1" showLastColumn="1" showRowStripes="1"/>
</table>
</file>

<file path=xl/tables/table17.xml><?xml version="1.0" encoding="utf-8"?>
<table xmlns="http://schemas.openxmlformats.org/spreadsheetml/2006/main" ref="A1:L15" displayName="Table_17" name="Table_17" id="17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12-style" showColumnStripes="0" showFirstColumn="1" showLastColumn="1" showRowStripes="1"/>
</table>
</file>

<file path=xl/tables/table18.xml><?xml version="1.0" encoding="utf-8"?>
<table xmlns="http://schemas.openxmlformats.org/spreadsheetml/2006/main" ref="A1:L15" displayName="Table_18" name="Table_18" id="18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13-style" showColumnStripes="0" showFirstColumn="1" showLastColumn="1" showRowStripes="1"/>
</table>
</file>

<file path=xl/tables/table19.xml><?xml version="1.0" encoding="utf-8"?>
<table xmlns="http://schemas.openxmlformats.org/spreadsheetml/2006/main" ref="A1:L15" displayName="Table_19" name="Table_19" id="19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14-style" showColumnStripes="0" showFirstColumn="1" showLastColumn="1" showRowStripes="1"/>
</table>
</file>

<file path=xl/tables/table20.xml><?xml version="1.0" encoding="utf-8"?>
<table xmlns="http://schemas.openxmlformats.org/spreadsheetml/2006/main" ref="A1:L15" displayName="Table_20" name="Table_20" id="20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15-style" showColumnStripes="0" showFirstColumn="1" showLastColumn="1" showRowStripes="1"/>
</table>
</file>

<file path=xl/tables/table21.xml><?xml version="1.0" encoding="utf-8"?>
<table xmlns="http://schemas.openxmlformats.org/spreadsheetml/2006/main" ref="A1:L15" displayName="Table_21" name="Table_21" id="21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16-style" showColumnStripes="0" showFirstColumn="1" showLastColumn="1" showRowStripes="1"/>
</table>
</file>

<file path=xl/tables/table22.xml><?xml version="1.0" encoding="utf-8"?>
<table xmlns="http://schemas.openxmlformats.org/spreadsheetml/2006/main" ref="A1:L1015" displayName="Table_22" name="Table_22" id="22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17-style" showColumnStripes="0" showFirstColumn="1" showLastColumn="1" showRowStripes="1"/>
</table>
</file>

<file path=xl/tables/table23.xml><?xml version="1.0" encoding="utf-8"?>
<table xmlns="http://schemas.openxmlformats.org/spreadsheetml/2006/main" ref="A1:L1015" displayName="Table_23" name="Table_23" id="23">
  <tableColumns count="12">
    <tableColumn name="Received Date" id="1"/>
    <tableColumn name="Particular" id="2"/>
    <tableColumn name="Opening Stock" id="3"/>
    <tableColumn name="Purchase Quantity" id="4"/>
    <tableColumn name="Unit Cost " id="5"/>
    <tableColumn name="Total Cost (Purchase + Carriage Inward)" id="6"/>
    <tableColumn name="Total Stock Before Production" id="7"/>
    <tableColumn name="WAC per Unit" id="8"/>
    <tableColumn name="Used in Production" id="9"/>
    <tableColumn name="Ground Stock" id="10"/>
    <tableColumn name="Closing Inventory Value" id="11"/>
    <tableColumn name="Cost of Production" id="12"/>
  </tableColumns>
  <tableStyleInfo name="12018-style" showColumnStripes="0" showFirstColumn="1" showLastColumn="1" showRowStripes="1"/>
</table>
</file>

<file path=xl/tables/table24.xml><?xml version="1.0" encoding="utf-8"?>
<table xmlns="http://schemas.openxmlformats.org/spreadsheetml/2006/main" ref="A1:H19" displayName="Table_24" name="Table_24" id="24">
  <tableColumns count="8">
    <tableColumn name="Inventory Code" id="1"/>
    <tableColumn name="Raw Material Name" id="2"/>
    <tableColumn name="Unit Measure" id="3"/>
    <tableColumn name="Opening Stock" id="4"/>
    <tableColumn name="Purchase Cost Per Unit (MMK)" id="5"/>
    <tableColumn name="Total Stock Value _x000a_(MMK)" id="6"/>
    <tableColumn name="As of Date" id="7"/>
    <tableColumn name="Status" id="8"/>
  </tableColumns>
  <tableStyleInfo name="OBR_Feb_2025-style" showColumnStripes="0" showFirstColumn="1" showLastColumn="1" showRowStripes="1"/>
</table>
</file>

<file path=xl/tables/table25.xml><?xml version="1.0" encoding="utf-8"?>
<table xmlns="http://schemas.openxmlformats.org/spreadsheetml/2006/main" ref="A3:J21" displayName="Table_25" name="Table_25" id="25">
  <tableColumns count="10">
    <tableColumn name="Inventory Code" id="1"/>
    <tableColumn name="Raw Material Name" id="2"/>
    <tableColumn name="Unit Measure" id="3"/>
    <tableColumn name="Opening Stock" id="4"/>
    <tableColumn name="Weighted Average Cost Per Unit (MMK)" id="5"/>
    <tableColumn name="Total Stock Value _x000a_(MMK)" id="6"/>
    <tableColumn name="As of Date" id="7"/>
    <tableColumn name="Changes in Stock" id="8"/>
    <tableColumn name="Changes in Unit Price" id="9"/>
    <tableColumn name="Status" id="10"/>
  </tableColumns>
  <tableStyleInfo name="OBR_Mar_2025-style" showColumnStripes="0" showFirstColumn="1" showLastColumn="1" showRowStripes="1"/>
</table>
</file>

<file path=xl/tables/table26.xml><?xml version="1.0" encoding="utf-8"?>
<table xmlns="http://schemas.openxmlformats.org/spreadsheetml/2006/main" ref="A3:J21" displayName="Table_26" name="Table_26" id="26">
  <tableColumns count="10">
    <tableColumn name="Inventory Code" id="1"/>
    <tableColumn name="Raw Material Name" id="2"/>
    <tableColumn name="Unit Measure" id="3"/>
    <tableColumn name="Opening Stock" id="4"/>
    <tableColumn name="Weighted Average Cost per Unit (MMK)" id="5"/>
    <tableColumn name="Total Stock Value _x000a_(MMK)" id="6"/>
    <tableColumn name="As of Date" id="7"/>
    <tableColumn name="Changes in Stock" id="8"/>
    <tableColumn name="Changes in Unit Price" id="9"/>
    <tableColumn name="Status" id="10"/>
  </tableColumns>
  <tableStyleInfo name="OBR_April_2025-style" showColumnStripes="0" showFirstColumn="1" showLastColumn="1" showRowStripes="1"/>
</table>
</file>

<file path=xl/tables/table27.xml><?xml version="1.0" encoding="utf-8"?>
<table xmlns="http://schemas.openxmlformats.org/spreadsheetml/2006/main" ref="A3:J21" displayName="Table_27" name="Table_27" id="27">
  <tableColumns count="10">
    <tableColumn name="Inventory Code" id="1"/>
    <tableColumn name="Raw Material Name" id="2"/>
    <tableColumn name="Unit Measure" id="3"/>
    <tableColumn name="Opening Stock" id="4"/>
    <tableColumn name="Weighted Average Cost per Unit (MMK)" id="5"/>
    <tableColumn name="Total Stock Value _x000a_(MMK)" id="6"/>
    <tableColumn name="As of Date" id="7"/>
    <tableColumn name="Changes in Stock" id="8"/>
    <tableColumn name="Changes in Unit Price" id="9"/>
    <tableColumn name="Status" id="10"/>
  </tableColumns>
  <tableStyleInfo name="OBR_May_2025-style" showColumnStripes="0" showFirstColumn="1" showLastColumn="1" showRowStripes="1"/>
</table>
</file>

<file path=xl/tables/table28.xml><?xml version="1.0" encoding="utf-8"?>
<table xmlns="http://schemas.openxmlformats.org/spreadsheetml/2006/main" ref="A3:J21" displayName="Table_28" name="Table_28" id="28">
  <tableColumns count="10">
    <tableColumn name="Inventory Code" id="1"/>
    <tableColumn name="Raw Material Name" id="2"/>
    <tableColumn name="Unit Measure" id="3"/>
    <tableColumn name="Opening Stock" id="4"/>
    <tableColumn name="Weighted Average Cost per Unit (MMK)" id="5"/>
    <tableColumn name="Total Stock Value _x000a_(MMK)" id="6"/>
    <tableColumn name="As of Date" id="7"/>
    <tableColumn name="Changes in Stock" id="8"/>
    <tableColumn name="Changes in Unit Price" id="9"/>
    <tableColumn name="Status" id="10"/>
  </tableColumns>
  <tableStyleInfo name="OBR_June_2025-style" showColumnStripes="0" showFirstColumn="1" showLastColumn="1" showRowStripes="1"/>
</table>
</file>

<file path=xl/tables/table29.xml><?xml version="1.0" encoding="utf-8"?>
<table xmlns="http://schemas.openxmlformats.org/spreadsheetml/2006/main" ref="A3:J21" displayName="Table_29" name="Table_29" id="29">
  <tableColumns count="10">
    <tableColumn name="Inventory Code" id="1"/>
    <tableColumn name="Raw Material Name" id="2"/>
    <tableColumn name="Unit Measure" id="3"/>
    <tableColumn name="Opening Stock" id="4"/>
    <tableColumn name="Weighted Average Cost per Unit (MMK)" id="5"/>
    <tableColumn name="Total Stock Value _x000a_(MMK)" id="6"/>
    <tableColumn name="As of Date" id="7"/>
    <tableColumn name="Changes in Stock" id="8"/>
    <tableColumn name="Changes in Unit Price" id="9"/>
    <tableColumn name="Status" id="10"/>
  </tableColumns>
  <tableStyleInfo name="OBR_July_2025-style" showColumnStripes="0" showFirstColumn="1" showLastColumn="1" showRowStripes="1"/>
</table>
</file>

<file path=xl/tables/table30.xml><?xml version="1.0" encoding="utf-8"?>
<table xmlns="http://schemas.openxmlformats.org/spreadsheetml/2006/main" ref="A3:J21" displayName="Table_30" name="Table_30" id="30">
  <tableColumns count="10">
    <tableColumn name="Inventory Code" id="1"/>
    <tableColumn name="Raw Material Name" id="2"/>
    <tableColumn name="Unit Measure" id="3"/>
    <tableColumn name="Opening Stock" id="4"/>
    <tableColumn name="Weighted Average Cost per Unit (MMK)" id="5"/>
    <tableColumn name="Total Stock Value _x000a_(MMK)" id="6"/>
    <tableColumn name="As of Date" id="7"/>
    <tableColumn name="Changes in Stock" id="8"/>
    <tableColumn name="Changes in Unit Price" id="9"/>
    <tableColumn name="Status" id="10"/>
  </tableColumns>
  <tableStyleInfo name="OBR_Aug_2025-style" showColumnStripes="0" showFirstColumn="1" showLastColumn="1" showRowStripes="1"/>
</table>
</file>

<file path=xl/tables/table31.xml><?xml version="1.0" encoding="utf-8"?>
<table xmlns="http://schemas.openxmlformats.org/spreadsheetml/2006/main" ref="A3:J21" displayName="Table_31" name="Table_31" id="31">
  <tableColumns count="10">
    <tableColumn name="Inventory Code" id="1"/>
    <tableColumn name="Raw Material Name" id="2"/>
    <tableColumn name="Unit Measure" id="3"/>
    <tableColumn name="Opening Stock" id="4"/>
    <tableColumn name="Weighted Average Cost per Unit (MMK)" id="5"/>
    <tableColumn name="Total Stock Value _x000a_(MMK)" id="6"/>
    <tableColumn name="As of Date" id="7"/>
    <tableColumn name="Changes in Stock" id="8"/>
    <tableColumn name="Changes in Unit Price" id="9"/>
    <tableColumn name="Status" id="10"/>
  </tableColumns>
  <tableStyleInfo name="OBR_Sept_2025-style" showColumnStripes="0" showFirstColumn="1" showLastColumn="1" showRowStripes="1"/>
</table>
</file>

<file path=xl/tables/table32.xml><?xml version="1.0" encoding="utf-8"?>
<table xmlns="http://schemas.openxmlformats.org/spreadsheetml/2006/main" ref="A3:J21" displayName="Table_32" name="Table_32" id="32">
  <tableColumns count="10">
    <tableColumn name="Inventory Code" id="1"/>
    <tableColumn name="Raw Material Name" id="2"/>
    <tableColumn name="Unit Measure" id="3"/>
    <tableColumn name="Opening Stock" id="4"/>
    <tableColumn name="Weighted Average Cost per Unit (MMK)" id="5"/>
    <tableColumn name="Total Stock Value _x000a_(MMK)" id="6"/>
    <tableColumn name="As of Date" id="7"/>
    <tableColumn name="Changes in Stock" id="8"/>
    <tableColumn name="Changes in Unit Price" id="9"/>
    <tableColumn name="Status" id="10"/>
  </tableColumns>
  <tableStyleInfo name="OBR_Oct_2025-style" showColumnStripes="0" showFirstColumn="1" showLastColumn="1" showRowStripes="1"/>
</table>
</file>

<file path=xl/tables/table33.xml><?xml version="1.0" encoding="utf-8"?>
<table xmlns="http://schemas.openxmlformats.org/spreadsheetml/2006/main" ref="A3:J21" displayName="Table_33" name="Table_33" id="33">
  <tableColumns count="10">
    <tableColumn name="Inventory Code" id="1"/>
    <tableColumn name="Raw Material Name" id="2"/>
    <tableColumn name="Unit Measure" id="3"/>
    <tableColumn name="Opening Stock" id="4"/>
    <tableColumn name="Weighted Average Cost per Unit (MMK)" id="5"/>
    <tableColumn name="Total Stock Value _x000a_(MMK)" id="6"/>
    <tableColumn name="As of Date" id="7"/>
    <tableColumn name="Changes in Stock" id="8"/>
    <tableColumn name="Changes in Unit Price" id="9"/>
    <tableColumn name="Status" id="10"/>
  </tableColumns>
  <tableStyleInfo name="OBR_Nov_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5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6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7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8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9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30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1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2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9.88"/>
    <col customWidth="1" min="3" max="3" width="10.75"/>
    <col customWidth="1" min="4" max="4" width="16.13"/>
    <col customWidth="1" min="5" max="5" width="19.88"/>
    <col customWidth="1" min="6" max="6" width="28.75"/>
    <col customWidth="1" min="7" max="12" width="19.88"/>
  </cols>
  <sheetData>
    <row r="1" ht="15.75" customHeight="1"/>
    <row r="2" ht="15.75" customHeight="1">
      <c r="A2" s="1" t="s">
        <v>0</v>
      </c>
      <c r="B2" s="1" t="str">
        <f>TEXT(D7,"MMMM-YY")</f>
        <v>#REF!</v>
      </c>
      <c r="F2" s="2" t="s">
        <v>1</v>
      </c>
      <c r="I2" s="3"/>
      <c r="J2" s="4" t="s">
        <v>2</v>
      </c>
      <c r="K2" s="4" t="s">
        <v>3</v>
      </c>
    </row>
    <row r="3" ht="15.75" customHeight="1">
      <c r="F3" s="5" t="str">
        <f>SUM(Dashboard!$F$7:$F$24)</f>
        <v>#REF!</v>
      </c>
      <c r="I3" s="6"/>
      <c r="J3" s="7" t="str">
        <f>SUM(Dashboard!$J$7:$J$24)</f>
        <v>#REF!</v>
      </c>
      <c r="K3" s="8" t="str">
        <f>SUM(Dashboard!$K$7:$K$24)</f>
        <v>#REF!</v>
      </c>
      <c r="M3" s="9"/>
    </row>
    <row r="4" ht="15.75" customHeight="1"/>
    <row r="5" ht="15.75" customHeight="1"/>
    <row r="6" ht="41.25" customHeight="1">
      <c r="A6" s="10" t="s">
        <v>4</v>
      </c>
      <c r="B6" s="10" t="s">
        <v>5</v>
      </c>
      <c r="C6" s="11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</row>
    <row r="7" ht="22.5" customHeight="1">
      <c r="A7" s="12" t="str">
        <f>OBR_Feb_2025!A2</f>
        <v>#REF!</v>
      </c>
      <c r="B7" s="13" t="str">
        <f>OBR_Feb_2025!B2</f>
        <v>#REF!</v>
      </c>
      <c r="C7" s="14" t="s">
        <v>16</v>
      </c>
      <c r="D7" s="15" t="str">
        <f t="array" ref="D7">IFNA((MAX(INDIRECT(A7&amp;"!"&amp;"A:A"))),OBR_Aug_2025!G4)</f>
        <v>#REF!</v>
      </c>
      <c r="E7" s="16" t="str">
        <f t="array" ref="E7">IF(D7=OBR_Aug_2025!G4,OBR_Aug_2025!D4, SUMIF(INDIRECT(A7&amp;"!"&amp;"A:A"),D7,INDIRECT(A7&amp;"!"&amp;"G:G")))</f>
        <v>#REF!</v>
      </c>
      <c r="F7" s="17" t="str">
        <f t="shared" ref="F7:F24" si="1">E7*H7</f>
        <v>#REF!</v>
      </c>
      <c r="G7" s="18">
        <f>'12001'!J11</f>
        <v>114</v>
      </c>
      <c r="H7" s="17" t="str">
        <f t="array" ref="H7">IF(D7=OBR_May_2025!G2,OBR_May_2025!E2, SUMIF(INDIRECT(A7&amp;"!"&amp;"A:A"),D7,INDIRECT(A7&amp;"!"&amp;"H:H")))</f>
        <v>#REF!</v>
      </c>
      <c r="I7" s="19" t="str">
        <f t="shared" ref="I7:I24" si="2">E7-G7</f>
        <v>#REF!</v>
      </c>
      <c r="J7" s="20" t="str">
        <f t="shared" ref="J7:J24" si="3">G7*H7</f>
        <v>#REF!</v>
      </c>
      <c r="K7" s="16" t="str">
        <f t="shared" ref="K7:K24" si="4">F7-J7</f>
        <v>#REF!</v>
      </c>
      <c r="L7" s="21" t="s">
        <v>17</v>
      </c>
      <c r="N7" s="1" t="str">
        <f t="shared" ref="N7:N24" si="5">MONTH(D7)=10</f>
        <v>#REF!</v>
      </c>
    </row>
    <row r="8" ht="22.5" customHeight="1">
      <c r="A8" s="22" t="str">
        <f>OBR_Feb_2025!A3</f>
        <v/>
      </c>
      <c r="B8" s="23" t="str">
        <f>OBR_Feb_2025!B3</f>
        <v/>
      </c>
      <c r="C8" s="24" t="s">
        <v>18</v>
      </c>
      <c r="D8" s="25" t="str">
        <f t="array" ref="D8">IFNA((MAX(INDIRECT(A8&amp;"!"&amp;"A:A"))),OBR_May_2025!G5)</f>
        <v>#REF!</v>
      </c>
      <c r="E8" s="26" t="str">
        <f t="array" ref="E8">IF(D8=OBR_Aug_2025!G5,OBR_Aug_2025!D5, SUMIF(INDIRECT(A8&amp;"!"&amp;"A:A"),D8,INDIRECT(A8&amp;"!"&amp;"G:G")))</f>
        <v>#REF!</v>
      </c>
      <c r="F8" s="27" t="str">
        <f t="shared" si="1"/>
        <v>#REF!</v>
      </c>
      <c r="G8" s="28">
        <f>'12002'!J11</f>
        <v>7.32</v>
      </c>
      <c r="H8" s="27" t="str">
        <f t="array" ref="H8">IF(D8=OBR_May_2025!G3,OBR_May_2025!E3, SUMIF(INDIRECT(A8&amp;"!"&amp;"A:A"),D8,INDIRECT(A8&amp;"!"&amp;"H:H")))</f>
        <v>#REF!</v>
      </c>
      <c r="I8" s="29" t="str">
        <f t="shared" si="2"/>
        <v>#REF!</v>
      </c>
      <c r="J8" s="30" t="str">
        <f t="shared" si="3"/>
        <v>#REF!</v>
      </c>
      <c r="K8" s="26" t="str">
        <f t="shared" si="4"/>
        <v>#REF!</v>
      </c>
      <c r="L8" s="31" t="s">
        <v>17</v>
      </c>
      <c r="N8" s="1" t="str">
        <f t="shared" si="5"/>
        <v>#REF!</v>
      </c>
    </row>
    <row r="9" ht="22.5" customHeight="1">
      <c r="A9" s="22" t="str">
        <f>OBR_Feb_2025!A4</f>
        <v/>
      </c>
      <c r="B9" s="23" t="str">
        <f>OBR_Feb_2025!B4</f>
        <v/>
      </c>
      <c r="C9" s="24" t="s">
        <v>18</v>
      </c>
      <c r="D9" s="25" t="str">
        <f t="array" ref="D9">IFNA((MAX(INDIRECT(A9&amp;"!"&amp;"A:A"))),OBR_May_2025!G6)</f>
        <v>#REF!</v>
      </c>
      <c r="E9" s="26" t="str">
        <f t="array" ref="E9">IF(D9=OBR_Aug_2025!G6,OBR_Aug_2025!D6, SUMIF(INDIRECT(A9&amp;"!"&amp;"A:A"),D9,INDIRECT(A9&amp;"!"&amp;"G:G")))</f>
        <v>#REF!</v>
      </c>
      <c r="F9" s="27" t="str">
        <f t="shared" si="1"/>
        <v>#REF!</v>
      </c>
      <c r="G9" s="28">
        <f>'12003'!J12</f>
        <v>1.7</v>
      </c>
      <c r="H9" s="27" t="str">
        <f t="array" ref="H9">IF(D9=OBR_May_2025!G4,OBR_May_2025!E4, SUMIF(INDIRECT(A9&amp;"!"&amp;"A:A"),D9,INDIRECT(A9&amp;"!"&amp;"H:H")))</f>
        <v>#REF!</v>
      </c>
      <c r="I9" s="29" t="str">
        <f t="shared" si="2"/>
        <v>#REF!</v>
      </c>
      <c r="J9" s="30" t="str">
        <f t="shared" si="3"/>
        <v>#REF!</v>
      </c>
      <c r="K9" s="26" t="str">
        <f t="shared" si="4"/>
        <v>#REF!</v>
      </c>
      <c r="L9" s="31" t="s">
        <v>17</v>
      </c>
      <c r="N9" s="1" t="str">
        <f t="shared" si="5"/>
        <v>#REF!</v>
      </c>
    </row>
    <row r="10" ht="22.5" customHeight="1">
      <c r="A10" s="22" t="str">
        <f>OBR_Feb_2025!A5</f>
        <v/>
      </c>
      <c r="B10" s="23" t="str">
        <f>OBR_Feb_2025!B5</f>
        <v/>
      </c>
      <c r="C10" s="24" t="s">
        <v>18</v>
      </c>
      <c r="D10" s="25" t="str">
        <f t="array" ref="D10">IFNA((MAX(INDIRECT(A10&amp;"!"&amp;"A:A"))),OBR_May_2025!G7)</f>
        <v>#REF!</v>
      </c>
      <c r="E10" s="26" t="str">
        <f t="array" ref="E10">IF(D10=OBR_Aug_2025!G7,OBR_Aug_2025!D7, SUMIF(INDIRECT(A10&amp;"!"&amp;"A:A"),D10,INDIRECT(A10&amp;"!"&amp;"G:G")))</f>
        <v>#REF!</v>
      </c>
      <c r="F10" s="27" t="str">
        <f t="shared" si="1"/>
        <v>#REF!</v>
      </c>
      <c r="G10" s="28">
        <f>'12004'!J13</f>
        <v>3.52</v>
      </c>
      <c r="H10" s="27" t="str">
        <f t="array" ref="H10">IF(D10=OBR_May_2025!G5,OBR_May_2025!E5, SUMIF(INDIRECT(A10&amp;"!"&amp;"A:A"),D10,INDIRECT(A10&amp;"!"&amp;"H:H")))</f>
        <v>#REF!</v>
      </c>
      <c r="I10" s="29" t="str">
        <f t="shared" si="2"/>
        <v>#REF!</v>
      </c>
      <c r="J10" s="30" t="str">
        <f t="shared" si="3"/>
        <v>#REF!</v>
      </c>
      <c r="K10" s="26" t="str">
        <f t="shared" si="4"/>
        <v>#REF!</v>
      </c>
      <c r="L10" s="31" t="s">
        <v>17</v>
      </c>
      <c r="N10" s="1" t="str">
        <f t="shared" si="5"/>
        <v>#REF!</v>
      </c>
    </row>
    <row r="11" ht="22.5" customHeight="1">
      <c r="A11" s="22" t="str">
        <f>OBR_Feb_2025!A6</f>
        <v/>
      </c>
      <c r="B11" s="23" t="str">
        <f>OBR_Feb_2025!B6</f>
        <v/>
      </c>
      <c r="C11" s="24" t="s">
        <v>19</v>
      </c>
      <c r="D11" s="25" t="str">
        <f t="array" ref="D11">IFNA((MAX(INDIRECT(A11&amp;"!"&amp;"A:A"))),OBR_May_2025!G8)</f>
        <v>#REF!</v>
      </c>
      <c r="E11" s="26" t="str">
        <f t="array" ref="E11">IF(D11=OBR_Aug_2025!G8,OBR_Aug_2025!D8, SUMIF(INDIRECT(A11&amp;"!"&amp;"A:A"),D11,INDIRECT(A11&amp;"!"&amp;"G:G")))</f>
        <v>#REF!</v>
      </c>
      <c r="F11" s="27" t="str">
        <f t="shared" si="1"/>
        <v>#REF!</v>
      </c>
      <c r="G11" s="28">
        <f>'12005'!J10</f>
        <v>17068</v>
      </c>
      <c r="H11" s="27" t="str">
        <f t="array" ref="H11">IF(D11=OBR_May_2025!G6,OBR_May_2025!E6, SUMIF(INDIRECT(A11&amp;"!"&amp;"A:A"),D11,INDIRECT(A11&amp;"!"&amp;"H:H")))</f>
        <v>#REF!</v>
      </c>
      <c r="I11" s="29" t="str">
        <f t="shared" si="2"/>
        <v>#REF!</v>
      </c>
      <c r="J11" s="30" t="str">
        <f t="shared" si="3"/>
        <v>#REF!</v>
      </c>
      <c r="K11" s="26" t="str">
        <f t="shared" si="4"/>
        <v>#REF!</v>
      </c>
      <c r="L11" s="31" t="s">
        <v>17</v>
      </c>
      <c r="N11" s="1" t="str">
        <f t="shared" si="5"/>
        <v>#REF!</v>
      </c>
    </row>
    <row r="12" ht="22.5" customHeight="1">
      <c r="A12" s="22" t="str">
        <f>OBR_Feb_2025!A7</f>
        <v/>
      </c>
      <c r="B12" s="23" t="str">
        <f>OBR_Feb_2025!B7</f>
        <v/>
      </c>
      <c r="C12" s="24" t="s">
        <v>19</v>
      </c>
      <c r="D12" s="25" t="str">
        <f t="array" ref="D12">IFNA((MAX(INDIRECT(A12&amp;"!"&amp;"A:A"))),OBR_May_2025!G9)</f>
        <v>#REF!</v>
      </c>
      <c r="E12" s="26" t="str">
        <f t="array" ref="E12">IF(D12=OBR_Aug_2025!G9,OBR_Aug_2025!D9, SUMIF(INDIRECT(A12&amp;"!"&amp;"A:A"),D12,INDIRECT(A12&amp;"!"&amp;"G:G")))</f>
        <v>#REF!</v>
      </c>
      <c r="F12" s="27" t="str">
        <f t="shared" si="1"/>
        <v>#REF!</v>
      </c>
      <c r="G12" s="28">
        <f>'12006'!J12</f>
        <v>1824</v>
      </c>
      <c r="H12" s="27" t="str">
        <f t="array" ref="H12">IF(D12=OBR_May_2025!G7,OBR_May_2025!E7, SUMIF(INDIRECT(A12&amp;"!"&amp;"A:A"),D12,INDIRECT(A12&amp;"!"&amp;"H:H")))</f>
        <v>#REF!</v>
      </c>
      <c r="I12" s="29" t="str">
        <f t="shared" si="2"/>
        <v>#REF!</v>
      </c>
      <c r="J12" s="30" t="str">
        <f t="shared" si="3"/>
        <v>#REF!</v>
      </c>
      <c r="K12" s="26" t="str">
        <f t="shared" si="4"/>
        <v>#REF!</v>
      </c>
      <c r="L12" s="31" t="s">
        <v>17</v>
      </c>
      <c r="N12" s="1" t="str">
        <f t="shared" si="5"/>
        <v>#REF!</v>
      </c>
    </row>
    <row r="13" ht="22.5" customHeight="1">
      <c r="A13" s="22" t="str">
        <f>OBR_Feb_2025!A8</f>
        <v/>
      </c>
      <c r="B13" s="23" t="str">
        <f>OBR_Feb_2025!B8</f>
        <v/>
      </c>
      <c r="C13" s="24" t="s">
        <v>19</v>
      </c>
      <c r="D13" s="25" t="str">
        <f t="array" ref="D13">IFNA((MAX(INDIRECT(A13&amp;"!"&amp;"A:A"))),OBR_May_2025!G10)</f>
        <v>#REF!</v>
      </c>
      <c r="E13" s="26" t="str">
        <f t="array" ref="E13">IF(D13=OBR_Aug_2025!G10,OBR_Aug_2025!D10, SUMIF(INDIRECT(A13&amp;"!"&amp;"A:A"),D13,INDIRECT(A13&amp;"!"&amp;"G:G")))</f>
        <v>#REF!</v>
      </c>
      <c r="F13" s="27" t="str">
        <f t="shared" si="1"/>
        <v>#REF!</v>
      </c>
      <c r="G13" s="28">
        <f>'12007'!J10</f>
        <v>5158</v>
      </c>
      <c r="H13" s="27" t="str">
        <f t="array" ref="H13">IF(D13=OBR_May_2025!G8,OBR_May_2025!E8, SUMIF(INDIRECT(A13&amp;"!"&amp;"A:A"),D13,INDIRECT(A13&amp;"!"&amp;"H:H")))</f>
        <v>#REF!</v>
      </c>
      <c r="I13" s="29" t="str">
        <f t="shared" si="2"/>
        <v>#REF!</v>
      </c>
      <c r="J13" s="30" t="str">
        <f t="shared" si="3"/>
        <v>#REF!</v>
      </c>
      <c r="K13" s="26" t="str">
        <f t="shared" si="4"/>
        <v>#REF!</v>
      </c>
      <c r="L13" s="31" t="s">
        <v>17</v>
      </c>
      <c r="N13" s="1" t="str">
        <f t="shared" si="5"/>
        <v>#REF!</v>
      </c>
      <c r="O13" s="32" t="str">
        <f>B13</f>
        <v/>
      </c>
    </row>
    <row r="14" ht="22.5" customHeight="1">
      <c r="A14" s="22" t="str">
        <f>OBR_Feb_2025!A9</f>
        <v/>
      </c>
      <c r="B14" s="23" t="str">
        <f>OBR_Feb_2025!B9</f>
        <v/>
      </c>
      <c r="C14" s="24" t="s">
        <v>20</v>
      </c>
      <c r="D14" s="25" t="str">
        <f t="array" ref="D14">IFNA((MAX(INDIRECT(A14&amp;"!"&amp;"A:A"))),OBR_May_2025!G11)</f>
        <v>#REF!</v>
      </c>
      <c r="E14" s="26" t="str">
        <f t="array" ref="E14">IF(D14=OBR_Aug_2025!G11,OBR_Aug_2025!D11, SUMIF(INDIRECT(A14&amp;"!"&amp;"A:A"),D14,INDIRECT(A14&amp;"!"&amp;"G:G")))</f>
        <v>#REF!</v>
      </c>
      <c r="F14" s="27" t="str">
        <f t="shared" si="1"/>
        <v>#REF!</v>
      </c>
      <c r="G14" s="28">
        <f>'12008'!J10</f>
        <v>1.9</v>
      </c>
      <c r="H14" s="27" t="str">
        <f t="array" ref="H14">IF(D14=OBR_May_2025!G9,OBR_May_2025!E9, SUMIF(INDIRECT(A14&amp;"!"&amp;"A:A"),D14,INDIRECT(A14&amp;"!"&amp;"H:H")))</f>
        <v>#REF!</v>
      </c>
      <c r="I14" s="29" t="str">
        <f t="shared" si="2"/>
        <v>#REF!</v>
      </c>
      <c r="J14" s="30" t="str">
        <f t="shared" si="3"/>
        <v>#REF!</v>
      </c>
      <c r="K14" s="26" t="str">
        <f t="shared" si="4"/>
        <v>#REF!</v>
      </c>
      <c r="L14" s="31" t="s">
        <v>17</v>
      </c>
      <c r="N14" s="1" t="str">
        <f t="shared" si="5"/>
        <v>#REF!</v>
      </c>
    </row>
    <row r="15" ht="22.5" customHeight="1">
      <c r="A15" s="22" t="str">
        <f>OBR_Feb_2025!A10</f>
        <v/>
      </c>
      <c r="B15" s="23" t="str">
        <f>OBR_Feb_2025!B10</f>
        <v/>
      </c>
      <c r="C15" s="24" t="s">
        <v>19</v>
      </c>
      <c r="D15" s="25" t="str">
        <f t="array" ref="D15">IFNA((MAX(INDIRECT(A15&amp;"!"&amp;"A:A"))),OBR_May_2025!G12)</f>
        <v>#REF!</v>
      </c>
      <c r="E15" s="26" t="str">
        <f t="array" ref="E15">IF(D15=OBR_Aug_2025!G12,OBR_Aug_2025!D12, SUMIF(INDIRECT(A15&amp;"!"&amp;"A:A"),D15,INDIRECT(A15&amp;"!"&amp;"G:G")))</f>
        <v>#REF!</v>
      </c>
      <c r="F15" s="27" t="str">
        <f t="shared" si="1"/>
        <v>#REF!</v>
      </c>
      <c r="G15" s="28">
        <f>'12009'!J10</f>
        <v>4654</v>
      </c>
      <c r="H15" s="27" t="str">
        <f t="array" ref="H15">IF(D15=OBR_May_2025!G10,OBR_May_2025!E10, SUMIF(INDIRECT(A15&amp;"!"&amp;"A:A"),D15,INDIRECT(A15&amp;"!"&amp;"H:H")))</f>
        <v>#REF!</v>
      </c>
      <c r="I15" s="29" t="str">
        <f t="shared" si="2"/>
        <v>#REF!</v>
      </c>
      <c r="J15" s="30" t="str">
        <f t="shared" si="3"/>
        <v>#REF!</v>
      </c>
      <c r="K15" s="26" t="str">
        <f t="shared" si="4"/>
        <v>#REF!</v>
      </c>
      <c r="L15" s="31" t="s">
        <v>17</v>
      </c>
      <c r="N15" s="1" t="str">
        <f t="shared" si="5"/>
        <v>#REF!</v>
      </c>
      <c r="O15" s="32" t="str">
        <f>B15</f>
        <v/>
      </c>
    </row>
    <row r="16" ht="22.5" customHeight="1">
      <c r="A16" s="22" t="str">
        <f>OBR_Feb_2025!A11</f>
        <v/>
      </c>
      <c r="B16" s="23" t="str">
        <f>OBR_Feb_2025!B11</f>
        <v/>
      </c>
      <c r="C16" s="24" t="s">
        <v>19</v>
      </c>
      <c r="D16" s="25" t="str">
        <f t="array" ref="D16">IFNA((MAX(INDIRECT(A16&amp;"!"&amp;"A:A"))),OBR_May_2025!G13)</f>
        <v>#REF!</v>
      </c>
      <c r="E16" s="26" t="str">
        <f t="array" ref="E16">IF(D16=OBR_Aug_2025!G13,OBR_Aug_2025!D13, SUMIF(INDIRECT(A16&amp;"!"&amp;"A:A"),D16,INDIRECT(A16&amp;"!"&amp;"G:G")))</f>
        <v>#REF!</v>
      </c>
      <c r="F16" s="27" t="str">
        <f t="shared" si="1"/>
        <v>#REF!</v>
      </c>
      <c r="G16" s="28">
        <f>'12010'!J10</f>
        <v>450</v>
      </c>
      <c r="H16" s="27" t="str">
        <f t="array" ref="H16">IF(D16=OBR_May_2025!G11,OBR_May_2025!E11, SUMIF(INDIRECT(A16&amp;"!"&amp;"A:A"),D16,INDIRECT(A16&amp;"!"&amp;"H:H")))</f>
        <v>#REF!</v>
      </c>
      <c r="I16" s="29" t="str">
        <f t="shared" si="2"/>
        <v>#REF!</v>
      </c>
      <c r="J16" s="30" t="str">
        <f t="shared" si="3"/>
        <v>#REF!</v>
      </c>
      <c r="K16" s="26" t="str">
        <f t="shared" si="4"/>
        <v>#REF!</v>
      </c>
      <c r="L16" s="31" t="s">
        <v>17</v>
      </c>
      <c r="N16" s="1" t="str">
        <f t="shared" si="5"/>
        <v>#REF!</v>
      </c>
    </row>
    <row r="17" ht="22.5" customHeight="1">
      <c r="A17" s="22" t="str">
        <f>OBR_Feb_2025!A12</f>
        <v/>
      </c>
      <c r="B17" s="23" t="str">
        <f>OBR_Feb_2025!B12</f>
        <v/>
      </c>
      <c r="C17" s="24" t="s">
        <v>19</v>
      </c>
      <c r="D17" s="25" t="str">
        <f t="array" ref="D17">IFNA((MAX(INDIRECT(A17&amp;"!"&amp;"A:A"))),OBR_May_2025!G14)</f>
        <v>#REF!</v>
      </c>
      <c r="E17" s="26" t="str">
        <f t="array" ref="E17">IF(D17=OBR_Aug_2025!G14,OBR_Aug_2025!D14, SUMIF(INDIRECT(A17&amp;"!"&amp;"A:A"),D17,INDIRECT(A17&amp;"!"&amp;"G:G")))</f>
        <v>#REF!</v>
      </c>
      <c r="F17" s="27" t="str">
        <f t="shared" si="1"/>
        <v>#REF!</v>
      </c>
      <c r="G17" s="28">
        <f>'12011'!J10</f>
        <v>8400</v>
      </c>
      <c r="H17" s="27" t="str">
        <f t="array" ref="H17">IF(D17=OBR_May_2025!G12,OBR_May_2025!E12, SUMIF(INDIRECT(A17&amp;"!"&amp;"A:A"),D17,INDIRECT(A17&amp;"!"&amp;"H:H")))</f>
        <v>#REF!</v>
      </c>
      <c r="I17" s="29" t="str">
        <f t="shared" si="2"/>
        <v>#REF!</v>
      </c>
      <c r="J17" s="30" t="str">
        <f t="shared" si="3"/>
        <v>#REF!</v>
      </c>
      <c r="K17" s="26" t="str">
        <f t="shared" si="4"/>
        <v>#REF!</v>
      </c>
      <c r="L17" s="31" t="s">
        <v>17</v>
      </c>
      <c r="N17" s="1" t="str">
        <f t="shared" si="5"/>
        <v>#REF!</v>
      </c>
    </row>
    <row r="18" ht="22.5" customHeight="1">
      <c r="A18" s="22" t="str">
        <f>OBR_Feb_2025!A13</f>
        <v/>
      </c>
      <c r="B18" s="23" t="str">
        <f>OBR_Feb_2025!B13</f>
        <v/>
      </c>
      <c r="C18" s="24" t="s">
        <v>19</v>
      </c>
      <c r="D18" s="25" t="str">
        <f t="array" ref="D18">IFNA((MAX(INDIRECT(A18&amp;"!"&amp;"A:A"))),OBR_May_2025!G15)</f>
        <v>#REF!</v>
      </c>
      <c r="E18" s="26" t="str">
        <f t="array" ref="E18">IF(D18=OBR_Aug_2025!G15,OBR_Aug_2025!D15, SUMIF(INDIRECT(A18&amp;"!"&amp;"A:A"),D18,INDIRECT(A18&amp;"!"&amp;"G:G")))</f>
        <v>#REF!</v>
      </c>
      <c r="F18" s="27" t="str">
        <f t="shared" si="1"/>
        <v>#REF!</v>
      </c>
      <c r="G18" s="28">
        <f>'12012'!J10</f>
        <v>780</v>
      </c>
      <c r="H18" s="27" t="str">
        <f t="array" ref="H18">IF(D18=OBR_May_2025!G13,OBR_May_2025!E13, SUMIF(INDIRECT(A18&amp;"!"&amp;"A:A"),D18,INDIRECT(A18&amp;"!"&amp;"H:H")))</f>
        <v>#REF!</v>
      </c>
      <c r="I18" s="29" t="str">
        <f t="shared" si="2"/>
        <v>#REF!</v>
      </c>
      <c r="J18" s="30" t="str">
        <f t="shared" si="3"/>
        <v>#REF!</v>
      </c>
      <c r="K18" s="26" t="str">
        <f t="shared" si="4"/>
        <v>#REF!</v>
      </c>
      <c r="L18" s="31" t="s">
        <v>17</v>
      </c>
      <c r="N18" s="1" t="str">
        <f t="shared" si="5"/>
        <v>#REF!</v>
      </c>
    </row>
    <row r="19" ht="22.5" customHeight="1">
      <c r="A19" s="22" t="str">
        <f>OBR_Feb_2025!A14</f>
        <v/>
      </c>
      <c r="B19" s="23" t="str">
        <f>OBR_Feb_2025!B14</f>
        <v/>
      </c>
      <c r="C19" s="24" t="s">
        <v>19</v>
      </c>
      <c r="D19" s="25" t="str">
        <f t="array" ref="D19">IFNA((MAX(INDIRECT(A19&amp;"!"&amp;"A:A"))),OBR_May_2025!G16)</f>
        <v>#REF!</v>
      </c>
      <c r="E19" s="26" t="str">
        <f t="array" ref="E19">IF(D19=OBR_Aug_2025!G16,OBR_Aug_2025!D16, SUMIF(INDIRECT(A19&amp;"!"&amp;"A:A"),D19,INDIRECT(A19&amp;"!"&amp;"G:G")))</f>
        <v>#REF!</v>
      </c>
      <c r="F19" s="27" t="str">
        <f t="shared" si="1"/>
        <v>#REF!</v>
      </c>
      <c r="G19" s="28">
        <f>'12013'!J10</f>
        <v>11152</v>
      </c>
      <c r="H19" s="27" t="str">
        <f t="array" ref="H19">IF(D19=OBR_May_2025!G14,OBR_May_2025!E14, SUMIF(INDIRECT(A19&amp;"!"&amp;"A:A"),D19,INDIRECT(A19&amp;"!"&amp;"H:H")))</f>
        <v>#REF!</v>
      </c>
      <c r="I19" s="29" t="str">
        <f t="shared" si="2"/>
        <v>#REF!</v>
      </c>
      <c r="J19" s="30" t="str">
        <f t="shared" si="3"/>
        <v>#REF!</v>
      </c>
      <c r="K19" s="26" t="str">
        <f t="shared" si="4"/>
        <v>#REF!</v>
      </c>
      <c r="L19" s="31" t="s">
        <v>17</v>
      </c>
      <c r="N19" s="1" t="str">
        <f t="shared" si="5"/>
        <v>#REF!</v>
      </c>
    </row>
    <row r="20" ht="22.5" customHeight="1">
      <c r="A20" s="22" t="str">
        <f>OBR_Feb_2025!A15</f>
        <v/>
      </c>
      <c r="B20" s="23" t="str">
        <f>OBR_Feb_2025!B15</f>
        <v/>
      </c>
      <c r="C20" s="24" t="s">
        <v>19</v>
      </c>
      <c r="D20" s="25" t="str">
        <f t="array" ref="D20">IFNA((MAX(INDIRECT(A20&amp;"!"&amp;"A:A"))),OBR_May_2025!G17)</f>
        <v>#REF!</v>
      </c>
      <c r="E20" s="26" t="str">
        <f t="array" ref="E20">IF(D20=OBR_Aug_2025!G17,OBR_Aug_2025!D17, SUMIF(INDIRECT(A20&amp;"!"&amp;"A:A"),D20,INDIRECT(A20&amp;"!"&amp;"G:G")))</f>
        <v>#REF!</v>
      </c>
      <c r="F20" s="27" t="str">
        <f t="shared" si="1"/>
        <v>#REF!</v>
      </c>
      <c r="G20" s="33">
        <f>'12014'!J10</f>
        <v>382</v>
      </c>
      <c r="H20" s="27" t="str">
        <f t="array" ref="H20">IF(D20=OBR_May_2025!G15,OBR_May_2025!E15, SUMIF(INDIRECT(A20&amp;"!"&amp;"A:A"),D20,INDIRECT(A20&amp;"!"&amp;"H:H")))</f>
        <v>#REF!</v>
      </c>
      <c r="I20" s="29" t="str">
        <f t="shared" si="2"/>
        <v>#REF!</v>
      </c>
      <c r="J20" s="30" t="str">
        <f t="shared" si="3"/>
        <v>#REF!</v>
      </c>
      <c r="K20" s="26" t="str">
        <f t="shared" si="4"/>
        <v>#REF!</v>
      </c>
      <c r="L20" s="31" t="s">
        <v>17</v>
      </c>
      <c r="N20" s="1" t="str">
        <f t="shared" si="5"/>
        <v>#REF!</v>
      </c>
      <c r="O20" s="32" t="str">
        <f t="shared" ref="O20:O22" si="6">B20</f>
        <v/>
      </c>
    </row>
    <row r="21" ht="22.5" customHeight="1">
      <c r="A21" s="22" t="str">
        <f>OBR_Feb_2025!A16</f>
        <v/>
      </c>
      <c r="B21" s="23" t="str">
        <f>OBR_Feb_2025!B16</f>
        <v/>
      </c>
      <c r="C21" s="24" t="s">
        <v>19</v>
      </c>
      <c r="D21" s="25" t="str">
        <f t="array" ref="D21">IFNA((MAX(INDIRECT(A21&amp;"!"&amp;"A:A"))),OBR_May_2025!G18)</f>
        <v>#REF!</v>
      </c>
      <c r="E21" s="26" t="str">
        <f t="array" ref="E21">IF(D21=OBR_Aug_2025!G18,OBR_Aug_2025!D18, SUMIF(INDIRECT(A21&amp;"!"&amp;"A:A"),D21,INDIRECT(A21&amp;"!"&amp;"G:G")))</f>
        <v>#REF!</v>
      </c>
      <c r="F21" s="27" t="str">
        <f t="shared" si="1"/>
        <v>#REF!</v>
      </c>
      <c r="G21" s="28">
        <f>'12015'!J10</f>
        <v>5000</v>
      </c>
      <c r="H21" s="27" t="str">
        <f t="array" ref="H21">IF(D21=OBR_May_2025!G16,OBR_May_2025!E16, SUMIF(INDIRECT(A21&amp;"!"&amp;"A:A"),D21,INDIRECT(A21&amp;"!"&amp;"H:H")))</f>
        <v>#REF!</v>
      </c>
      <c r="I21" s="29" t="str">
        <f t="shared" si="2"/>
        <v>#REF!</v>
      </c>
      <c r="J21" s="30" t="str">
        <f t="shared" si="3"/>
        <v>#REF!</v>
      </c>
      <c r="K21" s="26" t="str">
        <f t="shared" si="4"/>
        <v>#REF!</v>
      </c>
      <c r="L21" s="31" t="s">
        <v>17</v>
      </c>
      <c r="N21" s="1" t="str">
        <f t="shared" si="5"/>
        <v>#REF!</v>
      </c>
      <c r="O21" s="32" t="str">
        <f t="shared" si="6"/>
        <v/>
      </c>
    </row>
    <row r="22" ht="22.5" customHeight="1">
      <c r="A22" s="22" t="str">
        <f>OBR_Feb_2025!A17</f>
        <v/>
      </c>
      <c r="B22" s="23" t="str">
        <f>OBR_Feb_2025!B17</f>
        <v/>
      </c>
      <c r="C22" s="24" t="s">
        <v>19</v>
      </c>
      <c r="D22" s="25" t="str">
        <f t="array" ref="D22">IFNA((MAX(INDIRECT(A22&amp;"!"&amp;"A:A"))),OBR_May_2025!G19)</f>
        <v>#REF!</v>
      </c>
      <c r="E22" s="26" t="str">
        <f t="array" ref="E22">IF(D22=OBR_Aug_2025!G19,OBR_Aug_2025!D19, SUMIF(INDIRECT(A22&amp;"!"&amp;"A:A"),D22,INDIRECT(A22&amp;"!"&amp;"G:G")))</f>
        <v>#REF!</v>
      </c>
      <c r="F22" s="27" t="str">
        <f t="shared" si="1"/>
        <v>#REF!</v>
      </c>
      <c r="G22" s="28">
        <v>450.0</v>
      </c>
      <c r="H22" s="27" t="str">
        <f t="array" ref="H22">IF(D22=OBR_May_2025!G17,OBR_May_2025!E17, SUMIF(INDIRECT(A22&amp;"!"&amp;"A:A"),D22,INDIRECT(A22&amp;"!"&amp;"H:H")))</f>
        <v>#REF!</v>
      </c>
      <c r="I22" s="29" t="str">
        <f t="shared" si="2"/>
        <v>#REF!</v>
      </c>
      <c r="J22" s="30" t="str">
        <f t="shared" si="3"/>
        <v>#REF!</v>
      </c>
      <c r="K22" s="26" t="str">
        <f t="shared" si="4"/>
        <v>#REF!</v>
      </c>
      <c r="L22" s="31" t="s">
        <v>17</v>
      </c>
      <c r="N22" s="1" t="str">
        <f t="shared" si="5"/>
        <v>#REF!</v>
      </c>
      <c r="O22" s="32" t="str">
        <f t="shared" si="6"/>
        <v/>
      </c>
    </row>
    <row r="23" ht="22.5" customHeight="1">
      <c r="A23" s="22" t="str">
        <f>OBR_Feb_2025!A18</f>
        <v/>
      </c>
      <c r="B23" s="23" t="str">
        <f>OBR_Feb_2025!B18</f>
        <v/>
      </c>
      <c r="C23" s="24" t="s">
        <v>21</v>
      </c>
      <c r="D23" s="25" t="str">
        <f t="array" ref="D23">IFNA((MAX(INDIRECT(A23&amp;"!"&amp;"A:A"))),OBR_May_2025!G20)</f>
        <v>#REF!</v>
      </c>
      <c r="E23" s="26" t="str">
        <f t="array" ref="E23">IF(D23=OBR_Aug_2025!G20,OBR_Aug_2025!D20, SUMIF(INDIRECT(A23&amp;"!"&amp;"A:A"),D23,INDIRECT(A23&amp;"!"&amp;"G:G")))</f>
        <v>#REF!</v>
      </c>
      <c r="F23" s="27" t="str">
        <f t="shared" si="1"/>
        <v>#REF!</v>
      </c>
      <c r="G23" s="28">
        <f>'12017'!J15</f>
        <v>0.548</v>
      </c>
      <c r="H23" s="27" t="str">
        <f t="array" ref="H23">IF(D23=OBR_May_2025!G18,OBR_May_2025!E18, SUMIF(INDIRECT(A23&amp;"!"&amp;"A:A"),D23,INDIRECT(A23&amp;"!"&amp;"H:H")))</f>
        <v>#REF!</v>
      </c>
      <c r="I23" s="29" t="str">
        <f t="shared" si="2"/>
        <v>#REF!</v>
      </c>
      <c r="J23" s="30" t="str">
        <f t="shared" si="3"/>
        <v>#REF!</v>
      </c>
      <c r="K23" s="26" t="str">
        <f t="shared" si="4"/>
        <v>#REF!</v>
      </c>
      <c r="L23" s="31" t="s">
        <v>17</v>
      </c>
      <c r="N23" s="1" t="str">
        <f t="shared" si="5"/>
        <v>#REF!</v>
      </c>
    </row>
    <row r="24" ht="22.5" customHeight="1">
      <c r="A24" s="34" t="str">
        <f>OBR_Feb_2025!A19</f>
        <v/>
      </c>
      <c r="B24" s="35" t="str">
        <f>OBR_Feb_2025!B19</f>
        <v/>
      </c>
      <c r="C24" s="36" t="s">
        <v>21</v>
      </c>
      <c r="D24" s="25" t="str">
        <f t="array" ref="D24">IFNA((MAX(INDIRECT(A24&amp;"!"&amp;"A:A"))),OBR_May_2025!G21)</f>
        <v>#REF!</v>
      </c>
      <c r="E24" s="26" t="str">
        <f t="array" ref="E24">IF(D24=OBR_Aug_2025!G21,OBR_Aug_2025!D21, SUMIF(INDIRECT(A24&amp;"!"&amp;"A:A"),D24,INDIRECT(A24&amp;"!"&amp;"G:G")))</f>
        <v>#REF!</v>
      </c>
      <c r="F24" s="37" t="str">
        <f t="shared" si="1"/>
        <v>#REF!</v>
      </c>
      <c r="G24" s="38">
        <f>'12018'!J18</f>
        <v>1.06</v>
      </c>
      <c r="H24" s="27" t="str">
        <f t="array" ref="H24">IF(D24=OBR_May_2025!G19,OBR_May_2025!E19, SUMIF(INDIRECT(A24&amp;"!"&amp;"A:A"),D24,INDIRECT(A24&amp;"!"&amp;"H:H")))</f>
        <v>#REF!</v>
      </c>
      <c r="I24" s="39" t="str">
        <f t="shared" si="2"/>
        <v>#REF!</v>
      </c>
      <c r="J24" s="30" t="str">
        <f t="shared" si="3"/>
        <v>#REF!</v>
      </c>
      <c r="K24" s="40" t="str">
        <f t="shared" si="4"/>
        <v>#REF!</v>
      </c>
      <c r="L24" s="41" t="s">
        <v>17</v>
      </c>
      <c r="N24" s="1" t="str">
        <f t="shared" si="5"/>
        <v>#REF!</v>
      </c>
    </row>
    <row r="25" ht="15.75" customHeight="1">
      <c r="A25" s="42"/>
      <c r="B25" s="42"/>
      <c r="D25" s="42"/>
      <c r="E25" s="42"/>
      <c r="F25" s="42"/>
      <c r="G25" s="42"/>
      <c r="H25" s="42"/>
      <c r="I25" s="42"/>
      <c r="J25" s="42"/>
      <c r="K25" s="42"/>
      <c r="L25" s="42"/>
    </row>
    <row r="26" ht="15.75" customHeight="1">
      <c r="A26" s="42"/>
      <c r="B26" s="42"/>
      <c r="D26" s="42"/>
      <c r="E26" s="42"/>
      <c r="F26" s="42"/>
      <c r="G26" s="42"/>
      <c r="H26" s="42"/>
      <c r="I26" s="42"/>
      <c r="J26" s="42"/>
      <c r="K26" s="42"/>
      <c r="L26" s="42"/>
    </row>
    <row r="27" ht="15.75" customHeight="1">
      <c r="A27" s="42"/>
      <c r="B27" s="42"/>
      <c r="D27" s="42"/>
      <c r="E27" s="42"/>
      <c r="F27" s="42"/>
      <c r="G27" s="42"/>
      <c r="H27" s="42"/>
      <c r="I27" s="42"/>
      <c r="J27" s="42"/>
      <c r="K27" s="42"/>
      <c r="L27" s="42"/>
    </row>
    <row r="28" ht="15.75" customHeight="1">
      <c r="A28" s="42"/>
      <c r="B28" s="42"/>
      <c r="D28" s="42"/>
      <c r="E28" s="42"/>
      <c r="F28" s="42"/>
      <c r="G28" s="42"/>
      <c r="H28" s="42"/>
      <c r="I28" s="42"/>
      <c r="J28" s="42"/>
      <c r="K28" s="42"/>
      <c r="L28" s="42"/>
    </row>
    <row r="29" ht="15.75" customHeight="1">
      <c r="A29" s="42"/>
      <c r="B29" s="42"/>
      <c r="D29" s="42"/>
      <c r="E29" s="42"/>
      <c r="F29" s="42"/>
      <c r="G29" s="42"/>
      <c r="H29" s="42"/>
      <c r="I29" s="42"/>
      <c r="J29" s="42"/>
      <c r="K29" s="42"/>
      <c r="L29" s="42"/>
    </row>
    <row r="30" ht="15.75" customHeight="1">
      <c r="A30" s="42"/>
      <c r="B30" s="42"/>
      <c r="D30" s="42"/>
      <c r="E30" s="42"/>
      <c r="F30" s="42"/>
      <c r="G30" s="42"/>
      <c r="H30" s="42"/>
      <c r="I30" s="42"/>
      <c r="J30" s="42"/>
      <c r="K30" s="42"/>
      <c r="L30" s="42"/>
    </row>
    <row r="31" ht="15.75" customHeight="1">
      <c r="A31" s="42"/>
      <c r="B31" s="42"/>
      <c r="D31" s="42"/>
      <c r="E31" s="42"/>
      <c r="F31" s="42"/>
      <c r="G31" s="42"/>
      <c r="H31" s="42"/>
      <c r="I31" s="42"/>
      <c r="J31" s="42"/>
      <c r="K31" s="42"/>
      <c r="L31" s="42"/>
    </row>
    <row r="32" ht="15.75" customHeight="1">
      <c r="A32" s="42"/>
      <c r="B32" s="42"/>
      <c r="D32" s="42"/>
      <c r="E32" s="42"/>
      <c r="F32" s="42"/>
      <c r="G32" s="42"/>
      <c r="H32" s="42"/>
      <c r="I32" s="42"/>
      <c r="J32" s="42"/>
      <c r="K32" s="42"/>
      <c r="L32" s="42"/>
    </row>
    <row r="33" ht="15.75" customHeight="1">
      <c r="A33" s="42"/>
      <c r="B33" s="42"/>
      <c r="D33" s="42"/>
      <c r="E33" s="42"/>
      <c r="F33" s="42"/>
      <c r="G33" s="42"/>
      <c r="H33" s="42"/>
      <c r="I33" s="42"/>
      <c r="J33" s="42"/>
      <c r="K33" s="42"/>
      <c r="L33" s="42"/>
    </row>
    <row r="34" ht="15.75" customHeight="1">
      <c r="A34" s="42"/>
      <c r="B34" s="42"/>
      <c r="D34" s="42"/>
      <c r="E34" s="42"/>
      <c r="F34" s="42"/>
      <c r="G34" s="42"/>
      <c r="H34" s="42"/>
      <c r="I34" s="42"/>
      <c r="J34" s="42"/>
      <c r="K34" s="42"/>
      <c r="L34" s="42"/>
    </row>
    <row r="35" ht="15.75" customHeight="1">
      <c r="A35" s="42"/>
      <c r="B35" s="42"/>
      <c r="D35" s="42"/>
      <c r="E35" s="42"/>
      <c r="F35" s="42"/>
      <c r="G35" s="42"/>
      <c r="H35" s="42"/>
      <c r="I35" s="42"/>
      <c r="J35" s="42"/>
      <c r="K35" s="42"/>
      <c r="L35" s="42"/>
    </row>
    <row r="36" ht="15.75" customHeight="1">
      <c r="A36" s="42"/>
      <c r="B36" s="42"/>
      <c r="D36" s="42"/>
      <c r="E36" s="42"/>
      <c r="F36" s="42"/>
      <c r="G36" s="42"/>
      <c r="H36" s="42"/>
      <c r="I36" s="42"/>
      <c r="J36" s="42"/>
      <c r="K36" s="42"/>
      <c r="L36" s="42"/>
    </row>
    <row r="37" ht="15.75" customHeight="1">
      <c r="A37" s="42"/>
      <c r="B37" s="42"/>
      <c r="D37" s="42"/>
      <c r="E37" s="42"/>
      <c r="F37" s="42"/>
      <c r="G37" s="42"/>
      <c r="H37" s="42"/>
      <c r="I37" s="42"/>
      <c r="J37" s="42"/>
      <c r="K37" s="42"/>
      <c r="L37" s="42"/>
    </row>
    <row r="38" ht="15.75" customHeight="1">
      <c r="A38" s="42"/>
      <c r="B38" s="42"/>
      <c r="D38" s="42"/>
      <c r="E38" s="42"/>
      <c r="F38" s="42"/>
      <c r="G38" s="42"/>
      <c r="H38" s="42"/>
      <c r="I38" s="42"/>
      <c r="J38" s="42"/>
      <c r="K38" s="42"/>
      <c r="L38" s="42"/>
    </row>
    <row r="39" ht="15.75" customHeight="1">
      <c r="A39" s="42"/>
      <c r="B39" s="42"/>
      <c r="D39" s="42"/>
      <c r="E39" s="42"/>
      <c r="F39" s="42"/>
      <c r="G39" s="42"/>
      <c r="H39" s="42"/>
      <c r="I39" s="42"/>
      <c r="J39" s="42"/>
      <c r="K39" s="42"/>
      <c r="L39" s="42"/>
    </row>
    <row r="40" ht="15.75" customHeight="1">
      <c r="A40" s="42"/>
      <c r="B40" s="42"/>
      <c r="D40" s="42"/>
      <c r="E40" s="42"/>
      <c r="F40" s="42"/>
      <c r="G40" s="42"/>
      <c r="H40" s="42"/>
      <c r="I40" s="42"/>
      <c r="J40" s="42"/>
      <c r="K40" s="42"/>
      <c r="L40" s="42"/>
    </row>
    <row r="41" ht="15.75" customHeight="1">
      <c r="A41" s="42"/>
      <c r="B41" s="42"/>
      <c r="D41" s="42"/>
      <c r="E41" s="42"/>
      <c r="F41" s="42"/>
      <c r="G41" s="42"/>
      <c r="H41" s="42"/>
      <c r="I41" s="42"/>
      <c r="J41" s="42"/>
      <c r="K41" s="42"/>
      <c r="L41" s="42"/>
    </row>
    <row r="42" ht="15.75" customHeight="1">
      <c r="A42" s="42"/>
      <c r="B42" s="42"/>
      <c r="D42" s="42"/>
      <c r="E42" s="42"/>
      <c r="F42" s="42"/>
      <c r="G42" s="42"/>
      <c r="H42" s="42"/>
      <c r="I42" s="42"/>
      <c r="J42" s="42"/>
      <c r="K42" s="42"/>
      <c r="L42" s="42"/>
    </row>
    <row r="43" ht="15.75" customHeight="1">
      <c r="A43" s="42"/>
      <c r="B43" s="42"/>
      <c r="D43" s="42"/>
      <c r="E43" s="42"/>
      <c r="F43" s="42"/>
      <c r="G43" s="42"/>
      <c r="H43" s="42"/>
      <c r="I43" s="42"/>
      <c r="J43" s="42"/>
      <c r="K43" s="42"/>
      <c r="L43" s="42"/>
    </row>
    <row r="44" ht="15.75" customHeight="1">
      <c r="A44" s="42"/>
      <c r="B44" s="42"/>
      <c r="D44" s="42"/>
      <c r="E44" s="42"/>
      <c r="F44" s="42"/>
      <c r="G44" s="42"/>
      <c r="H44" s="42"/>
      <c r="I44" s="42"/>
      <c r="J44" s="42"/>
      <c r="K44" s="42"/>
      <c r="L44" s="42"/>
    </row>
    <row r="45" ht="15.75" customHeight="1">
      <c r="A45" s="42"/>
      <c r="B45" s="42"/>
      <c r="D45" s="42"/>
      <c r="E45" s="42"/>
      <c r="F45" s="42"/>
      <c r="G45" s="42"/>
      <c r="H45" s="42"/>
      <c r="I45" s="42"/>
      <c r="J45" s="42"/>
      <c r="K45" s="42"/>
      <c r="L45" s="42"/>
    </row>
    <row r="46" ht="15.75" customHeight="1">
      <c r="A46" s="42"/>
      <c r="B46" s="42"/>
      <c r="D46" s="42"/>
      <c r="E46" s="42"/>
      <c r="F46" s="42"/>
      <c r="G46" s="42"/>
      <c r="H46" s="42"/>
      <c r="I46" s="42"/>
      <c r="J46" s="42"/>
      <c r="K46" s="42"/>
      <c r="L46" s="42"/>
    </row>
    <row r="47" ht="15.75" customHeight="1">
      <c r="A47" s="42"/>
      <c r="B47" s="42"/>
      <c r="D47" s="42"/>
      <c r="E47" s="42"/>
      <c r="F47" s="42"/>
      <c r="G47" s="42"/>
      <c r="H47" s="42"/>
      <c r="I47" s="42"/>
      <c r="J47" s="42"/>
      <c r="K47" s="42"/>
      <c r="L47" s="42"/>
    </row>
    <row r="48" ht="15.75" customHeight="1">
      <c r="A48" s="42"/>
      <c r="B48" s="42"/>
      <c r="D48" s="42"/>
      <c r="E48" s="42"/>
      <c r="F48" s="42"/>
      <c r="G48" s="42"/>
      <c r="H48" s="42"/>
      <c r="I48" s="42"/>
      <c r="J48" s="42"/>
      <c r="K48" s="42"/>
      <c r="L48" s="42"/>
    </row>
    <row r="49" ht="15.75" customHeight="1">
      <c r="A49" s="42"/>
      <c r="B49" s="42"/>
      <c r="D49" s="42"/>
      <c r="E49" s="42"/>
      <c r="F49" s="42"/>
      <c r="G49" s="42"/>
      <c r="H49" s="42"/>
      <c r="I49" s="42"/>
      <c r="J49" s="42"/>
      <c r="K49" s="42"/>
      <c r="L49" s="42"/>
    </row>
    <row r="50" ht="15.75" customHeight="1">
      <c r="A50" s="42"/>
      <c r="B50" s="42"/>
      <c r="D50" s="42"/>
      <c r="E50" s="42"/>
      <c r="F50" s="42"/>
      <c r="G50" s="42"/>
      <c r="H50" s="42"/>
      <c r="I50" s="42"/>
      <c r="J50" s="42"/>
      <c r="K50" s="42"/>
      <c r="L50" s="42"/>
    </row>
    <row r="51" ht="15.75" customHeight="1">
      <c r="A51" s="42"/>
      <c r="B51" s="42"/>
      <c r="D51" s="42"/>
      <c r="E51" s="42"/>
      <c r="F51" s="42"/>
      <c r="G51" s="42"/>
      <c r="H51" s="42"/>
      <c r="I51" s="42"/>
      <c r="J51" s="42"/>
      <c r="K51" s="42"/>
      <c r="L51" s="42"/>
    </row>
    <row r="52" ht="15.75" customHeight="1">
      <c r="A52" s="42"/>
      <c r="B52" s="42"/>
      <c r="D52" s="42"/>
      <c r="E52" s="42"/>
      <c r="F52" s="42"/>
      <c r="G52" s="42"/>
      <c r="H52" s="42"/>
      <c r="I52" s="42"/>
      <c r="J52" s="42"/>
      <c r="K52" s="42"/>
      <c r="L52" s="42"/>
    </row>
    <row r="53" ht="15.75" customHeight="1">
      <c r="A53" s="42"/>
      <c r="B53" s="42"/>
      <c r="D53" s="42"/>
      <c r="E53" s="42"/>
      <c r="F53" s="42"/>
      <c r="G53" s="42"/>
      <c r="H53" s="42"/>
      <c r="I53" s="42"/>
      <c r="J53" s="42"/>
      <c r="K53" s="42"/>
      <c r="L53" s="42"/>
    </row>
    <row r="54" ht="15.75" customHeight="1">
      <c r="A54" s="42"/>
      <c r="B54" s="42"/>
      <c r="D54" s="42"/>
      <c r="E54" s="42"/>
      <c r="F54" s="42"/>
      <c r="G54" s="42"/>
      <c r="H54" s="42"/>
      <c r="I54" s="42"/>
      <c r="J54" s="42"/>
      <c r="K54" s="42"/>
      <c r="L54" s="42"/>
    </row>
    <row r="55" ht="15.75" customHeight="1">
      <c r="A55" s="42"/>
      <c r="B55" s="42"/>
      <c r="D55" s="42"/>
      <c r="E55" s="42"/>
      <c r="F55" s="42"/>
      <c r="G55" s="42"/>
      <c r="H55" s="42"/>
      <c r="I55" s="42"/>
      <c r="J55" s="42"/>
      <c r="K55" s="42"/>
      <c r="L55" s="42"/>
    </row>
    <row r="56" ht="15.75" customHeight="1">
      <c r="A56" s="42"/>
      <c r="B56" s="42"/>
      <c r="D56" s="42"/>
      <c r="E56" s="42"/>
      <c r="F56" s="42"/>
      <c r="G56" s="42"/>
      <c r="H56" s="42"/>
      <c r="I56" s="42"/>
      <c r="J56" s="42"/>
      <c r="K56" s="42"/>
      <c r="L56" s="42"/>
    </row>
    <row r="57" ht="15.75" customHeight="1">
      <c r="A57" s="42"/>
      <c r="B57" s="42"/>
      <c r="D57" s="42"/>
      <c r="E57" s="42"/>
      <c r="F57" s="42"/>
      <c r="G57" s="42"/>
      <c r="H57" s="42"/>
      <c r="I57" s="42"/>
      <c r="J57" s="42"/>
      <c r="K57" s="42"/>
      <c r="L57" s="42"/>
    </row>
    <row r="58" ht="15.75" customHeight="1">
      <c r="A58" s="42"/>
      <c r="B58" s="42"/>
      <c r="D58" s="42"/>
      <c r="E58" s="42"/>
      <c r="F58" s="42"/>
      <c r="G58" s="42"/>
      <c r="H58" s="42"/>
      <c r="I58" s="42"/>
      <c r="J58" s="42"/>
      <c r="K58" s="42"/>
      <c r="L58" s="42"/>
    </row>
    <row r="59" ht="15.75" customHeight="1">
      <c r="A59" s="42"/>
      <c r="B59" s="42"/>
      <c r="D59" s="42"/>
      <c r="E59" s="42"/>
      <c r="F59" s="42"/>
      <c r="G59" s="42"/>
      <c r="H59" s="42"/>
      <c r="I59" s="42"/>
      <c r="J59" s="42"/>
      <c r="K59" s="42"/>
      <c r="L59" s="42"/>
    </row>
    <row r="60" ht="15.75" customHeight="1">
      <c r="A60" s="42"/>
      <c r="B60" s="42"/>
      <c r="D60" s="42"/>
      <c r="E60" s="42"/>
      <c r="F60" s="42"/>
      <c r="G60" s="42"/>
      <c r="H60" s="42"/>
      <c r="I60" s="42"/>
      <c r="J60" s="42"/>
      <c r="K60" s="42"/>
      <c r="L60" s="42"/>
    </row>
    <row r="61" ht="15.75" customHeight="1">
      <c r="A61" s="42"/>
      <c r="B61" s="42"/>
      <c r="D61" s="42"/>
      <c r="E61" s="42"/>
      <c r="F61" s="42"/>
      <c r="G61" s="42"/>
      <c r="H61" s="42"/>
      <c r="I61" s="42"/>
      <c r="J61" s="42"/>
      <c r="K61" s="42"/>
      <c r="L61" s="42"/>
    </row>
    <row r="62" ht="15.75" customHeight="1">
      <c r="A62" s="42"/>
      <c r="B62" s="42"/>
      <c r="D62" s="42"/>
      <c r="E62" s="42"/>
      <c r="F62" s="42"/>
      <c r="G62" s="42"/>
      <c r="H62" s="42"/>
      <c r="I62" s="42"/>
      <c r="J62" s="42"/>
      <c r="K62" s="42"/>
      <c r="L62" s="42"/>
    </row>
    <row r="63" ht="15.75" customHeight="1">
      <c r="A63" s="42"/>
      <c r="B63" s="42"/>
      <c r="D63" s="42"/>
      <c r="E63" s="42"/>
      <c r="F63" s="42"/>
      <c r="G63" s="42"/>
      <c r="H63" s="42"/>
      <c r="I63" s="42"/>
      <c r="J63" s="42"/>
      <c r="K63" s="42"/>
      <c r="L63" s="42"/>
    </row>
    <row r="64" ht="15.75" customHeight="1">
      <c r="A64" s="42"/>
      <c r="B64" s="42"/>
      <c r="D64" s="42"/>
      <c r="E64" s="42"/>
      <c r="F64" s="42"/>
      <c r="G64" s="42"/>
      <c r="H64" s="42"/>
      <c r="I64" s="42"/>
      <c r="J64" s="42"/>
      <c r="K64" s="42"/>
      <c r="L64" s="42"/>
    </row>
    <row r="65" ht="15.75" customHeight="1">
      <c r="A65" s="42"/>
      <c r="B65" s="42"/>
      <c r="D65" s="42"/>
      <c r="E65" s="42"/>
      <c r="F65" s="42"/>
      <c r="G65" s="42"/>
      <c r="H65" s="42"/>
      <c r="I65" s="42"/>
      <c r="J65" s="42"/>
      <c r="K65" s="42"/>
      <c r="L65" s="42"/>
    </row>
    <row r="66" ht="15.75" customHeight="1">
      <c r="A66" s="42"/>
      <c r="B66" s="42"/>
      <c r="D66" s="42"/>
      <c r="E66" s="42"/>
      <c r="F66" s="42"/>
      <c r="G66" s="42"/>
      <c r="H66" s="42"/>
      <c r="I66" s="42"/>
      <c r="J66" s="42"/>
      <c r="K66" s="42"/>
      <c r="L66" s="42"/>
    </row>
    <row r="67" ht="15.75" customHeight="1">
      <c r="A67" s="42"/>
      <c r="B67" s="42"/>
      <c r="D67" s="42"/>
      <c r="E67" s="42"/>
      <c r="F67" s="42"/>
      <c r="G67" s="42"/>
      <c r="H67" s="42"/>
      <c r="I67" s="42"/>
      <c r="J67" s="42"/>
      <c r="K67" s="42"/>
      <c r="L67" s="42"/>
    </row>
    <row r="68" ht="15.75" customHeight="1">
      <c r="A68" s="42"/>
      <c r="B68" s="42"/>
      <c r="D68" s="42"/>
      <c r="E68" s="42"/>
      <c r="F68" s="42"/>
      <c r="G68" s="42"/>
      <c r="H68" s="42"/>
      <c r="I68" s="42"/>
      <c r="J68" s="42"/>
      <c r="K68" s="42"/>
      <c r="L68" s="42"/>
    </row>
    <row r="69" ht="15.75" customHeight="1">
      <c r="A69" s="42"/>
      <c r="B69" s="42"/>
      <c r="D69" s="42"/>
      <c r="E69" s="42"/>
      <c r="F69" s="42"/>
      <c r="G69" s="42"/>
      <c r="H69" s="42"/>
      <c r="I69" s="42"/>
      <c r="J69" s="42"/>
      <c r="K69" s="42"/>
      <c r="L69" s="42"/>
    </row>
    <row r="70" ht="15.75" customHeight="1">
      <c r="A70" s="42"/>
      <c r="B70" s="42"/>
      <c r="D70" s="42"/>
      <c r="E70" s="42"/>
      <c r="F70" s="42"/>
      <c r="G70" s="42"/>
      <c r="H70" s="42"/>
      <c r="I70" s="42"/>
      <c r="J70" s="42"/>
      <c r="K70" s="42"/>
      <c r="L70" s="42"/>
    </row>
    <row r="71" ht="15.75" customHeight="1">
      <c r="A71" s="42"/>
      <c r="B71" s="42"/>
      <c r="D71" s="42"/>
      <c r="E71" s="42"/>
      <c r="F71" s="42"/>
      <c r="G71" s="42"/>
      <c r="H71" s="42"/>
      <c r="I71" s="42"/>
      <c r="J71" s="42"/>
      <c r="K71" s="42"/>
      <c r="L71" s="42"/>
    </row>
    <row r="72" ht="15.75" customHeight="1">
      <c r="A72" s="42"/>
      <c r="B72" s="42"/>
      <c r="D72" s="42"/>
      <c r="E72" s="42"/>
      <c r="F72" s="42"/>
      <c r="G72" s="42"/>
      <c r="H72" s="42"/>
      <c r="I72" s="42"/>
      <c r="J72" s="42"/>
      <c r="K72" s="42"/>
      <c r="L72" s="42"/>
    </row>
    <row r="73" ht="15.75" customHeight="1">
      <c r="A73" s="42"/>
      <c r="B73" s="42"/>
      <c r="D73" s="42"/>
      <c r="E73" s="42"/>
      <c r="F73" s="42"/>
      <c r="G73" s="42"/>
      <c r="H73" s="42"/>
      <c r="I73" s="42"/>
      <c r="J73" s="42"/>
      <c r="K73" s="42"/>
      <c r="L73" s="42"/>
    </row>
    <row r="74" ht="15.75" customHeight="1">
      <c r="A74" s="42"/>
      <c r="B74" s="42"/>
      <c r="D74" s="42"/>
      <c r="E74" s="42"/>
      <c r="F74" s="42"/>
      <c r="G74" s="42"/>
      <c r="H74" s="42"/>
      <c r="I74" s="42"/>
      <c r="J74" s="42"/>
      <c r="K74" s="42"/>
      <c r="L74" s="42"/>
    </row>
    <row r="75" ht="15.75" customHeight="1">
      <c r="A75" s="42"/>
      <c r="B75" s="42"/>
      <c r="D75" s="42"/>
      <c r="E75" s="42"/>
      <c r="F75" s="42"/>
      <c r="G75" s="42"/>
      <c r="H75" s="42"/>
      <c r="I75" s="42"/>
      <c r="J75" s="42"/>
      <c r="K75" s="42"/>
      <c r="L75" s="42"/>
    </row>
    <row r="76" ht="15.75" customHeight="1">
      <c r="A76" s="42"/>
      <c r="B76" s="42"/>
      <c r="D76" s="42"/>
      <c r="E76" s="42"/>
      <c r="F76" s="42"/>
      <c r="G76" s="42"/>
      <c r="H76" s="42"/>
      <c r="I76" s="42"/>
      <c r="J76" s="42"/>
      <c r="K76" s="42"/>
      <c r="L76" s="42"/>
    </row>
    <row r="77" ht="15.75" customHeight="1">
      <c r="A77" s="42"/>
      <c r="B77" s="42"/>
      <c r="D77" s="42"/>
      <c r="E77" s="42"/>
      <c r="F77" s="42"/>
      <c r="G77" s="42"/>
      <c r="H77" s="42"/>
      <c r="I77" s="42"/>
      <c r="J77" s="42"/>
      <c r="K77" s="42"/>
      <c r="L77" s="42"/>
    </row>
    <row r="78" ht="15.75" customHeight="1">
      <c r="A78" s="42"/>
      <c r="B78" s="42"/>
      <c r="D78" s="42"/>
      <c r="E78" s="42"/>
      <c r="F78" s="42"/>
      <c r="G78" s="42"/>
      <c r="H78" s="42"/>
      <c r="I78" s="42"/>
      <c r="J78" s="42"/>
      <c r="K78" s="42"/>
      <c r="L78" s="42"/>
    </row>
    <row r="79" ht="15.75" customHeight="1">
      <c r="A79" s="42"/>
      <c r="B79" s="42"/>
      <c r="D79" s="42"/>
      <c r="E79" s="42"/>
      <c r="F79" s="42"/>
      <c r="G79" s="42"/>
      <c r="H79" s="42"/>
      <c r="I79" s="42"/>
      <c r="J79" s="42"/>
      <c r="K79" s="42"/>
      <c r="L79" s="42"/>
    </row>
    <row r="80" ht="15.75" customHeight="1">
      <c r="A80" s="42"/>
      <c r="B80" s="42"/>
      <c r="D80" s="42"/>
      <c r="E80" s="42"/>
      <c r="F80" s="42"/>
      <c r="G80" s="42"/>
      <c r="H80" s="42"/>
      <c r="I80" s="42"/>
      <c r="J80" s="42"/>
      <c r="K80" s="42"/>
      <c r="L80" s="42"/>
    </row>
    <row r="81" ht="15.75" customHeight="1">
      <c r="A81" s="42"/>
      <c r="B81" s="42"/>
      <c r="D81" s="42"/>
      <c r="E81" s="42"/>
      <c r="F81" s="42"/>
      <c r="G81" s="42"/>
      <c r="H81" s="42"/>
      <c r="I81" s="42"/>
      <c r="J81" s="42"/>
      <c r="K81" s="42"/>
      <c r="L81" s="42"/>
    </row>
    <row r="82" ht="15.75" customHeight="1">
      <c r="A82" s="42"/>
      <c r="B82" s="42"/>
      <c r="D82" s="42"/>
      <c r="E82" s="42"/>
      <c r="F82" s="42"/>
      <c r="G82" s="42"/>
      <c r="H82" s="42"/>
      <c r="I82" s="42"/>
      <c r="J82" s="42"/>
      <c r="K82" s="42"/>
      <c r="L82" s="42"/>
    </row>
    <row r="83" ht="15.75" customHeight="1">
      <c r="A83" s="42"/>
      <c r="B83" s="42"/>
      <c r="D83" s="42"/>
      <c r="E83" s="42"/>
      <c r="F83" s="42"/>
      <c r="G83" s="42"/>
      <c r="H83" s="42"/>
      <c r="I83" s="42"/>
      <c r="J83" s="42"/>
      <c r="K83" s="42"/>
      <c r="L83" s="42"/>
    </row>
    <row r="84" ht="15.75" customHeight="1">
      <c r="A84" s="42"/>
      <c r="B84" s="42"/>
      <c r="D84" s="42"/>
      <c r="E84" s="42"/>
      <c r="F84" s="42"/>
      <c r="G84" s="42"/>
      <c r="H84" s="42"/>
      <c r="I84" s="42"/>
      <c r="J84" s="42"/>
      <c r="K84" s="42"/>
      <c r="L84" s="42"/>
    </row>
    <row r="85" ht="15.75" customHeight="1">
      <c r="A85" s="42"/>
      <c r="B85" s="42"/>
      <c r="D85" s="42"/>
      <c r="E85" s="42"/>
      <c r="F85" s="42"/>
      <c r="G85" s="42"/>
      <c r="H85" s="42"/>
      <c r="I85" s="42"/>
      <c r="J85" s="42"/>
      <c r="K85" s="42"/>
      <c r="L85" s="42"/>
    </row>
    <row r="86" ht="15.75" customHeight="1">
      <c r="A86" s="42"/>
      <c r="B86" s="42"/>
      <c r="D86" s="42"/>
      <c r="E86" s="42"/>
      <c r="F86" s="42"/>
      <c r="G86" s="42"/>
      <c r="H86" s="42"/>
      <c r="I86" s="42"/>
      <c r="J86" s="42"/>
      <c r="K86" s="42"/>
      <c r="L86" s="42"/>
    </row>
    <row r="87" ht="15.75" customHeight="1">
      <c r="A87" s="42"/>
      <c r="B87" s="42"/>
      <c r="D87" s="42"/>
      <c r="E87" s="42"/>
      <c r="F87" s="42"/>
      <c r="G87" s="42"/>
      <c r="H87" s="42"/>
      <c r="I87" s="42"/>
      <c r="J87" s="42"/>
      <c r="K87" s="42"/>
      <c r="L87" s="42"/>
    </row>
    <row r="88" ht="15.75" customHeight="1">
      <c r="A88" s="42"/>
      <c r="B88" s="42"/>
      <c r="D88" s="42"/>
      <c r="E88" s="42"/>
      <c r="F88" s="42"/>
      <c r="G88" s="42"/>
      <c r="H88" s="42"/>
      <c r="I88" s="42"/>
      <c r="J88" s="42"/>
      <c r="K88" s="42"/>
      <c r="L88" s="42"/>
    </row>
    <row r="89" ht="15.75" customHeight="1">
      <c r="A89" s="42"/>
      <c r="B89" s="42"/>
      <c r="D89" s="42"/>
      <c r="E89" s="42"/>
      <c r="F89" s="42"/>
      <c r="G89" s="42"/>
      <c r="H89" s="42"/>
      <c r="I89" s="42"/>
      <c r="J89" s="42"/>
      <c r="K89" s="42"/>
      <c r="L89" s="42"/>
    </row>
    <row r="90" ht="15.75" customHeight="1">
      <c r="A90" s="42"/>
      <c r="B90" s="42"/>
      <c r="D90" s="42"/>
      <c r="E90" s="42"/>
      <c r="F90" s="42"/>
      <c r="G90" s="42"/>
      <c r="H90" s="42"/>
      <c r="I90" s="42"/>
      <c r="J90" s="42"/>
      <c r="K90" s="42"/>
      <c r="L90" s="42"/>
    </row>
    <row r="91" ht="15.75" customHeight="1">
      <c r="A91" s="42"/>
      <c r="B91" s="42"/>
      <c r="D91" s="42"/>
      <c r="E91" s="42"/>
      <c r="F91" s="42"/>
      <c r="G91" s="42"/>
      <c r="H91" s="42"/>
      <c r="I91" s="42"/>
      <c r="J91" s="42"/>
      <c r="K91" s="42"/>
      <c r="L91" s="42"/>
    </row>
    <row r="92" ht="15.75" customHeight="1">
      <c r="A92" s="42"/>
      <c r="B92" s="42"/>
      <c r="D92" s="42"/>
      <c r="E92" s="42"/>
      <c r="F92" s="42"/>
      <c r="G92" s="42"/>
      <c r="H92" s="42"/>
      <c r="I92" s="42"/>
      <c r="J92" s="42"/>
      <c r="K92" s="42"/>
      <c r="L92" s="42"/>
    </row>
    <row r="93" ht="15.75" customHeight="1">
      <c r="A93" s="42"/>
      <c r="B93" s="42"/>
      <c r="D93" s="42"/>
      <c r="E93" s="42"/>
      <c r="F93" s="42"/>
      <c r="G93" s="42"/>
      <c r="H93" s="42"/>
      <c r="I93" s="42"/>
      <c r="J93" s="42"/>
      <c r="K93" s="42"/>
      <c r="L93" s="42"/>
    </row>
    <row r="94" ht="15.75" customHeight="1">
      <c r="A94" s="42"/>
      <c r="B94" s="42"/>
      <c r="D94" s="42"/>
      <c r="E94" s="42"/>
      <c r="F94" s="42"/>
      <c r="G94" s="42"/>
      <c r="H94" s="42"/>
      <c r="I94" s="42"/>
      <c r="J94" s="42"/>
      <c r="K94" s="42"/>
      <c r="L94" s="42"/>
    </row>
    <row r="95" ht="15.75" customHeight="1">
      <c r="A95" s="42"/>
      <c r="B95" s="42"/>
      <c r="D95" s="42"/>
      <c r="E95" s="42"/>
      <c r="F95" s="42"/>
      <c r="G95" s="42"/>
      <c r="H95" s="42"/>
      <c r="I95" s="42"/>
      <c r="J95" s="42"/>
      <c r="K95" s="42"/>
      <c r="L95" s="42"/>
    </row>
    <row r="96" ht="15.75" customHeight="1">
      <c r="A96" s="42"/>
      <c r="B96" s="42"/>
      <c r="D96" s="42"/>
      <c r="E96" s="42"/>
      <c r="F96" s="42"/>
      <c r="G96" s="42"/>
      <c r="H96" s="42"/>
      <c r="I96" s="42"/>
      <c r="J96" s="42"/>
      <c r="K96" s="42"/>
      <c r="L96" s="42"/>
    </row>
    <row r="97" ht="15.75" customHeight="1">
      <c r="A97" s="42"/>
      <c r="B97" s="42"/>
      <c r="D97" s="42"/>
      <c r="E97" s="42"/>
      <c r="F97" s="42"/>
      <c r="G97" s="42"/>
      <c r="H97" s="42"/>
      <c r="I97" s="42"/>
      <c r="J97" s="42"/>
      <c r="K97" s="42"/>
      <c r="L97" s="42"/>
    </row>
    <row r="98" ht="15.75" customHeight="1">
      <c r="A98" s="42"/>
      <c r="B98" s="42"/>
      <c r="D98" s="42"/>
      <c r="E98" s="42"/>
      <c r="F98" s="42"/>
      <c r="G98" s="42"/>
      <c r="H98" s="42"/>
      <c r="I98" s="42"/>
      <c r="J98" s="42"/>
      <c r="K98" s="42"/>
      <c r="L98" s="42"/>
    </row>
    <row r="99" ht="15.75" customHeight="1">
      <c r="A99" s="42"/>
      <c r="B99" s="42"/>
      <c r="D99" s="42"/>
      <c r="E99" s="42"/>
      <c r="F99" s="42"/>
      <c r="G99" s="42"/>
      <c r="H99" s="42"/>
      <c r="I99" s="42"/>
      <c r="J99" s="42"/>
      <c r="K99" s="42"/>
      <c r="L99" s="42"/>
    </row>
    <row r="100" ht="15.75" customHeight="1">
      <c r="A100" s="42"/>
      <c r="B100" s="42"/>
      <c r="D100" s="42"/>
      <c r="E100" s="42"/>
      <c r="F100" s="42"/>
      <c r="G100" s="42"/>
      <c r="H100" s="42"/>
      <c r="I100" s="42"/>
      <c r="J100" s="42"/>
      <c r="K100" s="42"/>
      <c r="L100" s="42"/>
    </row>
    <row r="101" ht="15.75" customHeight="1">
      <c r="A101" s="42"/>
      <c r="B101" s="42"/>
      <c r="D101" s="42"/>
      <c r="E101" s="42"/>
      <c r="F101" s="42"/>
      <c r="G101" s="42"/>
      <c r="H101" s="42"/>
      <c r="I101" s="42"/>
      <c r="J101" s="42"/>
      <c r="K101" s="42"/>
      <c r="L101" s="42"/>
    </row>
    <row r="102" ht="15.75" customHeight="1">
      <c r="A102" s="42"/>
      <c r="B102" s="42"/>
      <c r="D102" s="42"/>
      <c r="E102" s="42"/>
      <c r="F102" s="42"/>
      <c r="G102" s="42"/>
      <c r="H102" s="42"/>
      <c r="I102" s="42"/>
      <c r="J102" s="42"/>
      <c r="K102" s="42"/>
      <c r="L102" s="42"/>
    </row>
    <row r="103" ht="15.75" customHeight="1">
      <c r="A103" s="42"/>
      <c r="B103" s="42"/>
      <c r="D103" s="42"/>
      <c r="E103" s="42"/>
      <c r="F103" s="42"/>
      <c r="G103" s="42"/>
      <c r="H103" s="42"/>
      <c r="I103" s="42"/>
      <c r="J103" s="42"/>
      <c r="K103" s="42"/>
      <c r="L103" s="42"/>
    </row>
    <row r="104" ht="15.75" customHeight="1">
      <c r="A104" s="42"/>
      <c r="B104" s="42"/>
      <c r="D104" s="42"/>
      <c r="E104" s="42"/>
      <c r="F104" s="42"/>
      <c r="G104" s="42"/>
      <c r="H104" s="42"/>
      <c r="I104" s="42"/>
      <c r="J104" s="42"/>
      <c r="K104" s="42"/>
      <c r="L104" s="42"/>
    </row>
    <row r="105" ht="15.75" customHeight="1">
      <c r="A105" s="42"/>
      <c r="B105" s="42"/>
      <c r="D105" s="42"/>
      <c r="E105" s="42"/>
      <c r="F105" s="42"/>
      <c r="G105" s="42"/>
      <c r="H105" s="42"/>
      <c r="I105" s="42"/>
      <c r="J105" s="42"/>
      <c r="K105" s="42"/>
      <c r="L105" s="42"/>
    </row>
    <row r="106" ht="15.75" customHeight="1">
      <c r="A106" s="42"/>
      <c r="B106" s="42"/>
      <c r="D106" s="42"/>
      <c r="E106" s="42"/>
      <c r="F106" s="42"/>
      <c r="G106" s="42"/>
      <c r="H106" s="42"/>
      <c r="I106" s="42"/>
      <c r="J106" s="42"/>
      <c r="K106" s="42"/>
      <c r="L106" s="42"/>
    </row>
    <row r="107" ht="15.75" customHeight="1">
      <c r="A107" s="42"/>
      <c r="B107" s="42"/>
      <c r="D107" s="42"/>
      <c r="E107" s="42"/>
      <c r="F107" s="42"/>
      <c r="G107" s="42"/>
      <c r="H107" s="42"/>
      <c r="I107" s="42"/>
      <c r="J107" s="42"/>
      <c r="K107" s="42"/>
      <c r="L107" s="42"/>
    </row>
    <row r="108" ht="15.75" customHeight="1">
      <c r="A108" s="42"/>
      <c r="B108" s="42"/>
      <c r="D108" s="42"/>
      <c r="E108" s="42"/>
      <c r="F108" s="42"/>
      <c r="G108" s="42"/>
      <c r="H108" s="42"/>
      <c r="I108" s="42"/>
      <c r="J108" s="42"/>
      <c r="K108" s="42"/>
      <c r="L108" s="42"/>
    </row>
    <row r="109" ht="15.75" customHeight="1">
      <c r="A109" s="42"/>
      <c r="B109" s="42"/>
      <c r="D109" s="42"/>
      <c r="E109" s="42"/>
      <c r="F109" s="42"/>
      <c r="G109" s="42"/>
      <c r="H109" s="42"/>
      <c r="I109" s="42"/>
      <c r="J109" s="42"/>
      <c r="K109" s="42"/>
      <c r="L109" s="42"/>
    </row>
    <row r="110" ht="15.75" customHeight="1">
      <c r="A110" s="42"/>
      <c r="B110" s="42"/>
      <c r="D110" s="42"/>
      <c r="E110" s="42"/>
      <c r="F110" s="42"/>
      <c r="G110" s="42"/>
      <c r="H110" s="42"/>
      <c r="I110" s="42"/>
      <c r="J110" s="42"/>
      <c r="K110" s="42"/>
      <c r="L110" s="42"/>
    </row>
    <row r="111" ht="15.75" customHeight="1">
      <c r="A111" s="42"/>
      <c r="B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ht="15.75" customHeight="1">
      <c r="A112" s="42"/>
      <c r="B112" s="42"/>
      <c r="D112" s="42"/>
      <c r="E112" s="42"/>
      <c r="F112" s="42"/>
      <c r="G112" s="42"/>
      <c r="H112" s="42"/>
      <c r="I112" s="42"/>
      <c r="J112" s="42"/>
      <c r="K112" s="42"/>
      <c r="L112" s="42"/>
    </row>
    <row r="113" ht="15.75" customHeight="1">
      <c r="A113" s="42"/>
      <c r="B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ht="15.75" customHeight="1">
      <c r="A114" s="42"/>
      <c r="B114" s="42"/>
      <c r="D114" s="42"/>
      <c r="E114" s="42"/>
      <c r="F114" s="42"/>
      <c r="G114" s="42"/>
      <c r="H114" s="42"/>
      <c r="I114" s="42"/>
      <c r="J114" s="42"/>
      <c r="K114" s="42"/>
      <c r="L114" s="42"/>
    </row>
    <row r="115" ht="15.75" customHeight="1">
      <c r="A115" s="42"/>
      <c r="B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ht="15.75" customHeight="1">
      <c r="A116" s="42"/>
      <c r="B116" s="42"/>
      <c r="D116" s="42"/>
      <c r="E116" s="42"/>
      <c r="F116" s="42"/>
      <c r="G116" s="42"/>
      <c r="H116" s="42"/>
      <c r="I116" s="42"/>
      <c r="J116" s="42"/>
      <c r="K116" s="42"/>
      <c r="L116" s="42"/>
    </row>
    <row r="117" ht="15.75" customHeight="1">
      <c r="A117" s="42"/>
      <c r="B117" s="42"/>
      <c r="D117" s="42"/>
      <c r="E117" s="42"/>
      <c r="F117" s="42"/>
      <c r="G117" s="42"/>
      <c r="H117" s="42"/>
      <c r="I117" s="42"/>
      <c r="J117" s="42"/>
      <c r="K117" s="42"/>
      <c r="L117" s="42"/>
    </row>
    <row r="118" ht="15.75" customHeight="1">
      <c r="A118" s="42"/>
      <c r="B118" s="42"/>
      <c r="D118" s="42"/>
      <c r="E118" s="42"/>
      <c r="F118" s="42"/>
      <c r="G118" s="42"/>
      <c r="H118" s="42"/>
      <c r="I118" s="42"/>
      <c r="J118" s="42"/>
      <c r="K118" s="42"/>
      <c r="L118" s="42"/>
    </row>
    <row r="119" ht="15.75" customHeight="1">
      <c r="A119" s="42"/>
      <c r="B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0" ht="15.75" customHeight="1">
      <c r="A120" s="42"/>
      <c r="B120" s="42"/>
      <c r="D120" s="42"/>
      <c r="E120" s="42"/>
      <c r="F120" s="42"/>
      <c r="G120" s="42"/>
      <c r="H120" s="42"/>
      <c r="I120" s="42"/>
      <c r="J120" s="42"/>
      <c r="K120" s="42"/>
      <c r="L120" s="42"/>
    </row>
    <row r="121" ht="15.75" customHeight="1">
      <c r="A121" s="42"/>
      <c r="B121" s="42"/>
      <c r="D121" s="42"/>
      <c r="E121" s="42"/>
      <c r="F121" s="42"/>
      <c r="G121" s="42"/>
      <c r="H121" s="42"/>
      <c r="I121" s="42"/>
      <c r="J121" s="42"/>
      <c r="K121" s="42"/>
      <c r="L121" s="42"/>
    </row>
    <row r="122" ht="15.75" customHeight="1">
      <c r="A122" s="42"/>
      <c r="B122" s="42"/>
      <c r="D122" s="42"/>
      <c r="E122" s="42"/>
      <c r="F122" s="42"/>
      <c r="G122" s="42"/>
      <c r="H122" s="42"/>
      <c r="I122" s="42"/>
      <c r="J122" s="42"/>
      <c r="K122" s="42"/>
      <c r="L122" s="42"/>
    </row>
    <row r="123" ht="15.75" customHeight="1">
      <c r="A123" s="42"/>
      <c r="B123" s="42"/>
      <c r="D123" s="42"/>
      <c r="E123" s="42"/>
      <c r="F123" s="42"/>
      <c r="G123" s="42"/>
      <c r="H123" s="42"/>
      <c r="I123" s="42"/>
      <c r="J123" s="42"/>
      <c r="K123" s="42"/>
      <c r="L123" s="42"/>
    </row>
    <row r="124" ht="15.75" customHeight="1">
      <c r="A124" s="42"/>
      <c r="B124" s="42"/>
      <c r="D124" s="42"/>
      <c r="E124" s="42"/>
      <c r="F124" s="42"/>
      <c r="G124" s="42"/>
      <c r="H124" s="42"/>
      <c r="I124" s="42"/>
      <c r="J124" s="42"/>
      <c r="K124" s="42"/>
      <c r="L124" s="42"/>
    </row>
    <row r="125" ht="15.75" customHeight="1">
      <c r="A125" s="42"/>
      <c r="B125" s="42"/>
      <c r="D125" s="42"/>
      <c r="E125" s="42"/>
      <c r="F125" s="42"/>
      <c r="G125" s="42"/>
      <c r="H125" s="42"/>
      <c r="I125" s="42"/>
      <c r="J125" s="42"/>
      <c r="K125" s="42"/>
      <c r="L125" s="42"/>
    </row>
    <row r="126" ht="15.75" customHeight="1">
      <c r="A126" s="42"/>
      <c r="B126" s="42"/>
      <c r="D126" s="42"/>
      <c r="E126" s="42"/>
      <c r="F126" s="42"/>
      <c r="G126" s="42"/>
      <c r="H126" s="42"/>
      <c r="I126" s="42"/>
      <c r="J126" s="42"/>
      <c r="K126" s="42"/>
      <c r="L126" s="42"/>
    </row>
    <row r="127" ht="15.75" customHeight="1">
      <c r="A127" s="42"/>
      <c r="B127" s="42"/>
      <c r="D127" s="42"/>
      <c r="E127" s="42"/>
      <c r="F127" s="42"/>
      <c r="G127" s="42"/>
      <c r="H127" s="42"/>
      <c r="I127" s="42"/>
      <c r="J127" s="42"/>
      <c r="K127" s="42"/>
      <c r="L127" s="42"/>
    </row>
    <row r="128" ht="15.75" customHeight="1">
      <c r="A128" s="42"/>
      <c r="B128" s="42"/>
      <c r="D128" s="42"/>
      <c r="E128" s="42"/>
      <c r="F128" s="42"/>
      <c r="G128" s="42"/>
      <c r="H128" s="42"/>
      <c r="I128" s="42"/>
      <c r="J128" s="42"/>
      <c r="K128" s="42"/>
      <c r="L128" s="42"/>
    </row>
    <row r="129" ht="15.75" customHeight="1">
      <c r="A129" s="42"/>
      <c r="B129" s="42"/>
      <c r="D129" s="42"/>
      <c r="E129" s="42"/>
      <c r="F129" s="42"/>
      <c r="G129" s="42"/>
      <c r="H129" s="42"/>
      <c r="I129" s="42"/>
      <c r="J129" s="42"/>
      <c r="K129" s="42"/>
      <c r="L129" s="42"/>
    </row>
    <row r="130" ht="15.75" customHeight="1">
      <c r="A130" s="42"/>
      <c r="B130" s="42"/>
      <c r="D130" s="42"/>
      <c r="E130" s="42"/>
      <c r="F130" s="42"/>
      <c r="G130" s="42"/>
      <c r="H130" s="42"/>
      <c r="I130" s="42"/>
      <c r="J130" s="42"/>
      <c r="K130" s="42"/>
      <c r="L130" s="42"/>
    </row>
    <row r="131" ht="15.75" customHeight="1">
      <c r="A131" s="42"/>
      <c r="B131" s="42"/>
      <c r="D131" s="42"/>
      <c r="E131" s="42"/>
      <c r="F131" s="42"/>
      <c r="G131" s="42"/>
      <c r="H131" s="42"/>
      <c r="I131" s="42"/>
      <c r="J131" s="42"/>
      <c r="K131" s="42"/>
      <c r="L131" s="42"/>
    </row>
    <row r="132" ht="15.75" customHeight="1">
      <c r="A132" s="42"/>
      <c r="B132" s="42"/>
      <c r="D132" s="42"/>
      <c r="E132" s="42"/>
      <c r="F132" s="42"/>
      <c r="G132" s="42"/>
      <c r="H132" s="42"/>
      <c r="I132" s="42"/>
      <c r="J132" s="42"/>
      <c r="K132" s="42"/>
      <c r="L132" s="42"/>
    </row>
    <row r="133" ht="15.75" customHeight="1">
      <c r="A133" s="42"/>
      <c r="B133" s="42"/>
      <c r="D133" s="42"/>
      <c r="E133" s="42"/>
      <c r="F133" s="42"/>
      <c r="G133" s="42"/>
      <c r="H133" s="42"/>
      <c r="I133" s="42"/>
      <c r="J133" s="42"/>
      <c r="K133" s="42"/>
      <c r="L133" s="42"/>
    </row>
    <row r="134" ht="15.75" customHeight="1">
      <c r="A134" s="42"/>
      <c r="B134" s="42"/>
      <c r="D134" s="42"/>
      <c r="E134" s="42"/>
      <c r="F134" s="42"/>
      <c r="G134" s="42"/>
      <c r="H134" s="42"/>
      <c r="I134" s="42"/>
      <c r="J134" s="42"/>
      <c r="K134" s="42"/>
      <c r="L134" s="42"/>
    </row>
    <row r="135" ht="15.75" customHeight="1">
      <c r="A135" s="42"/>
      <c r="B135" s="42"/>
      <c r="D135" s="42"/>
      <c r="E135" s="42"/>
      <c r="F135" s="42"/>
      <c r="G135" s="42"/>
      <c r="H135" s="42"/>
      <c r="I135" s="42"/>
      <c r="J135" s="42"/>
      <c r="K135" s="42"/>
      <c r="L135" s="42"/>
    </row>
    <row r="136" ht="15.75" customHeight="1">
      <c r="A136" s="42"/>
      <c r="B136" s="42"/>
      <c r="D136" s="42"/>
      <c r="E136" s="42"/>
      <c r="F136" s="42"/>
      <c r="G136" s="42"/>
      <c r="H136" s="42"/>
      <c r="I136" s="42"/>
      <c r="J136" s="42"/>
      <c r="K136" s="42"/>
      <c r="L136" s="42"/>
    </row>
    <row r="137" ht="15.75" customHeight="1">
      <c r="A137" s="42"/>
      <c r="B137" s="42"/>
      <c r="D137" s="42"/>
      <c r="E137" s="42"/>
      <c r="F137" s="42"/>
      <c r="G137" s="42"/>
      <c r="H137" s="42"/>
      <c r="I137" s="42"/>
      <c r="J137" s="42"/>
      <c r="K137" s="42"/>
      <c r="L137" s="42"/>
    </row>
    <row r="138" ht="15.75" customHeight="1">
      <c r="A138" s="42"/>
      <c r="B138" s="42"/>
      <c r="D138" s="42"/>
      <c r="E138" s="42"/>
      <c r="F138" s="42"/>
      <c r="G138" s="42"/>
      <c r="H138" s="42"/>
      <c r="I138" s="42"/>
      <c r="J138" s="42"/>
      <c r="K138" s="42"/>
      <c r="L138" s="42"/>
    </row>
    <row r="139" ht="15.75" customHeight="1">
      <c r="A139" s="42"/>
      <c r="B139" s="42"/>
      <c r="D139" s="42"/>
      <c r="E139" s="42"/>
      <c r="F139" s="42"/>
      <c r="G139" s="42"/>
      <c r="H139" s="42"/>
      <c r="I139" s="42"/>
      <c r="J139" s="42"/>
      <c r="K139" s="42"/>
      <c r="L139" s="42"/>
    </row>
    <row r="140" ht="15.75" customHeight="1">
      <c r="A140" s="42"/>
      <c r="B140" s="42"/>
      <c r="D140" s="42"/>
      <c r="E140" s="42"/>
      <c r="F140" s="42"/>
      <c r="G140" s="42"/>
      <c r="H140" s="42"/>
      <c r="I140" s="42"/>
      <c r="J140" s="42"/>
      <c r="K140" s="42"/>
      <c r="L140" s="42"/>
    </row>
    <row r="141" ht="15.75" customHeight="1">
      <c r="A141" s="42"/>
      <c r="B141" s="42"/>
      <c r="D141" s="42"/>
      <c r="E141" s="42"/>
      <c r="F141" s="42"/>
      <c r="G141" s="42"/>
      <c r="H141" s="42"/>
      <c r="I141" s="42"/>
      <c r="J141" s="42"/>
      <c r="K141" s="42"/>
      <c r="L141" s="42"/>
    </row>
    <row r="142" ht="15.75" customHeight="1">
      <c r="A142" s="42"/>
      <c r="B142" s="42"/>
      <c r="D142" s="42"/>
      <c r="E142" s="42"/>
      <c r="F142" s="42"/>
      <c r="G142" s="42"/>
      <c r="H142" s="42"/>
      <c r="I142" s="42"/>
      <c r="J142" s="42"/>
      <c r="K142" s="42"/>
      <c r="L142" s="42"/>
    </row>
    <row r="143" ht="15.75" customHeight="1">
      <c r="A143" s="42"/>
      <c r="B143" s="42"/>
      <c r="D143" s="42"/>
      <c r="E143" s="42"/>
      <c r="F143" s="42"/>
      <c r="G143" s="42"/>
      <c r="H143" s="42"/>
      <c r="I143" s="42"/>
      <c r="J143" s="42"/>
      <c r="K143" s="42"/>
      <c r="L143" s="42"/>
    </row>
    <row r="144" ht="15.75" customHeight="1">
      <c r="A144" s="42"/>
      <c r="B144" s="42"/>
      <c r="D144" s="42"/>
      <c r="E144" s="42"/>
      <c r="F144" s="42"/>
      <c r="G144" s="42"/>
      <c r="H144" s="42"/>
      <c r="I144" s="42"/>
      <c r="J144" s="42"/>
      <c r="K144" s="42"/>
      <c r="L144" s="42"/>
    </row>
    <row r="145" ht="15.75" customHeight="1">
      <c r="A145" s="42"/>
      <c r="B145" s="42"/>
      <c r="D145" s="42"/>
      <c r="E145" s="42"/>
      <c r="F145" s="42"/>
      <c r="G145" s="42"/>
      <c r="H145" s="42"/>
      <c r="I145" s="42"/>
      <c r="J145" s="42"/>
      <c r="K145" s="42"/>
      <c r="L145" s="42"/>
    </row>
    <row r="146" ht="15.75" customHeight="1">
      <c r="A146" s="42"/>
      <c r="B146" s="42"/>
      <c r="D146" s="42"/>
      <c r="E146" s="42"/>
      <c r="F146" s="42"/>
      <c r="G146" s="42"/>
      <c r="H146" s="42"/>
      <c r="I146" s="42"/>
      <c r="J146" s="42"/>
      <c r="K146" s="42"/>
      <c r="L146" s="42"/>
    </row>
    <row r="147" ht="15.75" customHeight="1">
      <c r="A147" s="42"/>
      <c r="B147" s="42"/>
      <c r="D147" s="42"/>
      <c r="E147" s="42"/>
      <c r="F147" s="42"/>
      <c r="G147" s="42"/>
      <c r="H147" s="42"/>
      <c r="I147" s="42"/>
      <c r="J147" s="42"/>
      <c r="K147" s="42"/>
      <c r="L147" s="42"/>
    </row>
    <row r="148" ht="15.75" customHeight="1">
      <c r="A148" s="42"/>
      <c r="B148" s="42"/>
      <c r="D148" s="42"/>
      <c r="E148" s="42"/>
      <c r="F148" s="42"/>
      <c r="G148" s="42"/>
      <c r="H148" s="42"/>
      <c r="I148" s="42"/>
      <c r="J148" s="42"/>
      <c r="K148" s="42"/>
      <c r="L148" s="42"/>
    </row>
    <row r="149" ht="15.75" customHeight="1">
      <c r="A149" s="42"/>
      <c r="B149" s="42"/>
      <c r="D149" s="42"/>
      <c r="E149" s="42"/>
      <c r="F149" s="42"/>
      <c r="G149" s="42"/>
      <c r="H149" s="42"/>
      <c r="I149" s="42"/>
      <c r="J149" s="42"/>
      <c r="K149" s="42"/>
      <c r="L149" s="42"/>
    </row>
    <row r="150" ht="15.75" customHeight="1">
      <c r="A150" s="42"/>
      <c r="B150" s="42"/>
      <c r="D150" s="42"/>
      <c r="E150" s="42"/>
      <c r="F150" s="42"/>
      <c r="G150" s="42"/>
      <c r="H150" s="42"/>
      <c r="I150" s="42"/>
      <c r="J150" s="42"/>
      <c r="K150" s="42"/>
      <c r="L150" s="42"/>
    </row>
    <row r="151" ht="15.75" customHeight="1">
      <c r="A151" s="42"/>
      <c r="B151" s="42"/>
      <c r="D151" s="42"/>
      <c r="E151" s="42"/>
      <c r="F151" s="42"/>
      <c r="G151" s="42"/>
      <c r="H151" s="42"/>
      <c r="I151" s="42"/>
      <c r="J151" s="42"/>
      <c r="K151" s="42"/>
      <c r="L151" s="42"/>
    </row>
    <row r="152" ht="15.75" customHeight="1">
      <c r="A152" s="42"/>
      <c r="B152" s="42"/>
      <c r="D152" s="42"/>
      <c r="E152" s="42"/>
      <c r="F152" s="42"/>
      <c r="G152" s="42"/>
      <c r="H152" s="42"/>
      <c r="I152" s="42"/>
      <c r="J152" s="42"/>
      <c r="K152" s="42"/>
      <c r="L152" s="42"/>
    </row>
    <row r="153" ht="15.75" customHeight="1">
      <c r="A153" s="42"/>
      <c r="B153" s="42"/>
      <c r="D153" s="42"/>
      <c r="E153" s="42"/>
      <c r="F153" s="42"/>
      <c r="G153" s="42"/>
      <c r="H153" s="42"/>
      <c r="I153" s="42"/>
      <c r="J153" s="42"/>
      <c r="K153" s="42"/>
      <c r="L153" s="42"/>
    </row>
    <row r="154" ht="15.75" customHeight="1">
      <c r="A154" s="42"/>
      <c r="B154" s="42"/>
      <c r="D154" s="42"/>
      <c r="E154" s="42"/>
      <c r="F154" s="42"/>
      <c r="G154" s="42"/>
      <c r="H154" s="42"/>
      <c r="I154" s="42"/>
      <c r="J154" s="42"/>
      <c r="K154" s="42"/>
      <c r="L154" s="42"/>
    </row>
    <row r="155" ht="15.75" customHeight="1">
      <c r="A155" s="42"/>
      <c r="B155" s="42"/>
      <c r="D155" s="42"/>
      <c r="E155" s="42"/>
      <c r="F155" s="42"/>
      <c r="G155" s="42"/>
      <c r="H155" s="42"/>
      <c r="I155" s="42"/>
      <c r="J155" s="42"/>
      <c r="K155" s="42"/>
      <c r="L155" s="42"/>
    </row>
    <row r="156" ht="15.75" customHeight="1">
      <c r="A156" s="42"/>
      <c r="B156" s="42"/>
      <c r="D156" s="42"/>
      <c r="E156" s="42"/>
      <c r="F156" s="42"/>
      <c r="G156" s="42"/>
      <c r="H156" s="42"/>
      <c r="I156" s="42"/>
      <c r="J156" s="42"/>
      <c r="K156" s="42"/>
      <c r="L156" s="42"/>
    </row>
    <row r="157" ht="15.75" customHeight="1">
      <c r="A157" s="42"/>
      <c r="B157" s="42"/>
      <c r="D157" s="42"/>
      <c r="E157" s="42"/>
      <c r="F157" s="42"/>
      <c r="G157" s="42"/>
      <c r="H157" s="42"/>
      <c r="I157" s="42"/>
      <c r="J157" s="42"/>
      <c r="K157" s="42"/>
      <c r="L157" s="42"/>
    </row>
    <row r="158" ht="15.75" customHeight="1">
      <c r="A158" s="42"/>
      <c r="B158" s="42"/>
      <c r="D158" s="42"/>
      <c r="E158" s="42"/>
      <c r="F158" s="42"/>
      <c r="G158" s="42"/>
      <c r="H158" s="42"/>
      <c r="I158" s="42"/>
      <c r="J158" s="42"/>
      <c r="K158" s="42"/>
      <c r="L158" s="42"/>
    </row>
    <row r="159" ht="15.75" customHeight="1">
      <c r="A159" s="42"/>
      <c r="B159" s="42"/>
      <c r="D159" s="42"/>
      <c r="E159" s="42"/>
      <c r="F159" s="42"/>
      <c r="G159" s="42"/>
      <c r="H159" s="42"/>
      <c r="I159" s="42"/>
      <c r="J159" s="42"/>
      <c r="K159" s="42"/>
      <c r="L159" s="42"/>
    </row>
    <row r="160" ht="15.75" customHeight="1">
      <c r="A160" s="42"/>
      <c r="B160" s="42"/>
      <c r="D160" s="42"/>
      <c r="E160" s="42"/>
      <c r="F160" s="42"/>
      <c r="G160" s="42"/>
      <c r="H160" s="42"/>
      <c r="I160" s="42"/>
      <c r="J160" s="42"/>
      <c r="K160" s="42"/>
      <c r="L160" s="42"/>
    </row>
    <row r="161" ht="15.75" customHeight="1">
      <c r="A161" s="42"/>
      <c r="B161" s="42"/>
      <c r="D161" s="42"/>
      <c r="E161" s="42"/>
      <c r="F161" s="42"/>
      <c r="G161" s="42"/>
      <c r="H161" s="42"/>
      <c r="I161" s="42"/>
      <c r="J161" s="42"/>
      <c r="K161" s="42"/>
      <c r="L161" s="42"/>
    </row>
    <row r="162" ht="15.75" customHeight="1">
      <c r="A162" s="42"/>
      <c r="B162" s="42"/>
      <c r="D162" s="42"/>
      <c r="E162" s="42"/>
      <c r="F162" s="42"/>
      <c r="G162" s="42"/>
      <c r="H162" s="42"/>
      <c r="I162" s="42"/>
      <c r="J162" s="42"/>
      <c r="K162" s="42"/>
      <c r="L162" s="42"/>
    </row>
    <row r="163" ht="15.75" customHeight="1">
      <c r="A163" s="42"/>
      <c r="B163" s="42"/>
      <c r="D163" s="42"/>
      <c r="E163" s="42"/>
      <c r="F163" s="42"/>
      <c r="G163" s="42"/>
      <c r="H163" s="42"/>
      <c r="I163" s="42"/>
      <c r="J163" s="42"/>
      <c r="K163" s="42"/>
      <c r="L163" s="42"/>
    </row>
    <row r="164" ht="15.75" customHeight="1">
      <c r="A164" s="42"/>
      <c r="B164" s="42"/>
      <c r="D164" s="42"/>
      <c r="E164" s="42"/>
      <c r="F164" s="42"/>
      <c r="G164" s="42"/>
      <c r="H164" s="42"/>
      <c r="I164" s="42"/>
      <c r="J164" s="42"/>
      <c r="K164" s="42"/>
      <c r="L164" s="42"/>
    </row>
    <row r="165" ht="15.75" customHeight="1">
      <c r="A165" s="42"/>
      <c r="B165" s="42"/>
      <c r="D165" s="42"/>
      <c r="E165" s="42"/>
      <c r="F165" s="42"/>
      <c r="G165" s="42"/>
      <c r="H165" s="42"/>
      <c r="I165" s="42"/>
      <c r="J165" s="42"/>
      <c r="K165" s="42"/>
      <c r="L165" s="42"/>
    </row>
    <row r="166" ht="15.75" customHeight="1">
      <c r="A166" s="42"/>
      <c r="B166" s="42"/>
      <c r="D166" s="42"/>
      <c r="E166" s="42"/>
      <c r="F166" s="42"/>
      <c r="G166" s="42"/>
      <c r="H166" s="42"/>
      <c r="I166" s="42"/>
      <c r="J166" s="42"/>
      <c r="K166" s="42"/>
      <c r="L166" s="42"/>
    </row>
    <row r="167" ht="15.75" customHeight="1">
      <c r="A167" s="42"/>
      <c r="B167" s="42"/>
      <c r="D167" s="42"/>
      <c r="E167" s="42"/>
      <c r="F167" s="42"/>
      <c r="G167" s="42"/>
      <c r="H167" s="42"/>
      <c r="I167" s="42"/>
      <c r="J167" s="42"/>
      <c r="K167" s="42"/>
      <c r="L167" s="42"/>
    </row>
    <row r="168" ht="15.75" customHeight="1">
      <c r="A168" s="42"/>
      <c r="B168" s="42"/>
      <c r="D168" s="42"/>
      <c r="E168" s="42"/>
      <c r="F168" s="42"/>
      <c r="G168" s="42"/>
      <c r="H168" s="42"/>
      <c r="I168" s="42"/>
      <c r="J168" s="42"/>
      <c r="K168" s="42"/>
      <c r="L168" s="42"/>
    </row>
    <row r="169" ht="15.75" customHeight="1">
      <c r="A169" s="42"/>
      <c r="B169" s="42"/>
      <c r="D169" s="42"/>
      <c r="E169" s="42"/>
      <c r="F169" s="42"/>
      <c r="G169" s="42"/>
      <c r="H169" s="42"/>
      <c r="I169" s="42"/>
      <c r="J169" s="42"/>
      <c r="K169" s="42"/>
      <c r="L169" s="42"/>
    </row>
    <row r="170" ht="15.75" customHeight="1">
      <c r="A170" s="42"/>
      <c r="B170" s="42"/>
      <c r="D170" s="42"/>
      <c r="E170" s="42"/>
      <c r="F170" s="42"/>
      <c r="G170" s="42"/>
      <c r="H170" s="42"/>
      <c r="I170" s="42"/>
      <c r="J170" s="42"/>
      <c r="K170" s="42"/>
      <c r="L170" s="42"/>
    </row>
    <row r="171" ht="15.75" customHeight="1">
      <c r="A171" s="42"/>
      <c r="B171" s="42"/>
      <c r="D171" s="42"/>
      <c r="E171" s="42"/>
      <c r="F171" s="42"/>
      <c r="G171" s="42"/>
      <c r="H171" s="42"/>
      <c r="I171" s="42"/>
      <c r="J171" s="42"/>
      <c r="K171" s="42"/>
      <c r="L171" s="42"/>
    </row>
    <row r="172" ht="15.75" customHeight="1">
      <c r="A172" s="42"/>
      <c r="B172" s="42"/>
      <c r="D172" s="42"/>
      <c r="E172" s="42"/>
      <c r="F172" s="42"/>
      <c r="G172" s="42"/>
      <c r="H172" s="42"/>
      <c r="I172" s="42"/>
      <c r="J172" s="42"/>
      <c r="K172" s="42"/>
      <c r="L172" s="42"/>
    </row>
    <row r="173" ht="15.75" customHeight="1">
      <c r="A173" s="42"/>
      <c r="B173" s="42"/>
      <c r="D173" s="42"/>
      <c r="E173" s="42"/>
      <c r="F173" s="42"/>
      <c r="G173" s="42"/>
      <c r="H173" s="42"/>
      <c r="I173" s="42"/>
      <c r="J173" s="42"/>
      <c r="K173" s="42"/>
      <c r="L173" s="42"/>
    </row>
    <row r="174" ht="15.75" customHeight="1">
      <c r="A174" s="42"/>
      <c r="B174" s="42"/>
      <c r="D174" s="42"/>
      <c r="E174" s="42"/>
      <c r="F174" s="42"/>
      <c r="G174" s="42"/>
      <c r="H174" s="42"/>
      <c r="I174" s="42"/>
      <c r="J174" s="42"/>
      <c r="K174" s="42"/>
      <c r="L174" s="42"/>
    </row>
    <row r="175" ht="15.75" customHeight="1">
      <c r="A175" s="42"/>
      <c r="B175" s="42"/>
      <c r="D175" s="42"/>
      <c r="E175" s="42"/>
      <c r="F175" s="42"/>
      <c r="G175" s="42"/>
      <c r="H175" s="42"/>
      <c r="I175" s="42"/>
      <c r="J175" s="42"/>
      <c r="K175" s="42"/>
      <c r="L175" s="42"/>
    </row>
    <row r="176" ht="15.75" customHeight="1">
      <c r="A176" s="42"/>
      <c r="B176" s="42"/>
      <c r="D176" s="42"/>
      <c r="E176" s="42"/>
      <c r="F176" s="42"/>
      <c r="G176" s="42"/>
      <c r="H176" s="42"/>
      <c r="I176" s="42"/>
      <c r="J176" s="42"/>
      <c r="K176" s="42"/>
      <c r="L176" s="42"/>
    </row>
    <row r="177" ht="15.75" customHeight="1">
      <c r="A177" s="42"/>
      <c r="B177" s="42"/>
      <c r="D177" s="42"/>
      <c r="E177" s="42"/>
      <c r="F177" s="42"/>
      <c r="G177" s="42"/>
      <c r="H177" s="42"/>
      <c r="I177" s="42"/>
      <c r="J177" s="42"/>
      <c r="K177" s="42"/>
      <c r="L177" s="42"/>
    </row>
    <row r="178" ht="15.75" customHeight="1">
      <c r="A178" s="42"/>
      <c r="B178" s="42"/>
      <c r="D178" s="42"/>
      <c r="E178" s="42"/>
      <c r="F178" s="42"/>
      <c r="G178" s="42"/>
      <c r="H178" s="42"/>
      <c r="I178" s="42"/>
      <c r="J178" s="42"/>
      <c r="K178" s="42"/>
      <c r="L178" s="42"/>
    </row>
    <row r="179" ht="15.75" customHeight="1">
      <c r="A179" s="42"/>
      <c r="B179" s="42"/>
      <c r="D179" s="42"/>
      <c r="E179" s="42"/>
      <c r="F179" s="42"/>
      <c r="G179" s="42"/>
      <c r="H179" s="42"/>
      <c r="I179" s="42"/>
      <c r="J179" s="42"/>
      <c r="K179" s="42"/>
      <c r="L179" s="42"/>
    </row>
    <row r="180" ht="15.75" customHeight="1">
      <c r="A180" s="42"/>
      <c r="B180" s="42"/>
      <c r="D180" s="42"/>
      <c r="E180" s="42"/>
      <c r="F180" s="42"/>
      <c r="G180" s="42"/>
      <c r="H180" s="42"/>
      <c r="I180" s="42"/>
      <c r="J180" s="42"/>
      <c r="K180" s="42"/>
      <c r="L180" s="42"/>
    </row>
    <row r="181" ht="15.75" customHeight="1">
      <c r="A181" s="42"/>
      <c r="B181" s="42"/>
      <c r="D181" s="42"/>
      <c r="E181" s="42"/>
      <c r="F181" s="42"/>
      <c r="G181" s="42"/>
      <c r="H181" s="42"/>
      <c r="I181" s="42"/>
      <c r="J181" s="42"/>
      <c r="K181" s="42"/>
      <c r="L181" s="42"/>
    </row>
    <row r="182" ht="15.75" customHeight="1">
      <c r="A182" s="42"/>
      <c r="B182" s="42"/>
      <c r="D182" s="42"/>
      <c r="E182" s="42"/>
      <c r="F182" s="42"/>
      <c r="G182" s="42"/>
      <c r="H182" s="42"/>
      <c r="I182" s="42"/>
      <c r="J182" s="42"/>
      <c r="K182" s="42"/>
      <c r="L182" s="42"/>
    </row>
    <row r="183" ht="15.75" customHeight="1">
      <c r="A183" s="42"/>
      <c r="B183" s="42"/>
      <c r="D183" s="42"/>
      <c r="E183" s="42"/>
      <c r="F183" s="42"/>
      <c r="G183" s="42"/>
      <c r="H183" s="42"/>
      <c r="I183" s="42"/>
      <c r="J183" s="42"/>
      <c r="K183" s="42"/>
      <c r="L183" s="42"/>
    </row>
    <row r="184" ht="15.75" customHeight="1">
      <c r="A184" s="42"/>
      <c r="B184" s="42"/>
      <c r="D184" s="42"/>
      <c r="E184" s="42"/>
      <c r="F184" s="42"/>
      <c r="G184" s="42"/>
      <c r="H184" s="42"/>
      <c r="I184" s="42"/>
      <c r="J184" s="42"/>
      <c r="K184" s="42"/>
      <c r="L184" s="42"/>
    </row>
    <row r="185" ht="15.75" customHeight="1">
      <c r="A185" s="42"/>
      <c r="B185" s="42"/>
      <c r="D185" s="42"/>
      <c r="E185" s="42"/>
      <c r="F185" s="42"/>
      <c r="G185" s="42"/>
      <c r="H185" s="42"/>
      <c r="I185" s="42"/>
      <c r="J185" s="42"/>
      <c r="K185" s="42"/>
      <c r="L185" s="42"/>
    </row>
    <row r="186" ht="15.75" customHeight="1">
      <c r="A186" s="42"/>
      <c r="B186" s="42"/>
      <c r="D186" s="42"/>
      <c r="E186" s="42"/>
      <c r="F186" s="42"/>
      <c r="G186" s="42"/>
      <c r="H186" s="42"/>
      <c r="I186" s="42"/>
      <c r="J186" s="42"/>
      <c r="K186" s="42"/>
      <c r="L186" s="42"/>
    </row>
    <row r="187" ht="15.75" customHeight="1">
      <c r="A187" s="42"/>
      <c r="B187" s="42"/>
      <c r="D187" s="42"/>
      <c r="E187" s="42"/>
      <c r="F187" s="42"/>
      <c r="G187" s="42"/>
      <c r="H187" s="42"/>
      <c r="I187" s="42"/>
      <c r="J187" s="42"/>
      <c r="K187" s="42"/>
      <c r="L187" s="42"/>
    </row>
    <row r="188" ht="15.75" customHeight="1">
      <c r="A188" s="42"/>
      <c r="B188" s="42"/>
      <c r="D188" s="42"/>
      <c r="E188" s="42"/>
      <c r="F188" s="42"/>
      <c r="G188" s="42"/>
      <c r="H188" s="42"/>
      <c r="I188" s="42"/>
      <c r="J188" s="42"/>
      <c r="K188" s="42"/>
      <c r="L188" s="42"/>
    </row>
    <row r="189" ht="15.75" customHeight="1">
      <c r="A189" s="42"/>
      <c r="B189" s="42"/>
      <c r="D189" s="42"/>
      <c r="E189" s="42"/>
      <c r="F189" s="42"/>
      <c r="G189" s="42"/>
      <c r="H189" s="42"/>
      <c r="I189" s="42"/>
      <c r="J189" s="42"/>
      <c r="K189" s="42"/>
      <c r="L189" s="42"/>
    </row>
    <row r="190" ht="15.75" customHeight="1">
      <c r="A190" s="42"/>
      <c r="B190" s="42"/>
      <c r="D190" s="42"/>
      <c r="E190" s="42"/>
      <c r="F190" s="42"/>
      <c r="G190" s="42"/>
      <c r="H190" s="42"/>
      <c r="I190" s="42"/>
      <c r="J190" s="42"/>
      <c r="K190" s="42"/>
      <c r="L190" s="42"/>
    </row>
    <row r="191" ht="15.75" customHeight="1">
      <c r="A191" s="42"/>
      <c r="B191" s="42"/>
      <c r="D191" s="42"/>
      <c r="E191" s="42"/>
      <c r="F191" s="42"/>
      <c r="G191" s="42"/>
      <c r="H191" s="42"/>
      <c r="I191" s="42"/>
      <c r="J191" s="42"/>
      <c r="K191" s="42"/>
      <c r="L191" s="42"/>
    </row>
    <row r="192" ht="15.75" customHeight="1">
      <c r="A192" s="42"/>
      <c r="B192" s="42"/>
      <c r="D192" s="42"/>
      <c r="E192" s="42"/>
      <c r="F192" s="42"/>
      <c r="G192" s="42"/>
      <c r="H192" s="42"/>
      <c r="I192" s="42"/>
      <c r="J192" s="42"/>
      <c r="K192" s="42"/>
      <c r="L192" s="42"/>
    </row>
    <row r="193" ht="15.75" customHeight="1">
      <c r="A193" s="42"/>
      <c r="B193" s="42"/>
      <c r="D193" s="42"/>
      <c r="E193" s="42"/>
      <c r="F193" s="42"/>
      <c r="G193" s="42"/>
      <c r="H193" s="42"/>
      <c r="I193" s="42"/>
      <c r="J193" s="42"/>
      <c r="K193" s="42"/>
      <c r="L193" s="42"/>
    </row>
    <row r="194" ht="15.75" customHeight="1">
      <c r="A194" s="42"/>
      <c r="B194" s="42"/>
      <c r="D194" s="42"/>
      <c r="E194" s="42"/>
      <c r="F194" s="42"/>
      <c r="G194" s="42"/>
      <c r="H194" s="42"/>
      <c r="I194" s="42"/>
      <c r="J194" s="42"/>
      <c r="K194" s="42"/>
      <c r="L194" s="42"/>
    </row>
    <row r="195" ht="15.75" customHeight="1">
      <c r="A195" s="42"/>
      <c r="B195" s="42"/>
      <c r="D195" s="42"/>
      <c r="E195" s="42"/>
      <c r="F195" s="42"/>
      <c r="G195" s="42"/>
      <c r="H195" s="42"/>
      <c r="I195" s="42"/>
      <c r="J195" s="42"/>
      <c r="K195" s="42"/>
      <c r="L195" s="42"/>
    </row>
    <row r="196" ht="15.75" customHeight="1">
      <c r="A196" s="42"/>
      <c r="B196" s="42"/>
      <c r="D196" s="42"/>
      <c r="E196" s="42"/>
      <c r="F196" s="42"/>
      <c r="G196" s="42"/>
      <c r="H196" s="42"/>
      <c r="I196" s="42"/>
      <c r="J196" s="42"/>
      <c r="K196" s="42"/>
      <c r="L196" s="42"/>
    </row>
    <row r="197" ht="15.75" customHeight="1">
      <c r="A197" s="42"/>
      <c r="B197" s="42"/>
      <c r="D197" s="42"/>
      <c r="E197" s="42"/>
      <c r="F197" s="42"/>
      <c r="G197" s="42"/>
      <c r="H197" s="42"/>
      <c r="I197" s="42"/>
      <c r="J197" s="42"/>
      <c r="K197" s="42"/>
      <c r="L197" s="42"/>
    </row>
    <row r="198" ht="15.75" customHeight="1">
      <c r="A198" s="42"/>
      <c r="B198" s="42"/>
      <c r="D198" s="42"/>
      <c r="E198" s="42"/>
      <c r="F198" s="42"/>
      <c r="G198" s="42"/>
      <c r="H198" s="42"/>
      <c r="I198" s="42"/>
      <c r="J198" s="42"/>
      <c r="K198" s="42"/>
      <c r="L198" s="42"/>
    </row>
    <row r="199" ht="15.75" customHeight="1">
      <c r="A199" s="42"/>
      <c r="B199" s="42"/>
      <c r="D199" s="42"/>
      <c r="E199" s="42"/>
      <c r="F199" s="42"/>
      <c r="G199" s="42"/>
      <c r="H199" s="42"/>
      <c r="I199" s="42"/>
      <c r="J199" s="42"/>
      <c r="K199" s="42"/>
      <c r="L199" s="42"/>
    </row>
    <row r="200" ht="15.75" customHeight="1">
      <c r="A200" s="42"/>
      <c r="B200" s="42"/>
      <c r="D200" s="42"/>
      <c r="E200" s="42"/>
      <c r="F200" s="42"/>
      <c r="G200" s="42"/>
      <c r="H200" s="42"/>
      <c r="I200" s="42"/>
      <c r="J200" s="42"/>
      <c r="K200" s="42"/>
      <c r="L200" s="42"/>
    </row>
    <row r="201" ht="15.75" customHeight="1">
      <c r="A201" s="42"/>
      <c r="B201" s="42"/>
      <c r="D201" s="42"/>
      <c r="E201" s="42"/>
      <c r="F201" s="42"/>
      <c r="G201" s="42"/>
      <c r="H201" s="42"/>
      <c r="I201" s="42"/>
      <c r="J201" s="42"/>
      <c r="K201" s="42"/>
      <c r="L201" s="42"/>
    </row>
    <row r="202" ht="15.75" customHeight="1">
      <c r="A202" s="42"/>
      <c r="B202" s="42"/>
      <c r="D202" s="42"/>
      <c r="E202" s="42"/>
      <c r="F202" s="42"/>
      <c r="G202" s="42"/>
      <c r="H202" s="42"/>
      <c r="I202" s="42"/>
      <c r="J202" s="42"/>
      <c r="K202" s="42"/>
      <c r="L202" s="42"/>
    </row>
    <row r="203" ht="15.75" customHeight="1">
      <c r="A203" s="42"/>
      <c r="B203" s="42"/>
      <c r="D203" s="42"/>
      <c r="E203" s="42"/>
      <c r="F203" s="42"/>
      <c r="G203" s="42"/>
      <c r="H203" s="42"/>
      <c r="I203" s="42"/>
      <c r="J203" s="42"/>
      <c r="K203" s="42"/>
      <c r="L203" s="42"/>
    </row>
    <row r="204" ht="15.75" customHeight="1">
      <c r="A204" s="42"/>
      <c r="B204" s="42"/>
      <c r="D204" s="42"/>
      <c r="E204" s="42"/>
      <c r="F204" s="42"/>
      <c r="G204" s="42"/>
      <c r="H204" s="42"/>
      <c r="I204" s="42"/>
      <c r="J204" s="42"/>
      <c r="K204" s="42"/>
      <c r="L204" s="42"/>
    </row>
    <row r="205" ht="15.75" customHeight="1">
      <c r="A205" s="42"/>
      <c r="B205" s="42"/>
      <c r="D205" s="42"/>
      <c r="E205" s="42"/>
      <c r="F205" s="42"/>
      <c r="G205" s="42"/>
      <c r="H205" s="42"/>
      <c r="I205" s="42"/>
      <c r="J205" s="42"/>
      <c r="K205" s="42"/>
      <c r="L205" s="42"/>
    </row>
    <row r="206" ht="15.75" customHeight="1">
      <c r="A206" s="42"/>
      <c r="B206" s="42"/>
      <c r="D206" s="42"/>
      <c r="E206" s="42"/>
      <c r="F206" s="42"/>
      <c r="G206" s="42"/>
      <c r="H206" s="42"/>
      <c r="I206" s="42"/>
      <c r="J206" s="42"/>
      <c r="K206" s="42"/>
      <c r="L206" s="42"/>
    </row>
    <row r="207" ht="15.75" customHeight="1">
      <c r="A207" s="42"/>
      <c r="B207" s="42"/>
      <c r="D207" s="42"/>
      <c r="E207" s="42"/>
      <c r="F207" s="42"/>
      <c r="G207" s="42"/>
      <c r="H207" s="42"/>
      <c r="I207" s="42"/>
      <c r="J207" s="42"/>
      <c r="K207" s="42"/>
      <c r="L207" s="42"/>
    </row>
    <row r="208" ht="15.75" customHeight="1">
      <c r="A208" s="42"/>
      <c r="B208" s="42"/>
      <c r="D208" s="42"/>
      <c r="E208" s="42"/>
      <c r="F208" s="42"/>
      <c r="G208" s="42"/>
      <c r="H208" s="42"/>
      <c r="I208" s="42"/>
      <c r="J208" s="42"/>
      <c r="K208" s="42"/>
      <c r="L208" s="42"/>
    </row>
    <row r="209" ht="15.75" customHeight="1">
      <c r="A209" s="42"/>
      <c r="B209" s="42"/>
      <c r="D209" s="42"/>
      <c r="E209" s="42"/>
      <c r="F209" s="42"/>
      <c r="G209" s="42"/>
      <c r="H209" s="42"/>
      <c r="I209" s="42"/>
      <c r="J209" s="42"/>
      <c r="K209" s="42"/>
      <c r="L209" s="42"/>
    </row>
    <row r="210" ht="15.75" customHeight="1">
      <c r="A210" s="42"/>
      <c r="B210" s="42"/>
      <c r="D210" s="42"/>
      <c r="E210" s="42"/>
      <c r="F210" s="42"/>
      <c r="G210" s="42"/>
      <c r="H210" s="42"/>
      <c r="I210" s="42"/>
      <c r="J210" s="42"/>
      <c r="K210" s="42"/>
      <c r="L210" s="42"/>
    </row>
    <row r="211" ht="15.75" customHeight="1">
      <c r="A211" s="42"/>
      <c r="B211" s="42"/>
      <c r="D211" s="42"/>
      <c r="E211" s="42"/>
      <c r="F211" s="42"/>
      <c r="G211" s="42"/>
      <c r="H211" s="42"/>
      <c r="I211" s="42"/>
      <c r="J211" s="42"/>
      <c r="K211" s="42"/>
      <c r="L211" s="42"/>
    </row>
    <row r="212" ht="15.75" customHeight="1">
      <c r="A212" s="42"/>
      <c r="B212" s="42"/>
      <c r="D212" s="42"/>
      <c r="E212" s="42"/>
      <c r="F212" s="42"/>
      <c r="G212" s="42"/>
      <c r="H212" s="42"/>
      <c r="I212" s="42"/>
      <c r="J212" s="42"/>
      <c r="K212" s="42"/>
      <c r="L212" s="42"/>
    </row>
    <row r="213" ht="15.75" customHeight="1">
      <c r="A213" s="42"/>
      <c r="B213" s="42"/>
      <c r="D213" s="42"/>
      <c r="E213" s="42"/>
      <c r="F213" s="42"/>
      <c r="G213" s="42"/>
      <c r="H213" s="42"/>
      <c r="I213" s="42"/>
      <c r="J213" s="42"/>
      <c r="K213" s="42"/>
      <c r="L213" s="42"/>
    </row>
    <row r="214" ht="15.75" customHeight="1">
      <c r="A214" s="42"/>
      <c r="B214" s="42"/>
      <c r="D214" s="42"/>
      <c r="E214" s="42"/>
      <c r="F214" s="42"/>
      <c r="G214" s="42"/>
      <c r="H214" s="42"/>
      <c r="I214" s="42"/>
      <c r="J214" s="42"/>
      <c r="K214" s="42"/>
      <c r="L214" s="42"/>
    </row>
    <row r="215" ht="15.75" customHeight="1">
      <c r="A215" s="42"/>
      <c r="B215" s="42"/>
      <c r="D215" s="42"/>
      <c r="E215" s="42"/>
      <c r="F215" s="42"/>
      <c r="G215" s="42"/>
      <c r="H215" s="42"/>
      <c r="I215" s="42"/>
      <c r="J215" s="42"/>
      <c r="K215" s="42"/>
      <c r="L215" s="42"/>
    </row>
    <row r="216" ht="15.75" customHeight="1">
      <c r="A216" s="42"/>
      <c r="B216" s="42"/>
      <c r="D216" s="42"/>
      <c r="E216" s="42"/>
      <c r="F216" s="42"/>
      <c r="G216" s="42"/>
      <c r="H216" s="42"/>
      <c r="I216" s="42"/>
      <c r="J216" s="42"/>
      <c r="K216" s="42"/>
      <c r="L216" s="42"/>
    </row>
    <row r="217" ht="15.75" customHeight="1">
      <c r="A217" s="42"/>
      <c r="B217" s="42"/>
      <c r="D217" s="42"/>
      <c r="E217" s="42"/>
      <c r="F217" s="42"/>
      <c r="G217" s="42"/>
      <c r="H217" s="42"/>
      <c r="I217" s="42"/>
      <c r="J217" s="42"/>
      <c r="K217" s="42"/>
      <c r="L217" s="42"/>
    </row>
    <row r="218" ht="15.75" customHeight="1">
      <c r="A218" s="42"/>
      <c r="B218" s="42"/>
      <c r="D218" s="42"/>
      <c r="E218" s="42"/>
      <c r="F218" s="42"/>
      <c r="G218" s="42"/>
      <c r="H218" s="42"/>
      <c r="I218" s="42"/>
      <c r="J218" s="42"/>
      <c r="K218" s="42"/>
      <c r="L218" s="42"/>
    </row>
    <row r="219" ht="15.75" customHeight="1">
      <c r="A219" s="42"/>
      <c r="B219" s="42"/>
      <c r="D219" s="42"/>
      <c r="E219" s="42"/>
      <c r="F219" s="42"/>
      <c r="G219" s="42"/>
      <c r="H219" s="42"/>
      <c r="I219" s="42"/>
      <c r="J219" s="42"/>
      <c r="K219" s="42"/>
      <c r="L219" s="42"/>
    </row>
    <row r="220" ht="15.75" customHeight="1">
      <c r="A220" s="42"/>
      <c r="B220" s="42"/>
      <c r="D220" s="42"/>
      <c r="E220" s="42"/>
      <c r="F220" s="42"/>
      <c r="G220" s="42"/>
      <c r="H220" s="42"/>
      <c r="I220" s="42"/>
      <c r="J220" s="42"/>
      <c r="K220" s="42"/>
      <c r="L220" s="42"/>
    </row>
    <row r="221" ht="15.75" customHeight="1">
      <c r="A221" s="42"/>
      <c r="B221" s="42"/>
      <c r="D221" s="42"/>
      <c r="E221" s="42"/>
      <c r="F221" s="42"/>
      <c r="G221" s="42"/>
      <c r="H221" s="42"/>
      <c r="I221" s="42"/>
      <c r="J221" s="42"/>
      <c r="K221" s="42"/>
      <c r="L221" s="42"/>
    </row>
    <row r="222" ht="15.75" customHeight="1">
      <c r="A222" s="42"/>
      <c r="B222" s="42"/>
      <c r="D222" s="42"/>
      <c r="E222" s="42"/>
      <c r="F222" s="42"/>
      <c r="G222" s="42"/>
      <c r="H222" s="42"/>
      <c r="I222" s="42"/>
      <c r="J222" s="42"/>
      <c r="K222" s="42"/>
      <c r="L222" s="42"/>
    </row>
    <row r="223" ht="15.75" customHeight="1">
      <c r="A223" s="42"/>
      <c r="B223" s="42"/>
      <c r="D223" s="42"/>
      <c r="E223" s="42"/>
      <c r="F223" s="42"/>
      <c r="G223" s="42"/>
      <c r="H223" s="42"/>
      <c r="I223" s="42"/>
      <c r="J223" s="42"/>
      <c r="K223" s="42"/>
      <c r="L223" s="42"/>
    </row>
    <row r="224" ht="15.75" customHeight="1">
      <c r="A224" s="42"/>
      <c r="B224" s="42"/>
      <c r="D224" s="42"/>
      <c r="E224" s="42"/>
      <c r="F224" s="42"/>
      <c r="G224" s="42"/>
      <c r="H224" s="42"/>
      <c r="I224" s="42"/>
      <c r="J224" s="42"/>
      <c r="K224" s="42"/>
      <c r="L224" s="4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7:K24">
      <formula1>AND(ISNUMBER(E7),(NOT(OR(NOT(ISERROR(DATEVALUE(E7))), AND(ISNUMBER(E7), LEFT(CELL("format", E7))="D")))))</formula1>
    </dataValidation>
    <dataValidation type="list" allowBlank="1" sqref="L7:L24">
      <formula1>"In stock,Sold out"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0" outlineLevelCol="1"/>
  <cols>
    <col customWidth="1" min="1" max="6" width="12.63"/>
    <col customWidth="1" min="61" max="78" width="12.63" outlineLevel="1"/>
    <col customWidth="1" min="99" max="99" width="19.75"/>
  </cols>
  <sheetData>
    <row r="1" ht="15.75" customHeight="1">
      <c r="A1" s="43"/>
      <c r="B1" s="43"/>
      <c r="C1" s="44"/>
      <c r="D1" s="45">
        <v>200.0</v>
      </c>
      <c r="E1" s="45">
        <v>20.0</v>
      </c>
      <c r="F1" s="45">
        <v>1.0</v>
      </c>
      <c r="G1" s="45">
        <v>3.0</v>
      </c>
      <c r="H1" s="45">
        <v>5000.0</v>
      </c>
      <c r="I1" s="45">
        <v>750.0</v>
      </c>
      <c r="J1" s="45">
        <v>0.0</v>
      </c>
      <c r="K1" s="45">
        <v>0.0</v>
      </c>
      <c r="L1" s="45">
        <v>0.0</v>
      </c>
      <c r="M1" s="45">
        <v>0.0</v>
      </c>
      <c r="N1" s="45">
        <v>0.0</v>
      </c>
      <c r="O1" s="45">
        <v>0.0</v>
      </c>
      <c r="P1" s="45">
        <v>0.0</v>
      </c>
      <c r="Q1" s="45">
        <v>0.0</v>
      </c>
      <c r="R1" s="45">
        <v>0.0</v>
      </c>
      <c r="S1" s="45">
        <v>0.0</v>
      </c>
      <c r="T1" s="45">
        <v>2.0</v>
      </c>
      <c r="U1" s="45">
        <v>10.0</v>
      </c>
      <c r="V1" s="46"/>
      <c r="W1" s="45">
        <v>4021000.0</v>
      </c>
      <c r="X1" s="45">
        <v>2717140.6573882145</v>
      </c>
      <c r="Y1" s="45">
        <v>226090.43529760142</v>
      </c>
      <c r="Z1" s="45">
        <v>480568.90731418424</v>
      </c>
      <c r="AA1" s="45">
        <v>352954.54545454547</v>
      </c>
      <c r="AB1" s="45">
        <v>35295.454545454544</v>
      </c>
      <c r="AC1" s="45">
        <v>0.0</v>
      </c>
      <c r="AD1" s="45">
        <v>0.0</v>
      </c>
      <c r="AE1" s="45">
        <v>0.0</v>
      </c>
      <c r="AF1" s="45">
        <v>0.0</v>
      </c>
      <c r="AG1" s="45">
        <v>0.0</v>
      </c>
      <c r="AH1" s="45">
        <v>0.0</v>
      </c>
      <c r="AI1" s="45">
        <v>0.0</v>
      </c>
      <c r="AJ1" s="45">
        <v>0.0</v>
      </c>
      <c r="AK1" s="45">
        <v>0.0</v>
      </c>
      <c r="AL1" s="45">
        <v>0.0</v>
      </c>
      <c r="AM1" s="45">
        <v>30000.0</v>
      </c>
      <c r="AN1" s="45">
        <v>153000.0</v>
      </c>
      <c r="AO1" s="44"/>
      <c r="AP1" s="43"/>
      <c r="AQ1" s="43"/>
      <c r="AR1" s="43"/>
      <c r="AS1" s="43"/>
      <c r="AT1" s="43"/>
      <c r="AU1" s="43"/>
      <c r="AV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7"/>
      <c r="BI1" s="43"/>
      <c r="BJ1" s="43"/>
      <c r="BK1" s="48">
        <v>224236.17411904054</v>
      </c>
      <c r="BL1" s="48">
        <v>159459.75718092982</v>
      </c>
      <c r="BM1" s="48">
        <v>64.95612066302893</v>
      </c>
      <c r="BN1" s="48">
        <v>46.9986380660538</v>
      </c>
      <c r="BO1" s="48">
        <v>62.5</v>
      </c>
      <c r="BP1" s="48">
        <v>60000.0</v>
      </c>
      <c r="BQ1" s="48">
        <v>50.0</v>
      </c>
      <c r="BR1" s="48">
        <v>46.666666666666664</v>
      </c>
      <c r="BS1" s="48">
        <v>55.2</v>
      </c>
      <c r="BT1" s="48">
        <v>46.666666666666664</v>
      </c>
      <c r="BU1" s="48">
        <v>70.0</v>
      </c>
      <c r="BV1" s="48">
        <v>91.11111111111111</v>
      </c>
      <c r="BW1" s="48">
        <v>57.6</v>
      </c>
      <c r="BX1" s="48">
        <v>77.77777777777777</v>
      </c>
      <c r="BY1" s="48">
        <v>15000.0</v>
      </c>
      <c r="BZ1" s="48">
        <v>15300.0</v>
      </c>
      <c r="CA1" s="47"/>
      <c r="CB1" s="49">
        <v>1565631.229235881</v>
      </c>
      <c r="CC1" s="49">
        <v>1221917.424594949</v>
      </c>
      <c r="CD1" s="49">
        <v>224236.1741190406</v>
      </c>
      <c r="CE1" s="49">
        <v>318919.51436185965</v>
      </c>
      <c r="CF1" s="49">
        <v>144202.58787192422</v>
      </c>
      <c r="CG1" s="49">
        <v>28293.180115764386</v>
      </c>
      <c r="CH1" s="49">
        <v>77500.0</v>
      </c>
      <c r="CI1" s="49">
        <v>9000.0</v>
      </c>
      <c r="CJ1" s="49">
        <v>119100.0</v>
      </c>
      <c r="CK1" s="49">
        <v>14746.666666666664</v>
      </c>
      <c r="CL1" s="49">
        <v>57408.0</v>
      </c>
      <c r="CM1" s="49">
        <v>6253.333333333332</v>
      </c>
      <c r="CN1" s="49">
        <v>223300.0</v>
      </c>
      <c r="CO1" s="49">
        <v>12755.555555555555</v>
      </c>
      <c r="CP1" s="49">
        <v>0.0</v>
      </c>
      <c r="CQ1" s="49">
        <v>0.0</v>
      </c>
      <c r="CR1" s="49">
        <v>15000.0</v>
      </c>
      <c r="CS1" s="49">
        <v>99450.0</v>
      </c>
      <c r="CT1" s="44"/>
      <c r="CU1" s="43"/>
      <c r="CV1" s="43"/>
    </row>
    <row r="2" ht="15.75" customHeight="1">
      <c r="A2" s="43"/>
      <c r="B2" s="43"/>
      <c r="C2" s="4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4"/>
      <c r="AP2" s="43"/>
      <c r="AQ2" s="43"/>
      <c r="AR2" s="43"/>
      <c r="AS2" s="43"/>
      <c r="AT2" s="43"/>
      <c r="AU2" s="43"/>
      <c r="AV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7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7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4"/>
      <c r="CU2" s="43"/>
      <c r="CV2" s="43"/>
    </row>
    <row r="3" ht="15.75" customHeight="1">
      <c r="A3" s="43"/>
      <c r="B3" s="43"/>
      <c r="C3" s="44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4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4"/>
      <c r="AP3" s="43"/>
      <c r="AQ3" s="43"/>
      <c r="AR3" s="43"/>
      <c r="AS3" s="43"/>
      <c r="AT3" s="43"/>
      <c r="AU3" s="43"/>
      <c r="AV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7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7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4"/>
      <c r="CU3" s="43"/>
      <c r="CV3" s="43"/>
    </row>
    <row r="4" ht="15.75" customHeight="1">
      <c r="A4" s="43"/>
      <c r="B4" s="43"/>
      <c r="C4" s="50"/>
      <c r="D4" s="51" t="s">
        <v>22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0"/>
      <c r="W4" s="51" t="s">
        <v>23</v>
      </c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0"/>
      <c r="AP4" s="53" t="s">
        <v>12</v>
      </c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47"/>
      <c r="BI4" s="51" t="s">
        <v>24</v>
      </c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47"/>
      <c r="CB4" s="54" t="s">
        <v>14</v>
      </c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5"/>
      <c r="CU4" s="56"/>
      <c r="CV4" s="56"/>
    </row>
    <row r="5" ht="15.75" customHeight="1">
      <c r="A5" s="43"/>
      <c r="B5" s="57" t="s">
        <v>25</v>
      </c>
      <c r="C5" s="58"/>
      <c r="D5" s="59">
        <v>12001.0</v>
      </c>
      <c r="E5" s="59">
        <v>12002.0</v>
      </c>
      <c r="F5" s="59">
        <v>12003.0</v>
      </c>
      <c r="G5" s="59">
        <v>12004.0</v>
      </c>
      <c r="H5" s="59">
        <v>12005.0</v>
      </c>
      <c r="I5" s="59">
        <v>12006.0</v>
      </c>
      <c r="J5" s="59">
        <v>12007.0</v>
      </c>
      <c r="K5" s="59">
        <v>12008.0</v>
      </c>
      <c r="L5" s="59">
        <v>12009.0</v>
      </c>
      <c r="M5" s="59">
        <v>12010.0</v>
      </c>
      <c r="N5" s="59">
        <v>12011.0</v>
      </c>
      <c r="O5" s="59">
        <v>12012.0</v>
      </c>
      <c r="P5" s="59">
        <v>12013.0</v>
      </c>
      <c r="Q5" s="59">
        <v>12014.0</v>
      </c>
      <c r="R5" s="59">
        <v>12015.0</v>
      </c>
      <c r="S5" s="59">
        <v>12016.0</v>
      </c>
      <c r="T5" s="59">
        <v>12017.0</v>
      </c>
      <c r="U5" s="59">
        <v>12018.0</v>
      </c>
      <c r="V5" s="58"/>
      <c r="W5" s="59">
        <v>12001.0</v>
      </c>
      <c r="X5" s="59">
        <v>12002.0</v>
      </c>
      <c r="Y5" s="59">
        <v>12003.0</v>
      </c>
      <c r="Z5" s="59">
        <v>12004.0</v>
      </c>
      <c r="AA5" s="59">
        <v>12005.0</v>
      </c>
      <c r="AB5" s="59">
        <v>12006.0</v>
      </c>
      <c r="AC5" s="59">
        <v>12007.0</v>
      </c>
      <c r="AD5" s="59">
        <v>12008.0</v>
      </c>
      <c r="AE5" s="59">
        <v>12009.0</v>
      </c>
      <c r="AF5" s="59">
        <v>12010.0</v>
      </c>
      <c r="AG5" s="59">
        <v>12011.0</v>
      </c>
      <c r="AH5" s="59">
        <v>12012.0</v>
      </c>
      <c r="AI5" s="59">
        <v>12013.0</v>
      </c>
      <c r="AJ5" s="59">
        <v>12014.0</v>
      </c>
      <c r="AK5" s="59">
        <v>12015.0</v>
      </c>
      <c r="AL5" s="59">
        <v>12016.0</v>
      </c>
      <c r="AM5" s="59">
        <v>12017.0</v>
      </c>
      <c r="AN5" s="59">
        <v>12018.0</v>
      </c>
      <c r="AO5" s="58"/>
      <c r="AP5" s="60" t="str">
        <f t="array" ref="AP5:BG5">TRANSPOSE(Dashboard!$A$7:$A$24)</f>
        <v>#REF!</v>
      </c>
      <c r="AQ5" s="61"/>
      <c r="AR5" s="61"/>
      <c r="AS5" s="61"/>
      <c r="AT5" s="61"/>
      <c r="AU5" s="61"/>
      <c r="AV5" s="61"/>
      <c r="AW5" s="60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2"/>
      <c r="BI5" s="63">
        <v>12001.0</v>
      </c>
      <c r="BJ5" s="63">
        <v>12002.0</v>
      </c>
      <c r="BK5" s="63">
        <v>12003.0</v>
      </c>
      <c r="BL5" s="63">
        <v>12004.0</v>
      </c>
      <c r="BM5" s="63">
        <v>12005.0</v>
      </c>
      <c r="BN5" s="63">
        <v>12006.0</v>
      </c>
      <c r="BO5" s="63">
        <v>12007.0</v>
      </c>
      <c r="BP5" s="63">
        <v>12008.0</v>
      </c>
      <c r="BQ5" s="63">
        <v>12009.0</v>
      </c>
      <c r="BR5" s="63">
        <v>12010.0</v>
      </c>
      <c r="BS5" s="63">
        <v>12011.0</v>
      </c>
      <c r="BT5" s="63">
        <v>12012.0</v>
      </c>
      <c r="BU5" s="63">
        <v>12013.0</v>
      </c>
      <c r="BV5" s="63">
        <v>12014.0</v>
      </c>
      <c r="BW5" s="63">
        <v>12015.0</v>
      </c>
      <c r="BX5" s="63">
        <v>12016.0</v>
      </c>
      <c r="BY5" s="63">
        <v>12017.0</v>
      </c>
      <c r="BZ5" s="63">
        <v>12018.0</v>
      </c>
      <c r="CA5" s="62"/>
      <c r="CB5" s="64">
        <v>12001.0</v>
      </c>
      <c r="CC5" s="64">
        <v>12002.0</v>
      </c>
      <c r="CD5" s="64">
        <v>12003.0</v>
      </c>
      <c r="CE5" s="64">
        <v>12004.0</v>
      </c>
      <c r="CF5" s="64">
        <v>12005.0</v>
      </c>
      <c r="CG5" s="64">
        <v>12006.0</v>
      </c>
      <c r="CH5" s="64">
        <v>12007.0</v>
      </c>
      <c r="CI5" s="64">
        <v>12008.0</v>
      </c>
      <c r="CJ5" s="64">
        <v>12009.0</v>
      </c>
      <c r="CK5" s="64">
        <v>12010.0</v>
      </c>
      <c r="CL5" s="64">
        <v>12011.0</v>
      </c>
      <c r="CM5" s="64">
        <v>12012.0</v>
      </c>
      <c r="CN5" s="64">
        <v>12013.0</v>
      </c>
      <c r="CO5" s="64">
        <v>12014.0</v>
      </c>
      <c r="CP5" s="64">
        <v>12015.0</v>
      </c>
      <c r="CQ5" s="64">
        <v>12016.0</v>
      </c>
      <c r="CR5" s="64">
        <v>12017.0</v>
      </c>
      <c r="CS5" s="64">
        <v>12018.0</v>
      </c>
      <c r="CT5" s="65"/>
      <c r="CU5" s="66" t="s">
        <v>3</v>
      </c>
      <c r="CV5" s="67"/>
    </row>
    <row r="6" ht="15.75" customHeight="1">
      <c r="A6" s="43"/>
      <c r="B6" s="68">
        <v>45716.0</v>
      </c>
      <c r="C6" s="58"/>
      <c r="D6" s="69">
        <f t="shared" ref="D6:E6" si="1">SUMIF(INDIRECT(D5&amp;"!"&amp;"A:A"),"&lt;="&amp;$B$6,INDIRECT(D5&amp;"!"&amp;"D:D"))</f>
        <v>0</v>
      </c>
      <c r="E6" s="69">
        <f t="shared" si="1"/>
        <v>0</v>
      </c>
      <c r="F6" s="69">
        <f t="array" ref="F6">SUMIF(INDIRECT(F$5&amp;"!"&amp;"A:A"),"&lt;="&amp;$B$6,INDIRECT(F$5&amp;"!"&amp;"D:D"))</f>
        <v>0</v>
      </c>
      <c r="G6" s="69">
        <f t="shared" ref="G6:U6" si="2">SUMIF(INDIRECT(G5&amp;"!"&amp;"A:A"),"&lt;="&amp;$B$6,INDIRECT(G5&amp;"!"&amp;"D:D"))</f>
        <v>0</v>
      </c>
      <c r="H6" s="69">
        <f t="shared" si="2"/>
        <v>0</v>
      </c>
      <c r="I6" s="69">
        <f t="shared" si="2"/>
        <v>0</v>
      </c>
      <c r="J6" s="69">
        <f t="shared" si="2"/>
        <v>0</v>
      </c>
      <c r="K6" s="69">
        <f t="shared" si="2"/>
        <v>0</v>
      </c>
      <c r="L6" s="69">
        <f t="shared" si="2"/>
        <v>0</v>
      </c>
      <c r="M6" s="69">
        <f t="shared" si="2"/>
        <v>0</v>
      </c>
      <c r="N6" s="69">
        <f t="shared" si="2"/>
        <v>0</v>
      </c>
      <c r="O6" s="69">
        <f t="shared" si="2"/>
        <v>0</v>
      </c>
      <c r="P6" s="69">
        <f t="shared" si="2"/>
        <v>0</v>
      </c>
      <c r="Q6" s="69">
        <f t="shared" si="2"/>
        <v>0</v>
      </c>
      <c r="R6" s="69">
        <f t="shared" si="2"/>
        <v>0</v>
      </c>
      <c r="S6" s="69">
        <f t="shared" si="2"/>
        <v>0</v>
      </c>
      <c r="T6" s="69">
        <f t="shared" si="2"/>
        <v>0</v>
      </c>
      <c r="U6" s="69">
        <f t="shared" si="2"/>
        <v>0</v>
      </c>
      <c r="V6" s="70"/>
      <c r="W6" s="69">
        <f t="shared" ref="W6:AN6" si="3">SUMIF(INDIRECT(W$5&amp;"!"&amp;"A:A"),"&lt;="&amp;$B$6,INDIRECT(D$5&amp;"!"&amp;"F:F"))</f>
        <v>0</v>
      </c>
      <c r="X6" s="69">
        <f t="shared" si="3"/>
        <v>0</v>
      </c>
      <c r="Y6" s="69">
        <f t="shared" si="3"/>
        <v>0</v>
      </c>
      <c r="Z6" s="69">
        <f t="shared" si="3"/>
        <v>0</v>
      </c>
      <c r="AA6" s="69">
        <f t="shared" si="3"/>
        <v>0</v>
      </c>
      <c r="AB6" s="69">
        <f t="shared" si="3"/>
        <v>0</v>
      </c>
      <c r="AC6" s="69">
        <f t="shared" si="3"/>
        <v>0</v>
      </c>
      <c r="AD6" s="69">
        <f t="shared" si="3"/>
        <v>0</v>
      </c>
      <c r="AE6" s="69">
        <f t="shared" si="3"/>
        <v>0</v>
      </c>
      <c r="AF6" s="69">
        <f t="shared" si="3"/>
        <v>0</v>
      </c>
      <c r="AG6" s="69">
        <f t="shared" si="3"/>
        <v>0</v>
      </c>
      <c r="AH6" s="69">
        <f t="shared" si="3"/>
        <v>0</v>
      </c>
      <c r="AI6" s="69">
        <f t="shared" si="3"/>
        <v>0</v>
      </c>
      <c r="AJ6" s="69">
        <f t="shared" si="3"/>
        <v>0</v>
      </c>
      <c r="AK6" s="69">
        <f t="shared" si="3"/>
        <v>0</v>
      </c>
      <c r="AL6" s="69">
        <f t="shared" si="3"/>
        <v>0</v>
      </c>
      <c r="AM6" s="69">
        <f t="shared" si="3"/>
        <v>0</v>
      </c>
      <c r="AN6" s="69">
        <f t="shared" si="3"/>
        <v>0</v>
      </c>
      <c r="AO6" s="70"/>
      <c r="AP6" s="69" t="str">
        <f t="shared" ref="AP6:BG6" si="4">SUMIF(INDIRECT(AP$5&amp;"!"&amp;"A:A"),"&lt;="&amp;$B$6,INDIRECT(AP$5&amp;"!"&amp;"I:I"))</f>
        <v>#N/A</v>
      </c>
      <c r="AQ6" s="69">
        <f t="shared" si="4"/>
        <v>0</v>
      </c>
      <c r="AR6" s="69">
        <f t="shared" si="4"/>
        <v>0</v>
      </c>
      <c r="AS6" s="69">
        <f t="shared" si="4"/>
        <v>0</v>
      </c>
      <c r="AT6" s="69">
        <f t="shared" si="4"/>
        <v>0</v>
      </c>
      <c r="AU6" s="69">
        <f t="shared" si="4"/>
        <v>0</v>
      </c>
      <c r="AV6" s="69">
        <f t="shared" si="4"/>
        <v>0</v>
      </c>
      <c r="AW6" s="69">
        <f t="shared" si="4"/>
        <v>0</v>
      </c>
      <c r="AX6" s="69">
        <f t="shared" si="4"/>
        <v>0</v>
      </c>
      <c r="AY6" s="69">
        <f t="shared" si="4"/>
        <v>0</v>
      </c>
      <c r="AZ6" s="69">
        <f t="shared" si="4"/>
        <v>0</v>
      </c>
      <c r="BA6" s="69">
        <f t="shared" si="4"/>
        <v>0</v>
      </c>
      <c r="BB6" s="69">
        <f t="shared" si="4"/>
        <v>0</v>
      </c>
      <c r="BC6" s="69">
        <f t="shared" si="4"/>
        <v>0</v>
      </c>
      <c r="BD6" s="69">
        <f t="shared" si="4"/>
        <v>0</v>
      </c>
      <c r="BE6" s="69">
        <f t="shared" si="4"/>
        <v>0</v>
      </c>
      <c r="BF6" s="69">
        <f t="shared" si="4"/>
        <v>0</v>
      </c>
      <c r="BG6" s="69">
        <f t="shared" si="4"/>
        <v>0</v>
      </c>
      <c r="BH6" s="47"/>
      <c r="BI6" s="48">
        <f t="array" ref="BI6:BZ6">TRANSPOSE(OBR_Mar_2025!$E$4:$E$21)</f>
        <v>20875.08306</v>
      </c>
      <c r="BJ6" s="48">
        <v>135768.60273277212</v>
      </c>
      <c r="BK6" s="48">
        <v>224236.17411904054</v>
      </c>
      <c r="BL6" s="48">
        <v>159459.75718092982</v>
      </c>
      <c r="BM6" s="48">
        <v>64.95612066302893</v>
      </c>
      <c r="BN6" s="48">
        <v>46.9986380660538</v>
      </c>
      <c r="BO6" s="48">
        <v>62.5</v>
      </c>
      <c r="BP6" s="48">
        <v>60000.0</v>
      </c>
      <c r="BQ6" s="48">
        <v>50.0</v>
      </c>
      <c r="BR6" s="48">
        <v>46.666666666666664</v>
      </c>
      <c r="BS6" s="48">
        <v>55.2</v>
      </c>
      <c r="BT6" s="48">
        <v>46.666666666666664</v>
      </c>
      <c r="BU6" s="48">
        <v>70.0</v>
      </c>
      <c r="BV6" s="48">
        <v>91.1111111111111</v>
      </c>
      <c r="BW6" s="48">
        <v>57.6</v>
      </c>
      <c r="BX6" s="48">
        <v>77.77777777777777</v>
      </c>
      <c r="BY6" s="48">
        <v>15000.0</v>
      </c>
      <c r="BZ6" s="48">
        <v>153000.0</v>
      </c>
      <c r="CA6" s="47"/>
      <c r="CB6" s="49">
        <f t="shared" ref="CB6:CS6" si="5">SUMIF(INDIRECT(CB$5&amp;"!"&amp;"A:A"),"&lt;="&amp;$B$6,INDIRECT(CB$5&amp;"!"&amp;"L:L"))</f>
        <v>0</v>
      </c>
      <c r="CC6" s="49">
        <f t="shared" si="5"/>
        <v>0</v>
      </c>
      <c r="CD6" s="49">
        <f t="shared" si="5"/>
        <v>0</v>
      </c>
      <c r="CE6" s="49">
        <f t="shared" si="5"/>
        <v>0</v>
      </c>
      <c r="CF6" s="49">
        <f t="shared" si="5"/>
        <v>0</v>
      </c>
      <c r="CG6" s="49">
        <f t="shared" si="5"/>
        <v>0</v>
      </c>
      <c r="CH6" s="49">
        <f t="shared" si="5"/>
        <v>0</v>
      </c>
      <c r="CI6" s="49">
        <f t="shared" si="5"/>
        <v>0</v>
      </c>
      <c r="CJ6" s="49">
        <f t="shared" si="5"/>
        <v>0</v>
      </c>
      <c r="CK6" s="49">
        <f t="shared" si="5"/>
        <v>0</v>
      </c>
      <c r="CL6" s="49">
        <f t="shared" si="5"/>
        <v>0</v>
      </c>
      <c r="CM6" s="49">
        <f t="shared" si="5"/>
        <v>0</v>
      </c>
      <c r="CN6" s="49">
        <f t="shared" si="5"/>
        <v>0</v>
      </c>
      <c r="CO6" s="49">
        <f t="shared" si="5"/>
        <v>0</v>
      </c>
      <c r="CP6" s="49">
        <f t="shared" si="5"/>
        <v>0</v>
      </c>
      <c r="CQ6" s="49">
        <f t="shared" si="5"/>
        <v>0</v>
      </c>
      <c r="CR6" s="49">
        <f t="shared" si="5"/>
        <v>0</v>
      </c>
      <c r="CS6" s="49">
        <f t="shared" si="5"/>
        <v>0</v>
      </c>
      <c r="CT6" s="71"/>
      <c r="CU6" s="49">
        <f t="shared" ref="CU6:CU14" si="10">SUM(CB6:CS6)</f>
        <v>0</v>
      </c>
      <c r="CV6" s="49"/>
    </row>
    <row r="7" ht="15.75" customHeight="1">
      <c r="A7" s="43"/>
      <c r="B7" s="72">
        <v>45747.0</v>
      </c>
      <c r="C7" s="58"/>
      <c r="D7" s="69">
        <f t="shared" ref="D7:U7" si="6">SUMIF(INDIRECT(D$5&amp;"!"&amp;"A:A"),"&lt;="&amp;$B$7,INDIRECT(D$5&amp;"!"&amp;"D:D"))-SUM(D$6:D6)</f>
        <v>0</v>
      </c>
      <c r="E7" s="69">
        <f t="shared" si="6"/>
        <v>0</v>
      </c>
      <c r="F7" s="69">
        <f t="shared" si="6"/>
        <v>0</v>
      </c>
      <c r="G7" s="69">
        <f t="shared" si="6"/>
        <v>0</v>
      </c>
      <c r="H7" s="69">
        <f t="shared" si="6"/>
        <v>0</v>
      </c>
      <c r="I7" s="69">
        <f t="shared" si="6"/>
        <v>0</v>
      </c>
      <c r="J7" s="69">
        <f t="shared" si="6"/>
        <v>0</v>
      </c>
      <c r="K7" s="69">
        <f t="shared" si="6"/>
        <v>0</v>
      </c>
      <c r="L7" s="69">
        <f t="shared" si="6"/>
        <v>0</v>
      </c>
      <c r="M7" s="69">
        <f t="shared" si="6"/>
        <v>0</v>
      </c>
      <c r="N7" s="69">
        <f t="shared" si="6"/>
        <v>0</v>
      </c>
      <c r="O7" s="69">
        <f t="shared" si="6"/>
        <v>0</v>
      </c>
      <c r="P7" s="69">
        <f t="shared" si="6"/>
        <v>0</v>
      </c>
      <c r="Q7" s="69">
        <f t="shared" si="6"/>
        <v>0</v>
      </c>
      <c r="R7" s="69">
        <f t="shared" si="6"/>
        <v>0</v>
      </c>
      <c r="S7" s="69">
        <f t="shared" si="6"/>
        <v>0</v>
      </c>
      <c r="T7" s="69">
        <f t="shared" si="6"/>
        <v>0</v>
      </c>
      <c r="U7" s="69">
        <f t="shared" si="6"/>
        <v>0</v>
      </c>
      <c r="V7" s="70"/>
      <c r="W7" s="69">
        <f t="shared" ref="W7:AN7" si="7">SUMIF(INDIRECT(W$5&amp;"!"&amp;"A:A"),"&lt;="&amp;$B$7,INDIRECT(D$5&amp;"!"&amp;"F:F"))-SUM(W$6:W6)</f>
        <v>0</v>
      </c>
      <c r="X7" s="69">
        <f t="shared" si="7"/>
        <v>0</v>
      </c>
      <c r="Y7" s="69">
        <f t="shared" si="7"/>
        <v>0</v>
      </c>
      <c r="Z7" s="69">
        <f t="shared" si="7"/>
        <v>0</v>
      </c>
      <c r="AA7" s="69">
        <f t="shared" si="7"/>
        <v>0</v>
      </c>
      <c r="AB7" s="69">
        <f t="shared" si="7"/>
        <v>0</v>
      </c>
      <c r="AC7" s="69">
        <f t="shared" si="7"/>
        <v>0</v>
      </c>
      <c r="AD7" s="69">
        <f t="shared" si="7"/>
        <v>0</v>
      </c>
      <c r="AE7" s="69">
        <f t="shared" si="7"/>
        <v>0</v>
      </c>
      <c r="AF7" s="69">
        <f t="shared" si="7"/>
        <v>0</v>
      </c>
      <c r="AG7" s="69">
        <f t="shared" si="7"/>
        <v>0</v>
      </c>
      <c r="AH7" s="69">
        <f t="shared" si="7"/>
        <v>0</v>
      </c>
      <c r="AI7" s="69">
        <f t="shared" si="7"/>
        <v>0</v>
      </c>
      <c r="AJ7" s="69">
        <f t="shared" si="7"/>
        <v>0</v>
      </c>
      <c r="AK7" s="69">
        <f t="shared" si="7"/>
        <v>0</v>
      </c>
      <c r="AL7" s="69">
        <f t="shared" si="7"/>
        <v>0</v>
      </c>
      <c r="AM7" s="69">
        <f t="shared" si="7"/>
        <v>0</v>
      </c>
      <c r="AN7" s="69">
        <f t="shared" si="7"/>
        <v>0</v>
      </c>
      <c r="AO7" s="70"/>
      <c r="AP7" s="69" t="str">
        <f t="shared" ref="AP7:BG7" si="8">SUMIF(INDIRECT(AP$5&amp;"!"&amp;"A:A"),"&lt;="&amp;$B$7,INDIRECT(AP$5&amp;"!"&amp;"I:I"))-SUM(AP$6:AP6)</f>
        <v>#N/A</v>
      </c>
      <c r="AQ7" s="69">
        <f t="shared" si="8"/>
        <v>0</v>
      </c>
      <c r="AR7" s="69">
        <f t="shared" si="8"/>
        <v>0</v>
      </c>
      <c r="AS7" s="69">
        <f t="shared" si="8"/>
        <v>0</v>
      </c>
      <c r="AT7" s="69">
        <f t="shared" si="8"/>
        <v>0</v>
      </c>
      <c r="AU7" s="69">
        <f t="shared" si="8"/>
        <v>0</v>
      </c>
      <c r="AV7" s="69">
        <f t="shared" si="8"/>
        <v>0</v>
      </c>
      <c r="AW7" s="69">
        <f t="shared" si="8"/>
        <v>0</v>
      </c>
      <c r="AX7" s="69">
        <f t="shared" si="8"/>
        <v>0</v>
      </c>
      <c r="AY7" s="69">
        <f t="shared" si="8"/>
        <v>0</v>
      </c>
      <c r="AZ7" s="69">
        <f t="shared" si="8"/>
        <v>0</v>
      </c>
      <c r="BA7" s="69">
        <f t="shared" si="8"/>
        <v>0</v>
      </c>
      <c r="BB7" s="69">
        <f t="shared" si="8"/>
        <v>0</v>
      </c>
      <c r="BC7" s="69">
        <f t="shared" si="8"/>
        <v>0</v>
      </c>
      <c r="BD7" s="69">
        <f t="shared" si="8"/>
        <v>0</v>
      </c>
      <c r="BE7" s="69">
        <f t="shared" si="8"/>
        <v>0</v>
      </c>
      <c r="BF7" s="69">
        <f t="shared" si="8"/>
        <v>0</v>
      </c>
      <c r="BG7" s="69">
        <f t="shared" si="8"/>
        <v>0</v>
      </c>
      <c r="BH7" s="47"/>
      <c r="BI7" s="48">
        <f t="array" ref="BI7:BZ7">TRANSPOSE(OBR_April_2025!$E$4:$E$21)</f>
        <v>20875.08306</v>
      </c>
      <c r="BJ7" s="48">
        <v>133652.09750334165</v>
      </c>
      <c r="BK7" s="48">
        <v>223506.57153649474</v>
      </c>
      <c r="BL7" s="48">
        <v>156788.15198207213</v>
      </c>
      <c r="BM7" s="48">
        <v>64.0715745021849</v>
      </c>
      <c r="BN7" s="48">
        <v>46.9283423001922</v>
      </c>
      <c r="BO7" s="48">
        <v>62.5</v>
      </c>
      <c r="BP7" s="48">
        <v>54860.44797991741</v>
      </c>
      <c r="BQ7" s="48">
        <v>50.0</v>
      </c>
      <c r="BR7" s="48">
        <v>46.666666666666664</v>
      </c>
      <c r="BS7" s="48">
        <v>58.248442195952315</v>
      </c>
      <c r="BT7" s="48">
        <v>33.290897205017416</v>
      </c>
      <c r="BU7" s="48">
        <v>70.46390632223068</v>
      </c>
      <c r="BV7" s="48">
        <v>59.469193792596975</v>
      </c>
      <c r="BW7" s="48">
        <v>57.6</v>
      </c>
      <c r="BX7" s="48">
        <v>77.77777777777777</v>
      </c>
      <c r="BY7" s="48">
        <v>18333.333333333332</v>
      </c>
      <c r="BZ7" s="48">
        <v>153000.0</v>
      </c>
      <c r="CA7" s="47"/>
      <c r="CB7" s="49">
        <f t="shared" ref="CB7:CS7" si="9">SUMIF(INDIRECT(CB$5&amp;"!"&amp;"A:A"),"&lt;="&amp;$B$7,INDIRECT(CB$5&amp;"!"&amp;"L:L"))-SUM(CB$6:CB6)</f>
        <v>0</v>
      </c>
      <c r="CC7" s="49">
        <f t="shared" si="9"/>
        <v>0</v>
      </c>
      <c r="CD7" s="49">
        <f t="shared" si="9"/>
        <v>0</v>
      </c>
      <c r="CE7" s="49">
        <f t="shared" si="9"/>
        <v>0</v>
      </c>
      <c r="CF7" s="49">
        <f t="shared" si="9"/>
        <v>0</v>
      </c>
      <c r="CG7" s="49">
        <f t="shared" si="9"/>
        <v>0</v>
      </c>
      <c r="CH7" s="49">
        <f t="shared" si="9"/>
        <v>0</v>
      </c>
      <c r="CI7" s="49">
        <f t="shared" si="9"/>
        <v>0</v>
      </c>
      <c r="CJ7" s="49">
        <f t="shared" si="9"/>
        <v>0</v>
      </c>
      <c r="CK7" s="49">
        <f t="shared" si="9"/>
        <v>0</v>
      </c>
      <c r="CL7" s="49">
        <f t="shared" si="9"/>
        <v>0</v>
      </c>
      <c r="CM7" s="49">
        <f t="shared" si="9"/>
        <v>0</v>
      </c>
      <c r="CN7" s="49">
        <f t="shared" si="9"/>
        <v>0</v>
      </c>
      <c r="CO7" s="49">
        <f t="shared" si="9"/>
        <v>0</v>
      </c>
      <c r="CP7" s="49">
        <f t="shared" si="9"/>
        <v>0</v>
      </c>
      <c r="CQ7" s="49">
        <f t="shared" si="9"/>
        <v>0</v>
      </c>
      <c r="CR7" s="49">
        <f t="shared" si="9"/>
        <v>0</v>
      </c>
      <c r="CS7" s="49">
        <f t="shared" si="9"/>
        <v>0</v>
      </c>
      <c r="CT7" s="44"/>
      <c r="CU7" s="49">
        <f t="shared" si="10"/>
        <v>0</v>
      </c>
      <c r="CV7" s="43"/>
    </row>
    <row r="8" ht="15.75" customHeight="1">
      <c r="A8" s="43"/>
      <c r="B8" s="72">
        <v>45777.0</v>
      </c>
      <c r="C8" s="58"/>
      <c r="D8" s="69">
        <f t="shared" ref="D8:U8" si="11">SUMIF(INDIRECT(D$5&amp;"!"&amp;"A:A"),"&lt;="&amp;$B8,INDIRECT(D$5&amp;"!"&amp;"D:D"))-SUM(D$6:D7)</f>
        <v>0</v>
      </c>
      <c r="E8" s="69">
        <f t="shared" si="11"/>
        <v>0</v>
      </c>
      <c r="F8" s="69">
        <f t="shared" si="11"/>
        <v>0</v>
      </c>
      <c r="G8" s="69">
        <f t="shared" si="11"/>
        <v>0</v>
      </c>
      <c r="H8" s="69">
        <f t="shared" si="11"/>
        <v>0</v>
      </c>
      <c r="I8" s="69">
        <f t="shared" si="11"/>
        <v>0</v>
      </c>
      <c r="J8" s="69">
        <f t="shared" si="11"/>
        <v>0</v>
      </c>
      <c r="K8" s="69">
        <f t="shared" si="11"/>
        <v>0</v>
      </c>
      <c r="L8" s="69">
        <f t="shared" si="11"/>
        <v>0</v>
      </c>
      <c r="M8" s="69">
        <f t="shared" si="11"/>
        <v>0</v>
      </c>
      <c r="N8" s="69">
        <f t="shared" si="11"/>
        <v>0</v>
      </c>
      <c r="O8" s="69">
        <f t="shared" si="11"/>
        <v>0</v>
      </c>
      <c r="P8" s="69">
        <f t="shared" si="11"/>
        <v>0</v>
      </c>
      <c r="Q8" s="69">
        <f t="shared" si="11"/>
        <v>0</v>
      </c>
      <c r="R8" s="69">
        <f t="shared" si="11"/>
        <v>0</v>
      </c>
      <c r="S8" s="69">
        <f t="shared" si="11"/>
        <v>0</v>
      </c>
      <c r="T8" s="69">
        <f t="shared" si="11"/>
        <v>0</v>
      </c>
      <c r="U8" s="69">
        <f t="shared" si="11"/>
        <v>0</v>
      </c>
      <c r="V8" s="70"/>
      <c r="W8" s="69">
        <f t="shared" ref="W8:AN8" si="12">SUMIF(INDIRECT(W$5&amp;"!"&amp;"A:A"),"&lt;="&amp;$B8,INDIRECT(D$5&amp;"!"&amp;"F:F"))-SUM(W$6:W7)</f>
        <v>0</v>
      </c>
      <c r="X8" s="69">
        <f t="shared" si="12"/>
        <v>0</v>
      </c>
      <c r="Y8" s="69">
        <f t="shared" si="12"/>
        <v>0</v>
      </c>
      <c r="Z8" s="69">
        <f t="shared" si="12"/>
        <v>0</v>
      </c>
      <c r="AA8" s="69">
        <f t="shared" si="12"/>
        <v>0</v>
      </c>
      <c r="AB8" s="69">
        <f t="shared" si="12"/>
        <v>0</v>
      </c>
      <c r="AC8" s="69">
        <f t="shared" si="12"/>
        <v>0</v>
      </c>
      <c r="AD8" s="69">
        <f t="shared" si="12"/>
        <v>0</v>
      </c>
      <c r="AE8" s="69">
        <f t="shared" si="12"/>
        <v>0</v>
      </c>
      <c r="AF8" s="69">
        <f t="shared" si="12"/>
        <v>0</v>
      </c>
      <c r="AG8" s="69">
        <f t="shared" si="12"/>
        <v>0</v>
      </c>
      <c r="AH8" s="69">
        <f t="shared" si="12"/>
        <v>0</v>
      </c>
      <c r="AI8" s="69">
        <f t="shared" si="12"/>
        <v>0</v>
      </c>
      <c r="AJ8" s="69">
        <f t="shared" si="12"/>
        <v>0</v>
      </c>
      <c r="AK8" s="69">
        <f t="shared" si="12"/>
        <v>0</v>
      </c>
      <c r="AL8" s="69">
        <f t="shared" si="12"/>
        <v>0</v>
      </c>
      <c r="AM8" s="69">
        <f t="shared" si="12"/>
        <v>0</v>
      </c>
      <c r="AN8" s="69">
        <f t="shared" si="12"/>
        <v>0</v>
      </c>
      <c r="AO8" s="70"/>
      <c r="AP8" s="69" t="str">
        <f t="shared" ref="AP8:BG8" si="13">SUMIF(INDIRECT(AP$5&amp;"!"&amp;"A:A"),"&lt;="&amp;$B8,INDIRECT(AP$5&amp;"!"&amp;"I:I"))-SUM(AP$6:AP7)</f>
        <v>#N/A</v>
      </c>
      <c r="AQ8" s="69">
        <f t="shared" si="13"/>
        <v>0</v>
      </c>
      <c r="AR8" s="69">
        <f t="shared" si="13"/>
        <v>0</v>
      </c>
      <c r="AS8" s="69">
        <f t="shared" si="13"/>
        <v>0</v>
      </c>
      <c r="AT8" s="69">
        <f t="shared" si="13"/>
        <v>0</v>
      </c>
      <c r="AU8" s="69">
        <f t="shared" si="13"/>
        <v>0</v>
      </c>
      <c r="AV8" s="69">
        <f t="shared" si="13"/>
        <v>0</v>
      </c>
      <c r="AW8" s="69">
        <f t="shared" si="13"/>
        <v>0</v>
      </c>
      <c r="AX8" s="69">
        <f t="shared" si="13"/>
        <v>0</v>
      </c>
      <c r="AY8" s="69">
        <f t="shared" si="13"/>
        <v>0</v>
      </c>
      <c r="AZ8" s="69">
        <f t="shared" si="13"/>
        <v>0</v>
      </c>
      <c r="BA8" s="69">
        <f t="shared" si="13"/>
        <v>0</v>
      </c>
      <c r="BB8" s="69">
        <f t="shared" si="13"/>
        <v>0</v>
      </c>
      <c r="BC8" s="69">
        <f t="shared" si="13"/>
        <v>0</v>
      </c>
      <c r="BD8" s="69">
        <f t="shared" si="13"/>
        <v>0</v>
      </c>
      <c r="BE8" s="69">
        <f t="shared" si="13"/>
        <v>0</v>
      </c>
      <c r="BF8" s="69">
        <f t="shared" si="13"/>
        <v>0</v>
      </c>
      <c r="BG8" s="69">
        <f t="shared" si="13"/>
        <v>0</v>
      </c>
      <c r="BH8" s="47"/>
      <c r="BI8" s="48">
        <f t="array" ref="BI8:BZ8">TRANSPOSE(OBR_May_2025!$E$4:$E$21)</f>
        <v>20875.08306</v>
      </c>
      <c r="BJ8" s="48">
        <v>130889.30375106326</v>
      </c>
      <c r="BK8" s="48">
        <v>223506.57153649474</v>
      </c>
      <c r="BL8" s="48">
        <v>156788.15198207213</v>
      </c>
      <c r="BM8" s="48">
        <v>64.0715745021849</v>
      </c>
      <c r="BN8" s="48">
        <v>55.166371945264</v>
      </c>
      <c r="BO8" s="48">
        <v>68.56245756958587</v>
      </c>
      <c r="BP8" s="48">
        <v>47428.22996635551</v>
      </c>
      <c r="BQ8" s="48">
        <v>55.50895587592835</v>
      </c>
      <c r="BR8" s="48">
        <v>83.98550724637681</v>
      </c>
      <c r="BS8" s="48">
        <v>58.248442195952315</v>
      </c>
      <c r="BT8" s="48">
        <v>33.290897205017416</v>
      </c>
      <c r="BU8" s="48">
        <v>70.46390632223068</v>
      </c>
      <c r="BV8" s="48">
        <v>59.469193792596975</v>
      </c>
      <c r="BW8" s="48">
        <v>57.6</v>
      </c>
      <c r="BX8" s="48">
        <v>77.77777777777777</v>
      </c>
      <c r="BY8" s="48">
        <v>23166.666666666664</v>
      </c>
      <c r="BZ8" s="48">
        <v>153373.38975667433</v>
      </c>
      <c r="CA8" s="47"/>
      <c r="CB8" s="49">
        <f t="shared" ref="CB8:CS8" si="14">SUMIF(INDIRECT(CB$5&amp;"!"&amp;"A:A"),"&lt;="&amp;$B8,INDIRECT(CB$5&amp;"!"&amp;"L:L"))-SUM(CB$6:CB7)</f>
        <v>0</v>
      </c>
      <c r="CC8" s="49">
        <f t="shared" si="14"/>
        <v>0</v>
      </c>
      <c r="CD8" s="49">
        <f t="shared" si="14"/>
        <v>0</v>
      </c>
      <c r="CE8" s="49">
        <f t="shared" si="14"/>
        <v>0</v>
      </c>
      <c r="CF8" s="49">
        <f t="shared" si="14"/>
        <v>0</v>
      </c>
      <c r="CG8" s="49">
        <f t="shared" si="14"/>
        <v>0</v>
      </c>
      <c r="CH8" s="49">
        <f t="shared" si="14"/>
        <v>0</v>
      </c>
      <c r="CI8" s="49">
        <f t="shared" si="14"/>
        <v>0</v>
      </c>
      <c r="CJ8" s="49">
        <f t="shared" si="14"/>
        <v>0</v>
      </c>
      <c r="CK8" s="49">
        <f t="shared" si="14"/>
        <v>0</v>
      </c>
      <c r="CL8" s="49">
        <f t="shared" si="14"/>
        <v>0</v>
      </c>
      <c r="CM8" s="49">
        <f t="shared" si="14"/>
        <v>0</v>
      </c>
      <c r="CN8" s="49">
        <f t="shared" si="14"/>
        <v>0</v>
      </c>
      <c r="CO8" s="49">
        <f t="shared" si="14"/>
        <v>0</v>
      </c>
      <c r="CP8" s="49">
        <f t="shared" si="14"/>
        <v>0</v>
      </c>
      <c r="CQ8" s="49">
        <f t="shared" si="14"/>
        <v>0</v>
      </c>
      <c r="CR8" s="49">
        <f t="shared" si="14"/>
        <v>0</v>
      </c>
      <c r="CS8" s="49">
        <f t="shared" si="14"/>
        <v>0</v>
      </c>
      <c r="CT8" s="44"/>
      <c r="CU8" s="49">
        <f t="shared" si="10"/>
        <v>0</v>
      </c>
      <c r="CV8" s="43"/>
    </row>
    <row r="9" ht="15.75" customHeight="1">
      <c r="A9" s="43"/>
      <c r="B9" s="72">
        <v>45808.0</v>
      </c>
      <c r="C9" s="58"/>
      <c r="D9" s="69">
        <f t="shared" ref="D9:U9" si="15">SUMIF(INDIRECT(D$5&amp;"!"&amp;"A:A"),"&lt;="&amp;$B9,INDIRECT(D$5&amp;"!"&amp;"D:D"))-SUM(D$6:D8)</f>
        <v>0</v>
      </c>
      <c r="E9" s="69">
        <f t="shared" si="15"/>
        <v>0</v>
      </c>
      <c r="F9" s="69">
        <f t="shared" si="15"/>
        <v>0</v>
      </c>
      <c r="G9" s="69">
        <f t="shared" si="15"/>
        <v>0</v>
      </c>
      <c r="H9" s="69">
        <f t="shared" si="15"/>
        <v>0</v>
      </c>
      <c r="I9" s="69">
        <f t="shared" si="15"/>
        <v>0</v>
      </c>
      <c r="J9" s="69">
        <f t="shared" si="15"/>
        <v>0</v>
      </c>
      <c r="K9" s="69">
        <f t="shared" si="15"/>
        <v>0</v>
      </c>
      <c r="L9" s="69">
        <f t="shared" si="15"/>
        <v>0</v>
      </c>
      <c r="M9" s="69">
        <f t="shared" si="15"/>
        <v>0</v>
      </c>
      <c r="N9" s="69">
        <f t="shared" si="15"/>
        <v>0</v>
      </c>
      <c r="O9" s="69">
        <f t="shared" si="15"/>
        <v>0</v>
      </c>
      <c r="P9" s="69">
        <f t="shared" si="15"/>
        <v>0</v>
      </c>
      <c r="Q9" s="69">
        <f t="shared" si="15"/>
        <v>0</v>
      </c>
      <c r="R9" s="69">
        <f t="shared" si="15"/>
        <v>0</v>
      </c>
      <c r="S9" s="69">
        <f t="shared" si="15"/>
        <v>0</v>
      </c>
      <c r="T9" s="69">
        <f t="shared" si="15"/>
        <v>0</v>
      </c>
      <c r="U9" s="69">
        <f t="shared" si="15"/>
        <v>0</v>
      </c>
      <c r="V9" s="70"/>
      <c r="W9" s="69">
        <f t="shared" ref="W9:AN9" si="16">SUMIF(INDIRECT(W$5&amp;"!"&amp;"A:A"),"&lt;="&amp;$B9,INDIRECT(D$5&amp;"!"&amp;"F:F"))-SUM(W$6:W8)</f>
        <v>0</v>
      </c>
      <c r="X9" s="69">
        <f t="shared" si="16"/>
        <v>0</v>
      </c>
      <c r="Y9" s="69">
        <f t="shared" si="16"/>
        <v>0</v>
      </c>
      <c r="Z9" s="69">
        <f t="shared" si="16"/>
        <v>0</v>
      </c>
      <c r="AA9" s="69">
        <f t="shared" si="16"/>
        <v>0</v>
      </c>
      <c r="AB9" s="69">
        <f t="shared" si="16"/>
        <v>0</v>
      </c>
      <c r="AC9" s="69">
        <f t="shared" si="16"/>
        <v>0</v>
      </c>
      <c r="AD9" s="69">
        <f t="shared" si="16"/>
        <v>0</v>
      </c>
      <c r="AE9" s="69">
        <f t="shared" si="16"/>
        <v>0</v>
      </c>
      <c r="AF9" s="69">
        <f t="shared" si="16"/>
        <v>0</v>
      </c>
      <c r="AG9" s="69">
        <f t="shared" si="16"/>
        <v>0</v>
      </c>
      <c r="AH9" s="69">
        <f t="shared" si="16"/>
        <v>0</v>
      </c>
      <c r="AI9" s="69">
        <f t="shared" si="16"/>
        <v>0</v>
      </c>
      <c r="AJ9" s="69">
        <f t="shared" si="16"/>
        <v>0</v>
      </c>
      <c r="AK9" s="69">
        <f t="shared" si="16"/>
        <v>0</v>
      </c>
      <c r="AL9" s="69">
        <f t="shared" si="16"/>
        <v>0</v>
      </c>
      <c r="AM9" s="69">
        <f t="shared" si="16"/>
        <v>0</v>
      </c>
      <c r="AN9" s="69">
        <f t="shared" si="16"/>
        <v>0</v>
      </c>
      <c r="AO9" s="70"/>
      <c r="AP9" s="69" t="str">
        <f t="shared" ref="AP9:BG9" si="17">SUMIF(INDIRECT(AP$5&amp;"!"&amp;"A:A"),"&lt;="&amp;$B9,INDIRECT(AP$5&amp;"!"&amp;"I:I"))-SUM(AP$6:AP8)</f>
        <v>#N/A</v>
      </c>
      <c r="AQ9" s="69">
        <f t="shared" si="17"/>
        <v>0</v>
      </c>
      <c r="AR9" s="69">
        <f t="shared" si="17"/>
        <v>0</v>
      </c>
      <c r="AS9" s="69">
        <f t="shared" si="17"/>
        <v>0</v>
      </c>
      <c r="AT9" s="69">
        <f t="shared" si="17"/>
        <v>0</v>
      </c>
      <c r="AU9" s="69">
        <f t="shared" si="17"/>
        <v>0</v>
      </c>
      <c r="AV9" s="69">
        <f t="shared" si="17"/>
        <v>0</v>
      </c>
      <c r="AW9" s="69">
        <f t="shared" si="17"/>
        <v>0</v>
      </c>
      <c r="AX9" s="69">
        <f t="shared" si="17"/>
        <v>0</v>
      </c>
      <c r="AY9" s="69">
        <f t="shared" si="17"/>
        <v>0</v>
      </c>
      <c r="AZ9" s="69">
        <f t="shared" si="17"/>
        <v>0</v>
      </c>
      <c r="BA9" s="69">
        <f t="shared" si="17"/>
        <v>0</v>
      </c>
      <c r="BB9" s="69">
        <f t="shared" si="17"/>
        <v>0</v>
      </c>
      <c r="BC9" s="69">
        <f t="shared" si="17"/>
        <v>0</v>
      </c>
      <c r="BD9" s="69">
        <f t="shared" si="17"/>
        <v>0</v>
      </c>
      <c r="BE9" s="69">
        <f t="shared" si="17"/>
        <v>0</v>
      </c>
      <c r="BF9" s="69">
        <f t="shared" si="17"/>
        <v>0</v>
      </c>
      <c r="BG9" s="69">
        <f t="shared" si="17"/>
        <v>0</v>
      </c>
      <c r="BH9" s="47"/>
      <c r="BI9" s="48">
        <f t="array" ref="BI9:BZ9">TRANSPOSE(OBR_June_2025!$E$4:$E$21)</f>
        <v>21101.17301</v>
      </c>
      <c r="BJ9" s="48">
        <v>131296.61238176248</v>
      </c>
      <c r="BK9" s="48">
        <v>226601.82591423276</v>
      </c>
      <c r="BL9" s="48">
        <v>154959.769421693</v>
      </c>
      <c r="BM9" s="48">
        <v>64.0715745021849</v>
      </c>
      <c r="BN9" s="48">
        <v>50.117962263116034</v>
      </c>
      <c r="BO9" s="48">
        <v>68.56245756958587</v>
      </c>
      <c r="BP9" s="48">
        <v>47428.22996635552</v>
      </c>
      <c r="BQ9" s="48">
        <v>55.50895587592835</v>
      </c>
      <c r="BR9" s="48">
        <v>83.98550724637681</v>
      </c>
      <c r="BS9" s="48">
        <v>58.24844219595232</v>
      </c>
      <c r="BT9" s="48">
        <v>33.290897205017416</v>
      </c>
      <c r="BU9" s="48">
        <v>69.7433849159743</v>
      </c>
      <c r="BV9" s="48">
        <v>58.51593271840493</v>
      </c>
      <c r="BW9" s="48">
        <v>57.6</v>
      </c>
      <c r="BX9" s="48">
        <v>77.77777777777777</v>
      </c>
      <c r="BY9" s="48">
        <v>32668.58237547893</v>
      </c>
      <c r="BZ9" s="48">
        <v>153049.78530088993</v>
      </c>
      <c r="CA9" s="47"/>
      <c r="CB9" s="49">
        <f t="shared" ref="CB9:CS9" si="18">SUMIF(INDIRECT(CB$5&amp;"!"&amp;"A:A"),"&lt;="&amp;$B9,INDIRECT(CB$5&amp;"!"&amp;"L:L"))-SUM(CB$6:CB8)</f>
        <v>0</v>
      </c>
      <c r="CC9" s="49">
        <f t="shared" si="18"/>
        <v>0</v>
      </c>
      <c r="CD9" s="49">
        <f t="shared" si="18"/>
        <v>0</v>
      </c>
      <c r="CE9" s="49">
        <f t="shared" si="18"/>
        <v>0</v>
      </c>
      <c r="CF9" s="49">
        <f t="shared" si="18"/>
        <v>0</v>
      </c>
      <c r="CG9" s="49">
        <f t="shared" si="18"/>
        <v>0</v>
      </c>
      <c r="CH9" s="49">
        <f t="shared" si="18"/>
        <v>0</v>
      </c>
      <c r="CI9" s="49">
        <f t="shared" si="18"/>
        <v>0</v>
      </c>
      <c r="CJ9" s="49">
        <f t="shared" si="18"/>
        <v>0</v>
      </c>
      <c r="CK9" s="49">
        <f t="shared" si="18"/>
        <v>0</v>
      </c>
      <c r="CL9" s="49">
        <f t="shared" si="18"/>
        <v>0</v>
      </c>
      <c r="CM9" s="49">
        <f t="shared" si="18"/>
        <v>0</v>
      </c>
      <c r="CN9" s="49">
        <f t="shared" si="18"/>
        <v>0</v>
      </c>
      <c r="CO9" s="49">
        <f t="shared" si="18"/>
        <v>0</v>
      </c>
      <c r="CP9" s="49">
        <f t="shared" si="18"/>
        <v>0</v>
      </c>
      <c r="CQ9" s="49">
        <f t="shared" si="18"/>
        <v>0</v>
      </c>
      <c r="CR9" s="49">
        <f t="shared" si="18"/>
        <v>0</v>
      </c>
      <c r="CS9" s="49">
        <f t="shared" si="18"/>
        <v>0</v>
      </c>
      <c r="CT9" s="44"/>
      <c r="CU9" s="49">
        <f t="shared" si="10"/>
        <v>0</v>
      </c>
      <c r="CV9" s="43"/>
    </row>
    <row r="10" ht="15.75" customHeight="1">
      <c r="A10" s="43"/>
      <c r="B10" s="72">
        <v>45838.0</v>
      </c>
      <c r="C10" s="58"/>
      <c r="D10" s="69">
        <f t="shared" ref="D10:U10" si="19">SUMIF(INDIRECT(D$5&amp;"!"&amp;"A:A"),"&lt;="&amp;$B10,INDIRECT(D$5&amp;"!"&amp;"D:D"))-SUM(D$6:D9)</f>
        <v>0</v>
      </c>
      <c r="E10" s="69">
        <f t="shared" si="19"/>
        <v>0</v>
      </c>
      <c r="F10" s="69">
        <f t="shared" si="19"/>
        <v>0</v>
      </c>
      <c r="G10" s="69">
        <f t="shared" si="19"/>
        <v>0</v>
      </c>
      <c r="H10" s="69">
        <f t="shared" si="19"/>
        <v>0</v>
      </c>
      <c r="I10" s="69">
        <f t="shared" si="19"/>
        <v>0</v>
      </c>
      <c r="J10" s="69">
        <f t="shared" si="19"/>
        <v>0</v>
      </c>
      <c r="K10" s="69">
        <f t="shared" si="19"/>
        <v>0</v>
      </c>
      <c r="L10" s="69">
        <f t="shared" si="19"/>
        <v>0</v>
      </c>
      <c r="M10" s="69">
        <f t="shared" si="19"/>
        <v>0</v>
      </c>
      <c r="N10" s="69">
        <f t="shared" si="19"/>
        <v>0</v>
      </c>
      <c r="O10" s="69">
        <f t="shared" si="19"/>
        <v>0</v>
      </c>
      <c r="P10" s="69">
        <f t="shared" si="19"/>
        <v>0</v>
      </c>
      <c r="Q10" s="69">
        <f t="shared" si="19"/>
        <v>0</v>
      </c>
      <c r="R10" s="69">
        <f t="shared" si="19"/>
        <v>0</v>
      </c>
      <c r="S10" s="69">
        <f t="shared" si="19"/>
        <v>0</v>
      </c>
      <c r="T10" s="69">
        <f t="shared" si="19"/>
        <v>0</v>
      </c>
      <c r="U10" s="69">
        <f t="shared" si="19"/>
        <v>0</v>
      </c>
      <c r="V10" s="70"/>
      <c r="W10" s="69">
        <f t="shared" ref="W10:AN10" si="20">SUMIF(INDIRECT(W$5&amp;"!"&amp;"A:A"),"&lt;="&amp;$B10,INDIRECT(D$5&amp;"!"&amp;"F:F"))-SUM(W$6:W9)</f>
        <v>0</v>
      </c>
      <c r="X10" s="69">
        <f t="shared" si="20"/>
        <v>0</v>
      </c>
      <c r="Y10" s="69">
        <f t="shared" si="20"/>
        <v>0</v>
      </c>
      <c r="Z10" s="69">
        <f t="shared" si="20"/>
        <v>0</v>
      </c>
      <c r="AA10" s="69">
        <f t="shared" si="20"/>
        <v>0</v>
      </c>
      <c r="AB10" s="69">
        <f t="shared" si="20"/>
        <v>0</v>
      </c>
      <c r="AC10" s="69">
        <f t="shared" si="20"/>
        <v>0</v>
      </c>
      <c r="AD10" s="69">
        <f t="shared" si="20"/>
        <v>0</v>
      </c>
      <c r="AE10" s="69">
        <f t="shared" si="20"/>
        <v>0</v>
      </c>
      <c r="AF10" s="69">
        <f t="shared" si="20"/>
        <v>0</v>
      </c>
      <c r="AG10" s="69">
        <f t="shared" si="20"/>
        <v>0</v>
      </c>
      <c r="AH10" s="69">
        <f t="shared" si="20"/>
        <v>0</v>
      </c>
      <c r="AI10" s="69">
        <f t="shared" si="20"/>
        <v>0</v>
      </c>
      <c r="AJ10" s="69">
        <f t="shared" si="20"/>
        <v>0</v>
      </c>
      <c r="AK10" s="69">
        <f t="shared" si="20"/>
        <v>0</v>
      </c>
      <c r="AL10" s="69">
        <f t="shared" si="20"/>
        <v>0</v>
      </c>
      <c r="AM10" s="69">
        <f t="shared" si="20"/>
        <v>0</v>
      </c>
      <c r="AN10" s="69">
        <f t="shared" si="20"/>
        <v>0</v>
      </c>
      <c r="AO10" s="70"/>
      <c r="AP10" s="69" t="str">
        <f t="shared" ref="AP10:BG10" si="21">SUMIF(INDIRECT(AP$5&amp;"!"&amp;"A:A"),"&lt;="&amp;$B10,INDIRECT(AP$5&amp;"!"&amp;"I:I"))-SUM(AP$6:AP9)</f>
        <v>#N/A</v>
      </c>
      <c r="AQ10" s="69">
        <f t="shared" si="21"/>
        <v>0</v>
      </c>
      <c r="AR10" s="69">
        <f t="shared" si="21"/>
        <v>0</v>
      </c>
      <c r="AS10" s="69">
        <f t="shared" si="21"/>
        <v>0</v>
      </c>
      <c r="AT10" s="69">
        <f t="shared" si="21"/>
        <v>0</v>
      </c>
      <c r="AU10" s="69">
        <f t="shared" si="21"/>
        <v>0</v>
      </c>
      <c r="AV10" s="69">
        <f t="shared" si="21"/>
        <v>0</v>
      </c>
      <c r="AW10" s="69">
        <f t="shared" si="21"/>
        <v>0</v>
      </c>
      <c r="AX10" s="69">
        <f t="shared" si="21"/>
        <v>0</v>
      </c>
      <c r="AY10" s="69">
        <f t="shared" si="21"/>
        <v>0</v>
      </c>
      <c r="AZ10" s="69">
        <f t="shared" si="21"/>
        <v>0</v>
      </c>
      <c r="BA10" s="69">
        <f t="shared" si="21"/>
        <v>0</v>
      </c>
      <c r="BB10" s="69">
        <f t="shared" si="21"/>
        <v>0</v>
      </c>
      <c r="BC10" s="69">
        <f t="shared" si="21"/>
        <v>0</v>
      </c>
      <c r="BD10" s="69">
        <f t="shared" si="21"/>
        <v>0</v>
      </c>
      <c r="BE10" s="69">
        <f t="shared" si="21"/>
        <v>0</v>
      </c>
      <c r="BF10" s="69">
        <f t="shared" si="21"/>
        <v>0</v>
      </c>
      <c r="BG10" s="69">
        <f t="shared" si="21"/>
        <v>0</v>
      </c>
      <c r="BH10" s="47"/>
      <c r="BI10" s="48">
        <f t="array" ref="BI10:BZ10">TRANSPOSE(OBR_July_2025!$E$4:$E$21)</f>
        <v>21107.44802</v>
      </c>
      <c r="BJ10" s="48">
        <v>131945.67184253162</v>
      </c>
      <c r="BK10" s="48">
        <v>227274.25392477124</v>
      </c>
      <c r="BL10" s="48">
        <v>148642.29928284066</v>
      </c>
      <c r="BM10" s="48">
        <v>64.93710640625319</v>
      </c>
      <c r="BN10" s="48">
        <v>52.38917799299498</v>
      </c>
      <c r="BO10" s="48">
        <v>68.56245756958587</v>
      </c>
      <c r="BP10" s="48">
        <v>47428.229966355524</v>
      </c>
      <c r="BQ10" s="48">
        <v>55.50895587592834</v>
      </c>
      <c r="BR10" s="48">
        <v>83.98550724637681</v>
      </c>
      <c r="BS10" s="48">
        <v>58.24844219595232</v>
      </c>
      <c r="BT10" s="48">
        <v>33.290897205017416</v>
      </c>
      <c r="BU10" s="48">
        <v>69.65341900262386</v>
      </c>
      <c r="BV10" s="48">
        <v>51.539260494255444</v>
      </c>
      <c r="BW10" s="48">
        <v>57.6</v>
      </c>
      <c r="BX10" s="48">
        <v>77.77777777777777</v>
      </c>
      <c r="BY10" s="48">
        <v>33834.291187739465</v>
      </c>
      <c r="BZ10" s="48">
        <v>153005.5317000989</v>
      </c>
      <c r="CA10" s="47"/>
      <c r="CB10" s="49">
        <f t="shared" ref="CB10:CS10" si="22">SUMIF(INDIRECT(CB$5&amp;"!"&amp;"A:A"),"&lt;="&amp;$B10,INDIRECT(CB$5&amp;"!"&amp;"L:L"))-SUM(CB$6:CB9)</f>
        <v>0</v>
      </c>
      <c r="CC10" s="49">
        <f t="shared" si="22"/>
        <v>0</v>
      </c>
      <c r="CD10" s="49">
        <f t="shared" si="22"/>
        <v>0</v>
      </c>
      <c r="CE10" s="49">
        <f t="shared" si="22"/>
        <v>0</v>
      </c>
      <c r="CF10" s="49">
        <f t="shared" si="22"/>
        <v>0</v>
      </c>
      <c r="CG10" s="49">
        <f t="shared" si="22"/>
        <v>0</v>
      </c>
      <c r="CH10" s="49">
        <f t="shared" si="22"/>
        <v>0</v>
      </c>
      <c r="CI10" s="49">
        <f t="shared" si="22"/>
        <v>0</v>
      </c>
      <c r="CJ10" s="49">
        <f t="shared" si="22"/>
        <v>0</v>
      </c>
      <c r="CK10" s="49">
        <f t="shared" si="22"/>
        <v>0</v>
      </c>
      <c r="CL10" s="49">
        <f t="shared" si="22"/>
        <v>0</v>
      </c>
      <c r="CM10" s="49">
        <f t="shared" si="22"/>
        <v>0</v>
      </c>
      <c r="CN10" s="49">
        <f t="shared" si="22"/>
        <v>0</v>
      </c>
      <c r="CO10" s="49">
        <f t="shared" si="22"/>
        <v>0</v>
      </c>
      <c r="CP10" s="49">
        <f t="shared" si="22"/>
        <v>0</v>
      </c>
      <c r="CQ10" s="49">
        <f t="shared" si="22"/>
        <v>0</v>
      </c>
      <c r="CR10" s="49">
        <f t="shared" si="22"/>
        <v>0</v>
      </c>
      <c r="CS10" s="49">
        <f t="shared" si="22"/>
        <v>0</v>
      </c>
      <c r="CT10" s="44"/>
      <c r="CU10" s="49">
        <f t="shared" si="10"/>
        <v>0</v>
      </c>
      <c r="CV10" s="43"/>
    </row>
    <row r="11" ht="15.75" customHeight="1">
      <c r="A11" s="43"/>
      <c r="B11" s="72">
        <v>45869.0</v>
      </c>
      <c r="C11" s="58"/>
      <c r="D11" s="69">
        <f t="shared" ref="D11:U11" si="23">SUMIF(INDIRECT(D$5&amp;"!"&amp;"A:A"),"&lt;="&amp;$B11,INDIRECT(D$5&amp;"!"&amp;"D:D"))-SUM(D$6:D10)</f>
        <v>0</v>
      </c>
      <c r="E11" s="69">
        <f t="shared" si="23"/>
        <v>0</v>
      </c>
      <c r="F11" s="69">
        <f t="shared" si="23"/>
        <v>0</v>
      </c>
      <c r="G11" s="69">
        <f t="shared" si="23"/>
        <v>0</v>
      </c>
      <c r="H11" s="69">
        <f t="shared" si="23"/>
        <v>0</v>
      </c>
      <c r="I11" s="69">
        <f t="shared" si="23"/>
        <v>0</v>
      </c>
      <c r="J11" s="69">
        <f t="shared" si="23"/>
        <v>0</v>
      </c>
      <c r="K11" s="69">
        <f t="shared" si="23"/>
        <v>0</v>
      </c>
      <c r="L11" s="69">
        <f t="shared" si="23"/>
        <v>0</v>
      </c>
      <c r="M11" s="69">
        <f t="shared" si="23"/>
        <v>0</v>
      </c>
      <c r="N11" s="69">
        <f t="shared" si="23"/>
        <v>0</v>
      </c>
      <c r="O11" s="69">
        <f t="shared" si="23"/>
        <v>0</v>
      </c>
      <c r="P11" s="69">
        <f t="shared" si="23"/>
        <v>0</v>
      </c>
      <c r="Q11" s="69">
        <f t="shared" si="23"/>
        <v>0</v>
      </c>
      <c r="R11" s="69">
        <f t="shared" si="23"/>
        <v>0</v>
      </c>
      <c r="S11" s="69">
        <f t="shared" si="23"/>
        <v>0</v>
      </c>
      <c r="T11" s="69">
        <f t="shared" si="23"/>
        <v>0</v>
      </c>
      <c r="U11" s="69">
        <f t="shared" si="23"/>
        <v>0</v>
      </c>
      <c r="V11" s="70"/>
      <c r="W11" s="69">
        <f t="shared" ref="W11:AN11" si="24">SUMIF(INDIRECT(W$5&amp;"!"&amp;"A:A"),"&lt;="&amp;$B11,INDIRECT(D$5&amp;"!"&amp;"F:F"))-SUM(W$6:W10)</f>
        <v>0</v>
      </c>
      <c r="X11" s="69">
        <f t="shared" si="24"/>
        <v>0</v>
      </c>
      <c r="Y11" s="69">
        <f t="shared" si="24"/>
        <v>0</v>
      </c>
      <c r="Z11" s="69">
        <f t="shared" si="24"/>
        <v>0</v>
      </c>
      <c r="AA11" s="69">
        <f t="shared" si="24"/>
        <v>0</v>
      </c>
      <c r="AB11" s="69">
        <f t="shared" si="24"/>
        <v>0</v>
      </c>
      <c r="AC11" s="69">
        <f t="shared" si="24"/>
        <v>0</v>
      </c>
      <c r="AD11" s="69">
        <f t="shared" si="24"/>
        <v>0</v>
      </c>
      <c r="AE11" s="69">
        <f t="shared" si="24"/>
        <v>0</v>
      </c>
      <c r="AF11" s="69">
        <f t="shared" si="24"/>
        <v>0</v>
      </c>
      <c r="AG11" s="69">
        <f t="shared" si="24"/>
        <v>0</v>
      </c>
      <c r="AH11" s="69">
        <f t="shared" si="24"/>
        <v>0</v>
      </c>
      <c r="AI11" s="69">
        <f t="shared" si="24"/>
        <v>0</v>
      </c>
      <c r="AJ11" s="69">
        <f t="shared" si="24"/>
        <v>0</v>
      </c>
      <c r="AK11" s="69">
        <f t="shared" si="24"/>
        <v>0</v>
      </c>
      <c r="AL11" s="69">
        <f t="shared" si="24"/>
        <v>0</v>
      </c>
      <c r="AM11" s="69">
        <f t="shared" si="24"/>
        <v>0</v>
      </c>
      <c r="AN11" s="69">
        <f t="shared" si="24"/>
        <v>0</v>
      </c>
      <c r="AO11" s="70"/>
      <c r="AP11" s="69" t="str">
        <f t="shared" ref="AP11:BG11" si="25">SUMIF(INDIRECT(AP$5&amp;"!"&amp;"A:A"),"&lt;="&amp;$B11,INDIRECT(AP$5&amp;"!"&amp;"I:I"))-SUM(AP$6:AP10)</f>
        <v>#N/A</v>
      </c>
      <c r="AQ11" s="69">
        <f t="shared" si="25"/>
        <v>0</v>
      </c>
      <c r="AR11" s="69">
        <f t="shared" si="25"/>
        <v>0</v>
      </c>
      <c r="AS11" s="69">
        <f t="shared" si="25"/>
        <v>0</v>
      </c>
      <c r="AT11" s="69">
        <f t="shared" si="25"/>
        <v>0</v>
      </c>
      <c r="AU11" s="69">
        <f t="shared" si="25"/>
        <v>0</v>
      </c>
      <c r="AV11" s="69">
        <f t="shared" si="25"/>
        <v>0</v>
      </c>
      <c r="AW11" s="69">
        <f t="shared" si="25"/>
        <v>0</v>
      </c>
      <c r="AX11" s="69">
        <f t="shared" si="25"/>
        <v>0</v>
      </c>
      <c r="AY11" s="69">
        <f t="shared" si="25"/>
        <v>0</v>
      </c>
      <c r="AZ11" s="69">
        <f t="shared" si="25"/>
        <v>0</v>
      </c>
      <c r="BA11" s="69">
        <f t="shared" si="25"/>
        <v>0</v>
      </c>
      <c r="BB11" s="69">
        <f t="shared" si="25"/>
        <v>0</v>
      </c>
      <c r="BC11" s="69">
        <f t="shared" si="25"/>
        <v>0</v>
      </c>
      <c r="BD11" s="69">
        <f t="shared" si="25"/>
        <v>0</v>
      </c>
      <c r="BE11" s="69">
        <f t="shared" si="25"/>
        <v>0</v>
      </c>
      <c r="BF11" s="69">
        <f t="shared" si="25"/>
        <v>0</v>
      </c>
      <c r="BG11" s="69">
        <f t="shared" si="25"/>
        <v>0</v>
      </c>
      <c r="BH11" s="47"/>
      <c r="BI11" s="48">
        <f t="array" ref="BI11:BZ11">TRANSPOSE(OBR_Aug_2025!$E$4:$E$21)</f>
        <v>21107.44802</v>
      </c>
      <c r="BJ11" s="73">
        <v>130509.78682339963</v>
      </c>
      <c r="BK11" s="73">
        <v>227967.18871304343</v>
      </c>
      <c r="BL11" s="73">
        <v>145999.01595748568</v>
      </c>
      <c r="BM11" s="73">
        <v>64.93710640625319</v>
      </c>
      <c r="BN11" s="73">
        <v>52.38917799299498</v>
      </c>
      <c r="BO11" s="73">
        <v>68.56245756958587</v>
      </c>
      <c r="BP11" s="73">
        <v>47428.229966355524</v>
      </c>
      <c r="BQ11" s="73">
        <v>55.50895587592834</v>
      </c>
      <c r="BR11" s="73">
        <v>83.98550724637681</v>
      </c>
      <c r="BS11" s="73">
        <v>58.24844219595232</v>
      </c>
      <c r="BT11" s="73">
        <v>33.290897205017416</v>
      </c>
      <c r="BU11" s="73">
        <v>69.65341900262386</v>
      </c>
      <c r="BV11" s="73">
        <v>51.53926049425545</v>
      </c>
      <c r="BW11" s="73">
        <v>57.6</v>
      </c>
      <c r="BX11" s="73">
        <v>77.77777777777777</v>
      </c>
      <c r="BY11" s="73">
        <v>34600.10052729411</v>
      </c>
      <c r="BZ11" s="73">
        <v>145001.84390003295</v>
      </c>
      <c r="CA11" s="47"/>
      <c r="CB11" s="49">
        <f t="shared" ref="CB11:CS11" si="26">SUMIF(INDIRECT(CB$5&amp;"!"&amp;"A:A"),"&lt;="&amp;$B11,INDIRECT(CB$5&amp;"!"&amp;"L:L"))-SUM(CB$6:CB10)</f>
        <v>0</v>
      </c>
      <c r="CC11" s="49">
        <f t="shared" si="26"/>
        <v>0</v>
      </c>
      <c r="CD11" s="49">
        <f t="shared" si="26"/>
        <v>0</v>
      </c>
      <c r="CE11" s="49">
        <f t="shared" si="26"/>
        <v>0</v>
      </c>
      <c r="CF11" s="49">
        <f t="shared" si="26"/>
        <v>0</v>
      </c>
      <c r="CG11" s="49">
        <f t="shared" si="26"/>
        <v>0</v>
      </c>
      <c r="CH11" s="49">
        <f t="shared" si="26"/>
        <v>0</v>
      </c>
      <c r="CI11" s="49">
        <f t="shared" si="26"/>
        <v>0</v>
      </c>
      <c r="CJ11" s="49">
        <f t="shared" si="26"/>
        <v>0</v>
      </c>
      <c r="CK11" s="49">
        <f t="shared" si="26"/>
        <v>0</v>
      </c>
      <c r="CL11" s="49">
        <f t="shared" si="26"/>
        <v>0</v>
      </c>
      <c r="CM11" s="49">
        <f t="shared" si="26"/>
        <v>0</v>
      </c>
      <c r="CN11" s="49">
        <f t="shared" si="26"/>
        <v>0</v>
      </c>
      <c r="CO11" s="49">
        <f t="shared" si="26"/>
        <v>0</v>
      </c>
      <c r="CP11" s="49">
        <f t="shared" si="26"/>
        <v>0</v>
      </c>
      <c r="CQ11" s="49">
        <f t="shared" si="26"/>
        <v>0</v>
      </c>
      <c r="CR11" s="49">
        <f t="shared" si="26"/>
        <v>0</v>
      </c>
      <c r="CS11" s="49">
        <f t="shared" si="26"/>
        <v>0</v>
      </c>
      <c r="CT11" s="44"/>
      <c r="CU11" s="49">
        <f t="shared" si="10"/>
        <v>0</v>
      </c>
      <c r="CV11" s="43"/>
    </row>
    <row r="12" ht="15.75" customHeight="1">
      <c r="A12" s="43"/>
      <c r="B12" s="72">
        <v>45900.0</v>
      </c>
      <c r="C12" s="58"/>
      <c r="D12" s="69">
        <f t="shared" ref="D12:U12" si="27">SUMIF(INDIRECT(D$5&amp;"!"&amp;"A:A"),"&lt;="&amp;$B12,INDIRECT(D$5&amp;"!"&amp;"D:D"))-SUM(D$6:D11)</f>
        <v>0</v>
      </c>
      <c r="E12" s="69">
        <f t="shared" si="27"/>
        <v>0</v>
      </c>
      <c r="F12" s="69">
        <f t="shared" si="27"/>
        <v>0</v>
      </c>
      <c r="G12" s="69">
        <f t="shared" si="27"/>
        <v>0</v>
      </c>
      <c r="H12" s="69">
        <f t="shared" si="27"/>
        <v>0</v>
      </c>
      <c r="I12" s="69">
        <f t="shared" si="27"/>
        <v>0</v>
      </c>
      <c r="J12" s="69">
        <f t="shared" si="27"/>
        <v>0</v>
      </c>
      <c r="K12" s="69">
        <f t="shared" si="27"/>
        <v>0</v>
      </c>
      <c r="L12" s="69">
        <f t="shared" si="27"/>
        <v>0</v>
      </c>
      <c r="M12" s="69">
        <f t="shared" si="27"/>
        <v>0</v>
      </c>
      <c r="N12" s="69">
        <f t="shared" si="27"/>
        <v>0</v>
      </c>
      <c r="O12" s="69">
        <f t="shared" si="27"/>
        <v>0</v>
      </c>
      <c r="P12" s="69">
        <f t="shared" si="27"/>
        <v>0</v>
      </c>
      <c r="Q12" s="69">
        <f t="shared" si="27"/>
        <v>0</v>
      </c>
      <c r="R12" s="69">
        <f t="shared" si="27"/>
        <v>0</v>
      </c>
      <c r="S12" s="69">
        <f t="shared" si="27"/>
        <v>0</v>
      </c>
      <c r="T12" s="69">
        <f t="shared" si="27"/>
        <v>0</v>
      </c>
      <c r="U12" s="69">
        <f t="shared" si="27"/>
        <v>0</v>
      </c>
      <c r="V12" s="70"/>
      <c r="W12" s="69">
        <f t="shared" ref="W12:AN12" si="28">SUMIF(INDIRECT(W$5&amp;"!"&amp;"A:A"),"&lt;="&amp;$B12,INDIRECT(D$5&amp;"!"&amp;"F:F"))-SUM(W$6:W11)</f>
        <v>0</v>
      </c>
      <c r="X12" s="69">
        <f t="shared" si="28"/>
        <v>0</v>
      </c>
      <c r="Y12" s="69">
        <f t="shared" si="28"/>
        <v>0</v>
      </c>
      <c r="Z12" s="69">
        <f t="shared" si="28"/>
        <v>0</v>
      </c>
      <c r="AA12" s="69">
        <f t="shared" si="28"/>
        <v>0</v>
      </c>
      <c r="AB12" s="69">
        <f t="shared" si="28"/>
        <v>0</v>
      </c>
      <c r="AC12" s="69">
        <f t="shared" si="28"/>
        <v>0</v>
      </c>
      <c r="AD12" s="69">
        <f t="shared" si="28"/>
        <v>0</v>
      </c>
      <c r="AE12" s="69">
        <f t="shared" si="28"/>
        <v>0</v>
      </c>
      <c r="AF12" s="69">
        <f t="shared" si="28"/>
        <v>0</v>
      </c>
      <c r="AG12" s="69">
        <f t="shared" si="28"/>
        <v>0</v>
      </c>
      <c r="AH12" s="69">
        <f t="shared" si="28"/>
        <v>0</v>
      </c>
      <c r="AI12" s="69">
        <f t="shared" si="28"/>
        <v>0</v>
      </c>
      <c r="AJ12" s="69">
        <f t="shared" si="28"/>
        <v>0</v>
      </c>
      <c r="AK12" s="69">
        <f t="shared" si="28"/>
        <v>0</v>
      </c>
      <c r="AL12" s="69">
        <f t="shared" si="28"/>
        <v>0</v>
      </c>
      <c r="AM12" s="69">
        <f t="shared" si="28"/>
        <v>0</v>
      </c>
      <c r="AN12" s="69">
        <f t="shared" si="28"/>
        <v>0</v>
      </c>
      <c r="AO12" s="70"/>
      <c r="AP12" s="69" t="str">
        <f t="shared" ref="AP12:BG12" si="29">SUMIF(INDIRECT(AP$5&amp;"!"&amp;"A:A"),"&lt;="&amp;$B12,INDIRECT(AP$5&amp;"!"&amp;"I:I"))-SUM(AP$6:AP11)</f>
        <v>#N/A</v>
      </c>
      <c r="AQ12" s="69">
        <f t="shared" si="29"/>
        <v>0</v>
      </c>
      <c r="AR12" s="69">
        <f t="shared" si="29"/>
        <v>0</v>
      </c>
      <c r="AS12" s="69">
        <f t="shared" si="29"/>
        <v>0</v>
      </c>
      <c r="AT12" s="69">
        <f t="shared" si="29"/>
        <v>0</v>
      </c>
      <c r="AU12" s="69">
        <f t="shared" si="29"/>
        <v>0</v>
      </c>
      <c r="AV12" s="69">
        <f t="shared" si="29"/>
        <v>0</v>
      </c>
      <c r="AW12" s="69">
        <f t="shared" si="29"/>
        <v>0</v>
      </c>
      <c r="AX12" s="69">
        <f t="shared" si="29"/>
        <v>0</v>
      </c>
      <c r="AY12" s="69">
        <f t="shared" si="29"/>
        <v>0</v>
      </c>
      <c r="AZ12" s="69">
        <f t="shared" si="29"/>
        <v>0</v>
      </c>
      <c r="BA12" s="69">
        <f t="shared" si="29"/>
        <v>0</v>
      </c>
      <c r="BB12" s="69">
        <f t="shared" si="29"/>
        <v>0</v>
      </c>
      <c r="BC12" s="69">
        <f t="shared" si="29"/>
        <v>0</v>
      </c>
      <c r="BD12" s="69">
        <f t="shared" si="29"/>
        <v>0</v>
      </c>
      <c r="BE12" s="69">
        <f t="shared" si="29"/>
        <v>0</v>
      </c>
      <c r="BF12" s="69">
        <f t="shared" si="29"/>
        <v>0</v>
      </c>
      <c r="BG12" s="69">
        <f t="shared" si="29"/>
        <v>0</v>
      </c>
      <c r="BH12" s="47"/>
      <c r="BI12" s="48">
        <f t="array" ref="BI12:BZ12">TRANSPOSE(OBR_Aug_2025!$E$4:$E$21)</f>
        <v>21107.44802</v>
      </c>
      <c r="BJ12" s="73">
        <v>130509.78682339963</v>
      </c>
      <c r="BK12" s="73">
        <v>227967.18871304343</v>
      </c>
      <c r="BL12" s="73">
        <v>145999.01595748568</v>
      </c>
      <c r="BM12" s="73">
        <v>64.93710640625319</v>
      </c>
      <c r="BN12" s="73">
        <v>52.38917799299498</v>
      </c>
      <c r="BO12" s="73">
        <v>68.56245756958587</v>
      </c>
      <c r="BP12" s="73">
        <v>47428.229966355524</v>
      </c>
      <c r="BQ12" s="73">
        <v>55.50895587592834</v>
      </c>
      <c r="BR12" s="73">
        <v>83.98550724637681</v>
      </c>
      <c r="BS12" s="73">
        <v>58.24844219595232</v>
      </c>
      <c r="BT12" s="73">
        <v>33.290897205017416</v>
      </c>
      <c r="BU12" s="73">
        <v>69.65341900262386</v>
      </c>
      <c r="BV12" s="73">
        <v>51.53926049425545</v>
      </c>
      <c r="BW12" s="73">
        <v>57.6</v>
      </c>
      <c r="BX12" s="73">
        <v>77.77777777777777</v>
      </c>
      <c r="BY12" s="73">
        <v>34600.10052729411</v>
      </c>
      <c r="BZ12" s="73">
        <v>145001.84390003295</v>
      </c>
      <c r="CA12" s="47"/>
      <c r="CB12" s="49">
        <f t="shared" ref="CB12:CS12" si="30">SUMIF(INDIRECT(CB$5&amp;"!"&amp;"A:A"),"&lt;="&amp;$B12,INDIRECT(CB$5&amp;"!"&amp;"L:L"))-SUM(CB$6:CB11)</f>
        <v>0</v>
      </c>
      <c r="CC12" s="49">
        <f t="shared" si="30"/>
        <v>0</v>
      </c>
      <c r="CD12" s="49">
        <f t="shared" si="30"/>
        <v>0</v>
      </c>
      <c r="CE12" s="49">
        <f t="shared" si="30"/>
        <v>0</v>
      </c>
      <c r="CF12" s="49">
        <f t="shared" si="30"/>
        <v>0</v>
      </c>
      <c r="CG12" s="49">
        <f t="shared" si="30"/>
        <v>0</v>
      </c>
      <c r="CH12" s="49">
        <f t="shared" si="30"/>
        <v>0</v>
      </c>
      <c r="CI12" s="49">
        <f t="shared" si="30"/>
        <v>0</v>
      </c>
      <c r="CJ12" s="49">
        <f t="shared" si="30"/>
        <v>0</v>
      </c>
      <c r="CK12" s="49">
        <f t="shared" si="30"/>
        <v>0</v>
      </c>
      <c r="CL12" s="49">
        <f t="shared" si="30"/>
        <v>0</v>
      </c>
      <c r="CM12" s="49">
        <f t="shared" si="30"/>
        <v>0</v>
      </c>
      <c r="CN12" s="49">
        <f t="shared" si="30"/>
        <v>0</v>
      </c>
      <c r="CO12" s="49">
        <f t="shared" si="30"/>
        <v>0</v>
      </c>
      <c r="CP12" s="49">
        <f t="shared" si="30"/>
        <v>0</v>
      </c>
      <c r="CQ12" s="49">
        <f t="shared" si="30"/>
        <v>0</v>
      </c>
      <c r="CR12" s="49">
        <f t="shared" si="30"/>
        <v>0</v>
      </c>
      <c r="CS12" s="49">
        <f t="shared" si="30"/>
        <v>0</v>
      </c>
      <c r="CT12" s="44"/>
      <c r="CU12" s="49">
        <f t="shared" si="10"/>
        <v>0</v>
      </c>
      <c r="CV12" s="43"/>
    </row>
    <row r="13" ht="15.75" customHeight="1">
      <c r="A13" s="43"/>
      <c r="B13" s="72">
        <v>45930.0</v>
      </c>
      <c r="C13" s="58"/>
      <c r="D13" s="69">
        <f t="shared" ref="D13:U13" si="31">SUMIF(INDIRECT(D$5&amp;"!"&amp;"A:A"),"&lt;="&amp;$B13,INDIRECT(D$5&amp;"!"&amp;"D:D"))-SUM(D$6:D12)</f>
        <v>0</v>
      </c>
      <c r="E13" s="69">
        <f t="shared" si="31"/>
        <v>0</v>
      </c>
      <c r="F13" s="69">
        <f t="shared" si="31"/>
        <v>0</v>
      </c>
      <c r="G13" s="69">
        <f t="shared" si="31"/>
        <v>0</v>
      </c>
      <c r="H13" s="69">
        <f t="shared" si="31"/>
        <v>0</v>
      </c>
      <c r="I13" s="69">
        <f t="shared" si="31"/>
        <v>0</v>
      </c>
      <c r="J13" s="69">
        <f t="shared" si="31"/>
        <v>0</v>
      </c>
      <c r="K13" s="69">
        <f t="shared" si="31"/>
        <v>0</v>
      </c>
      <c r="L13" s="69">
        <f t="shared" si="31"/>
        <v>0</v>
      </c>
      <c r="M13" s="69">
        <f t="shared" si="31"/>
        <v>0</v>
      </c>
      <c r="N13" s="69">
        <f t="shared" si="31"/>
        <v>0</v>
      </c>
      <c r="O13" s="69">
        <f t="shared" si="31"/>
        <v>0</v>
      </c>
      <c r="P13" s="69">
        <f t="shared" si="31"/>
        <v>0</v>
      </c>
      <c r="Q13" s="69">
        <f t="shared" si="31"/>
        <v>0</v>
      </c>
      <c r="R13" s="69">
        <f t="shared" si="31"/>
        <v>0</v>
      </c>
      <c r="S13" s="69">
        <f t="shared" si="31"/>
        <v>0</v>
      </c>
      <c r="T13" s="69">
        <f t="shared" si="31"/>
        <v>0</v>
      </c>
      <c r="U13" s="69">
        <f t="shared" si="31"/>
        <v>0</v>
      </c>
      <c r="V13" s="70"/>
      <c r="W13" s="69">
        <f t="shared" ref="W13:AN13" si="32">SUMIF(INDIRECT(W$5&amp;"!"&amp;"A:A"),"&lt;="&amp;$B13,INDIRECT(D$5&amp;"!"&amp;"F:F"))-SUM(W$6:W12)</f>
        <v>0</v>
      </c>
      <c r="X13" s="69">
        <f t="shared" si="32"/>
        <v>0</v>
      </c>
      <c r="Y13" s="69">
        <f t="shared" si="32"/>
        <v>0</v>
      </c>
      <c r="Z13" s="69">
        <f t="shared" si="32"/>
        <v>0</v>
      </c>
      <c r="AA13" s="69">
        <f t="shared" si="32"/>
        <v>0</v>
      </c>
      <c r="AB13" s="69">
        <f t="shared" si="32"/>
        <v>0</v>
      </c>
      <c r="AC13" s="69">
        <f t="shared" si="32"/>
        <v>0</v>
      </c>
      <c r="AD13" s="69">
        <f t="shared" si="32"/>
        <v>0</v>
      </c>
      <c r="AE13" s="69">
        <f t="shared" si="32"/>
        <v>0</v>
      </c>
      <c r="AF13" s="69">
        <f t="shared" si="32"/>
        <v>0</v>
      </c>
      <c r="AG13" s="69">
        <f t="shared" si="32"/>
        <v>0</v>
      </c>
      <c r="AH13" s="69">
        <f t="shared" si="32"/>
        <v>0</v>
      </c>
      <c r="AI13" s="69">
        <f t="shared" si="32"/>
        <v>0</v>
      </c>
      <c r="AJ13" s="69">
        <f t="shared" si="32"/>
        <v>0</v>
      </c>
      <c r="AK13" s="69">
        <f t="shared" si="32"/>
        <v>0</v>
      </c>
      <c r="AL13" s="69">
        <f t="shared" si="32"/>
        <v>0</v>
      </c>
      <c r="AM13" s="69">
        <f t="shared" si="32"/>
        <v>0</v>
      </c>
      <c r="AN13" s="69">
        <f t="shared" si="32"/>
        <v>0</v>
      </c>
      <c r="AO13" s="70"/>
      <c r="AP13" s="69" t="str">
        <f t="shared" ref="AP13:BG13" si="33">SUMIF(INDIRECT(AP$5&amp;"!"&amp;"A:A"),"&lt;="&amp;$B13,INDIRECT(AP$5&amp;"!"&amp;"I:I"))-SUM(AP$6:AP12)</f>
        <v>#N/A</v>
      </c>
      <c r="AQ13" s="69">
        <f t="shared" si="33"/>
        <v>0</v>
      </c>
      <c r="AR13" s="69">
        <f t="shared" si="33"/>
        <v>0</v>
      </c>
      <c r="AS13" s="69">
        <f t="shared" si="33"/>
        <v>0</v>
      </c>
      <c r="AT13" s="69">
        <f t="shared" si="33"/>
        <v>0</v>
      </c>
      <c r="AU13" s="69">
        <f t="shared" si="33"/>
        <v>0</v>
      </c>
      <c r="AV13" s="69">
        <f t="shared" si="33"/>
        <v>0</v>
      </c>
      <c r="AW13" s="69">
        <f t="shared" si="33"/>
        <v>0</v>
      </c>
      <c r="AX13" s="69">
        <f t="shared" si="33"/>
        <v>0</v>
      </c>
      <c r="AY13" s="69">
        <f t="shared" si="33"/>
        <v>0</v>
      </c>
      <c r="AZ13" s="69">
        <f t="shared" si="33"/>
        <v>0</v>
      </c>
      <c r="BA13" s="69">
        <f t="shared" si="33"/>
        <v>0</v>
      </c>
      <c r="BB13" s="69">
        <f t="shared" si="33"/>
        <v>0</v>
      </c>
      <c r="BC13" s="69">
        <f t="shared" si="33"/>
        <v>0</v>
      </c>
      <c r="BD13" s="69">
        <f t="shared" si="33"/>
        <v>0</v>
      </c>
      <c r="BE13" s="69">
        <f t="shared" si="33"/>
        <v>0</v>
      </c>
      <c r="BF13" s="69">
        <f t="shared" si="33"/>
        <v>0</v>
      </c>
      <c r="BG13" s="69">
        <f t="shared" si="33"/>
        <v>0</v>
      </c>
      <c r="BH13" s="47"/>
      <c r="BI13" s="48">
        <f t="array" ref="BI13:BZ13">TRANSPOSE(OBR_Aug_2025!$E$4:$E$21)</f>
        <v>21107.44802</v>
      </c>
      <c r="BJ13" s="73">
        <v>130509.78682339963</v>
      </c>
      <c r="BK13" s="73">
        <v>227967.18871304343</v>
      </c>
      <c r="BL13" s="73">
        <v>145999.01595748568</v>
      </c>
      <c r="BM13" s="73">
        <v>64.93710640625319</v>
      </c>
      <c r="BN13" s="73">
        <v>52.38917799299498</v>
      </c>
      <c r="BO13" s="73">
        <v>68.56245756958587</v>
      </c>
      <c r="BP13" s="73">
        <v>47428.229966355524</v>
      </c>
      <c r="BQ13" s="73">
        <v>55.50895587592834</v>
      </c>
      <c r="BR13" s="73">
        <v>83.98550724637681</v>
      </c>
      <c r="BS13" s="73">
        <v>58.24844219595232</v>
      </c>
      <c r="BT13" s="73">
        <v>33.290897205017416</v>
      </c>
      <c r="BU13" s="73">
        <v>69.65341900262386</v>
      </c>
      <c r="BV13" s="73">
        <v>51.53926049425545</v>
      </c>
      <c r="BW13" s="73">
        <v>57.6</v>
      </c>
      <c r="BX13" s="73">
        <v>77.77777777777777</v>
      </c>
      <c r="BY13" s="73">
        <v>34600.10052729411</v>
      </c>
      <c r="BZ13" s="73">
        <v>145001.84390003295</v>
      </c>
      <c r="CA13" s="47"/>
      <c r="CB13" s="49">
        <f t="shared" ref="CB13:CS13" si="34">SUMIF(INDIRECT(CB$5&amp;"!"&amp;"A:A"),"&lt;="&amp;$B13,INDIRECT(CB$5&amp;"!"&amp;"L:L"))-SUM(CB$6:CB12)</f>
        <v>0</v>
      </c>
      <c r="CC13" s="49">
        <f t="shared" si="34"/>
        <v>0</v>
      </c>
      <c r="CD13" s="49">
        <f t="shared" si="34"/>
        <v>0</v>
      </c>
      <c r="CE13" s="49">
        <f t="shared" si="34"/>
        <v>0</v>
      </c>
      <c r="CF13" s="49">
        <f t="shared" si="34"/>
        <v>0</v>
      </c>
      <c r="CG13" s="49">
        <f t="shared" si="34"/>
        <v>0</v>
      </c>
      <c r="CH13" s="49">
        <f t="shared" si="34"/>
        <v>0</v>
      </c>
      <c r="CI13" s="49">
        <f t="shared" si="34"/>
        <v>0</v>
      </c>
      <c r="CJ13" s="49">
        <f t="shared" si="34"/>
        <v>0</v>
      </c>
      <c r="CK13" s="49">
        <f t="shared" si="34"/>
        <v>0</v>
      </c>
      <c r="CL13" s="49">
        <f t="shared" si="34"/>
        <v>0</v>
      </c>
      <c r="CM13" s="49">
        <f t="shared" si="34"/>
        <v>0</v>
      </c>
      <c r="CN13" s="49">
        <f t="shared" si="34"/>
        <v>0</v>
      </c>
      <c r="CO13" s="49">
        <f t="shared" si="34"/>
        <v>0</v>
      </c>
      <c r="CP13" s="49">
        <f t="shared" si="34"/>
        <v>0</v>
      </c>
      <c r="CQ13" s="49">
        <f t="shared" si="34"/>
        <v>0</v>
      </c>
      <c r="CR13" s="49">
        <f t="shared" si="34"/>
        <v>0</v>
      </c>
      <c r="CS13" s="49">
        <f t="shared" si="34"/>
        <v>0</v>
      </c>
      <c r="CT13" s="44"/>
      <c r="CU13" s="49">
        <f t="shared" si="10"/>
        <v>0</v>
      </c>
      <c r="CV13" s="43"/>
    </row>
    <row r="14" ht="15.75" customHeight="1">
      <c r="A14" s="43"/>
      <c r="B14" s="72">
        <v>45961.0</v>
      </c>
      <c r="C14" s="58"/>
      <c r="D14" s="69">
        <f t="shared" ref="D14:U14" si="35">SUMIF(INDIRECT(D$5&amp;"!"&amp;"A:A"),"&lt;="&amp;$B14,INDIRECT(D$5&amp;"!"&amp;"D:D"))-SUM(D$6:D13)</f>
        <v>0</v>
      </c>
      <c r="E14" s="69">
        <f t="shared" si="35"/>
        <v>0</v>
      </c>
      <c r="F14" s="69">
        <f t="shared" si="35"/>
        <v>0</v>
      </c>
      <c r="G14" s="69">
        <f t="shared" si="35"/>
        <v>0</v>
      </c>
      <c r="H14" s="69">
        <f t="shared" si="35"/>
        <v>0</v>
      </c>
      <c r="I14" s="69">
        <f t="shared" si="35"/>
        <v>0</v>
      </c>
      <c r="J14" s="69">
        <f t="shared" si="35"/>
        <v>0</v>
      </c>
      <c r="K14" s="69">
        <f t="shared" si="35"/>
        <v>0</v>
      </c>
      <c r="L14" s="69">
        <f t="shared" si="35"/>
        <v>0</v>
      </c>
      <c r="M14" s="69">
        <f t="shared" si="35"/>
        <v>0</v>
      </c>
      <c r="N14" s="69">
        <f t="shared" si="35"/>
        <v>0</v>
      </c>
      <c r="O14" s="69">
        <f t="shared" si="35"/>
        <v>0</v>
      </c>
      <c r="P14" s="69">
        <f t="shared" si="35"/>
        <v>0</v>
      </c>
      <c r="Q14" s="69">
        <f t="shared" si="35"/>
        <v>0</v>
      </c>
      <c r="R14" s="69">
        <f t="shared" si="35"/>
        <v>0</v>
      </c>
      <c r="S14" s="69">
        <f t="shared" si="35"/>
        <v>0</v>
      </c>
      <c r="T14" s="69">
        <f t="shared" si="35"/>
        <v>0</v>
      </c>
      <c r="U14" s="69">
        <f t="shared" si="35"/>
        <v>0</v>
      </c>
      <c r="V14" s="70"/>
      <c r="W14" s="69">
        <f t="shared" ref="W14:AN14" si="36">SUMIF(INDIRECT(W$5&amp;"!"&amp;"A:A"),"&lt;="&amp;$B14,INDIRECT(D$5&amp;"!"&amp;"F:F"))-SUM(W$6:W13)</f>
        <v>0</v>
      </c>
      <c r="X14" s="69">
        <f t="shared" si="36"/>
        <v>0</v>
      </c>
      <c r="Y14" s="69">
        <f t="shared" si="36"/>
        <v>0</v>
      </c>
      <c r="Z14" s="69">
        <f t="shared" si="36"/>
        <v>0</v>
      </c>
      <c r="AA14" s="69">
        <f t="shared" si="36"/>
        <v>0</v>
      </c>
      <c r="AB14" s="69">
        <f t="shared" si="36"/>
        <v>0</v>
      </c>
      <c r="AC14" s="69">
        <f t="shared" si="36"/>
        <v>0</v>
      </c>
      <c r="AD14" s="69">
        <f t="shared" si="36"/>
        <v>0</v>
      </c>
      <c r="AE14" s="69">
        <f t="shared" si="36"/>
        <v>0</v>
      </c>
      <c r="AF14" s="69">
        <f t="shared" si="36"/>
        <v>0</v>
      </c>
      <c r="AG14" s="69">
        <f t="shared" si="36"/>
        <v>0</v>
      </c>
      <c r="AH14" s="69">
        <f t="shared" si="36"/>
        <v>0</v>
      </c>
      <c r="AI14" s="69">
        <f t="shared" si="36"/>
        <v>0</v>
      </c>
      <c r="AJ14" s="69">
        <f t="shared" si="36"/>
        <v>0</v>
      </c>
      <c r="AK14" s="69">
        <f t="shared" si="36"/>
        <v>0</v>
      </c>
      <c r="AL14" s="69">
        <f t="shared" si="36"/>
        <v>0</v>
      </c>
      <c r="AM14" s="69">
        <f t="shared" si="36"/>
        <v>0</v>
      </c>
      <c r="AN14" s="69">
        <f t="shared" si="36"/>
        <v>0</v>
      </c>
      <c r="AO14" s="70"/>
      <c r="AP14" s="69" t="str">
        <f t="shared" ref="AP14:BG14" si="37">SUMIF(INDIRECT(AP$5&amp;"!"&amp;"A:A"),"&lt;="&amp;$B14,INDIRECT(AP$5&amp;"!"&amp;"I:I"))-SUM(AP$6:AP13)</f>
        <v>#N/A</v>
      </c>
      <c r="AQ14" s="69">
        <f t="shared" si="37"/>
        <v>0</v>
      </c>
      <c r="AR14" s="69">
        <f t="shared" si="37"/>
        <v>0</v>
      </c>
      <c r="AS14" s="69">
        <f t="shared" si="37"/>
        <v>0</v>
      </c>
      <c r="AT14" s="69">
        <f t="shared" si="37"/>
        <v>0</v>
      </c>
      <c r="AU14" s="69">
        <f t="shared" si="37"/>
        <v>0</v>
      </c>
      <c r="AV14" s="69">
        <f t="shared" si="37"/>
        <v>0</v>
      </c>
      <c r="AW14" s="69">
        <f t="shared" si="37"/>
        <v>0</v>
      </c>
      <c r="AX14" s="69">
        <f t="shared" si="37"/>
        <v>0</v>
      </c>
      <c r="AY14" s="69">
        <f t="shared" si="37"/>
        <v>0</v>
      </c>
      <c r="AZ14" s="69">
        <f t="shared" si="37"/>
        <v>0</v>
      </c>
      <c r="BA14" s="69">
        <f t="shared" si="37"/>
        <v>0</v>
      </c>
      <c r="BB14" s="69">
        <f t="shared" si="37"/>
        <v>0</v>
      </c>
      <c r="BC14" s="69">
        <f t="shared" si="37"/>
        <v>0</v>
      </c>
      <c r="BD14" s="69">
        <f t="shared" si="37"/>
        <v>0</v>
      </c>
      <c r="BE14" s="69">
        <f t="shared" si="37"/>
        <v>0</v>
      </c>
      <c r="BF14" s="69">
        <f t="shared" si="37"/>
        <v>0</v>
      </c>
      <c r="BG14" s="69">
        <f t="shared" si="37"/>
        <v>0</v>
      </c>
      <c r="BH14" s="47"/>
      <c r="BI14" s="48">
        <f t="array" ref="BI14:BZ14">TRANSPOSE(OBR_Aug_2025!$E$4:$E$21)</f>
        <v>21107.44802</v>
      </c>
      <c r="BJ14" s="73">
        <v>130509.78682339963</v>
      </c>
      <c r="BK14" s="73">
        <v>227967.18871304343</v>
      </c>
      <c r="BL14" s="73">
        <v>145999.01595748568</v>
      </c>
      <c r="BM14" s="73">
        <v>64.93710640625319</v>
      </c>
      <c r="BN14" s="73">
        <v>52.38917799299498</v>
      </c>
      <c r="BO14" s="73">
        <v>68.56245756958587</v>
      </c>
      <c r="BP14" s="73">
        <v>47428.229966355524</v>
      </c>
      <c r="BQ14" s="73">
        <v>55.50895587592834</v>
      </c>
      <c r="BR14" s="73">
        <v>83.98550724637681</v>
      </c>
      <c r="BS14" s="73">
        <v>58.24844219595232</v>
      </c>
      <c r="BT14" s="73">
        <v>33.290897205017416</v>
      </c>
      <c r="BU14" s="73">
        <v>69.65341900262386</v>
      </c>
      <c r="BV14" s="73">
        <v>51.53926049425545</v>
      </c>
      <c r="BW14" s="73">
        <v>57.6</v>
      </c>
      <c r="BX14" s="73">
        <v>77.77777777777777</v>
      </c>
      <c r="BY14" s="73">
        <v>34600.10052729411</v>
      </c>
      <c r="BZ14" s="73">
        <v>145001.84390003295</v>
      </c>
      <c r="CA14" s="47"/>
      <c r="CB14" s="49">
        <f t="shared" ref="CB14:CS14" si="38">SUMIF(INDIRECT(CB$5&amp;"!"&amp;"A:A"),"&lt;="&amp;$B14,INDIRECT(CB$5&amp;"!"&amp;"L:L"))-SUM(CB$6:CB13)</f>
        <v>0</v>
      </c>
      <c r="CC14" s="49">
        <f t="shared" si="38"/>
        <v>0</v>
      </c>
      <c r="CD14" s="49">
        <f t="shared" si="38"/>
        <v>0</v>
      </c>
      <c r="CE14" s="49">
        <f t="shared" si="38"/>
        <v>0</v>
      </c>
      <c r="CF14" s="49">
        <f t="shared" si="38"/>
        <v>0</v>
      </c>
      <c r="CG14" s="49">
        <f t="shared" si="38"/>
        <v>0</v>
      </c>
      <c r="CH14" s="49">
        <f t="shared" si="38"/>
        <v>0</v>
      </c>
      <c r="CI14" s="49">
        <f t="shared" si="38"/>
        <v>0</v>
      </c>
      <c r="CJ14" s="49">
        <f t="shared" si="38"/>
        <v>0</v>
      </c>
      <c r="CK14" s="49">
        <f t="shared" si="38"/>
        <v>0</v>
      </c>
      <c r="CL14" s="49">
        <f t="shared" si="38"/>
        <v>0</v>
      </c>
      <c r="CM14" s="49">
        <f t="shared" si="38"/>
        <v>0</v>
      </c>
      <c r="CN14" s="49">
        <f t="shared" si="38"/>
        <v>0</v>
      </c>
      <c r="CO14" s="49">
        <f t="shared" si="38"/>
        <v>0</v>
      </c>
      <c r="CP14" s="49">
        <f t="shared" si="38"/>
        <v>0</v>
      </c>
      <c r="CQ14" s="49">
        <f t="shared" si="38"/>
        <v>0</v>
      </c>
      <c r="CR14" s="49">
        <f t="shared" si="38"/>
        <v>0</v>
      </c>
      <c r="CS14" s="49">
        <f t="shared" si="38"/>
        <v>0</v>
      </c>
      <c r="CT14" s="44"/>
      <c r="CU14" s="49">
        <f t="shared" si="10"/>
        <v>0</v>
      </c>
      <c r="CV14" s="43"/>
    </row>
    <row r="15" ht="15.75" customHeight="1">
      <c r="A15" s="43"/>
      <c r="B15" s="43"/>
      <c r="C15" s="58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0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0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47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7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4"/>
      <c r="CU15" s="43"/>
      <c r="CV15" s="43"/>
    </row>
    <row r="16" ht="15.75" customHeight="1">
      <c r="A16" s="43"/>
      <c r="B16" s="43"/>
      <c r="C16" s="58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0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0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47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7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4"/>
      <c r="CU16" s="43"/>
      <c r="CV16" s="43"/>
    </row>
    <row r="17" ht="15.75" customHeight="1">
      <c r="A17" s="43"/>
      <c r="B17" s="43"/>
      <c r="C17" s="58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0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0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47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7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4"/>
      <c r="CU17" s="43"/>
      <c r="CV17" s="43"/>
    </row>
    <row r="18" ht="15.75" customHeight="1">
      <c r="A18" s="43"/>
      <c r="B18" s="43"/>
      <c r="C18" s="58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0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0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47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7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4"/>
      <c r="CU18" s="43"/>
      <c r="CV18" s="43"/>
    </row>
    <row r="19" ht="15.75" customHeight="1">
      <c r="A19" s="43"/>
      <c r="B19" s="43"/>
      <c r="C19" s="58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0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0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47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7"/>
      <c r="CB19" s="43"/>
      <c r="CC19" s="75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4"/>
      <c r="CU19" s="43"/>
      <c r="CV19" s="43"/>
    </row>
    <row r="20" ht="15.75" customHeight="1">
      <c r="A20" s="43"/>
      <c r="B20" s="43"/>
      <c r="C20" s="58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0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0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47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7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4"/>
      <c r="CU20" s="43"/>
      <c r="CV20" s="43"/>
    </row>
    <row r="21" ht="15.75" customHeight="1">
      <c r="A21" s="43"/>
      <c r="B21" s="43"/>
      <c r="C21" s="58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0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0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47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7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4"/>
      <c r="CU21" s="43"/>
      <c r="CV21" s="43"/>
    </row>
    <row r="22" ht="15.75" customHeight="1">
      <c r="A22" s="43"/>
      <c r="B22" s="43"/>
      <c r="C22" s="58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0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0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47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7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4"/>
      <c r="CU22" s="43"/>
      <c r="CV22" s="43"/>
    </row>
    <row r="23" ht="15.75" customHeight="1">
      <c r="A23" s="43"/>
      <c r="B23" s="43"/>
      <c r="C23" s="58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0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0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47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7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4"/>
      <c r="CU23" s="43"/>
      <c r="CV23" s="43"/>
    </row>
    <row r="24" ht="15.75" customHeight="1">
      <c r="A24" s="43"/>
      <c r="B24" s="43"/>
      <c r="C24" s="58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0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0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47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7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4"/>
      <c r="CU24" s="43"/>
      <c r="CV24" s="43"/>
    </row>
    <row r="25" ht="15.75" customHeight="1">
      <c r="A25" s="43"/>
      <c r="B25" s="43"/>
      <c r="C25" s="58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0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0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47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7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4"/>
      <c r="CU25" s="43"/>
      <c r="CV25" s="43"/>
    </row>
    <row r="26" ht="15.75" customHeight="1">
      <c r="A26" s="43"/>
      <c r="B26" s="43"/>
      <c r="C26" s="58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0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0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47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7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4"/>
      <c r="CU26" s="43"/>
      <c r="CV26" s="43"/>
    </row>
    <row r="27" ht="15.75" customHeight="1">
      <c r="A27" s="43"/>
      <c r="B27" s="43"/>
      <c r="C27" s="58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0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0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47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7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4"/>
      <c r="CU27" s="43"/>
      <c r="CV27" s="43"/>
    </row>
    <row r="28" ht="15.75" customHeight="1">
      <c r="A28" s="43"/>
      <c r="B28" s="43"/>
      <c r="C28" s="58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0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6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47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7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4"/>
      <c r="CU28" s="43"/>
      <c r="CV28" s="43"/>
    </row>
    <row r="29" ht="15.75" customHeight="1">
      <c r="A29" s="43"/>
      <c r="B29" s="43"/>
      <c r="C29" s="58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0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6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47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7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4"/>
      <c r="CU29" s="43"/>
      <c r="CV29" s="43"/>
    </row>
    <row r="30" ht="15.75" customHeight="1">
      <c r="A30" s="43"/>
      <c r="B30" s="43"/>
      <c r="C30" s="4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4"/>
      <c r="AP30" s="43"/>
      <c r="AQ30" s="43"/>
      <c r="AR30" s="43"/>
      <c r="AS30" s="43"/>
      <c r="AT30" s="43"/>
      <c r="AU30" s="43"/>
      <c r="AV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7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7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4"/>
      <c r="CU30" s="43"/>
      <c r="CV30" s="43"/>
    </row>
    <row r="31" ht="15.75" customHeight="1">
      <c r="A31" s="43"/>
      <c r="B31" s="43"/>
      <c r="C31" s="4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4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4"/>
      <c r="AP31" s="43"/>
      <c r="AQ31" s="43"/>
      <c r="AR31" s="43"/>
      <c r="AS31" s="43"/>
      <c r="AT31" s="43"/>
      <c r="AU31" s="43"/>
      <c r="AV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7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7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4"/>
      <c r="CU31" s="43"/>
      <c r="CV31" s="43"/>
    </row>
    <row r="32" ht="15.75" customHeight="1">
      <c r="A32" s="43"/>
      <c r="B32" s="43"/>
      <c r="C32" s="4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4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4"/>
      <c r="AP32" s="43"/>
      <c r="AQ32" s="43"/>
      <c r="AR32" s="43"/>
      <c r="AS32" s="43"/>
      <c r="AT32" s="43"/>
      <c r="AU32" s="43"/>
      <c r="AV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7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7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4"/>
      <c r="CU32" s="43"/>
      <c r="CV32" s="43"/>
    </row>
    <row r="33" ht="15.75" customHeight="1">
      <c r="A33" s="43"/>
      <c r="B33" s="43"/>
      <c r="C33" s="4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4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4"/>
      <c r="AP33" s="43"/>
      <c r="AQ33" s="43"/>
      <c r="AR33" s="43"/>
      <c r="AS33" s="43"/>
      <c r="AT33" s="43"/>
      <c r="AU33" s="43"/>
      <c r="AV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7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7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4"/>
      <c r="CU33" s="43"/>
      <c r="CV33" s="43"/>
    </row>
    <row r="34" ht="15.75" customHeight="1">
      <c r="A34" s="43"/>
      <c r="B34" s="43"/>
      <c r="C34" s="4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4"/>
      <c r="AP34" s="43"/>
      <c r="AQ34" s="43"/>
      <c r="AR34" s="43"/>
      <c r="AS34" s="43"/>
      <c r="AT34" s="43"/>
      <c r="AU34" s="43"/>
      <c r="AV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7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7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4"/>
      <c r="CU34" s="43"/>
      <c r="CV34" s="43"/>
    </row>
    <row r="35" ht="15.75" customHeight="1">
      <c r="A35" s="43"/>
      <c r="B35" s="43"/>
      <c r="C35" s="4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4"/>
      <c r="AP35" s="43"/>
      <c r="AQ35" s="43"/>
      <c r="AR35" s="43"/>
      <c r="AS35" s="43"/>
      <c r="AT35" s="43"/>
      <c r="AU35" s="43"/>
      <c r="AV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7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7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4"/>
      <c r="CU35" s="43"/>
      <c r="CV35" s="43"/>
    </row>
    <row r="36" ht="15.75" customHeight="1">
      <c r="A36" s="43"/>
      <c r="B36" s="43"/>
      <c r="C36" s="4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4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4"/>
      <c r="AP36" s="43"/>
      <c r="AQ36" s="43"/>
      <c r="AR36" s="43"/>
      <c r="AS36" s="43"/>
      <c r="AT36" s="43"/>
      <c r="AU36" s="43"/>
      <c r="AV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7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7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4"/>
      <c r="CU36" s="43"/>
      <c r="CV36" s="43"/>
    </row>
    <row r="37" ht="15.75" customHeight="1">
      <c r="A37" s="43"/>
      <c r="B37" s="43"/>
      <c r="C37" s="4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4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4"/>
      <c r="AP37" s="43"/>
      <c r="AQ37" s="43"/>
      <c r="AR37" s="43"/>
      <c r="AS37" s="43"/>
      <c r="AT37" s="43"/>
      <c r="AU37" s="43"/>
      <c r="AV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7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7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4"/>
      <c r="CU37" s="43"/>
      <c r="CV37" s="43"/>
    </row>
    <row r="38" ht="15.75" customHeight="1">
      <c r="A38" s="43"/>
      <c r="B38" s="43"/>
      <c r="C38" s="4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4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4"/>
      <c r="AP38" s="43"/>
      <c r="AQ38" s="43"/>
      <c r="AR38" s="43"/>
      <c r="AS38" s="43"/>
      <c r="AT38" s="43"/>
      <c r="AU38" s="43"/>
      <c r="AV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7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7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4"/>
      <c r="CU38" s="43"/>
      <c r="CV38" s="43"/>
    </row>
    <row r="39" ht="15.75" customHeight="1">
      <c r="A39" s="43"/>
      <c r="B39" s="43"/>
      <c r="C39" s="4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4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4"/>
      <c r="AP39" s="43"/>
      <c r="AQ39" s="43"/>
      <c r="AR39" s="43"/>
      <c r="AS39" s="43"/>
      <c r="AT39" s="43"/>
      <c r="AU39" s="43"/>
      <c r="AV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7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7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4"/>
      <c r="CU39" s="43"/>
      <c r="CV39" s="43"/>
    </row>
    <row r="40" ht="15.75" customHeight="1">
      <c r="A40" s="43"/>
      <c r="B40" s="43"/>
      <c r="C40" s="4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4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4"/>
      <c r="AP40" s="43"/>
      <c r="AQ40" s="43"/>
      <c r="AR40" s="43"/>
      <c r="AS40" s="43"/>
      <c r="AT40" s="43"/>
      <c r="AU40" s="43"/>
      <c r="AV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7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7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4"/>
      <c r="CU40" s="43"/>
      <c r="CV40" s="43"/>
    </row>
    <row r="41" ht="15.75" customHeight="1">
      <c r="A41" s="43"/>
      <c r="B41" s="43"/>
      <c r="C41" s="4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4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4"/>
      <c r="AP41" s="43"/>
      <c r="AQ41" s="43"/>
      <c r="AR41" s="43"/>
      <c r="AS41" s="43"/>
      <c r="AT41" s="43"/>
      <c r="AU41" s="43"/>
      <c r="AV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7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7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4"/>
      <c r="CU41" s="43"/>
      <c r="CV41" s="43"/>
    </row>
    <row r="42" ht="15.75" customHeight="1">
      <c r="A42" s="43"/>
      <c r="B42" s="43"/>
      <c r="C42" s="4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4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4"/>
      <c r="AP42" s="43"/>
      <c r="AQ42" s="43"/>
      <c r="AR42" s="43"/>
      <c r="AS42" s="43"/>
      <c r="AT42" s="43"/>
      <c r="AU42" s="43"/>
      <c r="AV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7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7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4"/>
      <c r="CU42" s="43"/>
      <c r="CV42" s="43"/>
    </row>
    <row r="43" ht="15.75" customHeight="1">
      <c r="A43" s="43"/>
      <c r="B43" s="43"/>
      <c r="C43" s="4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4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4"/>
      <c r="AP43" s="43"/>
      <c r="AQ43" s="43"/>
      <c r="AR43" s="43"/>
      <c r="AS43" s="43"/>
      <c r="AT43" s="43"/>
      <c r="AU43" s="43"/>
      <c r="AV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7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7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4"/>
      <c r="CU43" s="43"/>
      <c r="CV43" s="43"/>
    </row>
    <row r="44" ht="15.75" customHeight="1">
      <c r="A44" s="43"/>
      <c r="B44" s="43"/>
      <c r="C44" s="4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4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4"/>
      <c r="AP44" s="43"/>
      <c r="AQ44" s="43"/>
      <c r="AR44" s="43"/>
      <c r="AS44" s="43"/>
      <c r="AT44" s="43"/>
      <c r="AU44" s="43"/>
      <c r="AV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7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7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4"/>
      <c r="CU44" s="43"/>
      <c r="CV44" s="43"/>
    </row>
    <row r="45" ht="15.75" customHeight="1">
      <c r="A45" s="43"/>
      <c r="B45" s="43"/>
      <c r="C45" s="4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4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4"/>
      <c r="AP45" s="43"/>
      <c r="AQ45" s="43"/>
      <c r="AR45" s="43"/>
      <c r="AS45" s="43"/>
      <c r="AT45" s="43"/>
      <c r="AU45" s="43"/>
      <c r="AV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7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7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4"/>
      <c r="CU45" s="43"/>
      <c r="CV45" s="43"/>
    </row>
    <row r="46" ht="15.75" customHeight="1">
      <c r="A46" s="43"/>
      <c r="B46" s="43"/>
      <c r="C46" s="4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4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4"/>
      <c r="AP46" s="43"/>
      <c r="AQ46" s="43"/>
      <c r="AR46" s="43"/>
      <c r="AS46" s="43"/>
      <c r="AT46" s="43"/>
      <c r="AU46" s="43"/>
      <c r="AV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7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7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4"/>
      <c r="CU46" s="43"/>
      <c r="CV46" s="43"/>
    </row>
    <row r="47" ht="15.75" customHeight="1">
      <c r="A47" s="43"/>
      <c r="B47" s="43"/>
      <c r="C47" s="44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4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4"/>
      <c r="AP47" s="43"/>
      <c r="AQ47" s="43"/>
      <c r="AR47" s="43"/>
      <c r="AS47" s="43"/>
      <c r="AT47" s="43"/>
      <c r="AU47" s="43"/>
      <c r="AV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7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7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4"/>
      <c r="CU47" s="43"/>
      <c r="CV47" s="43"/>
    </row>
    <row r="48" ht="15.75" customHeight="1">
      <c r="A48" s="43"/>
      <c r="B48" s="43"/>
      <c r="C48" s="44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4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4"/>
      <c r="AP48" s="43"/>
      <c r="AQ48" s="43"/>
      <c r="AR48" s="43"/>
      <c r="AS48" s="43"/>
      <c r="AT48" s="43"/>
      <c r="AU48" s="43"/>
      <c r="AV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7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7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4"/>
      <c r="CU48" s="43"/>
      <c r="CV48" s="43"/>
    </row>
    <row r="49" ht="15.75" customHeight="1">
      <c r="A49" s="43"/>
      <c r="B49" s="43"/>
      <c r="C49" s="44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4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4"/>
      <c r="AP49" s="43"/>
      <c r="AQ49" s="43"/>
      <c r="AR49" s="43"/>
      <c r="AS49" s="43"/>
      <c r="AT49" s="43"/>
      <c r="AU49" s="43"/>
      <c r="AV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7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7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4"/>
      <c r="CU49" s="43"/>
      <c r="CV49" s="43"/>
    </row>
    <row r="50" ht="15.75" customHeight="1">
      <c r="A50" s="43"/>
      <c r="B50" s="43"/>
      <c r="C50" s="44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4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4"/>
      <c r="AP50" s="43"/>
      <c r="AQ50" s="43"/>
      <c r="AR50" s="43"/>
      <c r="AS50" s="43"/>
      <c r="AT50" s="43"/>
      <c r="AU50" s="43"/>
      <c r="AV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7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7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4"/>
      <c r="CU50" s="43"/>
      <c r="CV50" s="43"/>
    </row>
    <row r="51" ht="15.75" customHeight="1">
      <c r="A51" s="43"/>
      <c r="B51" s="43"/>
      <c r="C51" s="44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4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4"/>
      <c r="AP51" s="43"/>
      <c r="AQ51" s="43"/>
      <c r="AR51" s="43"/>
      <c r="AS51" s="43"/>
      <c r="AT51" s="43"/>
      <c r="AU51" s="43"/>
      <c r="AV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7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7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4"/>
      <c r="CU51" s="43"/>
      <c r="CV51" s="43"/>
    </row>
    <row r="52" ht="15.75" customHeight="1">
      <c r="A52" s="43"/>
      <c r="B52" s="43"/>
      <c r="C52" s="44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4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4"/>
      <c r="AP52" s="43"/>
      <c r="AQ52" s="43"/>
      <c r="AR52" s="43"/>
      <c r="AS52" s="43"/>
      <c r="AT52" s="43"/>
      <c r="AU52" s="43"/>
      <c r="AV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7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7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4"/>
      <c r="CU52" s="43"/>
      <c r="CV52" s="43"/>
    </row>
    <row r="53" ht="15.75" customHeight="1">
      <c r="A53" s="43"/>
      <c r="B53" s="43"/>
      <c r="C53" s="44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4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4"/>
      <c r="AP53" s="43"/>
      <c r="AQ53" s="43"/>
      <c r="AR53" s="43"/>
      <c r="AS53" s="43"/>
      <c r="AT53" s="43"/>
      <c r="AU53" s="43"/>
      <c r="AV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7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7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4"/>
      <c r="CU53" s="43"/>
      <c r="CV53" s="43"/>
    </row>
    <row r="54" ht="15.75" customHeight="1">
      <c r="A54" s="43"/>
      <c r="B54" s="43"/>
      <c r="C54" s="44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4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4"/>
      <c r="AP54" s="43"/>
      <c r="AQ54" s="43"/>
      <c r="AR54" s="43"/>
      <c r="AS54" s="43"/>
      <c r="AT54" s="43"/>
      <c r="AU54" s="43"/>
      <c r="AV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7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7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4"/>
      <c r="CU54" s="43"/>
      <c r="CV54" s="43"/>
    </row>
    <row r="55" ht="15.75" customHeight="1">
      <c r="A55" s="43"/>
      <c r="B55" s="43"/>
      <c r="C55" s="44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4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4"/>
      <c r="AP55" s="43"/>
      <c r="AQ55" s="43"/>
      <c r="AR55" s="43"/>
      <c r="AS55" s="43"/>
      <c r="AT55" s="43"/>
      <c r="AU55" s="43"/>
      <c r="AV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7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7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4"/>
      <c r="CU55" s="43"/>
      <c r="CV55" s="43"/>
    </row>
    <row r="56" ht="15.75" customHeight="1">
      <c r="A56" s="43"/>
      <c r="B56" s="43"/>
      <c r="C56" s="44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4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4"/>
      <c r="AP56" s="43"/>
      <c r="AQ56" s="43"/>
      <c r="AR56" s="43"/>
      <c r="AS56" s="43"/>
      <c r="AT56" s="43"/>
      <c r="AU56" s="43"/>
      <c r="AV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7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7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4"/>
      <c r="CU56" s="43"/>
      <c r="CV56" s="43"/>
    </row>
    <row r="57" ht="15.75" customHeight="1">
      <c r="A57" s="43"/>
      <c r="B57" s="43"/>
      <c r="C57" s="44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4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4"/>
      <c r="AP57" s="43"/>
      <c r="AQ57" s="43"/>
      <c r="AR57" s="43"/>
      <c r="AS57" s="43"/>
      <c r="AT57" s="43"/>
      <c r="AU57" s="43"/>
      <c r="AV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7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7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4"/>
      <c r="CU57" s="43"/>
      <c r="CV57" s="43"/>
    </row>
    <row r="58" ht="15.75" customHeight="1">
      <c r="A58" s="43"/>
      <c r="B58" s="43"/>
      <c r="C58" s="44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4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4"/>
      <c r="AP58" s="43"/>
      <c r="AQ58" s="43"/>
      <c r="AR58" s="43"/>
      <c r="AS58" s="43"/>
      <c r="AT58" s="43"/>
      <c r="AU58" s="43"/>
      <c r="AV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7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7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4"/>
      <c r="CU58" s="43"/>
      <c r="CV58" s="43"/>
    </row>
    <row r="59" ht="15.75" customHeight="1">
      <c r="A59" s="43"/>
      <c r="B59" s="43"/>
      <c r="C59" s="44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4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4"/>
      <c r="AP59" s="43"/>
      <c r="AQ59" s="43"/>
      <c r="AR59" s="43"/>
      <c r="AS59" s="43"/>
      <c r="AT59" s="43"/>
      <c r="AU59" s="43"/>
      <c r="AV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7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7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4"/>
      <c r="CU59" s="43"/>
      <c r="CV59" s="43"/>
    </row>
    <row r="60" ht="15.75" customHeight="1">
      <c r="A60" s="43"/>
      <c r="B60" s="43"/>
      <c r="C60" s="44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4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4"/>
      <c r="AP60" s="43"/>
      <c r="AQ60" s="43"/>
      <c r="AR60" s="43"/>
      <c r="AS60" s="43"/>
      <c r="AT60" s="43"/>
      <c r="AU60" s="43"/>
      <c r="AV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7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7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4"/>
      <c r="CU60" s="43"/>
      <c r="CV60" s="43"/>
    </row>
    <row r="61" ht="15.75" customHeight="1">
      <c r="A61" s="43"/>
      <c r="B61" s="43"/>
      <c r="C61" s="44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4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4"/>
      <c r="AP61" s="43"/>
      <c r="AQ61" s="43"/>
      <c r="AR61" s="43"/>
      <c r="AS61" s="43"/>
      <c r="AT61" s="43"/>
      <c r="AU61" s="43"/>
      <c r="AV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7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7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4"/>
      <c r="CU61" s="43"/>
      <c r="CV61" s="43"/>
    </row>
    <row r="62" ht="15.75" customHeight="1">
      <c r="A62" s="43"/>
      <c r="B62" s="43"/>
      <c r="C62" s="44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4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4"/>
      <c r="AP62" s="43"/>
      <c r="AQ62" s="43"/>
      <c r="AR62" s="43"/>
      <c r="AS62" s="43"/>
      <c r="AT62" s="43"/>
      <c r="AU62" s="43"/>
      <c r="AV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7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7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4"/>
      <c r="CU62" s="43"/>
      <c r="CV62" s="43"/>
    </row>
    <row r="63" ht="15.75" customHeight="1">
      <c r="A63" s="43"/>
      <c r="B63" s="43"/>
      <c r="C63" s="44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4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4"/>
      <c r="AP63" s="43"/>
      <c r="AQ63" s="43"/>
      <c r="AR63" s="43"/>
      <c r="AS63" s="43"/>
      <c r="AT63" s="43"/>
      <c r="AU63" s="43"/>
      <c r="AV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7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7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4"/>
      <c r="CU63" s="43"/>
      <c r="CV63" s="43"/>
    </row>
    <row r="64" ht="15.75" customHeight="1">
      <c r="A64" s="43"/>
      <c r="B64" s="43"/>
      <c r="C64" s="44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4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4"/>
      <c r="AP64" s="43"/>
      <c r="AQ64" s="43"/>
      <c r="AR64" s="43"/>
      <c r="AS64" s="43"/>
      <c r="AT64" s="43"/>
      <c r="AU64" s="43"/>
      <c r="AV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7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7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4"/>
      <c r="CU64" s="43"/>
      <c r="CV64" s="43"/>
    </row>
    <row r="65" ht="15.75" customHeight="1">
      <c r="A65" s="43"/>
      <c r="B65" s="43"/>
      <c r="C65" s="44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4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4"/>
      <c r="AP65" s="43"/>
      <c r="AQ65" s="43"/>
      <c r="AR65" s="43"/>
      <c r="AS65" s="43"/>
      <c r="AT65" s="43"/>
      <c r="AU65" s="43"/>
      <c r="AV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7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7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4"/>
      <c r="CU65" s="43"/>
      <c r="CV65" s="43"/>
    </row>
    <row r="66" ht="15.75" customHeight="1">
      <c r="A66" s="43"/>
      <c r="B66" s="43"/>
      <c r="C66" s="44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4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4"/>
      <c r="AP66" s="43"/>
      <c r="AQ66" s="43"/>
      <c r="AR66" s="43"/>
      <c r="AS66" s="43"/>
      <c r="AT66" s="43"/>
      <c r="AU66" s="43"/>
      <c r="AV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7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7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4"/>
      <c r="CU66" s="43"/>
      <c r="CV66" s="43"/>
    </row>
    <row r="67" ht="15.75" customHeight="1">
      <c r="A67" s="43"/>
      <c r="B67" s="43"/>
      <c r="C67" s="44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4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4"/>
      <c r="AP67" s="43"/>
      <c r="AQ67" s="43"/>
      <c r="AR67" s="43"/>
      <c r="AS67" s="43"/>
      <c r="AT67" s="43"/>
      <c r="AU67" s="43"/>
      <c r="AV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7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7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4"/>
      <c r="CU67" s="43"/>
      <c r="CV67" s="43"/>
    </row>
    <row r="68" ht="15.75" customHeight="1">
      <c r="A68" s="43"/>
      <c r="B68" s="43"/>
      <c r="C68" s="44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4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4"/>
      <c r="AP68" s="43"/>
      <c r="AQ68" s="43"/>
      <c r="AR68" s="43"/>
      <c r="AS68" s="43"/>
      <c r="AT68" s="43"/>
      <c r="AU68" s="43"/>
      <c r="AV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7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7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4"/>
      <c r="CU68" s="43"/>
      <c r="CV68" s="43"/>
    </row>
    <row r="69" ht="15.75" customHeight="1">
      <c r="A69" s="43"/>
      <c r="B69" s="43"/>
      <c r="C69" s="44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4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4"/>
      <c r="AP69" s="43"/>
      <c r="AQ69" s="43"/>
      <c r="AR69" s="43"/>
      <c r="AS69" s="43"/>
      <c r="AT69" s="43"/>
      <c r="AU69" s="43"/>
      <c r="AV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7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7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4"/>
      <c r="CU69" s="43"/>
      <c r="CV69" s="43"/>
    </row>
    <row r="70" ht="15.75" customHeight="1">
      <c r="A70" s="43"/>
      <c r="B70" s="43"/>
      <c r="C70" s="44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4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4"/>
      <c r="AP70" s="43"/>
      <c r="AQ70" s="43"/>
      <c r="AR70" s="43"/>
      <c r="AS70" s="43"/>
      <c r="AT70" s="43"/>
      <c r="AU70" s="43"/>
      <c r="AV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7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7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4"/>
      <c r="CU70" s="43"/>
      <c r="CV70" s="43"/>
    </row>
    <row r="71" ht="15.75" customHeight="1">
      <c r="A71" s="43"/>
      <c r="B71" s="43"/>
      <c r="C71" s="44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4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4"/>
      <c r="AP71" s="43"/>
      <c r="AQ71" s="43"/>
      <c r="AR71" s="43"/>
      <c r="AS71" s="43"/>
      <c r="AT71" s="43"/>
      <c r="AU71" s="43"/>
      <c r="AV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7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7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4"/>
      <c r="CU71" s="43"/>
      <c r="CV71" s="43"/>
    </row>
    <row r="72" ht="15.75" customHeight="1">
      <c r="A72" s="43"/>
      <c r="B72" s="43"/>
      <c r="C72" s="44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4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4"/>
      <c r="AP72" s="43"/>
      <c r="AQ72" s="43"/>
      <c r="AR72" s="43"/>
      <c r="AS72" s="43"/>
      <c r="AT72" s="43"/>
      <c r="AU72" s="43"/>
      <c r="AV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7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7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4"/>
      <c r="CU72" s="43"/>
      <c r="CV72" s="43"/>
    </row>
    <row r="73" ht="15.75" customHeight="1">
      <c r="A73" s="43"/>
      <c r="B73" s="43"/>
      <c r="C73" s="44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4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4"/>
      <c r="AP73" s="43"/>
      <c r="AQ73" s="43"/>
      <c r="AR73" s="43"/>
      <c r="AS73" s="43"/>
      <c r="AT73" s="43"/>
      <c r="AU73" s="43"/>
      <c r="AV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7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7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4"/>
      <c r="CU73" s="43"/>
      <c r="CV73" s="43"/>
    </row>
    <row r="74" ht="15.75" customHeight="1">
      <c r="A74" s="43"/>
      <c r="B74" s="43"/>
      <c r="C74" s="44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4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4"/>
      <c r="AP74" s="43"/>
      <c r="AQ74" s="43"/>
      <c r="AR74" s="43"/>
      <c r="AS74" s="43"/>
      <c r="AT74" s="43"/>
      <c r="AU74" s="43"/>
      <c r="AV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7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7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4"/>
      <c r="CU74" s="43"/>
      <c r="CV74" s="43"/>
    </row>
    <row r="75" ht="15.75" customHeight="1">
      <c r="A75" s="43"/>
      <c r="B75" s="43"/>
      <c r="C75" s="44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4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4"/>
      <c r="AP75" s="43"/>
      <c r="AQ75" s="43"/>
      <c r="AR75" s="43"/>
      <c r="AS75" s="43"/>
      <c r="AT75" s="43"/>
      <c r="AU75" s="43"/>
      <c r="AV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7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7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4"/>
      <c r="CU75" s="43"/>
      <c r="CV75" s="43"/>
    </row>
    <row r="76" ht="15.75" customHeight="1">
      <c r="A76" s="43"/>
      <c r="B76" s="43"/>
      <c r="C76" s="44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4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4"/>
      <c r="AP76" s="43"/>
      <c r="AQ76" s="43"/>
      <c r="AR76" s="43"/>
      <c r="AS76" s="43"/>
      <c r="AT76" s="43"/>
      <c r="AU76" s="43"/>
      <c r="AV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7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7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4"/>
      <c r="CU76" s="43"/>
      <c r="CV76" s="43"/>
    </row>
    <row r="77" ht="15.75" customHeight="1">
      <c r="A77" s="43"/>
      <c r="B77" s="43"/>
      <c r="C77" s="44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4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4"/>
      <c r="AP77" s="43"/>
      <c r="AQ77" s="43"/>
      <c r="AR77" s="43"/>
      <c r="AS77" s="43"/>
      <c r="AT77" s="43"/>
      <c r="AU77" s="43"/>
      <c r="AV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7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7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4"/>
      <c r="CU77" s="43"/>
      <c r="CV77" s="43"/>
    </row>
    <row r="78" ht="15.75" customHeight="1">
      <c r="A78" s="43"/>
      <c r="B78" s="43"/>
      <c r="C78" s="44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4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4"/>
      <c r="AP78" s="43"/>
      <c r="AQ78" s="43"/>
      <c r="AR78" s="43"/>
      <c r="AS78" s="43"/>
      <c r="AT78" s="43"/>
      <c r="AU78" s="43"/>
      <c r="AV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7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7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4"/>
      <c r="CU78" s="43"/>
      <c r="CV78" s="43"/>
    </row>
    <row r="79" ht="15.75" customHeight="1">
      <c r="A79" s="43"/>
      <c r="B79" s="43"/>
      <c r="C79" s="44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4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4"/>
      <c r="AP79" s="43"/>
      <c r="AQ79" s="43"/>
      <c r="AR79" s="43"/>
      <c r="AS79" s="43"/>
      <c r="AT79" s="43"/>
      <c r="AU79" s="43"/>
      <c r="AV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7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7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4"/>
      <c r="CU79" s="43"/>
      <c r="CV79" s="43"/>
    </row>
    <row r="80" ht="15.75" customHeight="1">
      <c r="A80" s="43"/>
      <c r="B80" s="43"/>
      <c r="C80" s="44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4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4"/>
      <c r="AP80" s="43"/>
      <c r="AQ80" s="43"/>
      <c r="AR80" s="43"/>
      <c r="AS80" s="43"/>
      <c r="AT80" s="43"/>
      <c r="AU80" s="43"/>
      <c r="AV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7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7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4"/>
      <c r="CU80" s="43"/>
      <c r="CV80" s="43"/>
    </row>
    <row r="81" ht="15.75" customHeight="1">
      <c r="A81" s="43"/>
      <c r="B81" s="43"/>
      <c r="C81" s="44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4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4"/>
      <c r="AP81" s="43"/>
      <c r="AQ81" s="43"/>
      <c r="AR81" s="43"/>
      <c r="AS81" s="43"/>
      <c r="AT81" s="43"/>
      <c r="AU81" s="43"/>
      <c r="AV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7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7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4"/>
      <c r="CU81" s="43"/>
      <c r="CV81" s="43"/>
    </row>
    <row r="82" ht="15.75" customHeight="1">
      <c r="A82" s="43"/>
      <c r="B82" s="43"/>
      <c r="C82" s="44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4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4"/>
      <c r="AP82" s="43"/>
      <c r="AQ82" s="43"/>
      <c r="AR82" s="43"/>
      <c r="AS82" s="43"/>
      <c r="AT82" s="43"/>
      <c r="AU82" s="43"/>
      <c r="AV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7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7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4"/>
      <c r="CU82" s="43"/>
      <c r="CV82" s="43"/>
    </row>
    <row r="83" ht="15.75" customHeight="1">
      <c r="A83" s="43"/>
      <c r="B83" s="43"/>
      <c r="C83" s="44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4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4"/>
      <c r="AP83" s="43"/>
      <c r="AQ83" s="43"/>
      <c r="AR83" s="43"/>
      <c r="AS83" s="43"/>
      <c r="AT83" s="43"/>
      <c r="AU83" s="43"/>
      <c r="AV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7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7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4"/>
      <c r="CU83" s="43"/>
      <c r="CV83" s="43"/>
    </row>
    <row r="84" ht="15.75" customHeight="1">
      <c r="A84" s="43"/>
      <c r="B84" s="43"/>
      <c r="C84" s="44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4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4"/>
      <c r="AP84" s="43"/>
      <c r="AQ84" s="43"/>
      <c r="AR84" s="43"/>
      <c r="AS84" s="43"/>
      <c r="AT84" s="43"/>
      <c r="AU84" s="43"/>
      <c r="AV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7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7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4"/>
      <c r="CU84" s="43"/>
      <c r="CV84" s="43"/>
    </row>
    <row r="85" ht="15.75" customHeight="1">
      <c r="A85" s="43"/>
      <c r="B85" s="43"/>
      <c r="C85" s="44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4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4"/>
      <c r="AP85" s="43"/>
      <c r="AQ85" s="43"/>
      <c r="AR85" s="43"/>
      <c r="AS85" s="43"/>
      <c r="AT85" s="43"/>
      <c r="AU85" s="43"/>
      <c r="AV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7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7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4"/>
      <c r="CU85" s="43"/>
      <c r="CV85" s="43"/>
    </row>
    <row r="86" ht="15.75" customHeight="1">
      <c r="A86" s="43"/>
      <c r="B86" s="43"/>
      <c r="C86" s="44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4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4"/>
      <c r="AP86" s="43"/>
      <c r="AQ86" s="43"/>
      <c r="AR86" s="43"/>
      <c r="AS86" s="43"/>
      <c r="AT86" s="43"/>
      <c r="AU86" s="43"/>
      <c r="AV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7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7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4"/>
      <c r="CU86" s="43"/>
      <c r="CV86" s="43"/>
    </row>
    <row r="87" ht="15.75" customHeight="1">
      <c r="A87" s="43"/>
      <c r="B87" s="43"/>
      <c r="C87" s="44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4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4"/>
      <c r="AP87" s="43"/>
      <c r="AQ87" s="43"/>
      <c r="AR87" s="43"/>
      <c r="AS87" s="43"/>
      <c r="AT87" s="43"/>
      <c r="AU87" s="43"/>
      <c r="AV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7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7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4"/>
      <c r="CU87" s="43"/>
      <c r="CV87" s="43"/>
    </row>
    <row r="88" ht="15.75" customHeight="1">
      <c r="A88" s="43"/>
      <c r="B88" s="43"/>
      <c r="C88" s="44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4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4"/>
      <c r="AP88" s="43"/>
      <c r="AQ88" s="43"/>
      <c r="AR88" s="43"/>
      <c r="AS88" s="43"/>
      <c r="AT88" s="43"/>
      <c r="AU88" s="43"/>
      <c r="AV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7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7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4"/>
      <c r="CU88" s="43"/>
      <c r="CV88" s="43"/>
    </row>
    <row r="89" ht="15.75" customHeight="1">
      <c r="A89" s="43"/>
      <c r="B89" s="43"/>
      <c r="C89" s="44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4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4"/>
      <c r="AP89" s="43"/>
      <c r="AQ89" s="43"/>
      <c r="AR89" s="43"/>
      <c r="AS89" s="43"/>
      <c r="AT89" s="43"/>
      <c r="AU89" s="43"/>
      <c r="AV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7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7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4"/>
      <c r="CU89" s="43"/>
      <c r="CV89" s="43"/>
    </row>
    <row r="90" ht="15.75" customHeight="1">
      <c r="A90" s="43"/>
      <c r="B90" s="43"/>
      <c r="C90" s="44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4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4"/>
      <c r="AP90" s="43"/>
      <c r="AQ90" s="43"/>
      <c r="AR90" s="43"/>
      <c r="AS90" s="43"/>
      <c r="AT90" s="43"/>
      <c r="AU90" s="43"/>
      <c r="AV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7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7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4"/>
      <c r="CU90" s="43"/>
      <c r="CV90" s="43"/>
    </row>
    <row r="91" ht="15.75" customHeight="1">
      <c r="A91" s="43"/>
      <c r="B91" s="43"/>
      <c r="C91" s="4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4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4"/>
      <c r="AP91" s="43"/>
      <c r="AQ91" s="43"/>
      <c r="AR91" s="43"/>
      <c r="AS91" s="43"/>
      <c r="AT91" s="43"/>
      <c r="AU91" s="43"/>
      <c r="AV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7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7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4"/>
      <c r="CU91" s="43"/>
      <c r="CV91" s="43"/>
    </row>
    <row r="92" ht="15.75" customHeight="1">
      <c r="A92" s="43"/>
      <c r="B92" s="43"/>
      <c r="C92" s="44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4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4"/>
      <c r="AP92" s="43"/>
      <c r="AQ92" s="43"/>
      <c r="AR92" s="43"/>
      <c r="AS92" s="43"/>
      <c r="AT92" s="43"/>
      <c r="AU92" s="43"/>
      <c r="AV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7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7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4"/>
      <c r="CU92" s="43"/>
      <c r="CV92" s="43"/>
    </row>
    <row r="93" ht="15.75" customHeight="1">
      <c r="A93" s="43"/>
      <c r="B93" s="43"/>
      <c r="C93" s="4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4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4"/>
      <c r="AP93" s="43"/>
      <c r="AQ93" s="43"/>
      <c r="AR93" s="43"/>
      <c r="AS93" s="43"/>
      <c r="AT93" s="43"/>
      <c r="AU93" s="43"/>
      <c r="AV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7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7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4"/>
      <c r="CU93" s="43"/>
      <c r="CV93" s="43"/>
    </row>
    <row r="94" ht="15.75" customHeight="1">
      <c r="A94" s="43"/>
      <c r="B94" s="43"/>
      <c r="C94" s="44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4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4"/>
      <c r="AP94" s="43"/>
      <c r="AQ94" s="43"/>
      <c r="AR94" s="43"/>
      <c r="AS94" s="43"/>
      <c r="AT94" s="43"/>
      <c r="AU94" s="43"/>
      <c r="AV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7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7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4"/>
      <c r="CU94" s="43"/>
      <c r="CV94" s="43"/>
    </row>
    <row r="95" ht="15.75" customHeight="1">
      <c r="A95" s="43"/>
      <c r="B95" s="43"/>
      <c r="C95" s="44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4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4"/>
      <c r="AP95" s="43"/>
      <c r="AQ95" s="43"/>
      <c r="AR95" s="43"/>
      <c r="AS95" s="43"/>
      <c r="AT95" s="43"/>
      <c r="AU95" s="43"/>
      <c r="AV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7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7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4"/>
      <c r="CU95" s="43"/>
      <c r="CV95" s="43"/>
    </row>
    <row r="96" ht="15.75" customHeight="1">
      <c r="A96" s="43"/>
      <c r="B96" s="43"/>
      <c r="C96" s="44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4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4"/>
      <c r="AP96" s="43"/>
      <c r="AQ96" s="43"/>
      <c r="AR96" s="43"/>
      <c r="AS96" s="43"/>
      <c r="AT96" s="43"/>
      <c r="AU96" s="43"/>
      <c r="AV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7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7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4"/>
      <c r="CU96" s="43"/>
      <c r="CV96" s="43"/>
    </row>
    <row r="97" ht="15.75" customHeight="1">
      <c r="A97" s="43"/>
      <c r="B97" s="43"/>
      <c r="C97" s="44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4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4"/>
      <c r="AP97" s="43"/>
      <c r="AQ97" s="43"/>
      <c r="AR97" s="43"/>
      <c r="AS97" s="43"/>
      <c r="AT97" s="43"/>
      <c r="AU97" s="43"/>
      <c r="AV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7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7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4"/>
      <c r="CU97" s="43"/>
      <c r="CV97" s="43"/>
    </row>
    <row r="98" ht="15.75" customHeight="1">
      <c r="A98" s="43"/>
      <c r="B98" s="43"/>
      <c r="C98" s="44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4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4"/>
      <c r="AP98" s="43"/>
      <c r="AQ98" s="43"/>
      <c r="AR98" s="43"/>
      <c r="AS98" s="43"/>
      <c r="AT98" s="43"/>
      <c r="AU98" s="43"/>
      <c r="AV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7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7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4"/>
      <c r="CU98" s="43"/>
      <c r="CV98" s="43"/>
    </row>
    <row r="99" ht="15.75" customHeight="1">
      <c r="A99" s="43"/>
      <c r="B99" s="43"/>
      <c r="C99" s="44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4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4"/>
      <c r="AP99" s="43"/>
      <c r="AQ99" s="43"/>
      <c r="AR99" s="43"/>
      <c r="AS99" s="43"/>
      <c r="AT99" s="43"/>
      <c r="AU99" s="43"/>
      <c r="AV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7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7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4"/>
      <c r="CU99" s="43"/>
      <c r="CV99" s="43"/>
    </row>
    <row r="100" ht="15.75" customHeight="1">
      <c r="A100" s="43"/>
      <c r="B100" s="43"/>
      <c r="C100" s="44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4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4"/>
      <c r="AP100" s="43"/>
      <c r="AQ100" s="43"/>
      <c r="AR100" s="43"/>
      <c r="AS100" s="43"/>
      <c r="AT100" s="43"/>
      <c r="AU100" s="43"/>
      <c r="AV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7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7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4"/>
      <c r="CU100" s="43"/>
      <c r="CV100" s="43"/>
    </row>
    <row r="101" ht="15.75" customHeight="1">
      <c r="A101" s="43"/>
      <c r="B101" s="43"/>
      <c r="C101" s="44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4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4"/>
      <c r="AP101" s="43"/>
      <c r="AQ101" s="43"/>
      <c r="AR101" s="43"/>
      <c r="AS101" s="43"/>
      <c r="AT101" s="43"/>
      <c r="AU101" s="43"/>
      <c r="AV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7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7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4"/>
      <c r="CU101" s="43"/>
      <c r="CV101" s="43"/>
    </row>
    <row r="102" ht="15.75" customHeight="1">
      <c r="A102" s="43"/>
      <c r="B102" s="43"/>
      <c r="C102" s="44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4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4"/>
      <c r="AP102" s="43"/>
      <c r="AQ102" s="43"/>
      <c r="AR102" s="43"/>
      <c r="AS102" s="43"/>
      <c r="AT102" s="43"/>
      <c r="AU102" s="43"/>
      <c r="AV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7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7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4"/>
      <c r="CU102" s="43"/>
      <c r="CV102" s="43"/>
    </row>
    <row r="103" ht="15.75" customHeight="1">
      <c r="A103" s="43"/>
      <c r="B103" s="43"/>
      <c r="C103" s="44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4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4"/>
      <c r="AP103" s="43"/>
      <c r="AQ103" s="43"/>
      <c r="AR103" s="43"/>
      <c r="AS103" s="43"/>
      <c r="AT103" s="43"/>
      <c r="AU103" s="43"/>
      <c r="AV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7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7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4"/>
      <c r="CU103" s="43"/>
      <c r="CV103" s="43"/>
    </row>
    <row r="104" ht="15.75" customHeight="1">
      <c r="A104" s="43"/>
      <c r="B104" s="43"/>
      <c r="C104" s="44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4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4"/>
      <c r="AP104" s="43"/>
      <c r="AQ104" s="43"/>
      <c r="AR104" s="43"/>
      <c r="AS104" s="43"/>
      <c r="AT104" s="43"/>
      <c r="AU104" s="43"/>
      <c r="AV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7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7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4"/>
      <c r="CU104" s="43"/>
      <c r="CV104" s="43"/>
    </row>
    <row r="105" ht="15.75" customHeight="1">
      <c r="A105" s="43"/>
      <c r="B105" s="43"/>
      <c r="C105" s="44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4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4"/>
      <c r="AP105" s="43"/>
      <c r="AQ105" s="43"/>
      <c r="AR105" s="43"/>
      <c r="AS105" s="43"/>
      <c r="AT105" s="43"/>
      <c r="AU105" s="43"/>
      <c r="AV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7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7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4"/>
      <c r="CU105" s="43"/>
      <c r="CV105" s="43"/>
    </row>
    <row r="106" ht="15.75" customHeight="1">
      <c r="A106" s="43"/>
      <c r="B106" s="43"/>
      <c r="C106" s="44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4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4"/>
      <c r="AP106" s="43"/>
      <c r="AQ106" s="43"/>
      <c r="AR106" s="43"/>
      <c r="AS106" s="43"/>
      <c r="AT106" s="43"/>
      <c r="AU106" s="43"/>
      <c r="AV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7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7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4"/>
      <c r="CU106" s="43"/>
      <c r="CV106" s="43"/>
    </row>
    <row r="107" ht="15.75" customHeight="1">
      <c r="A107" s="43"/>
      <c r="B107" s="43"/>
      <c r="C107" s="44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4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4"/>
      <c r="AP107" s="43"/>
      <c r="AQ107" s="43"/>
      <c r="AR107" s="43"/>
      <c r="AS107" s="43"/>
      <c r="AT107" s="43"/>
      <c r="AU107" s="43"/>
      <c r="AV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7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7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4"/>
      <c r="CU107" s="43"/>
      <c r="CV107" s="43"/>
    </row>
    <row r="108" ht="15.75" customHeight="1">
      <c r="A108" s="43"/>
      <c r="B108" s="43"/>
      <c r="C108" s="44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4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4"/>
      <c r="AP108" s="43"/>
      <c r="AQ108" s="43"/>
      <c r="AR108" s="43"/>
      <c r="AS108" s="43"/>
      <c r="AT108" s="43"/>
      <c r="AU108" s="43"/>
      <c r="AV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7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7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4"/>
      <c r="CU108" s="43"/>
      <c r="CV108" s="43"/>
    </row>
    <row r="109" ht="15.75" customHeight="1">
      <c r="A109" s="43"/>
      <c r="B109" s="43"/>
      <c r="C109" s="44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4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4"/>
      <c r="AP109" s="43"/>
      <c r="AQ109" s="43"/>
      <c r="AR109" s="43"/>
      <c r="AS109" s="43"/>
      <c r="AT109" s="43"/>
      <c r="AU109" s="43"/>
      <c r="AV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7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7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4"/>
      <c r="CU109" s="43"/>
      <c r="CV109" s="43"/>
    </row>
    <row r="110" ht="15.75" customHeight="1">
      <c r="A110" s="43"/>
      <c r="B110" s="43"/>
      <c r="C110" s="44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4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4"/>
      <c r="AP110" s="43"/>
      <c r="AQ110" s="43"/>
      <c r="AR110" s="43"/>
      <c r="AS110" s="43"/>
      <c r="AT110" s="43"/>
      <c r="AU110" s="43"/>
      <c r="AV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7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7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4"/>
      <c r="CU110" s="43"/>
      <c r="CV110" s="43"/>
    </row>
    <row r="111" ht="15.75" customHeight="1">
      <c r="A111" s="43"/>
      <c r="B111" s="43"/>
      <c r="C111" s="44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4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4"/>
      <c r="AP111" s="43"/>
      <c r="AQ111" s="43"/>
      <c r="AR111" s="43"/>
      <c r="AS111" s="43"/>
      <c r="AT111" s="43"/>
      <c r="AU111" s="43"/>
      <c r="AV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7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7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4"/>
      <c r="CU111" s="43"/>
      <c r="CV111" s="43"/>
    </row>
    <row r="112" ht="15.75" customHeight="1">
      <c r="A112" s="43"/>
      <c r="B112" s="43"/>
      <c r="C112" s="44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4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4"/>
      <c r="AP112" s="43"/>
      <c r="AQ112" s="43"/>
      <c r="AR112" s="43"/>
      <c r="AS112" s="43"/>
      <c r="AT112" s="43"/>
      <c r="AU112" s="43"/>
      <c r="AV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7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7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4"/>
      <c r="CU112" s="43"/>
      <c r="CV112" s="43"/>
    </row>
    <row r="113" ht="15.75" customHeight="1">
      <c r="A113" s="43"/>
      <c r="B113" s="43"/>
      <c r="C113" s="44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4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4"/>
      <c r="AP113" s="43"/>
      <c r="AQ113" s="43"/>
      <c r="AR113" s="43"/>
      <c r="AS113" s="43"/>
      <c r="AT113" s="43"/>
      <c r="AU113" s="43"/>
      <c r="AV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7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7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4"/>
      <c r="CU113" s="43"/>
      <c r="CV113" s="43"/>
    </row>
    <row r="114" ht="15.75" customHeight="1">
      <c r="A114" s="43"/>
      <c r="B114" s="43"/>
      <c r="C114" s="44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4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4"/>
      <c r="AP114" s="43"/>
      <c r="AQ114" s="43"/>
      <c r="AR114" s="43"/>
      <c r="AS114" s="43"/>
      <c r="AT114" s="43"/>
      <c r="AU114" s="43"/>
      <c r="AV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7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7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4"/>
      <c r="CU114" s="43"/>
      <c r="CV114" s="43"/>
    </row>
    <row r="115" ht="15.75" customHeight="1">
      <c r="A115" s="43"/>
      <c r="B115" s="43"/>
      <c r="C115" s="44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4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4"/>
      <c r="AP115" s="43"/>
      <c r="AQ115" s="43"/>
      <c r="AR115" s="43"/>
      <c r="AS115" s="43"/>
      <c r="AT115" s="43"/>
      <c r="AU115" s="43"/>
      <c r="AV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7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7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4"/>
      <c r="CU115" s="43"/>
      <c r="CV115" s="43"/>
    </row>
    <row r="116" ht="15.75" customHeight="1">
      <c r="A116" s="43"/>
      <c r="B116" s="43"/>
      <c r="C116" s="44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4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4"/>
      <c r="AP116" s="43"/>
      <c r="AQ116" s="43"/>
      <c r="AR116" s="43"/>
      <c r="AS116" s="43"/>
      <c r="AT116" s="43"/>
      <c r="AU116" s="43"/>
      <c r="AV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7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7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4"/>
      <c r="CU116" s="43"/>
      <c r="CV116" s="43"/>
    </row>
    <row r="117" ht="15.75" customHeight="1">
      <c r="A117" s="43"/>
      <c r="B117" s="43"/>
      <c r="C117" s="44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4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4"/>
      <c r="AP117" s="43"/>
      <c r="AQ117" s="43"/>
      <c r="AR117" s="43"/>
      <c r="AS117" s="43"/>
      <c r="AT117" s="43"/>
      <c r="AU117" s="43"/>
      <c r="AV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7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7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4"/>
      <c r="CU117" s="43"/>
      <c r="CV117" s="43"/>
    </row>
    <row r="118" ht="15.75" customHeight="1">
      <c r="A118" s="43"/>
      <c r="B118" s="43"/>
      <c r="C118" s="44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4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4"/>
      <c r="AP118" s="43"/>
      <c r="AQ118" s="43"/>
      <c r="AR118" s="43"/>
      <c r="AS118" s="43"/>
      <c r="AT118" s="43"/>
      <c r="AU118" s="43"/>
      <c r="AV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7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7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4"/>
      <c r="CU118" s="43"/>
      <c r="CV118" s="43"/>
    </row>
    <row r="119" ht="15.75" customHeight="1">
      <c r="A119" s="43"/>
      <c r="B119" s="43"/>
      <c r="C119" s="44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4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4"/>
      <c r="AP119" s="43"/>
      <c r="AQ119" s="43"/>
      <c r="AR119" s="43"/>
      <c r="AS119" s="43"/>
      <c r="AT119" s="43"/>
      <c r="AU119" s="43"/>
      <c r="AV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7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7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4"/>
      <c r="CU119" s="43"/>
      <c r="CV119" s="43"/>
    </row>
    <row r="120" ht="15.75" customHeight="1">
      <c r="A120" s="43"/>
      <c r="B120" s="43"/>
      <c r="C120" s="44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4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4"/>
      <c r="AP120" s="43"/>
      <c r="AQ120" s="43"/>
      <c r="AR120" s="43"/>
      <c r="AS120" s="43"/>
      <c r="AT120" s="43"/>
      <c r="AU120" s="43"/>
      <c r="AV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7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7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4"/>
      <c r="CU120" s="43"/>
      <c r="CV120" s="43"/>
    </row>
    <row r="121" ht="15.75" customHeight="1">
      <c r="A121" s="43"/>
      <c r="B121" s="43"/>
      <c r="C121" s="44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4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4"/>
      <c r="AP121" s="43"/>
      <c r="AQ121" s="43"/>
      <c r="AR121" s="43"/>
      <c r="AS121" s="43"/>
      <c r="AT121" s="43"/>
      <c r="AU121" s="43"/>
      <c r="AV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7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7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4"/>
      <c r="CU121" s="43"/>
      <c r="CV121" s="43"/>
    </row>
    <row r="122" ht="15.75" customHeight="1">
      <c r="A122" s="43"/>
      <c r="B122" s="43"/>
      <c r="C122" s="44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4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4"/>
      <c r="AP122" s="43"/>
      <c r="AQ122" s="43"/>
      <c r="AR122" s="43"/>
      <c r="AS122" s="43"/>
      <c r="AT122" s="43"/>
      <c r="AU122" s="43"/>
      <c r="AV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7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7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4"/>
      <c r="CU122" s="43"/>
      <c r="CV122" s="43"/>
    </row>
    <row r="123" ht="15.75" customHeight="1">
      <c r="A123" s="43"/>
      <c r="B123" s="43"/>
      <c r="C123" s="44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4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4"/>
      <c r="AP123" s="43"/>
      <c r="AQ123" s="43"/>
      <c r="AR123" s="43"/>
      <c r="AS123" s="43"/>
      <c r="AT123" s="43"/>
      <c r="AU123" s="43"/>
      <c r="AV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7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7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4"/>
      <c r="CU123" s="43"/>
      <c r="CV123" s="43"/>
    </row>
    <row r="124" ht="15.75" customHeight="1">
      <c r="A124" s="43"/>
      <c r="B124" s="43"/>
      <c r="C124" s="44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4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4"/>
      <c r="AP124" s="43"/>
      <c r="AQ124" s="43"/>
      <c r="AR124" s="43"/>
      <c r="AS124" s="43"/>
      <c r="AT124" s="43"/>
      <c r="AU124" s="43"/>
      <c r="AV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7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7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4"/>
      <c r="CU124" s="43"/>
      <c r="CV124" s="43"/>
    </row>
    <row r="125" ht="15.75" customHeight="1">
      <c r="A125" s="43"/>
      <c r="B125" s="43"/>
      <c r="C125" s="44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4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4"/>
      <c r="AP125" s="43"/>
      <c r="AQ125" s="43"/>
      <c r="AR125" s="43"/>
      <c r="AS125" s="43"/>
      <c r="AT125" s="43"/>
      <c r="AU125" s="43"/>
      <c r="AV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7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7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4"/>
      <c r="CU125" s="43"/>
      <c r="CV125" s="43"/>
    </row>
    <row r="126" ht="15.75" customHeight="1">
      <c r="A126" s="43"/>
      <c r="B126" s="43"/>
      <c r="C126" s="44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4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4"/>
      <c r="AP126" s="43"/>
      <c r="AQ126" s="43"/>
      <c r="AR126" s="43"/>
      <c r="AS126" s="43"/>
      <c r="AT126" s="43"/>
      <c r="AU126" s="43"/>
      <c r="AV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7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7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4"/>
      <c r="CU126" s="43"/>
      <c r="CV126" s="43"/>
    </row>
    <row r="127" ht="15.75" customHeight="1">
      <c r="A127" s="43"/>
      <c r="B127" s="43"/>
      <c r="C127" s="44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4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4"/>
      <c r="AP127" s="43"/>
      <c r="AQ127" s="43"/>
      <c r="AR127" s="43"/>
      <c r="AS127" s="43"/>
      <c r="AT127" s="43"/>
      <c r="AU127" s="43"/>
      <c r="AV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7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7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4"/>
      <c r="CU127" s="43"/>
      <c r="CV127" s="43"/>
    </row>
    <row r="128" ht="15.75" customHeight="1">
      <c r="A128" s="43"/>
      <c r="B128" s="43"/>
      <c r="C128" s="44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4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4"/>
      <c r="AP128" s="43"/>
      <c r="AQ128" s="43"/>
      <c r="AR128" s="43"/>
      <c r="AS128" s="43"/>
      <c r="AT128" s="43"/>
      <c r="AU128" s="43"/>
      <c r="AV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7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7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4"/>
      <c r="CU128" s="43"/>
      <c r="CV128" s="43"/>
    </row>
    <row r="129" ht="15.75" customHeight="1">
      <c r="A129" s="43"/>
      <c r="B129" s="43"/>
      <c r="C129" s="44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4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4"/>
      <c r="AP129" s="43"/>
      <c r="AQ129" s="43"/>
      <c r="AR129" s="43"/>
      <c r="AS129" s="43"/>
      <c r="AT129" s="43"/>
      <c r="AU129" s="43"/>
      <c r="AV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7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7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4"/>
      <c r="CU129" s="43"/>
      <c r="CV129" s="43"/>
    </row>
    <row r="130" ht="15.75" customHeight="1">
      <c r="A130" s="43"/>
      <c r="B130" s="43"/>
      <c r="C130" s="44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4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4"/>
      <c r="AP130" s="43"/>
      <c r="AQ130" s="43"/>
      <c r="AR130" s="43"/>
      <c r="AS130" s="43"/>
      <c r="AT130" s="43"/>
      <c r="AU130" s="43"/>
      <c r="AV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7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7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4"/>
      <c r="CU130" s="43"/>
      <c r="CV130" s="43"/>
    </row>
    <row r="131" ht="15.75" customHeight="1">
      <c r="A131" s="43"/>
      <c r="B131" s="43"/>
      <c r="C131" s="44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4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4"/>
      <c r="AP131" s="43"/>
      <c r="AQ131" s="43"/>
      <c r="AR131" s="43"/>
      <c r="AS131" s="43"/>
      <c r="AT131" s="43"/>
      <c r="AU131" s="43"/>
      <c r="AV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7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7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4"/>
      <c r="CU131" s="43"/>
      <c r="CV131" s="43"/>
    </row>
    <row r="132" ht="15.75" customHeight="1">
      <c r="A132" s="43"/>
      <c r="B132" s="43"/>
      <c r="C132" s="44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4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4"/>
      <c r="AP132" s="43"/>
      <c r="AQ132" s="43"/>
      <c r="AR132" s="43"/>
      <c r="AS132" s="43"/>
      <c r="AT132" s="43"/>
      <c r="AU132" s="43"/>
      <c r="AV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7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7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4"/>
      <c r="CU132" s="43"/>
      <c r="CV132" s="43"/>
    </row>
    <row r="133" ht="15.75" customHeight="1">
      <c r="A133" s="43"/>
      <c r="B133" s="43"/>
      <c r="C133" s="44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4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4"/>
      <c r="AP133" s="43"/>
      <c r="AQ133" s="43"/>
      <c r="AR133" s="43"/>
      <c r="AS133" s="43"/>
      <c r="AT133" s="43"/>
      <c r="AU133" s="43"/>
      <c r="AV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7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7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4"/>
      <c r="CU133" s="43"/>
      <c r="CV133" s="43"/>
    </row>
    <row r="134" ht="15.75" customHeight="1">
      <c r="A134" s="43"/>
      <c r="B134" s="43"/>
      <c r="C134" s="44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4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4"/>
      <c r="AP134" s="43"/>
      <c r="AQ134" s="43"/>
      <c r="AR134" s="43"/>
      <c r="AS134" s="43"/>
      <c r="AT134" s="43"/>
      <c r="AU134" s="43"/>
      <c r="AV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7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7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4"/>
      <c r="CU134" s="43"/>
      <c r="CV134" s="43"/>
    </row>
    <row r="135" ht="15.75" customHeight="1">
      <c r="A135" s="43"/>
      <c r="B135" s="43"/>
      <c r="C135" s="44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4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4"/>
      <c r="AP135" s="43"/>
      <c r="AQ135" s="43"/>
      <c r="AR135" s="43"/>
      <c r="AS135" s="43"/>
      <c r="AT135" s="43"/>
      <c r="AU135" s="43"/>
      <c r="AV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7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7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4"/>
      <c r="CU135" s="43"/>
      <c r="CV135" s="43"/>
    </row>
    <row r="136" ht="15.75" customHeight="1">
      <c r="A136" s="43"/>
      <c r="B136" s="43"/>
      <c r="C136" s="44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4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4"/>
      <c r="AP136" s="43"/>
      <c r="AQ136" s="43"/>
      <c r="AR136" s="43"/>
      <c r="AS136" s="43"/>
      <c r="AT136" s="43"/>
      <c r="AU136" s="43"/>
      <c r="AV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7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7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4"/>
      <c r="CU136" s="43"/>
      <c r="CV136" s="43"/>
    </row>
    <row r="137" ht="15.75" customHeight="1">
      <c r="A137" s="43"/>
      <c r="B137" s="43"/>
      <c r="C137" s="44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4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4"/>
      <c r="AP137" s="43"/>
      <c r="AQ137" s="43"/>
      <c r="AR137" s="43"/>
      <c r="AS137" s="43"/>
      <c r="AT137" s="43"/>
      <c r="AU137" s="43"/>
      <c r="AV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7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7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4"/>
      <c r="CU137" s="43"/>
      <c r="CV137" s="43"/>
    </row>
    <row r="138" ht="15.75" customHeight="1">
      <c r="A138" s="43"/>
      <c r="B138" s="43"/>
      <c r="C138" s="44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4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4"/>
      <c r="AP138" s="43"/>
      <c r="AQ138" s="43"/>
      <c r="AR138" s="43"/>
      <c r="AS138" s="43"/>
      <c r="AT138" s="43"/>
      <c r="AU138" s="43"/>
      <c r="AV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7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7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4"/>
      <c r="CU138" s="43"/>
      <c r="CV138" s="43"/>
    </row>
    <row r="139" ht="15.75" customHeight="1">
      <c r="A139" s="43"/>
      <c r="B139" s="43"/>
      <c r="C139" s="44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4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4"/>
      <c r="AP139" s="43"/>
      <c r="AQ139" s="43"/>
      <c r="AR139" s="43"/>
      <c r="AS139" s="43"/>
      <c r="AT139" s="43"/>
      <c r="AU139" s="43"/>
      <c r="AV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7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7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4"/>
      <c r="CU139" s="43"/>
      <c r="CV139" s="43"/>
    </row>
    <row r="140" ht="15.75" customHeight="1">
      <c r="A140" s="43"/>
      <c r="B140" s="43"/>
      <c r="C140" s="44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4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4"/>
      <c r="AP140" s="43"/>
      <c r="AQ140" s="43"/>
      <c r="AR140" s="43"/>
      <c r="AS140" s="43"/>
      <c r="AT140" s="43"/>
      <c r="AU140" s="43"/>
      <c r="AV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7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7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4"/>
      <c r="CU140" s="43"/>
      <c r="CV140" s="43"/>
    </row>
    <row r="141" ht="15.75" customHeight="1">
      <c r="A141" s="43"/>
      <c r="B141" s="43"/>
      <c r="C141" s="44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4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4"/>
      <c r="AP141" s="43"/>
      <c r="AQ141" s="43"/>
      <c r="AR141" s="43"/>
      <c r="AS141" s="43"/>
      <c r="AT141" s="43"/>
      <c r="AU141" s="43"/>
      <c r="AV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7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7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4"/>
      <c r="CU141" s="43"/>
      <c r="CV141" s="43"/>
    </row>
    <row r="142" ht="15.75" customHeight="1">
      <c r="A142" s="43"/>
      <c r="B142" s="43"/>
      <c r="C142" s="44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4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4"/>
      <c r="AP142" s="43"/>
      <c r="AQ142" s="43"/>
      <c r="AR142" s="43"/>
      <c r="AS142" s="43"/>
      <c r="AT142" s="43"/>
      <c r="AU142" s="43"/>
      <c r="AV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7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7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4"/>
      <c r="CU142" s="43"/>
      <c r="CV142" s="43"/>
    </row>
    <row r="143" ht="15.75" customHeight="1">
      <c r="A143" s="43"/>
      <c r="B143" s="43"/>
      <c r="C143" s="44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4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4"/>
      <c r="AP143" s="43"/>
      <c r="AQ143" s="43"/>
      <c r="AR143" s="43"/>
      <c r="AS143" s="43"/>
      <c r="AT143" s="43"/>
      <c r="AU143" s="43"/>
      <c r="AV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7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7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4"/>
      <c r="CU143" s="43"/>
      <c r="CV143" s="43"/>
    </row>
    <row r="144" ht="15.75" customHeight="1">
      <c r="A144" s="43"/>
      <c r="B144" s="43"/>
      <c r="C144" s="44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4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4"/>
      <c r="AP144" s="43"/>
      <c r="AQ144" s="43"/>
      <c r="AR144" s="43"/>
      <c r="AS144" s="43"/>
      <c r="AT144" s="43"/>
      <c r="AU144" s="43"/>
      <c r="AV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7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7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4"/>
      <c r="CU144" s="43"/>
      <c r="CV144" s="43"/>
    </row>
    <row r="145" ht="15.75" customHeight="1">
      <c r="A145" s="43"/>
      <c r="B145" s="43"/>
      <c r="C145" s="44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4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4"/>
      <c r="AP145" s="43"/>
      <c r="AQ145" s="43"/>
      <c r="AR145" s="43"/>
      <c r="AS145" s="43"/>
      <c r="AT145" s="43"/>
      <c r="AU145" s="43"/>
      <c r="AV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7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7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4"/>
      <c r="CU145" s="43"/>
      <c r="CV145" s="43"/>
    </row>
    <row r="146" ht="15.75" customHeight="1">
      <c r="A146" s="43"/>
      <c r="B146" s="43"/>
      <c r="C146" s="44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4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4"/>
      <c r="AP146" s="43"/>
      <c r="AQ146" s="43"/>
      <c r="AR146" s="43"/>
      <c r="AS146" s="43"/>
      <c r="AT146" s="43"/>
      <c r="AU146" s="43"/>
      <c r="AV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7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7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4"/>
      <c r="CU146" s="43"/>
      <c r="CV146" s="43"/>
    </row>
    <row r="147" ht="15.75" customHeight="1">
      <c r="A147" s="43"/>
      <c r="B147" s="43"/>
      <c r="C147" s="44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4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4"/>
      <c r="AP147" s="43"/>
      <c r="AQ147" s="43"/>
      <c r="AR147" s="43"/>
      <c r="AS147" s="43"/>
      <c r="AT147" s="43"/>
      <c r="AU147" s="43"/>
      <c r="AV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7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7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4"/>
      <c r="CU147" s="43"/>
      <c r="CV147" s="43"/>
    </row>
    <row r="148" ht="15.75" customHeight="1">
      <c r="A148" s="43"/>
      <c r="B148" s="43"/>
      <c r="C148" s="44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4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4"/>
      <c r="AP148" s="43"/>
      <c r="AQ148" s="43"/>
      <c r="AR148" s="43"/>
      <c r="AS148" s="43"/>
      <c r="AT148" s="43"/>
      <c r="AU148" s="43"/>
      <c r="AV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7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7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4"/>
      <c r="CU148" s="43"/>
      <c r="CV148" s="43"/>
    </row>
    <row r="149" ht="15.75" customHeight="1">
      <c r="A149" s="43"/>
      <c r="B149" s="43"/>
      <c r="C149" s="44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4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4"/>
      <c r="AP149" s="43"/>
      <c r="AQ149" s="43"/>
      <c r="AR149" s="43"/>
      <c r="AS149" s="43"/>
      <c r="AT149" s="43"/>
      <c r="AU149" s="43"/>
      <c r="AV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7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7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4"/>
      <c r="CU149" s="43"/>
      <c r="CV149" s="43"/>
    </row>
    <row r="150" ht="15.75" customHeight="1">
      <c r="A150" s="43"/>
      <c r="B150" s="43"/>
      <c r="C150" s="44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4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4"/>
      <c r="AP150" s="43"/>
      <c r="AQ150" s="43"/>
      <c r="AR150" s="43"/>
      <c r="AS150" s="43"/>
      <c r="AT150" s="43"/>
      <c r="AU150" s="43"/>
      <c r="AV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7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7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4"/>
      <c r="CU150" s="43"/>
      <c r="CV150" s="43"/>
    </row>
    <row r="151" ht="15.75" customHeight="1">
      <c r="A151" s="43"/>
      <c r="B151" s="43"/>
      <c r="C151" s="44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4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4"/>
      <c r="AP151" s="43"/>
      <c r="AQ151" s="43"/>
      <c r="AR151" s="43"/>
      <c r="AS151" s="43"/>
      <c r="AT151" s="43"/>
      <c r="AU151" s="43"/>
      <c r="AV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7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7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4"/>
      <c r="CU151" s="43"/>
      <c r="CV151" s="43"/>
    </row>
    <row r="152" ht="15.75" customHeight="1">
      <c r="A152" s="43"/>
      <c r="B152" s="43"/>
      <c r="C152" s="44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4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4"/>
      <c r="AP152" s="43"/>
      <c r="AQ152" s="43"/>
      <c r="AR152" s="43"/>
      <c r="AS152" s="43"/>
      <c r="AT152" s="43"/>
      <c r="AU152" s="43"/>
      <c r="AV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7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7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4"/>
      <c r="CU152" s="43"/>
      <c r="CV152" s="43"/>
    </row>
    <row r="153" ht="15.75" customHeight="1">
      <c r="A153" s="43"/>
      <c r="B153" s="43"/>
      <c r="C153" s="44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4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4"/>
      <c r="AP153" s="43"/>
      <c r="AQ153" s="43"/>
      <c r="AR153" s="43"/>
      <c r="AS153" s="43"/>
      <c r="AT153" s="43"/>
      <c r="AU153" s="43"/>
      <c r="AV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7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7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4"/>
      <c r="CU153" s="43"/>
      <c r="CV153" s="43"/>
    </row>
    <row r="154" ht="15.75" customHeight="1">
      <c r="A154" s="43"/>
      <c r="B154" s="43"/>
      <c r="C154" s="44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4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4"/>
      <c r="AP154" s="43"/>
      <c r="AQ154" s="43"/>
      <c r="AR154" s="43"/>
      <c r="AS154" s="43"/>
      <c r="AT154" s="43"/>
      <c r="AU154" s="43"/>
      <c r="AV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7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7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4"/>
      <c r="CU154" s="43"/>
      <c r="CV154" s="43"/>
    </row>
    <row r="155" ht="15.75" customHeight="1">
      <c r="A155" s="43"/>
      <c r="B155" s="43"/>
      <c r="C155" s="44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4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4"/>
      <c r="AP155" s="43"/>
      <c r="AQ155" s="43"/>
      <c r="AR155" s="43"/>
      <c r="AS155" s="43"/>
      <c r="AT155" s="43"/>
      <c r="AU155" s="43"/>
      <c r="AV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7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7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4"/>
      <c r="CU155" s="43"/>
      <c r="CV155" s="43"/>
    </row>
    <row r="156" ht="15.75" customHeight="1">
      <c r="A156" s="43"/>
      <c r="B156" s="43"/>
      <c r="C156" s="44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4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4"/>
      <c r="AP156" s="43"/>
      <c r="AQ156" s="43"/>
      <c r="AR156" s="43"/>
      <c r="AS156" s="43"/>
      <c r="AT156" s="43"/>
      <c r="AU156" s="43"/>
      <c r="AV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7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7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4"/>
      <c r="CU156" s="43"/>
      <c r="CV156" s="43"/>
    </row>
    <row r="157" ht="15.75" customHeight="1">
      <c r="A157" s="43"/>
      <c r="B157" s="43"/>
      <c r="C157" s="44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4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4"/>
      <c r="AP157" s="43"/>
      <c r="AQ157" s="43"/>
      <c r="AR157" s="43"/>
      <c r="AS157" s="43"/>
      <c r="AT157" s="43"/>
      <c r="AU157" s="43"/>
      <c r="AV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7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7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4"/>
      <c r="CU157" s="43"/>
      <c r="CV157" s="43"/>
    </row>
    <row r="158" ht="15.75" customHeight="1">
      <c r="A158" s="43"/>
      <c r="B158" s="43"/>
      <c r="C158" s="44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4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4"/>
      <c r="AP158" s="43"/>
      <c r="AQ158" s="43"/>
      <c r="AR158" s="43"/>
      <c r="AS158" s="43"/>
      <c r="AT158" s="43"/>
      <c r="AU158" s="43"/>
      <c r="AV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7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7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4"/>
      <c r="CU158" s="43"/>
      <c r="CV158" s="43"/>
    </row>
    <row r="159" ht="15.75" customHeight="1">
      <c r="A159" s="43"/>
      <c r="B159" s="43"/>
      <c r="C159" s="44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4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4"/>
      <c r="AP159" s="43"/>
      <c r="AQ159" s="43"/>
      <c r="AR159" s="43"/>
      <c r="AS159" s="43"/>
      <c r="AT159" s="43"/>
      <c r="AU159" s="43"/>
      <c r="AV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7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7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4"/>
      <c r="CU159" s="43"/>
      <c r="CV159" s="43"/>
    </row>
    <row r="160" ht="15.75" customHeight="1">
      <c r="A160" s="43"/>
      <c r="B160" s="43"/>
      <c r="C160" s="44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4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4"/>
      <c r="AP160" s="43"/>
      <c r="AQ160" s="43"/>
      <c r="AR160" s="43"/>
      <c r="AS160" s="43"/>
      <c r="AT160" s="43"/>
      <c r="AU160" s="43"/>
      <c r="AV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7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7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4"/>
      <c r="CU160" s="43"/>
      <c r="CV160" s="43"/>
    </row>
    <row r="161" ht="15.75" customHeight="1">
      <c r="A161" s="43"/>
      <c r="B161" s="43"/>
      <c r="C161" s="44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4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4"/>
      <c r="AP161" s="43"/>
      <c r="AQ161" s="43"/>
      <c r="AR161" s="43"/>
      <c r="AS161" s="43"/>
      <c r="AT161" s="43"/>
      <c r="AU161" s="43"/>
      <c r="AV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7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7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4"/>
      <c r="CU161" s="43"/>
      <c r="CV161" s="43"/>
    </row>
    <row r="162" ht="15.75" customHeight="1">
      <c r="A162" s="43"/>
      <c r="B162" s="43"/>
      <c r="C162" s="44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4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4"/>
      <c r="AP162" s="43"/>
      <c r="AQ162" s="43"/>
      <c r="AR162" s="43"/>
      <c r="AS162" s="43"/>
      <c r="AT162" s="43"/>
      <c r="AU162" s="43"/>
      <c r="AV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7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7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4"/>
      <c r="CU162" s="43"/>
      <c r="CV162" s="43"/>
    </row>
    <row r="163" ht="15.75" customHeight="1">
      <c r="A163" s="43"/>
      <c r="B163" s="43"/>
      <c r="C163" s="44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4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4"/>
      <c r="AP163" s="43"/>
      <c r="AQ163" s="43"/>
      <c r="AR163" s="43"/>
      <c r="AS163" s="43"/>
      <c r="AT163" s="43"/>
      <c r="AU163" s="43"/>
      <c r="AV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7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7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4"/>
      <c r="CU163" s="43"/>
      <c r="CV163" s="43"/>
    </row>
    <row r="164" ht="15.75" customHeight="1">
      <c r="A164" s="43"/>
      <c r="B164" s="43"/>
      <c r="C164" s="44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4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4"/>
      <c r="AP164" s="43"/>
      <c r="AQ164" s="43"/>
      <c r="AR164" s="43"/>
      <c r="AS164" s="43"/>
      <c r="AT164" s="43"/>
      <c r="AU164" s="43"/>
      <c r="AV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7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7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4"/>
      <c r="CU164" s="43"/>
      <c r="CV164" s="43"/>
    </row>
    <row r="165" ht="15.75" customHeight="1">
      <c r="A165" s="43"/>
      <c r="B165" s="43"/>
      <c r="C165" s="44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4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4"/>
      <c r="AP165" s="43"/>
      <c r="AQ165" s="43"/>
      <c r="AR165" s="43"/>
      <c r="AS165" s="43"/>
      <c r="AT165" s="43"/>
      <c r="AU165" s="43"/>
      <c r="AV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7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7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4"/>
      <c r="CU165" s="43"/>
      <c r="CV165" s="43"/>
    </row>
    <row r="166" ht="15.75" customHeight="1">
      <c r="A166" s="43"/>
      <c r="B166" s="43"/>
      <c r="C166" s="44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4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4"/>
      <c r="AP166" s="43"/>
      <c r="AQ166" s="43"/>
      <c r="AR166" s="43"/>
      <c r="AS166" s="43"/>
      <c r="AT166" s="43"/>
      <c r="AU166" s="43"/>
      <c r="AV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7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7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4"/>
      <c r="CU166" s="43"/>
      <c r="CV166" s="43"/>
    </row>
    <row r="167" ht="15.75" customHeight="1">
      <c r="A167" s="43"/>
      <c r="B167" s="43"/>
      <c r="C167" s="44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4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4"/>
      <c r="AP167" s="43"/>
      <c r="AQ167" s="43"/>
      <c r="AR167" s="43"/>
      <c r="AS167" s="43"/>
      <c r="AT167" s="43"/>
      <c r="AU167" s="43"/>
      <c r="AV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7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7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4"/>
      <c r="CU167" s="43"/>
      <c r="CV167" s="43"/>
    </row>
    <row r="168" ht="15.75" customHeight="1">
      <c r="A168" s="43"/>
      <c r="B168" s="43"/>
      <c r="C168" s="44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4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4"/>
      <c r="AP168" s="43"/>
      <c r="AQ168" s="43"/>
      <c r="AR168" s="43"/>
      <c r="AS168" s="43"/>
      <c r="AT168" s="43"/>
      <c r="AU168" s="43"/>
      <c r="AV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7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7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4"/>
      <c r="CU168" s="43"/>
      <c r="CV168" s="43"/>
    </row>
    <row r="169" ht="15.75" customHeight="1">
      <c r="A169" s="43"/>
      <c r="B169" s="43"/>
      <c r="C169" s="44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4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4"/>
      <c r="AP169" s="43"/>
      <c r="AQ169" s="43"/>
      <c r="AR169" s="43"/>
      <c r="AS169" s="43"/>
      <c r="AT169" s="43"/>
      <c r="AU169" s="43"/>
      <c r="AV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7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7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4"/>
      <c r="CU169" s="43"/>
      <c r="CV169" s="43"/>
    </row>
    <row r="170" ht="15.75" customHeight="1">
      <c r="A170" s="43"/>
      <c r="B170" s="43"/>
      <c r="C170" s="44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4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4"/>
      <c r="AP170" s="43"/>
      <c r="AQ170" s="43"/>
      <c r="AR170" s="43"/>
      <c r="AS170" s="43"/>
      <c r="AT170" s="43"/>
      <c r="AU170" s="43"/>
      <c r="AV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7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7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4"/>
      <c r="CU170" s="43"/>
      <c r="CV170" s="43"/>
    </row>
    <row r="171" ht="15.75" customHeight="1">
      <c r="A171" s="43"/>
      <c r="B171" s="43"/>
      <c r="C171" s="44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4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4"/>
      <c r="AP171" s="43"/>
      <c r="AQ171" s="43"/>
      <c r="AR171" s="43"/>
      <c r="AS171" s="43"/>
      <c r="AT171" s="43"/>
      <c r="AU171" s="43"/>
      <c r="AV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7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7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4"/>
      <c r="CU171" s="43"/>
      <c r="CV171" s="43"/>
    </row>
    <row r="172" ht="15.75" customHeight="1">
      <c r="A172" s="43"/>
      <c r="B172" s="43"/>
      <c r="C172" s="44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4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4"/>
      <c r="AP172" s="43"/>
      <c r="AQ172" s="43"/>
      <c r="AR172" s="43"/>
      <c r="AS172" s="43"/>
      <c r="AT172" s="43"/>
      <c r="AU172" s="43"/>
      <c r="AV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7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7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4"/>
      <c r="CU172" s="43"/>
      <c r="CV172" s="43"/>
    </row>
    <row r="173" ht="15.75" customHeight="1">
      <c r="A173" s="43"/>
      <c r="B173" s="43"/>
      <c r="C173" s="44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4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4"/>
      <c r="AP173" s="43"/>
      <c r="AQ173" s="43"/>
      <c r="AR173" s="43"/>
      <c r="AS173" s="43"/>
      <c r="AT173" s="43"/>
      <c r="AU173" s="43"/>
      <c r="AV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7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7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4"/>
      <c r="CU173" s="43"/>
      <c r="CV173" s="43"/>
    </row>
    <row r="174" ht="15.75" customHeight="1">
      <c r="A174" s="43"/>
      <c r="B174" s="43"/>
      <c r="C174" s="44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4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4"/>
      <c r="AP174" s="43"/>
      <c r="AQ174" s="43"/>
      <c r="AR174" s="43"/>
      <c r="AS174" s="43"/>
      <c r="AT174" s="43"/>
      <c r="AU174" s="43"/>
      <c r="AV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7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7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4"/>
      <c r="CU174" s="43"/>
      <c r="CV174" s="43"/>
    </row>
    <row r="175" ht="15.75" customHeight="1">
      <c r="A175" s="43"/>
      <c r="B175" s="43"/>
      <c r="C175" s="44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4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4"/>
      <c r="AP175" s="43"/>
      <c r="AQ175" s="43"/>
      <c r="AR175" s="43"/>
      <c r="AS175" s="43"/>
      <c r="AT175" s="43"/>
      <c r="AU175" s="43"/>
      <c r="AV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7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7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4"/>
      <c r="CU175" s="43"/>
      <c r="CV175" s="43"/>
    </row>
    <row r="176" ht="15.75" customHeight="1">
      <c r="A176" s="43"/>
      <c r="B176" s="43"/>
      <c r="C176" s="44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4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4"/>
      <c r="AP176" s="43"/>
      <c r="AQ176" s="43"/>
      <c r="AR176" s="43"/>
      <c r="AS176" s="43"/>
      <c r="AT176" s="43"/>
      <c r="AU176" s="43"/>
      <c r="AV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7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7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4"/>
      <c r="CU176" s="43"/>
      <c r="CV176" s="43"/>
    </row>
    <row r="177" ht="15.75" customHeight="1">
      <c r="A177" s="43"/>
      <c r="B177" s="43"/>
      <c r="C177" s="44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4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4"/>
      <c r="AP177" s="43"/>
      <c r="AQ177" s="43"/>
      <c r="AR177" s="43"/>
      <c r="AS177" s="43"/>
      <c r="AT177" s="43"/>
      <c r="AU177" s="43"/>
      <c r="AV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7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7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4"/>
      <c r="CU177" s="43"/>
      <c r="CV177" s="43"/>
    </row>
    <row r="178" ht="15.75" customHeight="1">
      <c r="A178" s="43"/>
      <c r="B178" s="43"/>
      <c r="C178" s="44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4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4"/>
      <c r="AP178" s="43"/>
      <c r="AQ178" s="43"/>
      <c r="AR178" s="43"/>
      <c r="AS178" s="43"/>
      <c r="AT178" s="43"/>
      <c r="AU178" s="43"/>
      <c r="AV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7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7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4"/>
      <c r="CU178" s="43"/>
      <c r="CV178" s="43"/>
    </row>
    <row r="179" ht="15.75" customHeight="1">
      <c r="A179" s="43"/>
      <c r="B179" s="43"/>
      <c r="C179" s="44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4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4"/>
      <c r="AP179" s="43"/>
      <c r="AQ179" s="43"/>
      <c r="AR179" s="43"/>
      <c r="AS179" s="43"/>
      <c r="AT179" s="43"/>
      <c r="AU179" s="43"/>
      <c r="AV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7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7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4"/>
      <c r="CU179" s="43"/>
      <c r="CV179" s="43"/>
    </row>
    <row r="180" ht="15.75" customHeight="1">
      <c r="A180" s="43"/>
      <c r="B180" s="43"/>
      <c r="C180" s="44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4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4"/>
      <c r="AP180" s="43"/>
      <c r="AQ180" s="43"/>
      <c r="AR180" s="43"/>
      <c r="AS180" s="43"/>
      <c r="AT180" s="43"/>
      <c r="AU180" s="43"/>
      <c r="AV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7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7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4"/>
      <c r="CU180" s="43"/>
      <c r="CV180" s="43"/>
    </row>
    <row r="181" ht="15.75" customHeight="1">
      <c r="A181" s="43"/>
      <c r="B181" s="43"/>
      <c r="C181" s="44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4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4"/>
      <c r="AP181" s="43"/>
      <c r="AQ181" s="43"/>
      <c r="AR181" s="43"/>
      <c r="AS181" s="43"/>
      <c r="AT181" s="43"/>
      <c r="AU181" s="43"/>
      <c r="AV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7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7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4"/>
      <c r="CU181" s="43"/>
      <c r="CV181" s="43"/>
    </row>
    <row r="182" ht="15.75" customHeight="1">
      <c r="A182" s="43"/>
      <c r="B182" s="43"/>
      <c r="C182" s="44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4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4"/>
      <c r="AP182" s="43"/>
      <c r="AQ182" s="43"/>
      <c r="AR182" s="43"/>
      <c r="AS182" s="43"/>
      <c r="AT182" s="43"/>
      <c r="AU182" s="43"/>
      <c r="AV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7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7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4"/>
      <c r="CU182" s="43"/>
      <c r="CV182" s="43"/>
    </row>
    <row r="183" ht="15.75" customHeight="1">
      <c r="A183" s="43"/>
      <c r="B183" s="43"/>
      <c r="C183" s="44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4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4"/>
      <c r="AP183" s="43"/>
      <c r="AQ183" s="43"/>
      <c r="AR183" s="43"/>
      <c r="AS183" s="43"/>
      <c r="AT183" s="43"/>
      <c r="AU183" s="43"/>
      <c r="AV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7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7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4"/>
      <c r="CU183" s="43"/>
      <c r="CV183" s="43"/>
    </row>
    <row r="184" ht="15.75" customHeight="1">
      <c r="A184" s="43"/>
      <c r="B184" s="43"/>
      <c r="C184" s="44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4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4"/>
      <c r="AP184" s="43"/>
      <c r="AQ184" s="43"/>
      <c r="AR184" s="43"/>
      <c r="AS184" s="43"/>
      <c r="AT184" s="43"/>
      <c r="AU184" s="43"/>
      <c r="AV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7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7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4"/>
      <c r="CU184" s="43"/>
      <c r="CV184" s="43"/>
    </row>
    <row r="185" ht="15.75" customHeight="1">
      <c r="A185" s="43"/>
      <c r="B185" s="43"/>
      <c r="C185" s="44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4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4"/>
      <c r="AP185" s="43"/>
      <c r="AQ185" s="43"/>
      <c r="AR185" s="43"/>
      <c r="AS185" s="43"/>
      <c r="AT185" s="43"/>
      <c r="AU185" s="43"/>
      <c r="AV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7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7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4"/>
      <c r="CU185" s="43"/>
      <c r="CV185" s="43"/>
    </row>
    <row r="186" ht="15.75" customHeight="1">
      <c r="A186" s="43"/>
      <c r="B186" s="43"/>
      <c r="C186" s="44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4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4"/>
      <c r="AP186" s="43"/>
      <c r="AQ186" s="43"/>
      <c r="AR186" s="43"/>
      <c r="AS186" s="43"/>
      <c r="AT186" s="43"/>
      <c r="AU186" s="43"/>
      <c r="AV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7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7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4"/>
      <c r="CU186" s="43"/>
      <c r="CV186" s="43"/>
    </row>
    <row r="187" ht="15.75" customHeight="1">
      <c r="A187" s="43"/>
      <c r="B187" s="43"/>
      <c r="C187" s="44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4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4"/>
      <c r="AP187" s="43"/>
      <c r="AQ187" s="43"/>
      <c r="AR187" s="43"/>
      <c r="AS187" s="43"/>
      <c r="AT187" s="43"/>
      <c r="AU187" s="43"/>
      <c r="AV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7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7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4"/>
      <c r="CU187" s="43"/>
      <c r="CV187" s="43"/>
    </row>
    <row r="188" ht="15.75" customHeight="1">
      <c r="A188" s="43"/>
      <c r="B188" s="43"/>
      <c r="C188" s="44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4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4"/>
      <c r="AP188" s="43"/>
      <c r="AQ188" s="43"/>
      <c r="AR188" s="43"/>
      <c r="AS188" s="43"/>
      <c r="AT188" s="43"/>
      <c r="AU188" s="43"/>
      <c r="AV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7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7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4"/>
      <c r="CU188" s="43"/>
      <c r="CV188" s="43"/>
    </row>
    <row r="189" ht="15.75" customHeight="1">
      <c r="A189" s="43"/>
      <c r="B189" s="43"/>
      <c r="C189" s="44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4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4"/>
      <c r="AP189" s="43"/>
      <c r="AQ189" s="43"/>
      <c r="AR189" s="43"/>
      <c r="AS189" s="43"/>
      <c r="AT189" s="43"/>
      <c r="AU189" s="43"/>
      <c r="AV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7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7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4"/>
      <c r="CU189" s="43"/>
      <c r="CV189" s="43"/>
    </row>
    <row r="190" ht="15.75" customHeight="1">
      <c r="A190" s="43"/>
      <c r="B190" s="43"/>
      <c r="C190" s="44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4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4"/>
      <c r="AP190" s="43"/>
      <c r="AQ190" s="43"/>
      <c r="AR190" s="43"/>
      <c r="AS190" s="43"/>
      <c r="AT190" s="43"/>
      <c r="AU190" s="43"/>
      <c r="AV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7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7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4"/>
      <c r="CU190" s="43"/>
      <c r="CV190" s="43"/>
    </row>
    <row r="191" ht="15.75" customHeight="1">
      <c r="A191" s="43"/>
      <c r="B191" s="43"/>
      <c r="C191" s="44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4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4"/>
      <c r="AP191" s="43"/>
      <c r="AQ191" s="43"/>
      <c r="AR191" s="43"/>
      <c r="AS191" s="43"/>
      <c r="AT191" s="43"/>
      <c r="AU191" s="43"/>
      <c r="AV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7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7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4"/>
      <c r="CU191" s="43"/>
      <c r="CV191" s="43"/>
    </row>
    <row r="192" ht="15.75" customHeight="1">
      <c r="A192" s="43"/>
      <c r="B192" s="43"/>
      <c r="C192" s="44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4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4"/>
      <c r="AP192" s="43"/>
      <c r="AQ192" s="43"/>
      <c r="AR192" s="43"/>
      <c r="AS192" s="43"/>
      <c r="AT192" s="43"/>
      <c r="AU192" s="43"/>
      <c r="AV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7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7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4"/>
      <c r="CU192" s="43"/>
      <c r="CV192" s="43"/>
    </row>
    <row r="193" ht="15.75" customHeight="1">
      <c r="A193" s="43"/>
      <c r="B193" s="43"/>
      <c r="C193" s="44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4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4"/>
      <c r="AP193" s="43"/>
      <c r="AQ193" s="43"/>
      <c r="AR193" s="43"/>
      <c r="AS193" s="43"/>
      <c r="AT193" s="43"/>
      <c r="AU193" s="43"/>
      <c r="AV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7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7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4"/>
      <c r="CU193" s="43"/>
      <c r="CV193" s="43"/>
    </row>
    <row r="194" ht="15.75" customHeight="1">
      <c r="A194" s="43"/>
      <c r="B194" s="43"/>
      <c r="C194" s="44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4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4"/>
      <c r="AP194" s="43"/>
      <c r="AQ194" s="43"/>
      <c r="AR194" s="43"/>
      <c r="AS194" s="43"/>
      <c r="AT194" s="43"/>
      <c r="AU194" s="43"/>
      <c r="AV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7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7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4"/>
      <c r="CU194" s="43"/>
      <c r="CV194" s="43"/>
    </row>
    <row r="195" ht="15.75" customHeight="1">
      <c r="A195" s="43"/>
      <c r="B195" s="43"/>
      <c r="C195" s="44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4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4"/>
      <c r="AP195" s="43"/>
      <c r="AQ195" s="43"/>
      <c r="AR195" s="43"/>
      <c r="AS195" s="43"/>
      <c r="AT195" s="43"/>
      <c r="AU195" s="43"/>
      <c r="AV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7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7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4"/>
      <c r="CU195" s="43"/>
      <c r="CV195" s="43"/>
    </row>
    <row r="196" ht="15.75" customHeight="1">
      <c r="A196" s="43"/>
      <c r="B196" s="43"/>
      <c r="C196" s="44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4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4"/>
      <c r="AP196" s="43"/>
      <c r="AQ196" s="43"/>
      <c r="AR196" s="43"/>
      <c r="AS196" s="43"/>
      <c r="AT196" s="43"/>
      <c r="AU196" s="43"/>
      <c r="AV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7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7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4"/>
      <c r="CU196" s="43"/>
      <c r="CV196" s="43"/>
    </row>
    <row r="197" ht="15.75" customHeight="1">
      <c r="A197" s="43"/>
      <c r="B197" s="43"/>
      <c r="C197" s="44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4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4"/>
      <c r="AP197" s="43"/>
      <c r="AQ197" s="43"/>
      <c r="AR197" s="43"/>
      <c r="AS197" s="43"/>
      <c r="AT197" s="43"/>
      <c r="AU197" s="43"/>
      <c r="AV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7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7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4"/>
      <c r="CU197" s="43"/>
      <c r="CV197" s="43"/>
    </row>
    <row r="198" ht="15.75" customHeight="1">
      <c r="A198" s="43"/>
      <c r="B198" s="43"/>
      <c r="C198" s="44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4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4"/>
      <c r="AP198" s="43"/>
      <c r="AQ198" s="43"/>
      <c r="AR198" s="43"/>
      <c r="AS198" s="43"/>
      <c r="AT198" s="43"/>
      <c r="AU198" s="43"/>
      <c r="AV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7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7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4"/>
      <c r="CU198" s="43"/>
      <c r="CV198" s="43"/>
    </row>
    <row r="199" ht="15.75" customHeight="1">
      <c r="A199" s="43"/>
      <c r="B199" s="43"/>
      <c r="C199" s="44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4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4"/>
      <c r="AP199" s="43"/>
      <c r="AQ199" s="43"/>
      <c r="AR199" s="43"/>
      <c r="AS199" s="43"/>
      <c r="AT199" s="43"/>
      <c r="AU199" s="43"/>
      <c r="AV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7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7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4"/>
      <c r="CU199" s="43"/>
      <c r="CV199" s="43"/>
    </row>
    <row r="200" ht="15.75" customHeight="1">
      <c r="A200" s="43"/>
      <c r="B200" s="43"/>
      <c r="C200" s="44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4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4"/>
      <c r="AP200" s="43"/>
      <c r="AQ200" s="43"/>
      <c r="AR200" s="43"/>
      <c r="AS200" s="43"/>
      <c r="AT200" s="43"/>
      <c r="AU200" s="43"/>
      <c r="AV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7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7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4"/>
      <c r="CU200" s="43"/>
      <c r="CV200" s="43"/>
    </row>
    <row r="201" ht="15.75" customHeight="1">
      <c r="A201" s="43"/>
      <c r="B201" s="43"/>
      <c r="C201" s="44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4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4"/>
      <c r="AP201" s="43"/>
      <c r="AQ201" s="43"/>
      <c r="AR201" s="43"/>
      <c r="AS201" s="43"/>
      <c r="AT201" s="43"/>
      <c r="AU201" s="43"/>
      <c r="AV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7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7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4"/>
      <c r="CU201" s="43"/>
      <c r="CV201" s="43"/>
    </row>
    <row r="202" ht="15.75" customHeight="1">
      <c r="A202" s="43"/>
      <c r="B202" s="43"/>
      <c r="C202" s="44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4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4"/>
      <c r="AP202" s="43"/>
      <c r="AQ202" s="43"/>
      <c r="AR202" s="43"/>
      <c r="AS202" s="43"/>
      <c r="AT202" s="43"/>
      <c r="AU202" s="43"/>
      <c r="AV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7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7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4"/>
      <c r="CU202" s="43"/>
      <c r="CV202" s="43"/>
    </row>
    <row r="203" ht="15.75" customHeight="1">
      <c r="A203" s="43"/>
      <c r="B203" s="43"/>
      <c r="C203" s="44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4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4"/>
      <c r="AP203" s="43"/>
      <c r="AQ203" s="43"/>
      <c r="AR203" s="43"/>
      <c r="AS203" s="43"/>
      <c r="AT203" s="43"/>
      <c r="AU203" s="43"/>
      <c r="AV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7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7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4"/>
      <c r="CU203" s="43"/>
      <c r="CV203" s="43"/>
    </row>
    <row r="204" ht="15.75" customHeight="1">
      <c r="A204" s="43"/>
      <c r="B204" s="43"/>
      <c r="C204" s="44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4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4"/>
      <c r="AP204" s="43"/>
      <c r="AQ204" s="43"/>
      <c r="AR204" s="43"/>
      <c r="AS204" s="43"/>
      <c r="AT204" s="43"/>
      <c r="AU204" s="43"/>
      <c r="AV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7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7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4"/>
      <c r="CU204" s="43"/>
      <c r="CV204" s="43"/>
    </row>
    <row r="205" ht="15.75" customHeight="1">
      <c r="A205" s="43"/>
      <c r="B205" s="43"/>
      <c r="C205" s="44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4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4"/>
      <c r="AP205" s="43"/>
      <c r="AQ205" s="43"/>
      <c r="AR205" s="43"/>
      <c r="AS205" s="43"/>
      <c r="AT205" s="43"/>
      <c r="AU205" s="43"/>
      <c r="AV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7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7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4"/>
      <c r="CU205" s="43"/>
      <c r="CV205" s="43"/>
    </row>
    <row r="206" ht="15.75" customHeight="1">
      <c r="A206" s="43"/>
      <c r="B206" s="43"/>
      <c r="C206" s="44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4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4"/>
      <c r="AP206" s="43"/>
      <c r="AQ206" s="43"/>
      <c r="AR206" s="43"/>
      <c r="AS206" s="43"/>
      <c r="AT206" s="43"/>
      <c r="AU206" s="43"/>
      <c r="AV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7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7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4"/>
      <c r="CU206" s="43"/>
      <c r="CV206" s="43"/>
    </row>
    <row r="207" ht="15.75" customHeight="1">
      <c r="A207" s="43"/>
      <c r="B207" s="43"/>
      <c r="C207" s="44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4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4"/>
      <c r="AP207" s="43"/>
      <c r="AQ207" s="43"/>
      <c r="AR207" s="43"/>
      <c r="AS207" s="43"/>
      <c r="AT207" s="43"/>
      <c r="AU207" s="43"/>
      <c r="AV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7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7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4"/>
      <c r="CU207" s="43"/>
      <c r="CV207" s="43"/>
    </row>
    <row r="208" ht="15.75" customHeight="1">
      <c r="A208" s="43"/>
      <c r="B208" s="43"/>
      <c r="C208" s="44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4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4"/>
      <c r="AP208" s="43"/>
      <c r="AQ208" s="43"/>
      <c r="AR208" s="43"/>
      <c r="AS208" s="43"/>
      <c r="AT208" s="43"/>
      <c r="AU208" s="43"/>
      <c r="AV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7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7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4"/>
      <c r="CU208" s="43"/>
      <c r="CV208" s="43"/>
    </row>
    <row r="209" ht="15.75" customHeight="1">
      <c r="A209" s="43"/>
      <c r="B209" s="43"/>
      <c r="C209" s="44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4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4"/>
      <c r="AP209" s="43"/>
      <c r="AQ209" s="43"/>
      <c r="AR209" s="43"/>
      <c r="AS209" s="43"/>
      <c r="AT209" s="43"/>
      <c r="AU209" s="43"/>
      <c r="AV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7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7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4"/>
      <c r="CU209" s="43"/>
      <c r="CV209" s="43"/>
    </row>
    <row r="210" ht="15.75" customHeight="1">
      <c r="A210" s="43"/>
      <c r="B210" s="43"/>
      <c r="C210" s="44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4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4"/>
      <c r="AP210" s="43"/>
      <c r="AQ210" s="43"/>
      <c r="AR210" s="43"/>
      <c r="AS210" s="43"/>
      <c r="AT210" s="43"/>
      <c r="AU210" s="43"/>
      <c r="AV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7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7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4"/>
      <c r="CU210" s="43"/>
      <c r="CV210" s="43"/>
    </row>
    <row r="211" ht="15.75" customHeight="1">
      <c r="A211" s="43"/>
      <c r="B211" s="43"/>
      <c r="C211" s="44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4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4"/>
      <c r="AP211" s="43"/>
      <c r="AQ211" s="43"/>
      <c r="AR211" s="43"/>
      <c r="AS211" s="43"/>
      <c r="AT211" s="43"/>
      <c r="AU211" s="43"/>
      <c r="AV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7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7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4"/>
      <c r="CU211" s="43"/>
      <c r="CV211" s="43"/>
    </row>
    <row r="212" ht="15.75" customHeight="1">
      <c r="A212" s="43"/>
      <c r="B212" s="43"/>
      <c r="C212" s="44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4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4"/>
      <c r="AP212" s="43"/>
      <c r="AQ212" s="43"/>
      <c r="AR212" s="43"/>
      <c r="AS212" s="43"/>
      <c r="AT212" s="43"/>
      <c r="AU212" s="43"/>
      <c r="AV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7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7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4"/>
      <c r="CU212" s="43"/>
      <c r="CV212" s="43"/>
    </row>
    <row r="213" ht="15.75" customHeight="1">
      <c r="A213" s="43"/>
      <c r="B213" s="43"/>
      <c r="C213" s="44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4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4"/>
      <c r="AP213" s="43"/>
      <c r="AQ213" s="43"/>
      <c r="AR213" s="43"/>
      <c r="AS213" s="43"/>
      <c r="AT213" s="43"/>
      <c r="AU213" s="43"/>
      <c r="AV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7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7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4"/>
      <c r="CU213" s="43"/>
      <c r="CV213" s="43"/>
    </row>
    <row r="214" ht="15.75" customHeight="1">
      <c r="A214" s="43"/>
      <c r="B214" s="43"/>
      <c r="C214" s="44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4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4"/>
      <c r="AP214" s="43"/>
      <c r="AQ214" s="43"/>
      <c r="AR214" s="43"/>
      <c r="AS214" s="43"/>
      <c r="AT214" s="43"/>
      <c r="AU214" s="43"/>
      <c r="AV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7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7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4"/>
      <c r="CU214" s="43"/>
      <c r="CV214" s="43"/>
    </row>
    <row r="215" ht="15.75" customHeight="1">
      <c r="A215" s="43"/>
      <c r="B215" s="43"/>
      <c r="C215" s="44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4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4"/>
      <c r="AP215" s="43"/>
      <c r="AQ215" s="43"/>
      <c r="AR215" s="43"/>
      <c r="AS215" s="43"/>
      <c r="AT215" s="43"/>
      <c r="AU215" s="43"/>
      <c r="AV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7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7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4"/>
      <c r="CU215" s="43"/>
      <c r="CV215" s="43"/>
    </row>
    <row r="216" ht="15.75" customHeight="1">
      <c r="A216" s="43"/>
      <c r="B216" s="43"/>
      <c r="C216" s="44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4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4"/>
      <c r="AP216" s="43"/>
      <c r="AQ216" s="43"/>
      <c r="AR216" s="43"/>
      <c r="AS216" s="43"/>
      <c r="AT216" s="43"/>
      <c r="AU216" s="43"/>
      <c r="AV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7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7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4"/>
      <c r="CU216" s="43"/>
      <c r="CV216" s="43"/>
    </row>
    <row r="217" ht="15.75" customHeight="1">
      <c r="A217" s="43"/>
      <c r="B217" s="43"/>
      <c r="C217" s="44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4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4"/>
      <c r="AP217" s="43"/>
      <c r="AQ217" s="43"/>
      <c r="AR217" s="43"/>
      <c r="AS217" s="43"/>
      <c r="AT217" s="43"/>
      <c r="AU217" s="43"/>
      <c r="AV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7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7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4"/>
      <c r="CU217" s="43"/>
      <c r="CV217" s="43"/>
    </row>
    <row r="218" ht="15.75" customHeight="1">
      <c r="A218" s="43"/>
      <c r="B218" s="43"/>
      <c r="C218" s="44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4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4"/>
      <c r="AP218" s="43"/>
      <c r="AQ218" s="43"/>
      <c r="AR218" s="43"/>
      <c r="AS218" s="43"/>
      <c r="AT218" s="43"/>
      <c r="AU218" s="43"/>
      <c r="AV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7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7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4"/>
      <c r="CU218" s="43"/>
      <c r="CV218" s="43"/>
    </row>
    <row r="219" ht="15.75" customHeight="1">
      <c r="A219" s="43"/>
      <c r="B219" s="43"/>
      <c r="C219" s="44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4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4"/>
      <c r="AP219" s="43"/>
      <c r="AQ219" s="43"/>
      <c r="AR219" s="43"/>
      <c r="AS219" s="43"/>
      <c r="AT219" s="43"/>
      <c r="AU219" s="43"/>
      <c r="AV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7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7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4"/>
      <c r="CU219" s="43"/>
      <c r="CV219" s="43"/>
    </row>
    <row r="220" ht="15.75" customHeight="1">
      <c r="A220" s="43"/>
      <c r="B220" s="43"/>
      <c r="C220" s="44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4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4"/>
      <c r="AP220" s="43"/>
      <c r="AQ220" s="43"/>
      <c r="AR220" s="43"/>
      <c r="AS220" s="43"/>
      <c r="AT220" s="43"/>
      <c r="AU220" s="43"/>
      <c r="AV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7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7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4"/>
      <c r="CU220" s="43"/>
      <c r="CV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4:U4"/>
    <mergeCell ref="W4:AN4"/>
    <mergeCell ref="AP4:BG4"/>
    <mergeCell ref="BI4:BZ4"/>
    <mergeCell ref="CB4:CS4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77" t="s">
        <v>26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OBR_Feb_2025!B2</f>
        <v>#REF!</v>
      </c>
      <c r="O1" s="1" t="str">
        <f>OBR_Feb_2025!A2</f>
        <v>#REF!</v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12001"",0)"),"#REF!")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12001"",0)"),"#REF!")</f>
        <v>#REF!</v>
      </c>
      <c r="C2" s="78">
        <f>OBR_Feb_2025!D2</f>
        <v>101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12001"",0)"),"#REF!")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12001"",0)"),"#REF!")</f>
        <v>#REF!</v>
      </c>
      <c r="F2" s="26" t="str">
        <f t="shared" ref="F2:F11" si="1">D2*E2</f>
        <v>#REF!</v>
      </c>
      <c r="G2" s="24" t="str">
        <f t="shared" ref="G2:G11" si="2">C2+D2</f>
        <v>#REF!</v>
      </c>
      <c r="H2" s="79" t="str">
        <f>IF(G2=0,0,((C2*OBR_Feb_2025!E2)+(D2*E2))/G2)</f>
        <v>#REF!</v>
      </c>
      <c r="I2" s="24" t="str">
        <f t="shared" ref="I2:I15" si="3">IF(ISBLANK(J2),"",G2-J2)</f>
        <v>#REF!</v>
      </c>
      <c r="J2" s="78">
        <f>OBR_Mar_2025!D4</f>
        <v>226</v>
      </c>
      <c r="K2" s="26" t="str">
        <f t="shared" ref="K2:K4" si="4">IF(ISBLANK(J2),"",J2*H2)</f>
        <v>#REF!</v>
      </c>
      <c r="L2" s="26" t="str">
        <f t="shared" ref="L2:L15" si="5">IF(ISBLANK(J2),"",I2*H2)</f>
        <v>#REF!</v>
      </c>
    </row>
    <row r="3" ht="22.5" customHeight="1">
      <c r="A3" s="25"/>
      <c r="B3" s="23"/>
      <c r="C3" s="24" t="str">
        <f t="shared" ref="C3:C15" si="6">G2-I2</f>
        <v>#REF!</v>
      </c>
      <c r="D3" s="30"/>
      <c r="E3" s="30"/>
      <c r="F3" s="26">
        <f t="shared" si="1"/>
        <v>0</v>
      </c>
      <c r="G3" s="24" t="str">
        <f t="shared" si="2"/>
        <v>#REF!</v>
      </c>
      <c r="H3" s="79" t="str">
        <f t="shared" ref="H3:H15" si="7">IF(G3=0,0,((C3*H2)+(D3*E3))/G3)</f>
        <v>#REF!</v>
      </c>
      <c r="I3" s="24" t="str">
        <f t="shared" si="3"/>
        <v>#REF!</v>
      </c>
      <c r="J3" s="80">
        <v>116.0</v>
      </c>
      <c r="K3" s="26" t="str">
        <f t="shared" si="4"/>
        <v>#REF!</v>
      </c>
      <c r="L3" s="26" t="str">
        <f t="shared" si="5"/>
        <v>#REF!</v>
      </c>
    </row>
    <row r="4" ht="22.5" customHeight="1">
      <c r="A4" s="25"/>
      <c r="B4" s="23"/>
      <c r="C4" s="24" t="str">
        <f t="shared" si="6"/>
        <v>#REF!</v>
      </c>
      <c r="D4" s="30"/>
      <c r="E4" s="30"/>
      <c r="F4" s="26">
        <f t="shared" si="1"/>
        <v>0</v>
      </c>
      <c r="G4" s="24" t="str">
        <f t="shared" si="2"/>
        <v>#REF!</v>
      </c>
      <c r="H4" s="79" t="str">
        <f t="shared" si="7"/>
        <v>#REF!</v>
      </c>
      <c r="I4" s="24" t="str">
        <f t="shared" si="3"/>
        <v>#REF!</v>
      </c>
      <c r="J4" s="80">
        <v>60.0</v>
      </c>
      <c r="K4" s="26" t="str">
        <f t="shared" si="4"/>
        <v>#REF!</v>
      </c>
      <c r="L4" s="26" t="str">
        <f t="shared" si="5"/>
        <v>#REF!</v>
      </c>
    </row>
    <row r="5" ht="22.5" customHeight="1">
      <c r="A5" s="25"/>
      <c r="B5" s="23"/>
      <c r="C5" s="24" t="str">
        <f t="shared" si="6"/>
        <v>#REF!</v>
      </c>
      <c r="D5" s="30"/>
      <c r="E5" s="30"/>
      <c r="F5" s="26">
        <f t="shared" si="1"/>
        <v>0</v>
      </c>
      <c r="G5" s="24" t="str">
        <f t="shared" si="2"/>
        <v>#REF!</v>
      </c>
      <c r="H5" s="26" t="str">
        <f t="shared" si="7"/>
        <v>#REF!</v>
      </c>
      <c r="I5" s="24" t="str">
        <f t="shared" si="3"/>
        <v/>
      </c>
      <c r="J5" s="80"/>
      <c r="K5" s="26" t="str">
        <f t="shared" ref="K5:K15" si="8">J5*H5</f>
        <v>#REF!</v>
      </c>
      <c r="L5" s="26" t="str">
        <f t="shared" si="5"/>
        <v/>
      </c>
    </row>
    <row r="6" ht="22.5" customHeight="1">
      <c r="A6" s="25"/>
      <c r="B6" s="23"/>
      <c r="C6" s="24" t="str">
        <f t="shared" si="6"/>
        <v>#REF!</v>
      </c>
      <c r="D6" s="30"/>
      <c r="E6" s="30"/>
      <c r="F6" s="26">
        <f t="shared" si="1"/>
        <v>0</v>
      </c>
      <c r="G6" s="24" t="str">
        <f t="shared" si="2"/>
        <v>#REF!</v>
      </c>
      <c r="H6" s="26" t="str">
        <f t="shared" si="7"/>
        <v>#REF!</v>
      </c>
      <c r="I6" s="24" t="str">
        <f t="shared" si="3"/>
        <v>#REF!</v>
      </c>
      <c r="J6" s="80">
        <v>86.0</v>
      </c>
      <c r="K6" s="26" t="str">
        <f t="shared" si="8"/>
        <v>#REF!</v>
      </c>
      <c r="L6" s="26" t="str">
        <f t="shared" si="5"/>
        <v>#REF!</v>
      </c>
    </row>
    <row r="7" ht="22.5" customHeight="1">
      <c r="A7" s="25"/>
      <c r="B7" s="23"/>
      <c r="C7" s="24" t="str">
        <f t="shared" si="6"/>
        <v>#REF!</v>
      </c>
      <c r="D7" s="30"/>
      <c r="E7" s="30"/>
      <c r="F7" s="26">
        <f t="shared" si="1"/>
        <v>0</v>
      </c>
      <c r="G7" s="24" t="str">
        <f t="shared" si="2"/>
        <v>#REF!</v>
      </c>
      <c r="H7" s="26" t="str">
        <f t="shared" si="7"/>
        <v>#REF!</v>
      </c>
      <c r="I7" s="24" t="str">
        <f t="shared" si="3"/>
        <v>#REF!</v>
      </c>
      <c r="J7" s="80">
        <v>94.0</v>
      </c>
      <c r="K7" s="26" t="str">
        <f t="shared" si="8"/>
        <v>#REF!</v>
      </c>
      <c r="L7" s="26" t="str">
        <f t="shared" si="5"/>
        <v>#REF!</v>
      </c>
    </row>
    <row r="8" ht="22.5" customHeight="1">
      <c r="A8" s="25"/>
      <c r="B8" s="23"/>
      <c r="C8" s="24" t="str">
        <f t="shared" si="6"/>
        <v>#REF!</v>
      </c>
      <c r="D8" s="30"/>
      <c r="E8" s="30"/>
      <c r="F8" s="26">
        <f t="shared" si="1"/>
        <v>0</v>
      </c>
      <c r="G8" s="24" t="str">
        <f t="shared" si="2"/>
        <v>#REF!</v>
      </c>
      <c r="H8" s="26" t="str">
        <f t="shared" si="7"/>
        <v>#REF!</v>
      </c>
      <c r="I8" s="24" t="str">
        <f t="shared" si="3"/>
        <v>#REF!</v>
      </c>
      <c r="J8" s="80">
        <v>40.0</v>
      </c>
      <c r="K8" s="26" t="str">
        <f t="shared" si="8"/>
        <v>#REF!</v>
      </c>
      <c r="L8" s="26" t="str">
        <f t="shared" si="5"/>
        <v>#REF!</v>
      </c>
    </row>
    <row r="9" ht="22.5" customHeight="1">
      <c r="A9" s="25"/>
      <c r="B9" s="23"/>
      <c r="C9" s="24" t="str">
        <f t="shared" si="6"/>
        <v>#REF!</v>
      </c>
      <c r="D9" s="30"/>
      <c r="E9" s="30"/>
      <c r="F9" s="26">
        <f t="shared" si="1"/>
        <v>0</v>
      </c>
      <c r="G9" s="24" t="str">
        <f t="shared" si="2"/>
        <v>#REF!</v>
      </c>
      <c r="H9" s="26" t="str">
        <f t="shared" si="7"/>
        <v>#REF!</v>
      </c>
      <c r="I9" s="24" t="str">
        <f t="shared" si="3"/>
        <v>#REF!</v>
      </c>
      <c r="J9" s="80">
        <v>98.0</v>
      </c>
      <c r="K9" s="26" t="str">
        <f t="shared" si="8"/>
        <v>#REF!</v>
      </c>
      <c r="L9" s="26" t="str">
        <f t="shared" si="5"/>
        <v>#REF!</v>
      </c>
    </row>
    <row r="10" ht="22.5" customHeight="1">
      <c r="A10" s="25"/>
      <c r="B10" s="23"/>
      <c r="C10" s="24" t="str">
        <f t="shared" si="6"/>
        <v>#REF!</v>
      </c>
      <c r="D10" s="30"/>
      <c r="E10" s="30"/>
      <c r="F10" s="26">
        <f t="shared" si="1"/>
        <v>0</v>
      </c>
      <c r="G10" s="24" t="str">
        <f t="shared" si="2"/>
        <v>#REF!</v>
      </c>
      <c r="H10" s="26" t="str">
        <f t="shared" si="7"/>
        <v>#REF!</v>
      </c>
      <c r="I10" s="24" t="str">
        <f t="shared" si="3"/>
        <v>#REF!</v>
      </c>
      <c r="J10" s="80">
        <v>84.0</v>
      </c>
      <c r="K10" s="26" t="str">
        <f t="shared" si="8"/>
        <v>#REF!</v>
      </c>
      <c r="L10" s="26" t="str">
        <f t="shared" si="5"/>
        <v>#REF!</v>
      </c>
      <c r="O10" s="81"/>
    </row>
    <row r="11" ht="22.5" customHeight="1">
      <c r="A11" s="25"/>
      <c r="B11" s="23"/>
      <c r="C11" s="24" t="str">
        <f t="shared" si="6"/>
        <v>#REF!</v>
      </c>
      <c r="D11" s="30"/>
      <c r="E11" s="30"/>
      <c r="F11" s="26">
        <f t="shared" si="1"/>
        <v>0</v>
      </c>
      <c r="G11" s="24" t="str">
        <f t="shared" si="2"/>
        <v>#REF!</v>
      </c>
      <c r="H11" s="26" t="str">
        <f t="shared" si="7"/>
        <v>#REF!</v>
      </c>
      <c r="I11" s="24" t="str">
        <f t="shared" si="3"/>
        <v>#REF!</v>
      </c>
      <c r="J11" s="80">
        <v>114.0</v>
      </c>
      <c r="K11" s="26" t="str">
        <f t="shared" si="8"/>
        <v>#REF!</v>
      </c>
      <c r="L11" s="26" t="str">
        <f t="shared" si="5"/>
        <v>#REF!</v>
      </c>
    </row>
    <row r="12" ht="22.5" customHeight="1">
      <c r="A12" s="25"/>
      <c r="B12" s="23"/>
      <c r="C12" s="24" t="str">
        <f t="shared" si="6"/>
        <v>#REF!</v>
      </c>
      <c r="D12" s="24"/>
      <c r="E12" s="24"/>
      <c r="F12" s="26"/>
      <c r="G12" s="24"/>
      <c r="H12" s="26">
        <f t="shared" si="7"/>
        <v>0</v>
      </c>
      <c r="I12" s="24" t="str">
        <f t="shared" si="3"/>
        <v/>
      </c>
      <c r="J12" s="80"/>
      <c r="K12" s="26">
        <f t="shared" si="8"/>
        <v>0</v>
      </c>
      <c r="L12" s="26" t="str">
        <f t="shared" si="5"/>
        <v/>
      </c>
    </row>
    <row r="13" ht="22.5" customHeight="1">
      <c r="A13" s="25"/>
      <c r="B13" s="23"/>
      <c r="C13" s="24">
        <f t="shared" si="6"/>
        <v>0</v>
      </c>
      <c r="D13" s="24"/>
      <c r="E13" s="24"/>
      <c r="F13" s="26"/>
      <c r="G13" s="24"/>
      <c r="H13" s="26">
        <f t="shared" si="7"/>
        <v>0</v>
      </c>
      <c r="I13" s="24" t="str">
        <f t="shared" si="3"/>
        <v/>
      </c>
      <c r="J13" s="80"/>
      <c r="K13" s="26">
        <f t="shared" si="8"/>
        <v>0</v>
      </c>
      <c r="L13" s="26" t="str">
        <f t="shared" si="5"/>
        <v/>
      </c>
    </row>
    <row r="14" ht="22.5" customHeight="1">
      <c r="A14" s="25"/>
      <c r="B14" s="23"/>
      <c r="C14" s="24">
        <f t="shared" si="6"/>
        <v>0</v>
      </c>
      <c r="D14" s="24"/>
      <c r="E14" s="24"/>
      <c r="F14" s="26"/>
      <c r="G14" s="24"/>
      <c r="H14" s="26">
        <f t="shared" si="7"/>
        <v>0</v>
      </c>
      <c r="I14" s="24" t="str">
        <f t="shared" si="3"/>
        <v/>
      </c>
      <c r="J14" s="80"/>
      <c r="K14" s="26">
        <f t="shared" si="8"/>
        <v>0</v>
      </c>
      <c r="L14" s="26" t="str">
        <f t="shared" si="5"/>
        <v/>
      </c>
    </row>
    <row r="15" ht="22.5" customHeight="1">
      <c r="A15" s="25"/>
      <c r="B15" s="23"/>
      <c r="C15" s="24">
        <f t="shared" si="6"/>
        <v>0</v>
      </c>
      <c r="D15" s="24"/>
      <c r="E15" s="24"/>
      <c r="F15" s="26"/>
      <c r="G15" s="24"/>
      <c r="H15" s="26">
        <f t="shared" si="7"/>
        <v>0</v>
      </c>
      <c r="I15" s="24" t="str">
        <f t="shared" si="3"/>
        <v/>
      </c>
      <c r="J15" s="80"/>
      <c r="K15" s="26">
        <f t="shared" si="8"/>
        <v>0</v>
      </c>
      <c r="L15" s="26" t="str">
        <f t="shared" si="5"/>
        <v/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OBR_Feb_2025!B3</f>
        <v/>
      </c>
      <c r="O1" s="1" t="str">
        <f>OBR_Feb_2025!A3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12002"",0)"),"#REF!")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12002"",0)"),"#REF!")</f>
        <v>#REF!</v>
      </c>
      <c r="C2" s="78">
        <f>OBR_Feb_2025!D3</f>
        <v>1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12002"",0)"),"#REF!")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12002"",0)"),"#REF!")</f>
        <v>#REF!</v>
      </c>
      <c r="F2" s="29" t="str">
        <f t="shared" ref="F2:F11" si="1">D2*E2</f>
        <v>#REF!</v>
      </c>
      <c r="G2" s="30" t="str">
        <f t="shared" ref="G2:G11" si="2">C2+D2</f>
        <v>#REF!</v>
      </c>
      <c r="H2" s="82" t="str">
        <f>IF(G2=0,0,((C2*OBR_Feb_2025!E3)+(D2*E2))/G2)</f>
        <v>#REF!</v>
      </c>
      <c r="I2" s="24" t="str">
        <f t="shared" ref="I2:I15" si="3">IF(ISBLANK(J2),"",G2-J2)</f>
        <v>#REF!</v>
      </c>
      <c r="J2" s="78">
        <f>OBR_Mar_2025!D5</f>
        <v>12</v>
      </c>
      <c r="K2" s="26" t="str">
        <f t="shared" ref="K2:K15" si="4">J2*H2</f>
        <v>#REF!</v>
      </c>
      <c r="L2" s="30" t="str">
        <f t="shared" ref="L2:L15" si="5">IF(ISBLANK(J2),"",I2*H2)</f>
        <v>#REF!</v>
      </c>
    </row>
    <row r="3" ht="22.5" customHeight="1">
      <c r="A3" s="25"/>
      <c r="B3" s="23"/>
      <c r="C3" s="30" t="str">
        <f t="shared" ref="C3:C15" si="6">G2-I2</f>
        <v>#REF!</v>
      </c>
      <c r="D3" s="30"/>
      <c r="E3" s="30"/>
      <c r="F3" s="29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>#REF!</v>
      </c>
      <c r="J3" s="80">
        <v>7.0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9">
        <f t="shared" si="1"/>
        <v>0</v>
      </c>
      <c r="G4" s="30" t="str">
        <f t="shared" si="2"/>
        <v>#REF!</v>
      </c>
      <c r="H4" s="30" t="str">
        <f t="shared" si="7"/>
        <v>#REF!</v>
      </c>
      <c r="I4" s="24" t="str">
        <f t="shared" si="3"/>
        <v>#REF!</v>
      </c>
      <c r="J4" s="80">
        <v>16.0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9">
        <f t="shared" si="1"/>
        <v>0</v>
      </c>
      <c r="G5" s="30" t="str">
        <f t="shared" si="2"/>
        <v>#REF!</v>
      </c>
      <c r="H5" s="30" t="str">
        <f t="shared" si="7"/>
        <v>#REF!</v>
      </c>
      <c r="I5" s="24" t="str">
        <f t="shared" si="3"/>
        <v>#REF!</v>
      </c>
      <c r="J5" s="80">
        <v>4.5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9">
        <f t="shared" si="1"/>
        <v>0</v>
      </c>
      <c r="G6" s="30" t="str">
        <f t="shared" si="2"/>
        <v>#REF!</v>
      </c>
      <c r="H6" s="30" t="str">
        <f t="shared" si="7"/>
        <v>#REF!</v>
      </c>
      <c r="I6" s="24" t="str">
        <f t="shared" si="3"/>
        <v>#REF!</v>
      </c>
      <c r="J6" s="80">
        <v>3.0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9">
        <f t="shared" si="1"/>
        <v>0</v>
      </c>
      <c r="G7" s="30" t="str">
        <f t="shared" si="2"/>
        <v>#REF!</v>
      </c>
      <c r="H7" s="30" t="str">
        <f t="shared" si="7"/>
        <v>#REF!</v>
      </c>
      <c r="I7" s="24" t="str">
        <f t="shared" si="3"/>
        <v/>
      </c>
      <c r="J7" s="80"/>
      <c r="K7" s="26" t="str">
        <f t="shared" si="4"/>
        <v>#REF!</v>
      </c>
      <c r="L7" s="30" t="str">
        <f t="shared" si="5"/>
        <v/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9">
        <f t="shared" si="1"/>
        <v>0</v>
      </c>
      <c r="G8" s="30" t="str">
        <f t="shared" si="2"/>
        <v>#REF!</v>
      </c>
      <c r="H8" s="30" t="str">
        <f t="shared" si="7"/>
        <v>#REF!</v>
      </c>
      <c r="I8" s="24" t="str">
        <f t="shared" si="3"/>
        <v>#REF!</v>
      </c>
      <c r="J8" s="80">
        <v>8.48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9">
        <f t="shared" si="1"/>
        <v>0</v>
      </c>
      <c r="G9" s="30" t="str">
        <f t="shared" si="2"/>
        <v>#REF!</v>
      </c>
      <c r="H9" s="30" t="str">
        <f t="shared" si="7"/>
        <v>#REF!</v>
      </c>
      <c r="I9" s="24" t="str">
        <f t="shared" si="3"/>
        <v>#REF!</v>
      </c>
      <c r="J9" s="80">
        <v>12.6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9">
        <f t="shared" si="1"/>
        <v>0</v>
      </c>
      <c r="G10" s="30" t="str">
        <f t="shared" si="2"/>
        <v>#REF!</v>
      </c>
      <c r="H10" s="30" t="str">
        <f t="shared" si="7"/>
        <v>#REF!</v>
      </c>
      <c r="I10" s="24" t="str">
        <f t="shared" si="3"/>
        <v>#REF!</v>
      </c>
      <c r="J10" s="80">
        <v>11.28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30" t="str">
        <f t="shared" si="6"/>
        <v>#REF!</v>
      </c>
      <c r="D11" s="30"/>
      <c r="E11" s="30"/>
      <c r="F11" s="29">
        <f t="shared" si="1"/>
        <v>0</v>
      </c>
      <c r="G11" s="30" t="str">
        <f t="shared" si="2"/>
        <v>#REF!</v>
      </c>
      <c r="H11" s="30" t="str">
        <f t="shared" si="7"/>
        <v>#REF!</v>
      </c>
      <c r="I11" s="24" t="str">
        <f t="shared" si="3"/>
        <v>#REF!</v>
      </c>
      <c r="J11" s="80">
        <v>7.32</v>
      </c>
      <c r="K11" s="26" t="str">
        <f t="shared" si="4"/>
        <v>#REF!</v>
      </c>
      <c r="L11" s="30" t="str">
        <f t="shared" si="5"/>
        <v>#REF!</v>
      </c>
    </row>
    <row r="12" ht="22.5" customHeight="1">
      <c r="A12" s="25"/>
      <c r="B12" s="23"/>
      <c r="C12" s="30" t="str">
        <f t="shared" si="6"/>
        <v>#REF!</v>
      </c>
      <c r="D12" s="24"/>
      <c r="E12" s="24"/>
      <c r="F12" s="26"/>
      <c r="G12" s="30"/>
      <c r="H12" s="30">
        <f t="shared" si="7"/>
        <v>0</v>
      </c>
      <c r="I12" s="24" t="str">
        <f t="shared" si="3"/>
        <v/>
      </c>
      <c r="J12" s="80"/>
      <c r="K12" s="26">
        <f t="shared" si="4"/>
        <v>0</v>
      </c>
      <c r="L12" s="30" t="str">
        <f t="shared" si="5"/>
        <v/>
      </c>
    </row>
    <row r="13" ht="22.5" customHeight="1">
      <c r="A13" s="25"/>
      <c r="B13" s="23"/>
      <c r="C13" s="30">
        <f t="shared" si="6"/>
        <v>0</v>
      </c>
      <c r="D13" s="24"/>
      <c r="E13" s="24"/>
      <c r="F13" s="26"/>
      <c r="G13" s="30"/>
      <c r="H13" s="30">
        <f t="shared" si="7"/>
        <v>0</v>
      </c>
      <c r="I13" s="24" t="str">
        <f t="shared" si="3"/>
        <v/>
      </c>
      <c r="J13" s="80"/>
      <c r="K13" s="26">
        <f t="shared" si="4"/>
        <v>0</v>
      </c>
      <c r="L13" s="30" t="str">
        <f t="shared" si="5"/>
        <v/>
      </c>
    </row>
    <row r="14" ht="22.5" customHeight="1">
      <c r="A14" s="25"/>
      <c r="B14" s="23"/>
      <c r="C14" s="30">
        <f t="shared" si="6"/>
        <v>0</v>
      </c>
      <c r="D14" s="24"/>
      <c r="E14" s="24"/>
      <c r="F14" s="26"/>
      <c r="G14" s="30"/>
      <c r="H14" s="30">
        <f t="shared" si="7"/>
        <v>0</v>
      </c>
      <c r="I14" s="24" t="str">
        <f t="shared" si="3"/>
        <v/>
      </c>
      <c r="J14" s="80"/>
      <c r="K14" s="26">
        <f t="shared" si="4"/>
        <v>0</v>
      </c>
      <c r="L14" s="30" t="str">
        <f t="shared" si="5"/>
        <v/>
      </c>
    </row>
    <row r="15" ht="22.5" customHeight="1">
      <c r="A15" s="25"/>
      <c r="B15" s="23"/>
      <c r="C15" s="30">
        <f t="shared" si="6"/>
        <v>0</v>
      </c>
      <c r="D15" s="24"/>
      <c r="E15" s="24"/>
      <c r="F15" s="26"/>
      <c r="G15" s="30"/>
      <c r="H15" s="30">
        <f t="shared" si="7"/>
        <v>0</v>
      </c>
      <c r="I15" s="24" t="str">
        <f t="shared" si="3"/>
        <v/>
      </c>
      <c r="J15" s="80"/>
      <c r="K15" s="26">
        <f t="shared" si="4"/>
        <v>0</v>
      </c>
      <c r="L15" s="30" t="str">
        <f t="shared" si="5"/>
        <v/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OBR_Feb_2025!B4</f>
        <v/>
      </c>
      <c r="O1" s="1" t="str">
        <f>OBR_Feb_2025!A4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12003"",0)"),"#REF!")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12003"",0)"),"#REF!")</f>
        <v>#REF!</v>
      </c>
      <c r="C2" s="78">
        <f>OBR_Feb_2025!D4</f>
        <v>1.5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12003"",0)"),"#REF!")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12003"",0)"),"#REF!")</f>
        <v>#REF!</v>
      </c>
      <c r="F2" s="26" t="str">
        <f t="shared" ref="F2:F12" si="1">D2*E2</f>
        <v>#REF!</v>
      </c>
      <c r="G2" s="26" t="str">
        <f t="shared" ref="G2:G12" si="2">C2+D2</f>
        <v>#REF!</v>
      </c>
      <c r="H2" s="82" t="str">
        <f>IF(G2=0,0,((C2*OBR_Feb_2025!E4)+(D2*E2))/G2)</f>
        <v>#REF!</v>
      </c>
      <c r="I2" s="24" t="str">
        <f t="shared" ref="I2:I12" si="3">IF(ISBLANK(J2),"",G2-J2)</f>
        <v>#REF!</v>
      </c>
      <c r="J2" s="78">
        <f>OBR_Mar_2025!D6</f>
        <v>1.5</v>
      </c>
      <c r="K2" s="26" t="str">
        <f t="shared" ref="K2:K12" si="4">J2*H2</f>
        <v>#REF!</v>
      </c>
      <c r="L2" s="30" t="str">
        <f t="shared" ref="L2:L12" si="5">IF(ISBLANK(J2),"",I2*H2)</f>
        <v>#REF!</v>
      </c>
    </row>
    <row r="3" ht="22.5" customHeight="1">
      <c r="A3" s="25"/>
      <c r="B3" s="23"/>
      <c r="C3" s="26" t="str">
        <f t="shared" ref="C3:C12" si="6">G2-I2</f>
        <v>#REF!</v>
      </c>
      <c r="D3" s="30"/>
      <c r="E3" s="30"/>
      <c r="F3" s="26">
        <f t="shared" si="1"/>
        <v>0</v>
      </c>
      <c r="G3" s="26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/>
      </c>
      <c r="J3" s="80"/>
      <c r="K3" s="26" t="str">
        <f t="shared" si="4"/>
        <v>#REF!</v>
      </c>
      <c r="L3" s="30" t="str">
        <f t="shared" si="5"/>
        <v/>
      </c>
    </row>
    <row r="4" ht="22.5" customHeight="1">
      <c r="A4" s="25"/>
      <c r="B4" s="23"/>
      <c r="C4" s="26" t="str">
        <f t="shared" si="6"/>
        <v>#REF!</v>
      </c>
      <c r="D4" s="30"/>
      <c r="E4" s="30"/>
      <c r="F4" s="26">
        <f t="shared" si="1"/>
        <v>0</v>
      </c>
      <c r="G4" s="26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2.0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26" t="str">
        <f t="shared" si="6"/>
        <v>#REF!</v>
      </c>
      <c r="D5" s="30"/>
      <c r="E5" s="30"/>
      <c r="F5" s="26">
        <f t="shared" si="1"/>
        <v>0</v>
      </c>
      <c r="G5" s="26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1.0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26" t="str">
        <f t="shared" si="6"/>
        <v>#REF!</v>
      </c>
      <c r="D6" s="30"/>
      <c r="E6" s="30"/>
      <c r="F6" s="26">
        <f t="shared" si="1"/>
        <v>0</v>
      </c>
      <c r="G6" s="26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0">
        <v>1.0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26" t="str">
        <f t="shared" si="6"/>
        <v>#REF!</v>
      </c>
      <c r="D7" s="30"/>
      <c r="E7" s="30"/>
      <c r="F7" s="26">
        <f t="shared" si="1"/>
        <v>0</v>
      </c>
      <c r="G7" s="26" t="str">
        <f t="shared" si="2"/>
        <v>#REF!</v>
      </c>
      <c r="H7" s="30" t="str">
        <f t="shared" si="7"/>
        <v>#REF!</v>
      </c>
      <c r="I7" s="24" t="str">
        <f t="shared" si="3"/>
        <v/>
      </c>
      <c r="J7" s="80"/>
      <c r="K7" s="26" t="str">
        <f t="shared" si="4"/>
        <v>#REF!</v>
      </c>
      <c r="L7" s="30" t="str">
        <f t="shared" si="5"/>
        <v/>
      </c>
    </row>
    <row r="8" ht="22.5" customHeight="1">
      <c r="A8" s="25"/>
      <c r="B8" s="23"/>
      <c r="C8" s="26" t="str">
        <f t="shared" si="6"/>
        <v>#REF!</v>
      </c>
      <c r="D8" s="30"/>
      <c r="E8" s="30"/>
      <c r="F8" s="26">
        <f t="shared" si="1"/>
        <v>0</v>
      </c>
      <c r="G8" s="26" t="str">
        <f t="shared" si="2"/>
        <v>#REF!</v>
      </c>
      <c r="H8" s="30" t="str">
        <f t="shared" si="7"/>
        <v>#REF!</v>
      </c>
      <c r="I8" s="24" t="str">
        <f t="shared" si="3"/>
        <v>#REF!</v>
      </c>
      <c r="J8" s="80">
        <v>2.16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26" t="str">
        <f t="shared" si="6"/>
        <v>#REF!</v>
      </c>
      <c r="D9" s="30"/>
      <c r="E9" s="30"/>
      <c r="F9" s="26">
        <f t="shared" si="1"/>
        <v>0</v>
      </c>
      <c r="G9" s="26" t="str">
        <f t="shared" si="2"/>
        <v>#REF!</v>
      </c>
      <c r="H9" s="30" t="str">
        <f t="shared" si="7"/>
        <v>#REF!</v>
      </c>
      <c r="I9" s="24" t="str">
        <f t="shared" si="3"/>
        <v>#REF!</v>
      </c>
      <c r="J9" s="80">
        <v>2.44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26" t="str">
        <f t="shared" si="6"/>
        <v>#REF!</v>
      </c>
      <c r="D10" s="30"/>
      <c r="E10" s="30"/>
      <c r="F10" s="26">
        <f t="shared" si="1"/>
        <v>0</v>
      </c>
      <c r="G10" s="26" t="str">
        <f t="shared" si="2"/>
        <v>#REF!</v>
      </c>
      <c r="H10" s="30" t="str">
        <f t="shared" si="7"/>
        <v>#REF!</v>
      </c>
      <c r="I10" s="24" t="str">
        <f t="shared" si="3"/>
        <v>#REF!</v>
      </c>
      <c r="J10" s="80">
        <v>1.92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6" t="str">
        <f t="shared" si="6"/>
        <v>#REF!</v>
      </c>
      <c r="D11" s="30"/>
      <c r="E11" s="30"/>
      <c r="F11" s="26">
        <f t="shared" si="1"/>
        <v>0</v>
      </c>
      <c r="G11" s="26" t="str">
        <f t="shared" si="2"/>
        <v>#REF!</v>
      </c>
      <c r="H11" s="30" t="str">
        <f t="shared" si="7"/>
        <v>#REF!</v>
      </c>
      <c r="I11" s="24" t="str">
        <f t="shared" si="3"/>
        <v>#REF!</v>
      </c>
      <c r="J11" s="80">
        <v>1.48</v>
      </c>
      <c r="K11" s="26" t="str">
        <f t="shared" si="4"/>
        <v>#REF!</v>
      </c>
      <c r="L11" s="30" t="str">
        <f t="shared" si="5"/>
        <v>#REF!</v>
      </c>
    </row>
    <row r="12" ht="22.5" customHeight="1">
      <c r="A12" s="25"/>
      <c r="B12" s="23"/>
      <c r="C12" s="26" t="str">
        <f t="shared" si="6"/>
        <v>#REF!</v>
      </c>
      <c r="D12" s="30"/>
      <c r="E12" s="30"/>
      <c r="F12" s="26">
        <f t="shared" si="1"/>
        <v>0</v>
      </c>
      <c r="G12" s="26" t="str">
        <f t="shared" si="2"/>
        <v>#REF!</v>
      </c>
      <c r="H12" s="30" t="str">
        <f t="shared" si="7"/>
        <v>#REF!</v>
      </c>
      <c r="I12" s="24" t="str">
        <f t="shared" si="3"/>
        <v>#REF!</v>
      </c>
      <c r="J12" s="80">
        <v>1.7</v>
      </c>
      <c r="K12" s="26" t="str">
        <f t="shared" si="4"/>
        <v>#REF!</v>
      </c>
      <c r="L12" s="30" t="str">
        <f t="shared" si="5"/>
        <v>#REF!</v>
      </c>
    </row>
    <row r="13" ht="22.5" customHeight="1">
      <c r="A13" s="25"/>
      <c r="B13" s="23"/>
      <c r="C13" s="24"/>
      <c r="D13" s="24"/>
      <c r="E13" s="24"/>
      <c r="F13" s="26"/>
      <c r="G13" s="26"/>
      <c r="H13" s="30">
        <f t="shared" si="7"/>
        <v>0</v>
      </c>
      <c r="I13" s="24"/>
      <c r="J13" s="80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26"/>
      <c r="H14" s="30">
        <f t="shared" si="7"/>
        <v>0</v>
      </c>
      <c r="I14" s="24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26"/>
      <c r="H15" s="30">
        <f t="shared" si="7"/>
        <v>0</v>
      </c>
      <c r="I15" s="24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OBR_Feb_2025!B5</f>
        <v/>
      </c>
      <c r="O1" s="1" t="str">
        <f>OBR_Feb_2025!A5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12004"",0)"),"#REF!")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12004"",0)"),"#REF!")</f>
        <v>#REF!</v>
      </c>
      <c r="C2" s="78">
        <f>OBR_Feb_2025!D5</f>
        <v>1.5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12004"",0)"),"#REF!")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12004"",0)"),"#REF!")</f>
        <v>#REF!</v>
      </c>
      <c r="F2" s="26" t="str">
        <f t="shared" ref="F2:F13" si="1">D2*E2</f>
        <v>#REF!</v>
      </c>
      <c r="G2" s="30" t="str">
        <f t="shared" ref="G2:G13" si="2">C2+D2</f>
        <v>#REF!</v>
      </c>
      <c r="H2" s="82" t="str">
        <f>IF(G2=0,0,((C2*OBR_Feb_2025!E5)+(D2*E2))/G2)</f>
        <v>#REF!</v>
      </c>
      <c r="I2" s="24" t="str">
        <f t="shared" ref="I2:I13" si="3">IF(ISBLANK(J2),"",G2-J2)</f>
        <v>#REF!</v>
      </c>
      <c r="J2" s="78">
        <f>OBR_Mar_2025!D7</f>
        <v>2.5</v>
      </c>
      <c r="K2" s="26" t="str">
        <f t="shared" ref="K2:K13" si="4">J2*H2</f>
        <v>#REF!</v>
      </c>
      <c r="L2" s="30" t="str">
        <f t="shared" ref="L2:L13" si="5">IF(ISBLANK(J2),"",I2*H2)</f>
        <v>#REF!</v>
      </c>
    </row>
    <row r="3" ht="22.5" customHeight="1">
      <c r="A3" s="25"/>
      <c r="B3" s="23"/>
      <c r="C3" s="30" t="str">
        <f t="shared" ref="C3:C13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/>
      </c>
      <c r="J3" s="80"/>
      <c r="K3" s="26" t="str">
        <f t="shared" si="4"/>
        <v>#REF!</v>
      </c>
      <c r="L3" s="30" t="str">
        <f t="shared" si="5"/>
        <v/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4.0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2.0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0">
        <v>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30" t="str">
        <f t="shared" si="7"/>
        <v>#REF!</v>
      </c>
      <c r="I7" s="24" t="str">
        <f t="shared" si="3"/>
        <v/>
      </c>
      <c r="J7" s="80"/>
      <c r="K7" s="26" t="str">
        <f t="shared" si="4"/>
        <v>#REF!</v>
      </c>
      <c r="L7" s="30" t="str">
        <f t="shared" si="5"/>
        <v/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30" t="str">
        <f t="shared" si="7"/>
        <v>#REF!</v>
      </c>
      <c r="I8" s="24" t="str">
        <f t="shared" si="3"/>
        <v>#REF!</v>
      </c>
      <c r="J8" s="80">
        <v>1.28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30" t="str">
        <f t="shared" si="7"/>
        <v>#REF!</v>
      </c>
      <c r="I9" s="24" t="str">
        <f t="shared" si="3"/>
        <v>#REF!</v>
      </c>
      <c r="J9" s="80">
        <v>1.6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30" t="str">
        <f t="shared" si="7"/>
        <v>#REF!</v>
      </c>
      <c r="I10" s="24" t="str">
        <f t="shared" si="3"/>
        <v>#REF!</v>
      </c>
      <c r="J10" s="80">
        <v>2.4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30" t="str">
        <f t="shared" si="6"/>
        <v>#REF!</v>
      </c>
      <c r="D11" s="30"/>
      <c r="E11" s="30"/>
      <c r="F11" s="26">
        <f t="shared" si="1"/>
        <v>0</v>
      </c>
      <c r="G11" s="30" t="str">
        <f t="shared" si="2"/>
        <v>#REF!</v>
      </c>
      <c r="H11" s="30" t="str">
        <f t="shared" si="7"/>
        <v>#REF!</v>
      </c>
      <c r="I11" s="24" t="str">
        <f t="shared" si="3"/>
        <v>#REF!</v>
      </c>
      <c r="J11" s="80">
        <v>2.25</v>
      </c>
      <c r="K11" s="26" t="str">
        <f t="shared" si="4"/>
        <v>#REF!</v>
      </c>
      <c r="L11" s="30" t="str">
        <f t="shared" si="5"/>
        <v>#REF!</v>
      </c>
    </row>
    <row r="12" ht="22.5" customHeight="1">
      <c r="A12" s="25"/>
      <c r="B12" s="23"/>
      <c r="C12" s="30" t="str">
        <f t="shared" si="6"/>
        <v>#REF!</v>
      </c>
      <c r="D12" s="30"/>
      <c r="E12" s="30"/>
      <c r="F12" s="26">
        <f t="shared" si="1"/>
        <v>0</v>
      </c>
      <c r="G12" s="30" t="str">
        <f t="shared" si="2"/>
        <v>#REF!</v>
      </c>
      <c r="H12" s="30" t="str">
        <f t="shared" si="7"/>
        <v>#REF!</v>
      </c>
      <c r="I12" s="24" t="str">
        <f t="shared" si="3"/>
        <v/>
      </c>
      <c r="J12" s="80"/>
      <c r="K12" s="26" t="str">
        <f t="shared" si="4"/>
        <v>#REF!</v>
      </c>
      <c r="L12" s="30" t="str">
        <f t="shared" si="5"/>
        <v/>
      </c>
    </row>
    <row r="13" ht="22.5" customHeight="1">
      <c r="A13" s="25"/>
      <c r="B13" s="23"/>
      <c r="C13" s="30" t="str">
        <f t="shared" si="6"/>
        <v>#REF!</v>
      </c>
      <c r="D13" s="30"/>
      <c r="E13" s="30"/>
      <c r="F13" s="26">
        <f t="shared" si="1"/>
        <v>0</v>
      </c>
      <c r="G13" s="30" t="str">
        <f t="shared" si="2"/>
        <v>#REF!</v>
      </c>
      <c r="H13" s="30" t="str">
        <f t="shared" si="7"/>
        <v>#REF!</v>
      </c>
      <c r="I13" s="24" t="str">
        <f t="shared" si="3"/>
        <v>#REF!</v>
      </c>
      <c r="J13" s="80">
        <v>3.52</v>
      </c>
      <c r="K13" s="26" t="str">
        <f t="shared" si="4"/>
        <v>#REF!</v>
      </c>
      <c r="L13" s="30" t="str">
        <f t="shared" si="5"/>
        <v>#REF!</v>
      </c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4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4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OBR_Feb_2025!B6</f>
        <v/>
      </c>
      <c r="O1" s="1" t="str">
        <f>OBR_Feb_2025!A6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12005"",0)"),"#REF!")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12005"",0)"),"#REF!")</f>
        <v>#REF!</v>
      </c>
      <c r="C2" s="78">
        <f>OBR_Feb_2025!D6</f>
        <v>3830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12005"",0)"),"#REF!")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12005"",0)"),"#REF!")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IF(G2=0,0,((C2*OBR_Feb_2025!E6)+(D2*E2))/G2)</f>
        <v>#REF!</v>
      </c>
      <c r="I2" s="30" t="str">
        <f t="shared" ref="I2:I10" si="3">IF(ISBLANK(J2),"",G2-J2)</f>
        <v>#REF!</v>
      </c>
      <c r="J2" s="78">
        <f>OBR_Mar_2025!D8</f>
        <v>6610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30" t="str">
        <f t="shared" si="3"/>
        <v>#REF!</v>
      </c>
      <c r="J3" s="78">
        <v>26530.0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30" t="str">
        <f t="shared" si="3"/>
        <v>#REF!</v>
      </c>
      <c r="J4" s="78">
        <v>21500.0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30" t="str">
        <f t="shared" si="3"/>
        <v>#REF!</v>
      </c>
      <c r="J5" s="78">
        <v>10750.0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30" t="str">
        <f t="shared" si="7"/>
        <v>#REF!</v>
      </c>
      <c r="I6" s="30" t="str">
        <f t="shared" si="3"/>
        <v>#REF!</v>
      </c>
      <c r="J6" s="78">
        <v>10060.0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30" t="str">
        <f t="shared" si="7"/>
        <v>#REF!</v>
      </c>
      <c r="I7" s="30" t="str">
        <f t="shared" si="3"/>
        <v>#REF!</v>
      </c>
      <c r="J7" s="78">
        <v>5640.0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30" t="str">
        <f t="shared" si="7"/>
        <v>#REF!</v>
      </c>
      <c r="I8" s="30" t="str">
        <f t="shared" si="3"/>
        <v>#REF!</v>
      </c>
      <c r="J8" s="78">
        <v>8582.0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30" t="str">
        <f t="shared" si="7"/>
        <v>#REF!</v>
      </c>
      <c r="I9" s="30" t="str">
        <f t="shared" si="3"/>
        <v>#REF!</v>
      </c>
      <c r="J9" s="78">
        <v>7590.0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30" t="str">
        <f t="shared" si="7"/>
        <v>#REF!</v>
      </c>
      <c r="I10" s="30" t="str">
        <f t="shared" si="3"/>
        <v>#REF!</v>
      </c>
      <c r="J10" s="78">
        <v>17068.0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30"/>
      <c r="J11" s="78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30"/>
      <c r="J12" s="78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30"/>
      <c r="J13" s="78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30"/>
      <c r="J14" s="78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30"/>
      <c r="J15" s="78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83" t="s">
        <v>29</v>
      </c>
      <c r="D1" s="83" t="s">
        <v>22</v>
      </c>
      <c r="E1" s="83" t="s">
        <v>30</v>
      </c>
      <c r="F1" s="83" t="s">
        <v>31</v>
      </c>
      <c r="G1" s="83" t="s">
        <v>8</v>
      </c>
      <c r="H1" s="83" t="s">
        <v>32</v>
      </c>
      <c r="I1" s="83" t="s">
        <v>33</v>
      </c>
      <c r="J1" s="83" t="s">
        <v>34</v>
      </c>
      <c r="K1" s="83" t="s">
        <v>35</v>
      </c>
      <c r="L1" s="83" t="s">
        <v>14</v>
      </c>
      <c r="N1" s="32" t="str">
        <f>OBR_Feb_2025!B7</f>
        <v/>
      </c>
      <c r="O1" s="1" t="str">
        <f>OBR_Feb_2025!A7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12006"",0)"),"#REF!")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12006"",0)"),"#REF!")</f>
        <v>#REF!</v>
      </c>
      <c r="C2" s="78">
        <f>OBR_Feb_2025!D7</f>
        <v>140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12006"",0)"),"#REF!")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Purchases!B4:M500""),""SELECT Col12 WHERE Col6 = 12006"",0)"),"#REF!")</f>
        <v>#REF!</v>
      </c>
      <c r="F2" s="26" t="str">
        <f t="shared" ref="F2:F12" si="1">D2*E2</f>
        <v>#REF!</v>
      </c>
      <c r="G2" s="30" t="str">
        <f t="shared" ref="G2:G12" si="2">C2+D2</f>
        <v>#REF!</v>
      </c>
      <c r="H2" s="82" t="str">
        <f>IF(G2=0,0,((C2*OBR_Feb_2025!E7)+(D2*E2))/G2)</f>
        <v>#REF!</v>
      </c>
      <c r="I2" s="26" t="str">
        <f t="shared" ref="I2:I12" si="3">IF(ISBLANK(J2),"",G2-J2)</f>
        <v>#REF!</v>
      </c>
      <c r="J2" s="78">
        <f>OBR_Mar_2025!D9</f>
        <v>288</v>
      </c>
      <c r="K2" s="26" t="str">
        <f t="shared" ref="K2:K12" si="4">J2*H2</f>
        <v>#REF!</v>
      </c>
      <c r="L2" s="30" t="str">
        <f t="shared" ref="L2:L12" si="5">IF(ISBLANK(J2),"",I2*H2)</f>
        <v>#REF!</v>
      </c>
    </row>
    <row r="3" ht="22.5" customHeight="1">
      <c r="A3" s="25"/>
      <c r="B3" s="23"/>
      <c r="C3" s="30" t="str">
        <f t="shared" ref="C3:C12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6" t="str">
        <f t="shared" si="3"/>
        <v>#REF!</v>
      </c>
      <c r="J3" s="80">
        <v>520.0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6" t="str">
        <f t="shared" si="3"/>
        <v>#REF!</v>
      </c>
      <c r="J4" s="80">
        <v>736.0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6" t="str">
        <f t="shared" si="3"/>
        <v>#REF!</v>
      </c>
      <c r="J5" s="80">
        <v>3180.0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30" t="str">
        <f t="shared" si="7"/>
        <v>#REF!</v>
      </c>
      <c r="I6" s="26" t="str">
        <f t="shared" si="3"/>
        <v/>
      </c>
      <c r="J6" s="80"/>
      <c r="K6" s="26" t="str">
        <f t="shared" si="4"/>
        <v>#REF!</v>
      </c>
      <c r="L6" s="30" t="str">
        <f t="shared" si="5"/>
        <v/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30" t="str">
        <f t="shared" si="7"/>
        <v>#REF!</v>
      </c>
      <c r="I7" s="26" t="str">
        <f t="shared" si="3"/>
        <v>#REF!</v>
      </c>
      <c r="J7" s="80">
        <v>1100.0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30" t="str">
        <f t="shared" si="7"/>
        <v>#REF!</v>
      </c>
      <c r="I8" s="26" t="str">
        <f t="shared" si="3"/>
        <v>#REF!</v>
      </c>
      <c r="J8" s="80">
        <v>312.0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30" t="str">
        <f t="shared" si="7"/>
        <v>#REF!</v>
      </c>
      <c r="I9" s="26" t="str">
        <f t="shared" si="3"/>
        <v>#REF!</v>
      </c>
      <c r="J9" s="80">
        <v>1000.0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30" t="str">
        <f t="shared" si="7"/>
        <v>#REF!</v>
      </c>
      <c r="I10" s="26" t="str">
        <f t="shared" si="3"/>
        <v>#REF!</v>
      </c>
      <c r="J10" s="80">
        <v>620.0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30" t="str">
        <f t="shared" si="6"/>
        <v>#REF!</v>
      </c>
      <c r="D11" s="30"/>
      <c r="E11" s="30"/>
      <c r="F11" s="26">
        <f t="shared" si="1"/>
        <v>0</v>
      </c>
      <c r="G11" s="30" t="str">
        <f t="shared" si="2"/>
        <v>#REF!</v>
      </c>
      <c r="H11" s="30" t="str">
        <f t="shared" si="7"/>
        <v>#REF!</v>
      </c>
      <c r="I11" s="26" t="str">
        <f t="shared" si="3"/>
        <v/>
      </c>
      <c r="J11" s="80"/>
      <c r="K11" s="26" t="str">
        <f t="shared" si="4"/>
        <v>#REF!</v>
      </c>
      <c r="L11" s="30" t="str">
        <f t="shared" si="5"/>
        <v/>
      </c>
    </row>
    <row r="12" ht="22.5" customHeight="1">
      <c r="A12" s="25"/>
      <c r="B12" s="23"/>
      <c r="C12" s="30" t="str">
        <f t="shared" si="6"/>
        <v>#REF!</v>
      </c>
      <c r="D12" s="30"/>
      <c r="E12" s="30"/>
      <c r="F12" s="26">
        <f t="shared" si="1"/>
        <v>0</v>
      </c>
      <c r="G12" s="30" t="str">
        <f t="shared" si="2"/>
        <v>#REF!</v>
      </c>
      <c r="H12" s="30" t="str">
        <f t="shared" si="7"/>
        <v>#REF!</v>
      </c>
      <c r="I12" s="26" t="str">
        <f t="shared" si="3"/>
        <v>#REF!</v>
      </c>
      <c r="J12" s="80">
        <v>1824.0</v>
      </c>
      <c r="K12" s="26" t="str">
        <f t="shared" si="4"/>
        <v>#REF!</v>
      </c>
      <c r="L12" s="30" t="str">
        <f t="shared" si="5"/>
        <v>#REF!</v>
      </c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6"/>
      <c r="J13" s="80"/>
      <c r="K13" s="26"/>
      <c r="L13" s="30"/>
      <c r="P13" s="84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6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6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OBR_Feb_2025!B8</f>
        <v/>
      </c>
      <c r="O1" s="1" t="str">
        <f>OBR_Feb_2025!A8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12007"",0)"),"#REF!")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12007"",0)"),"#REF!")</f>
        <v>#REF!</v>
      </c>
      <c r="C2" s="78">
        <f>OBR_Feb_2025!D8</f>
        <v>8130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12007"",0)"),"#REF!")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12007"",0)"),"#REF!")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IF(G2=0,0,((C2*OBR_Feb_2025!E8)+(D2*E2))/G2)</f>
        <v>#REF!</v>
      </c>
      <c r="I2" s="26" t="str">
        <f t="shared" ref="I2:I10" si="3">IF(ISBLANK(J2),"",G2-J2)</f>
        <v>#REF!</v>
      </c>
      <c r="J2" s="85">
        <f>OBR_Mar_2025!D10</f>
        <v>6890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6" t="str">
        <f t="shared" si="3"/>
        <v>#REF!</v>
      </c>
      <c r="J3" s="85">
        <v>4820.0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6" t="str">
        <f t="shared" si="3"/>
        <v>#REF!</v>
      </c>
      <c r="J4" s="85">
        <v>8800.0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6" t="str">
        <f t="shared" si="3"/>
        <v>#REF!</v>
      </c>
      <c r="J5" s="85">
        <v>5430.0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6" t="str">
        <f t="shared" si="3"/>
        <v>#REF!</v>
      </c>
      <c r="J6" s="85">
        <v>3680.0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6" t="str">
        <f t="shared" si="3"/>
        <v>#REF!</v>
      </c>
      <c r="J7" s="85">
        <v>3200.0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6" t="str">
        <f t="shared" si="3"/>
        <v>#REF!</v>
      </c>
      <c r="J8" s="85">
        <v>6862.0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6" t="str">
        <f t="shared" si="3"/>
        <v>#REF!</v>
      </c>
      <c r="J9" s="85">
        <v>6500.0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6" t="str">
        <f t="shared" si="3"/>
        <v>#REF!</v>
      </c>
      <c r="J10" s="85">
        <v>5158.0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26"/>
      <c r="J11" s="85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26"/>
      <c r="J12" s="85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6"/>
      <c r="J13" s="85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6"/>
      <c r="J14" s="85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6"/>
      <c r="J15" s="85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OBR_Feb_2025!B9</f>
        <v/>
      </c>
      <c r="O1" s="1" t="str">
        <f>OBR_Feb_2025!A9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12008"",0)"),"#REF!")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12008"",0)"),"#REF!")</f>
        <v>#REF!</v>
      </c>
      <c r="C2" s="78">
        <f>OBR_Feb_2025!D9</f>
        <v>3</v>
      </c>
      <c r="D2" s="86" t="str">
        <f>IFERROR(__xludf.DUMMYFUNCTION("QUERY(IMPORTRANGE(""https://docs.google.com/spreadsheets/d/1sOBA95jI3gUTkNtq3pD8Ob7Zb_EY63WYXvHKt7aiQk8/edit?gid=2092145476#gid=2092145476"",""Daily Record - Raw Material Purchases!B4:T500""),""SELECT Col8 WHERE Col6 = 12008"",0)"),"#REF!")</f>
        <v>#REF!</v>
      </c>
      <c r="E2" s="86" t="str">
        <f>IFERROR(__xludf.DUMMYFUNCTION("QUERY(IMPORTRANGE(""https://docs.google.com/spreadsheets/d/1sOBA95jI3gUTkNtq3pD8Ob7Zb_EY63WYXvHKt7aiQk8/edit?gid=2092145476#gid=2092145476"",""Daily Record - Raw Material Purchases!B4:T500""),""SELECT Col12 WHERE Col6 = 12008"",0)"),"#REF!")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IF(G2=0,0,((C2*OBR_Feb_2025!E9)+(D2*E2))/G2)</f>
        <v>#REF!</v>
      </c>
      <c r="I2" s="87" t="str">
        <f t="shared" ref="I2:I10" si="3">IF(ISBLANK(J2),"",G2-J2)</f>
        <v>#REF!</v>
      </c>
      <c r="J2" s="88">
        <f>OBR_Mar_2025!D11</f>
        <v>2.85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86"/>
      <c r="E3" s="86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87" t="str">
        <f t="shared" si="3"/>
        <v>#REF!</v>
      </c>
      <c r="J3" s="88">
        <v>1.36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86"/>
      <c r="E4" s="86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87" t="str">
        <f t="shared" si="3"/>
        <v>#REF!</v>
      </c>
      <c r="J4" s="88">
        <v>5.61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86"/>
      <c r="E5" s="86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87" t="str">
        <f t="shared" si="3"/>
        <v>#REF!</v>
      </c>
      <c r="J5" s="88">
        <v>3.18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86"/>
      <c r="E6" s="86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87" t="str">
        <f t="shared" si="3"/>
        <v>#REF!</v>
      </c>
      <c r="J6" s="88">
        <v>1.652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86"/>
      <c r="E7" s="86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87" t="str">
        <f t="shared" si="3"/>
        <v>#REF!</v>
      </c>
      <c r="J7" s="88">
        <v>1.41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86"/>
      <c r="E8" s="86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87" t="str">
        <f t="shared" si="3"/>
        <v>#REF!</v>
      </c>
      <c r="J8" s="88">
        <v>1.232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86"/>
      <c r="E9" s="86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87" t="str">
        <f t="shared" si="3"/>
        <v>#REF!</v>
      </c>
      <c r="J9" s="88">
        <v>0.755680168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86"/>
      <c r="E10" s="86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87" t="str">
        <f t="shared" si="3"/>
        <v>#REF!</v>
      </c>
      <c r="J10" s="88">
        <v>1.9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89"/>
      <c r="E11" s="89"/>
      <c r="F11" s="26"/>
      <c r="G11" s="30"/>
      <c r="H11" s="30">
        <f t="shared" si="7"/>
        <v>0</v>
      </c>
      <c r="I11" s="87"/>
      <c r="J11" s="88"/>
      <c r="K11" s="26"/>
      <c r="L11" s="30"/>
    </row>
    <row r="12" ht="22.5" customHeight="1">
      <c r="A12" s="25"/>
      <c r="B12" s="23"/>
      <c r="C12" s="24"/>
      <c r="D12" s="89"/>
      <c r="E12" s="89"/>
      <c r="F12" s="26"/>
      <c r="G12" s="30"/>
      <c r="H12" s="30">
        <f t="shared" si="7"/>
        <v>0</v>
      </c>
      <c r="I12" s="87"/>
      <c r="J12" s="88"/>
      <c r="K12" s="26"/>
      <c r="L12" s="30"/>
    </row>
    <row r="13" ht="22.5" customHeight="1">
      <c r="A13" s="25"/>
      <c r="B13" s="23"/>
      <c r="C13" s="24"/>
      <c r="D13" s="89"/>
      <c r="E13" s="89"/>
      <c r="F13" s="26"/>
      <c r="G13" s="30"/>
      <c r="H13" s="30">
        <f t="shared" si="7"/>
        <v>0</v>
      </c>
      <c r="I13" s="87"/>
      <c r="J13" s="88"/>
      <c r="K13" s="26"/>
      <c r="L13" s="30"/>
    </row>
    <row r="14" ht="22.5" customHeight="1">
      <c r="A14" s="25"/>
      <c r="B14" s="23"/>
      <c r="C14" s="24"/>
      <c r="D14" s="89"/>
      <c r="E14" s="89"/>
      <c r="F14" s="26"/>
      <c r="G14" s="30"/>
      <c r="H14" s="30">
        <f t="shared" si="7"/>
        <v>0</v>
      </c>
      <c r="I14" s="87"/>
      <c r="J14" s="88"/>
      <c r="K14" s="26"/>
      <c r="L14" s="30"/>
    </row>
    <row r="15" ht="22.5" customHeight="1">
      <c r="A15" s="25"/>
      <c r="B15" s="23"/>
      <c r="C15" s="24"/>
      <c r="D15" s="89"/>
      <c r="E15" s="89"/>
      <c r="F15" s="26"/>
      <c r="G15" s="30"/>
      <c r="H15" s="30">
        <f t="shared" si="7"/>
        <v>0</v>
      </c>
      <c r="I15" s="87"/>
      <c r="J15" s="88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OBR_Feb_2025!B10</f>
        <v/>
      </c>
      <c r="O1" s="1" t="str">
        <f>OBR_Feb_2025!A10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12009"",0)"),"#REF!")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12009"",0)"),"#REF!")</f>
        <v>#REF!</v>
      </c>
      <c r="C2" s="78">
        <f>OBR_Feb_2025!D10</f>
        <v>7030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12009"",0)"),"#REF!")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12009"",0)"),"#REF!")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IF(G2=0,0,((C2*OBR_Feb_2025!E10)+(D2*E2))/G2)</f>
        <v>#REF!</v>
      </c>
      <c r="I2" s="24" t="str">
        <f t="shared" ref="I2:I10" si="3">IF(ISBLANK(J2),"",G2-J2)</f>
        <v>#REF!</v>
      </c>
      <c r="J2" s="78">
        <f>OBR_Mar_2025!D12</f>
        <v>4648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>#REF!</v>
      </c>
      <c r="J3" s="80">
        <v>2630.0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7100.0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5200.0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0">
        <v>3380.0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4" t="str">
        <f t="shared" si="3"/>
        <v>#REF!</v>
      </c>
      <c r="J7" s="80">
        <v>2100.0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4" t="str">
        <f t="shared" si="3"/>
        <v>#REF!</v>
      </c>
      <c r="J8" s="80">
        <v>6364.0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4" t="str">
        <f t="shared" si="3"/>
        <v>#REF!</v>
      </c>
      <c r="J9" s="80">
        <v>5900.0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4" t="str">
        <f t="shared" si="3"/>
        <v>#REF!</v>
      </c>
      <c r="J10" s="80">
        <v>4654.0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24"/>
      <c r="J11" s="80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24"/>
      <c r="J12" s="80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4"/>
      <c r="J13" s="80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4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4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83" t="s">
        <v>29</v>
      </c>
      <c r="D1" s="83" t="s">
        <v>22</v>
      </c>
      <c r="E1" s="83" t="s">
        <v>30</v>
      </c>
      <c r="F1" s="83" t="s">
        <v>31</v>
      </c>
      <c r="G1" s="83" t="s">
        <v>8</v>
      </c>
      <c r="H1" s="83" t="s">
        <v>32</v>
      </c>
      <c r="I1" s="83" t="s">
        <v>33</v>
      </c>
      <c r="J1" s="83" t="s">
        <v>34</v>
      </c>
      <c r="K1" s="83" t="s">
        <v>35</v>
      </c>
      <c r="L1" s="83" t="s">
        <v>14</v>
      </c>
      <c r="N1" s="32" t="str">
        <f>OBR_Feb_2025!B11</f>
        <v/>
      </c>
      <c r="O1" s="1" t="str">
        <f>OBR_Feb_2025!A11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12010"",0)"),"#REF!")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12010"",0)"),"#REF!")</f>
        <v>#REF!</v>
      </c>
      <c r="C2" s="78">
        <f>OBR_Feb_2025!D11</f>
        <v>658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12010"",0)"),"#REF!")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12010"",0)"),"#REF!")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IF(G2=0,0,((C2*OBR_Feb_2025!E11)+(D2*E2))/G2)</f>
        <v>#REF!</v>
      </c>
      <c r="I2" s="24" t="str">
        <f t="shared" ref="I2:I10" si="3">IF(ISBLANK(J2),"",G2-J2)</f>
        <v>#REF!</v>
      </c>
      <c r="J2" s="78">
        <f>OBR_Mar_2025!D13</f>
        <v>342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>#REF!</v>
      </c>
      <c r="J3" s="80">
        <v>88.0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520.0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760.0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0">
        <v>500.0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4" t="str">
        <f t="shared" si="3"/>
        <v>#REF!</v>
      </c>
      <c r="J7" s="80">
        <v>324.0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4" t="str">
        <f t="shared" si="3"/>
        <v>#REF!</v>
      </c>
      <c r="J8" s="80">
        <v>224.0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4" t="str">
        <f t="shared" si="3"/>
        <v>#REF!</v>
      </c>
      <c r="J9" s="80">
        <v>120.0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4" t="str">
        <f t="shared" si="3"/>
        <v>#REF!</v>
      </c>
      <c r="J10" s="80">
        <v>450.0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24"/>
      <c r="J11" s="80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24"/>
      <c r="J12" s="80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4"/>
      <c r="J13" s="80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4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4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OBR_Feb_2025!B12</f>
        <v/>
      </c>
      <c r="O1" s="1" t="str">
        <f>OBR_Feb_2025!A12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12011"",0)"),"#REF!")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12011"",0)"),"#REF!")</f>
        <v>#REF!</v>
      </c>
      <c r="C2" s="78">
        <f>OBR_Feb_2025!D12</f>
        <v>7800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12011"",0)"),"#REF!")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12011"",0)"),"#REF!")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IF(G2=0,0,((C2*OBR_Feb_2025!E12)+(D2*E2))/G2)</f>
        <v>#REF!</v>
      </c>
      <c r="I2" s="24" t="str">
        <f t="shared" ref="I2:I10" si="3">IF(ISBLANK(J2),"",G2-J2)</f>
        <v>#REF!</v>
      </c>
      <c r="J2" s="85">
        <f>OBR_Mar_2025!D14</f>
        <v>6760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>#REF!</v>
      </c>
      <c r="J3" s="85">
        <v>10000.0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5">
        <v>9500.0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5">
        <v>7850.0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5">
        <v>6780.0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4" t="str">
        <f t="shared" si="3"/>
        <v>#REF!</v>
      </c>
      <c r="J7" s="85">
        <v>6100.0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4" t="str">
        <f t="shared" si="3"/>
        <v>#REF!</v>
      </c>
      <c r="J8" s="85">
        <v>5096.0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4" t="str">
        <f t="shared" si="3"/>
        <v>#REF!</v>
      </c>
      <c r="J9" s="85">
        <v>4420.0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4" t="str">
        <f t="shared" si="3"/>
        <v>#REF!</v>
      </c>
      <c r="J10" s="85">
        <v>8400.0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24"/>
      <c r="J11" s="85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24"/>
      <c r="J12" s="85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4"/>
      <c r="J13" s="85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4"/>
      <c r="J14" s="85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4"/>
      <c r="J15" s="85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OBR_Feb_2025!B13</f>
        <v/>
      </c>
      <c r="O1" s="1" t="str">
        <f>OBR_Feb_2025!A13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12012"",0)"),"#REF!")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12012"",0)"),"#REF!")</f>
        <v>#REF!</v>
      </c>
      <c r="C2" s="78">
        <f>OBR_Feb_2025!D13</f>
        <v>410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12012"",0)"),"#REF!")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12012"",0)"),"#REF!")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IF(G2=0,0,((C2*OBR_Feb_2025!E13)+(D2*E2))/G2)</f>
        <v>#REF!</v>
      </c>
      <c r="I2" s="24" t="str">
        <f t="shared" ref="I2:I10" si="3">IF(ISBLANK(J2),"",G2-J2)</f>
        <v>#REF!</v>
      </c>
      <c r="J2" s="78">
        <f>OBR_Mar_2025!D15</f>
        <v>276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>#REF!</v>
      </c>
      <c r="J3" s="80">
        <v>950.0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900.0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490.0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0">
        <v>490.0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4" t="str">
        <f t="shared" si="3"/>
        <v>#REF!</v>
      </c>
      <c r="J7" s="80">
        <v>490.0</v>
      </c>
      <c r="K7" s="26" t="str">
        <f t="shared" si="4"/>
        <v>#REF!</v>
      </c>
      <c r="L7" s="30" t="str">
        <f t="shared" si="5"/>
        <v>#REF!</v>
      </c>
      <c r="R7" s="1">
        <v>66.0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4" t="str">
        <f t="shared" si="3"/>
        <v>#REF!</v>
      </c>
      <c r="J8" s="80">
        <v>368.0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4" t="str">
        <f t="shared" si="3"/>
        <v>#REF!</v>
      </c>
      <c r="J9" s="80">
        <v>270.0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4" t="str">
        <f t="shared" si="3"/>
        <v>#REF!</v>
      </c>
      <c r="J10" s="80">
        <v>780.0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24"/>
      <c r="J11" s="80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24"/>
      <c r="J12" s="80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4"/>
      <c r="J13" s="80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4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4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OBR_Feb_2025!B14</f>
        <v/>
      </c>
      <c r="O1" s="1" t="str">
        <f>OBR_Feb_2025!A14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12013"",0)"),"#REF!")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12013"",0)"),"#REF!")</f>
        <v>#REF!</v>
      </c>
      <c r="C2" s="78">
        <f>OBR_Feb_2025!D14</f>
        <v>7620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12013"",0)"),"#REF!")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12013"",0)"),"#REF!")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IF(G2=0,0,((C2*OBR_Feb_2025!E14)+(D2*E2))/G2)</f>
        <v>#REF!</v>
      </c>
      <c r="I2" s="24" t="str">
        <f t="shared" ref="I2:I10" si="3">IF(ISBLANK(J2),"",G2-J2)</f>
        <v>#REF!</v>
      </c>
      <c r="J2" s="78">
        <f>OBR_Mar_2025!D16</f>
        <v>4430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>#REF!</v>
      </c>
      <c r="J3" s="80">
        <v>6090.0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4700.0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3080.0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0">
        <v>7320.0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4" t="str">
        <f t="shared" si="3"/>
        <v>#REF!</v>
      </c>
      <c r="J7" s="80">
        <v>7000.0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4" t="str">
        <f t="shared" si="3"/>
        <v>#REF!</v>
      </c>
      <c r="J8" s="80">
        <v>6802.0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4" t="str">
        <f t="shared" si="3"/>
        <v>#REF!</v>
      </c>
      <c r="J9" s="80">
        <v>6200.0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4" t="str">
        <f t="shared" si="3"/>
        <v>#REF!</v>
      </c>
      <c r="J10" s="80">
        <v>11152.0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24"/>
      <c r="J11" s="80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24"/>
      <c r="J12" s="80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4"/>
      <c r="J13" s="80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4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4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OBR_Feb_2025!B15</f>
        <v/>
      </c>
      <c r="O1" s="1" t="str">
        <f>OBR_Feb_2025!A15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12014"",0)"),"#REF!")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Purchases!B4:M500""),""SELECT Col4 WHERE Col6 = 12014"",0)"),"#REF!")</f>
        <v>#REF!</v>
      </c>
      <c r="C2" s="78">
        <f>OBR_Feb_2025!D15</f>
        <v>370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12014"",0)"),"#REF!")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12014"",0)"),"#REF!")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IF(G2=0,0,((C2*OBR_Feb_2025!E15)+(D2*E2))/G2)</f>
        <v>#REF!</v>
      </c>
      <c r="I2" s="24" t="str">
        <f t="shared" ref="I2:I10" si="3">IF(ISBLANK(J2),"",G2-J2)</f>
        <v>#REF!</v>
      </c>
      <c r="J2" s="78">
        <f>OBR_Mar_2025!D17</f>
        <v>230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>#REF!</v>
      </c>
      <c r="J3" s="80">
        <v>520.0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850.0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200.0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0">
        <v>900.0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4" t="str">
        <f t="shared" si="3"/>
        <v>#REF!</v>
      </c>
      <c r="J7" s="80">
        <v>900.0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4" t="str">
        <f t="shared" si="3"/>
        <v>#REF!</v>
      </c>
      <c r="J8" s="80">
        <v>382.0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4" t="str">
        <f t="shared" si="3"/>
        <v>#REF!</v>
      </c>
      <c r="J9" s="80">
        <v>382.0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4" t="str">
        <f t="shared" si="3"/>
        <v>#REF!</v>
      </c>
      <c r="J10" s="80">
        <v>382.0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24"/>
      <c r="J11" s="80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24"/>
      <c r="J12" s="80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4"/>
      <c r="J13" s="80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4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4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OBR_Feb_2025!B16</f>
        <v/>
      </c>
      <c r="O1" s="1" t="str">
        <f>OBR_Feb_2025!A16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12015"",0)"),"#REF!")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12015"",0)"),"#REF!")</f>
        <v>#REF!</v>
      </c>
      <c r="C2" s="78">
        <f>OBR_Feb_2025!D16</f>
        <v>5000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12015"",0)"),"#REF!")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12015"",0)"),"#REF!")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IF(G2=0,0,((C2*OBR_Feb_2025!E16)+(D2*E2))/G2)</f>
        <v>#REF!</v>
      </c>
      <c r="I2" s="24" t="str">
        <f t="shared" ref="I2:I10" si="3">IF(ISBLANK(J2),"",G2-J2)</f>
        <v>#REF!</v>
      </c>
      <c r="J2" s="78">
        <f>OBR_Mar_2025!D18</f>
        <v>5000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>#REF!</v>
      </c>
      <c r="J3" s="80">
        <v>5000.0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5000.0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5000.0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0">
        <v>5000.0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4" t="str">
        <f t="shared" si="3"/>
        <v>#REF!</v>
      </c>
      <c r="J7" s="80">
        <v>5000.0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4" t="str">
        <f t="shared" si="3"/>
        <v>#REF!</v>
      </c>
      <c r="J8" s="80">
        <v>5000.0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4" t="str">
        <f t="shared" si="3"/>
        <v>#REF!</v>
      </c>
      <c r="J9" s="80">
        <v>5000.0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4" t="str">
        <f t="shared" si="3"/>
        <v>#REF!</v>
      </c>
      <c r="J10" s="80">
        <v>5000.0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24"/>
      <c r="J11" s="80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24"/>
      <c r="J12" s="80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4"/>
      <c r="J13" s="80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4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4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OBR_Feb_2025!B17</f>
        <v/>
      </c>
      <c r="O1" s="1" t="str">
        <f>OBR_Feb_2025!A17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12016"",0)"),"#REF!")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12016"",0)"),"#REF!")</f>
        <v>#REF!</v>
      </c>
      <c r="C2" s="78">
        <f>OBR_Feb_2025!D17</f>
        <v>450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12016"",0)"),"#REF!")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12016"",0)"),"#REF!")</f>
        <v>#REF!</v>
      </c>
      <c r="F2" s="26" t="str">
        <f t="shared" ref="F2:F10" si="1">D2*E2</f>
        <v>#REF!</v>
      </c>
      <c r="G2" s="30" t="str">
        <f t="shared" ref="G2:G10" si="2">C2+D2</f>
        <v>#REF!</v>
      </c>
      <c r="H2" s="82" t="str">
        <f>IF(G2=0,0,((C2*OBR_Feb_2025!E17)+(D2*E2))/G2)</f>
        <v>#REF!</v>
      </c>
      <c r="I2" s="24" t="str">
        <f t="shared" ref="I2:I10" si="3">IF(ISBLANK(J2),"",G2-J2)</f>
        <v>#REF!</v>
      </c>
      <c r="J2" s="78">
        <f>OBR_Mar_2025!D19</f>
        <v>450</v>
      </c>
      <c r="K2" s="26" t="str">
        <f t="shared" ref="K2:K10" si="4">J2*H2</f>
        <v>#REF!</v>
      </c>
      <c r="L2" s="30" t="str">
        <f t="shared" ref="L2:L10" si="5">IF(ISBLANK(J2),"",I2*H2)</f>
        <v>#REF!</v>
      </c>
    </row>
    <row r="3" ht="22.5" customHeight="1">
      <c r="A3" s="25"/>
      <c r="B3" s="23"/>
      <c r="C3" s="30" t="str">
        <f t="shared" ref="C3:C10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5" si="7">IF(G3=0,0,((C3*H2)+(D3*E3))/G3)</f>
        <v>#REF!</v>
      </c>
      <c r="I3" s="24" t="str">
        <f t="shared" si="3"/>
        <v>#REF!</v>
      </c>
      <c r="J3" s="80">
        <v>450.0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450.0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450.0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>#REF!</v>
      </c>
      <c r="J6" s="80">
        <v>450.0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4" t="str">
        <f t="shared" si="3"/>
        <v>#REF!</v>
      </c>
      <c r="J7" s="80">
        <v>450.0</v>
      </c>
      <c r="K7" s="26" t="str">
        <f t="shared" si="4"/>
        <v>#REF!</v>
      </c>
      <c r="L7" s="30" t="str">
        <f t="shared" si="5"/>
        <v>#REF!</v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4" t="str">
        <f t="shared" si="3"/>
        <v>#REF!</v>
      </c>
      <c r="J8" s="80">
        <v>450.0</v>
      </c>
      <c r="K8" s="26" t="str">
        <f t="shared" si="4"/>
        <v>#REF!</v>
      </c>
      <c r="L8" s="30" t="str">
        <f t="shared" si="5"/>
        <v>#REF!</v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4" t="str">
        <f t="shared" si="3"/>
        <v>#REF!</v>
      </c>
      <c r="J9" s="80">
        <v>450.0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4" t="str">
        <f t="shared" si="3"/>
        <v>#REF!</v>
      </c>
      <c r="J10" s="80">
        <v>450.0</v>
      </c>
      <c r="K10" s="26" t="str">
        <f t="shared" si="4"/>
        <v>#REF!</v>
      </c>
      <c r="L10" s="30" t="str">
        <f t="shared" si="5"/>
        <v>#REF!</v>
      </c>
    </row>
    <row r="11" ht="22.5" customHeight="1">
      <c r="A11" s="25"/>
      <c r="B11" s="23"/>
      <c r="C11" s="24"/>
      <c r="D11" s="24"/>
      <c r="E11" s="24"/>
      <c r="F11" s="26"/>
      <c r="G11" s="30"/>
      <c r="H11" s="30">
        <f t="shared" si="7"/>
        <v>0</v>
      </c>
      <c r="I11" s="24"/>
      <c r="J11" s="80"/>
      <c r="K11" s="26"/>
      <c r="L11" s="30"/>
    </row>
    <row r="12" ht="22.5" customHeight="1">
      <c r="A12" s="25"/>
      <c r="B12" s="23"/>
      <c r="C12" s="24"/>
      <c r="D12" s="24"/>
      <c r="E12" s="24"/>
      <c r="F12" s="26"/>
      <c r="G12" s="30"/>
      <c r="H12" s="30">
        <f t="shared" si="7"/>
        <v>0</v>
      </c>
      <c r="I12" s="24"/>
      <c r="J12" s="80"/>
      <c r="K12" s="26"/>
      <c r="L12" s="30"/>
    </row>
    <row r="13" ht="22.5" customHeight="1">
      <c r="A13" s="25"/>
      <c r="B13" s="23"/>
      <c r="C13" s="24"/>
      <c r="D13" s="24"/>
      <c r="E13" s="24"/>
      <c r="F13" s="26"/>
      <c r="G13" s="30"/>
      <c r="H13" s="30">
        <f t="shared" si="7"/>
        <v>0</v>
      </c>
      <c r="I13" s="24"/>
      <c r="J13" s="80"/>
      <c r="K13" s="26"/>
      <c r="L13" s="30"/>
    </row>
    <row r="14" ht="22.5" customHeight="1">
      <c r="A14" s="25"/>
      <c r="B14" s="23"/>
      <c r="C14" s="24"/>
      <c r="D14" s="24"/>
      <c r="E14" s="24"/>
      <c r="F14" s="26"/>
      <c r="G14" s="30"/>
      <c r="H14" s="30">
        <f t="shared" si="7"/>
        <v>0</v>
      </c>
      <c r="I14" s="24"/>
      <c r="J14" s="80"/>
      <c r="K14" s="26"/>
      <c r="L14" s="30"/>
    </row>
    <row r="15" ht="22.5" customHeight="1">
      <c r="A15" s="25"/>
      <c r="B15" s="23"/>
      <c r="C15" s="24"/>
      <c r="D15" s="24"/>
      <c r="E15" s="24"/>
      <c r="F15" s="26"/>
      <c r="G15" s="30"/>
      <c r="H15" s="30">
        <f t="shared" si="7"/>
        <v>0</v>
      </c>
      <c r="I15" s="24"/>
      <c r="J15" s="80"/>
      <c r="K15" s="26"/>
      <c r="L15" s="3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C2:L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OBR_Feb_2025!B18</f>
        <v/>
      </c>
      <c r="O1" s="1" t="str">
        <f>OBR_Feb_2025!A18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12017"",0)"),"#REF!")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12017"",0)"),"#REF!")</f>
        <v>#REF!</v>
      </c>
      <c r="C2" s="85">
        <f>OBR_Feb_2025!D18</f>
        <v>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12017"",0)"),"#REF!")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12017"",0)"),"#REF!")</f>
        <v>#REF!</v>
      </c>
      <c r="F2" s="26" t="str">
        <f t="shared" ref="F2:F15" si="1">D2*E2</f>
        <v>#REF!</v>
      </c>
      <c r="G2" s="30" t="str">
        <f t="shared" ref="G2:G15" si="2">C2+D2</f>
        <v>#REF!</v>
      </c>
      <c r="H2" s="82" t="str">
        <f>IF(G2=0,0,((C2*OBR_Feb_2025!E18)+(D2*E2))/G2)</f>
        <v>#REF!</v>
      </c>
      <c r="I2" s="24" t="str">
        <f t="shared" ref="I2:I1015" si="3">IF(ISBLANK(J2),"",G2-J2)</f>
        <v/>
      </c>
      <c r="J2" s="80"/>
      <c r="K2" s="26" t="str">
        <f t="shared" ref="K2:K9" si="4">J2*H2</f>
        <v>#REF!</v>
      </c>
      <c r="L2" s="30" t="str">
        <f t="shared" ref="L2:L9" si="5">IF(ISBLANK(J2),"",I2*H2)</f>
        <v/>
      </c>
    </row>
    <row r="3" ht="22.5" customHeight="1">
      <c r="A3" s="25"/>
      <c r="B3" s="23"/>
      <c r="C3" s="26" t="str">
        <f t="shared" ref="C3:C15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015" si="7">IF(G3=0,0,((C3*H2)+(D3*E3))/G3)</f>
        <v>#REF!</v>
      </c>
      <c r="I3" s="24" t="str">
        <f t="shared" si="3"/>
        <v>#REF!</v>
      </c>
      <c r="J3" s="78">
        <f>OBR_Mar_2025!D20</f>
        <v>1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26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4" t="str">
        <f t="shared" si="3"/>
        <v>#REF!</v>
      </c>
      <c r="J4" s="80">
        <v>1.0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26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4" t="str">
        <f t="shared" si="3"/>
        <v>#REF!</v>
      </c>
      <c r="J5" s="80">
        <v>0.35</v>
      </c>
      <c r="K5" s="26" t="str">
        <f t="shared" si="4"/>
        <v>#REF!</v>
      </c>
      <c r="L5" s="30" t="str">
        <f t="shared" si="5"/>
        <v>#REF!</v>
      </c>
    </row>
    <row r="6" ht="22.5" customHeight="1">
      <c r="A6" s="25"/>
      <c r="B6" s="23"/>
      <c r="C6" s="26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4" t="str">
        <f t="shared" si="3"/>
        <v/>
      </c>
      <c r="J6" s="80"/>
      <c r="K6" s="26" t="str">
        <f t="shared" si="4"/>
        <v>#REF!</v>
      </c>
      <c r="L6" s="30" t="str">
        <f t="shared" si="5"/>
        <v/>
      </c>
    </row>
    <row r="7" ht="22.5" customHeight="1">
      <c r="A7" s="25"/>
      <c r="B7" s="23"/>
      <c r="C7" s="26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4" t="str">
        <f t="shared" si="3"/>
        <v/>
      </c>
      <c r="J7" s="80"/>
      <c r="K7" s="26" t="str">
        <f t="shared" si="4"/>
        <v>#REF!</v>
      </c>
      <c r="L7" s="30" t="str">
        <f t="shared" si="5"/>
        <v/>
      </c>
    </row>
    <row r="8" ht="22.5" customHeight="1">
      <c r="A8" s="25"/>
      <c r="B8" s="23"/>
      <c r="C8" s="26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4" t="str">
        <f t="shared" si="3"/>
        <v/>
      </c>
      <c r="J8" s="80"/>
      <c r="K8" s="26" t="str">
        <f t="shared" si="4"/>
        <v>#REF!</v>
      </c>
      <c r="L8" s="30" t="str">
        <f t="shared" si="5"/>
        <v/>
      </c>
    </row>
    <row r="9" ht="22.5" customHeight="1">
      <c r="A9" s="25"/>
      <c r="B9" s="23"/>
      <c r="C9" s="26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4" t="str">
        <f t="shared" si="3"/>
        <v>#REF!</v>
      </c>
      <c r="J9" s="80">
        <v>2.0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26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4" t="str">
        <f t="shared" si="3"/>
        <v/>
      </c>
      <c r="J10" s="80"/>
      <c r="K10" s="26"/>
      <c r="L10" s="30"/>
    </row>
    <row r="11" ht="22.5" customHeight="1">
      <c r="A11" s="25"/>
      <c r="B11" s="23"/>
      <c r="C11" s="26" t="str">
        <f t="shared" si="6"/>
        <v>#REF!</v>
      </c>
      <c r="D11" s="30"/>
      <c r="E11" s="30"/>
      <c r="F11" s="26">
        <f t="shared" si="1"/>
        <v>0</v>
      </c>
      <c r="G11" s="30" t="str">
        <f t="shared" si="2"/>
        <v>#REF!</v>
      </c>
      <c r="H11" s="82" t="str">
        <f t="shared" si="7"/>
        <v>#REF!</v>
      </c>
      <c r="I11" s="24" t="str">
        <f t="shared" si="3"/>
        <v>#REF!</v>
      </c>
      <c r="J11" s="80">
        <v>1.828</v>
      </c>
      <c r="K11" s="26" t="str">
        <f t="shared" ref="K11:K15" si="8">J11*H11</f>
        <v>#REF!</v>
      </c>
      <c r="L11" s="30" t="str">
        <f t="shared" ref="L11:L15" si="9">IF(ISBLANK(J11),"",I11*H11)</f>
        <v>#REF!</v>
      </c>
    </row>
    <row r="12" ht="22.5" customHeight="1">
      <c r="A12" s="25"/>
      <c r="B12" s="23"/>
      <c r="C12" s="26" t="str">
        <f t="shared" si="6"/>
        <v>#REF!</v>
      </c>
      <c r="D12" s="30"/>
      <c r="E12" s="30"/>
      <c r="F12" s="26">
        <f t="shared" si="1"/>
        <v>0</v>
      </c>
      <c r="G12" s="30" t="str">
        <f t="shared" si="2"/>
        <v>#REF!</v>
      </c>
      <c r="H12" s="82" t="str">
        <f t="shared" si="7"/>
        <v>#REF!</v>
      </c>
      <c r="I12" s="24" t="str">
        <f t="shared" si="3"/>
        <v>#REF!</v>
      </c>
      <c r="J12" s="80">
        <v>0.24</v>
      </c>
      <c r="K12" s="26" t="str">
        <f t="shared" si="8"/>
        <v>#REF!</v>
      </c>
      <c r="L12" s="30" t="str">
        <f t="shared" si="9"/>
        <v>#REF!</v>
      </c>
    </row>
    <row r="13" ht="22.5" customHeight="1">
      <c r="A13" s="25"/>
      <c r="B13" s="23"/>
      <c r="C13" s="26" t="str">
        <f t="shared" si="6"/>
        <v>#REF!</v>
      </c>
      <c r="D13" s="30"/>
      <c r="E13" s="30"/>
      <c r="F13" s="26">
        <f t="shared" si="1"/>
        <v>0</v>
      </c>
      <c r="G13" s="30" t="str">
        <f t="shared" si="2"/>
        <v>#REF!</v>
      </c>
      <c r="H13" s="30" t="str">
        <f t="shared" si="7"/>
        <v>#REF!</v>
      </c>
      <c r="I13" s="24" t="str">
        <f t="shared" si="3"/>
        <v>#REF!</v>
      </c>
      <c r="J13" s="80">
        <v>0.8</v>
      </c>
      <c r="K13" s="26" t="str">
        <f t="shared" si="8"/>
        <v>#REF!</v>
      </c>
      <c r="L13" s="30" t="str">
        <f t="shared" si="9"/>
        <v>#REF!</v>
      </c>
    </row>
    <row r="14" ht="22.5" customHeight="1">
      <c r="A14" s="25"/>
      <c r="B14" s="23"/>
      <c r="C14" s="26" t="str">
        <f t="shared" si="6"/>
        <v>#REF!</v>
      </c>
      <c r="D14" s="30"/>
      <c r="E14" s="30"/>
      <c r="F14" s="26">
        <f t="shared" si="1"/>
        <v>0</v>
      </c>
      <c r="G14" s="30" t="str">
        <f t="shared" si="2"/>
        <v>#REF!</v>
      </c>
      <c r="H14" s="30" t="str">
        <f t="shared" si="7"/>
        <v>#REF!</v>
      </c>
      <c r="I14" s="24" t="str">
        <f t="shared" si="3"/>
        <v>#REF!</v>
      </c>
      <c r="J14" s="80">
        <v>1.418</v>
      </c>
      <c r="K14" s="26" t="str">
        <f t="shared" si="8"/>
        <v>#REF!</v>
      </c>
      <c r="L14" s="30" t="str">
        <f t="shared" si="9"/>
        <v>#REF!</v>
      </c>
    </row>
    <row r="15" ht="22.5" customHeight="1">
      <c r="A15" s="25"/>
      <c r="B15" s="23"/>
      <c r="C15" s="26" t="str">
        <f t="shared" si="6"/>
        <v>#REF!</v>
      </c>
      <c r="D15" s="30"/>
      <c r="E15" s="30"/>
      <c r="F15" s="26">
        <f t="shared" si="1"/>
        <v>0</v>
      </c>
      <c r="G15" s="30" t="str">
        <f t="shared" si="2"/>
        <v>#REF!</v>
      </c>
      <c r="H15" s="30" t="str">
        <f t="shared" si="7"/>
        <v>#REF!</v>
      </c>
      <c r="I15" s="24" t="str">
        <f t="shared" si="3"/>
        <v>#REF!</v>
      </c>
      <c r="J15" s="80">
        <v>0.548</v>
      </c>
      <c r="K15" s="26" t="str">
        <f t="shared" si="8"/>
        <v>#REF!</v>
      </c>
      <c r="L15" s="30" t="str">
        <f t="shared" si="9"/>
        <v>#REF!</v>
      </c>
    </row>
    <row r="16" ht="22.5" customHeight="1">
      <c r="A16" s="25"/>
      <c r="B16" s="23"/>
      <c r="C16" s="26"/>
      <c r="D16" s="24"/>
      <c r="E16" s="24"/>
      <c r="F16" s="26"/>
      <c r="G16" s="30"/>
      <c r="H16" s="30">
        <f t="shared" si="7"/>
        <v>0</v>
      </c>
      <c r="I16" s="24" t="str">
        <f t="shared" si="3"/>
        <v/>
      </c>
      <c r="J16" s="80"/>
      <c r="K16" s="26"/>
      <c r="L16" s="30"/>
    </row>
    <row r="17" ht="22.5" customHeight="1">
      <c r="A17" s="25"/>
      <c r="B17" s="23"/>
      <c r="C17" s="26"/>
      <c r="D17" s="24"/>
      <c r="E17" s="24"/>
      <c r="F17" s="26"/>
      <c r="G17" s="30"/>
      <c r="H17" s="30">
        <f t="shared" si="7"/>
        <v>0</v>
      </c>
      <c r="I17" s="24" t="str">
        <f t="shared" si="3"/>
        <v/>
      </c>
      <c r="J17" s="80"/>
      <c r="K17" s="26"/>
      <c r="L17" s="30"/>
    </row>
    <row r="18" ht="22.5" customHeight="1">
      <c r="A18" s="25"/>
      <c r="B18" s="23"/>
      <c r="C18" s="26"/>
      <c r="D18" s="24"/>
      <c r="E18" s="24"/>
      <c r="F18" s="26"/>
      <c r="G18" s="30"/>
      <c r="H18" s="30">
        <f t="shared" si="7"/>
        <v>0</v>
      </c>
      <c r="I18" s="24" t="str">
        <f t="shared" si="3"/>
        <v/>
      </c>
      <c r="J18" s="80"/>
      <c r="K18" s="26"/>
      <c r="L18" s="30"/>
    </row>
    <row r="19" ht="22.5" customHeight="1">
      <c r="A19" s="25"/>
      <c r="B19" s="23"/>
      <c r="C19" s="26"/>
      <c r="D19" s="24"/>
      <c r="E19" s="24"/>
      <c r="F19" s="26"/>
      <c r="G19" s="30"/>
      <c r="H19" s="30">
        <f t="shared" si="7"/>
        <v>0</v>
      </c>
      <c r="I19" s="24" t="str">
        <f t="shared" si="3"/>
        <v/>
      </c>
      <c r="J19" s="80"/>
      <c r="K19" s="26"/>
      <c r="L19" s="30"/>
    </row>
    <row r="20" ht="22.5" customHeight="1">
      <c r="A20" s="25"/>
      <c r="B20" s="23"/>
      <c r="C20" s="26"/>
      <c r="D20" s="24"/>
      <c r="E20" s="24"/>
      <c r="F20" s="26"/>
      <c r="G20" s="30"/>
      <c r="H20" s="30">
        <f t="shared" si="7"/>
        <v>0</v>
      </c>
      <c r="I20" s="24" t="str">
        <f t="shared" si="3"/>
        <v/>
      </c>
      <c r="J20" s="80"/>
      <c r="K20" s="26"/>
      <c r="L20" s="30"/>
    </row>
    <row r="21" ht="22.5" customHeight="1">
      <c r="A21" s="25"/>
      <c r="B21" s="23"/>
      <c r="C21" s="26"/>
      <c r="D21" s="24"/>
      <c r="E21" s="24"/>
      <c r="F21" s="26"/>
      <c r="G21" s="30"/>
      <c r="H21" s="30">
        <f t="shared" si="7"/>
        <v>0</v>
      </c>
      <c r="I21" s="24" t="str">
        <f t="shared" si="3"/>
        <v/>
      </c>
      <c r="J21" s="80"/>
      <c r="K21" s="26"/>
      <c r="L21" s="30"/>
    </row>
    <row r="22" ht="22.5" customHeight="1">
      <c r="A22" s="25"/>
      <c r="B22" s="23"/>
      <c r="C22" s="26"/>
      <c r="D22" s="24"/>
      <c r="E22" s="24"/>
      <c r="F22" s="26"/>
      <c r="G22" s="30"/>
      <c r="H22" s="30">
        <f t="shared" si="7"/>
        <v>0</v>
      </c>
      <c r="I22" s="24" t="str">
        <f t="shared" si="3"/>
        <v/>
      </c>
      <c r="J22" s="80"/>
      <c r="K22" s="26"/>
      <c r="L22" s="30"/>
    </row>
    <row r="23" ht="22.5" customHeight="1">
      <c r="A23" s="25"/>
      <c r="B23" s="23"/>
      <c r="C23" s="26"/>
      <c r="D23" s="24"/>
      <c r="E23" s="24"/>
      <c r="F23" s="26"/>
      <c r="G23" s="30"/>
      <c r="H23" s="30">
        <f t="shared" si="7"/>
        <v>0</v>
      </c>
      <c r="I23" s="24" t="str">
        <f t="shared" si="3"/>
        <v/>
      </c>
      <c r="J23" s="80"/>
      <c r="K23" s="26"/>
      <c r="L23" s="30"/>
    </row>
    <row r="24" ht="22.5" customHeight="1">
      <c r="A24" s="25"/>
      <c r="B24" s="23"/>
      <c r="C24" s="26"/>
      <c r="D24" s="24"/>
      <c r="E24" s="24"/>
      <c r="F24" s="26"/>
      <c r="G24" s="30"/>
      <c r="H24" s="30">
        <f t="shared" si="7"/>
        <v>0</v>
      </c>
      <c r="I24" s="24" t="str">
        <f t="shared" si="3"/>
        <v/>
      </c>
      <c r="J24" s="80"/>
      <c r="K24" s="26"/>
      <c r="L24" s="30"/>
    </row>
    <row r="25" ht="22.5" customHeight="1">
      <c r="A25" s="25"/>
      <c r="B25" s="23"/>
      <c r="C25" s="26"/>
      <c r="D25" s="24"/>
      <c r="E25" s="24"/>
      <c r="F25" s="26"/>
      <c r="G25" s="30"/>
      <c r="H25" s="30">
        <f t="shared" si="7"/>
        <v>0</v>
      </c>
      <c r="I25" s="24" t="str">
        <f t="shared" si="3"/>
        <v/>
      </c>
      <c r="J25" s="80"/>
      <c r="K25" s="26"/>
      <c r="L25" s="30"/>
    </row>
    <row r="26" ht="22.5" customHeight="1">
      <c r="A26" s="25"/>
      <c r="B26" s="23"/>
      <c r="C26" s="26"/>
      <c r="D26" s="24"/>
      <c r="E26" s="24"/>
      <c r="F26" s="26"/>
      <c r="G26" s="30"/>
      <c r="H26" s="30">
        <f t="shared" si="7"/>
        <v>0</v>
      </c>
      <c r="I26" s="24" t="str">
        <f t="shared" si="3"/>
        <v/>
      </c>
      <c r="J26" s="80"/>
      <c r="K26" s="26"/>
      <c r="L26" s="30"/>
    </row>
    <row r="27" ht="22.5" customHeight="1">
      <c r="A27" s="25"/>
      <c r="B27" s="23"/>
      <c r="C27" s="26"/>
      <c r="D27" s="24"/>
      <c r="E27" s="24"/>
      <c r="F27" s="26"/>
      <c r="G27" s="30"/>
      <c r="H27" s="30">
        <f t="shared" si="7"/>
        <v>0</v>
      </c>
      <c r="I27" s="24" t="str">
        <f t="shared" si="3"/>
        <v/>
      </c>
      <c r="J27" s="80"/>
      <c r="K27" s="26"/>
      <c r="L27" s="30"/>
    </row>
    <row r="28" ht="22.5" customHeight="1">
      <c r="A28" s="25"/>
      <c r="B28" s="23"/>
      <c r="C28" s="26"/>
      <c r="D28" s="24"/>
      <c r="E28" s="24"/>
      <c r="F28" s="26"/>
      <c r="G28" s="30"/>
      <c r="H28" s="30">
        <f t="shared" si="7"/>
        <v>0</v>
      </c>
      <c r="I28" s="24" t="str">
        <f t="shared" si="3"/>
        <v/>
      </c>
      <c r="J28" s="80"/>
      <c r="K28" s="26"/>
      <c r="L28" s="30"/>
    </row>
    <row r="29" ht="22.5" customHeight="1">
      <c r="A29" s="25"/>
      <c r="B29" s="23"/>
      <c r="C29" s="26"/>
      <c r="D29" s="24"/>
      <c r="E29" s="24"/>
      <c r="F29" s="26"/>
      <c r="G29" s="30"/>
      <c r="H29" s="30">
        <f t="shared" si="7"/>
        <v>0</v>
      </c>
      <c r="I29" s="24" t="str">
        <f t="shared" si="3"/>
        <v/>
      </c>
      <c r="J29" s="80"/>
      <c r="K29" s="26"/>
      <c r="L29" s="30"/>
    </row>
    <row r="30" ht="22.5" customHeight="1">
      <c r="A30" s="25"/>
      <c r="B30" s="23"/>
      <c r="C30" s="26"/>
      <c r="D30" s="24"/>
      <c r="E30" s="24"/>
      <c r="F30" s="26"/>
      <c r="G30" s="30"/>
      <c r="H30" s="30">
        <f t="shared" si="7"/>
        <v>0</v>
      </c>
      <c r="I30" s="24" t="str">
        <f t="shared" si="3"/>
        <v/>
      </c>
      <c r="J30" s="80"/>
      <c r="K30" s="26"/>
      <c r="L30" s="30"/>
    </row>
    <row r="31" ht="22.5" customHeight="1">
      <c r="A31" s="25"/>
      <c r="B31" s="23"/>
      <c r="C31" s="26"/>
      <c r="D31" s="24"/>
      <c r="E31" s="24"/>
      <c r="F31" s="26"/>
      <c r="G31" s="30"/>
      <c r="H31" s="30">
        <f t="shared" si="7"/>
        <v>0</v>
      </c>
      <c r="I31" s="24" t="str">
        <f t="shared" si="3"/>
        <v/>
      </c>
      <c r="J31" s="80"/>
      <c r="K31" s="26"/>
      <c r="L31" s="30"/>
    </row>
    <row r="32" ht="22.5" customHeight="1">
      <c r="A32" s="25"/>
      <c r="B32" s="23"/>
      <c r="C32" s="26"/>
      <c r="D32" s="24"/>
      <c r="E32" s="24"/>
      <c r="F32" s="26"/>
      <c r="G32" s="30"/>
      <c r="H32" s="30">
        <f t="shared" si="7"/>
        <v>0</v>
      </c>
      <c r="I32" s="24" t="str">
        <f t="shared" si="3"/>
        <v/>
      </c>
      <c r="J32" s="80"/>
      <c r="K32" s="26"/>
      <c r="L32" s="30"/>
    </row>
    <row r="33" ht="22.5" customHeight="1">
      <c r="A33" s="25"/>
      <c r="B33" s="23"/>
      <c r="C33" s="26"/>
      <c r="D33" s="24"/>
      <c r="E33" s="24"/>
      <c r="F33" s="26"/>
      <c r="G33" s="30"/>
      <c r="H33" s="30">
        <f t="shared" si="7"/>
        <v>0</v>
      </c>
      <c r="I33" s="24" t="str">
        <f t="shared" si="3"/>
        <v/>
      </c>
      <c r="J33" s="80"/>
      <c r="K33" s="26"/>
      <c r="L33" s="30"/>
    </row>
    <row r="34" ht="22.5" customHeight="1">
      <c r="A34" s="25"/>
      <c r="B34" s="23"/>
      <c r="C34" s="26"/>
      <c r="D34" s="24"/>
      <c r="E34" s="24"/>
      <c r="F34" s="26"/>
      <c r="G34" s="30"/>
      <c r="H34" s="30">
        <f t="shared" si="7"/>
        <v>0</v>
      </c>
      <c r="I34" s="24" t="str">
        <f t="shared" si="3"/>
        <v/>
      </c>
      <c r="J34" s="80"/>
      <c r="K34" s="26"/>
      <c r="L34" s="30"/>
    </row>
    <row r="35" ht="22.5" customHeight="1">
      <c r="A35" s="25"/>
      <c r="B35" s="23"/>
      <c r="C35" s="26"/>
      <c r="D35" s="24"/>
      <c r="E35" s="24"/>
      <c r="F35" s="26"/>
      <c r="G35" s="30"/>
      <c r="H35" s="30">
        <f t="shared" si="7"/>
        <v>0</v>
      </c>
      <c r="I35" s="24" t="str">
        <f t="shared" si="3"/>
        <v/>
      </c>
      <c r="J35" s="80"/>
      <c r="K35" s="26"/>
      <c r="L35" s="30"/>
    </row>
    <row r="36" ht="22.5" customHeight="1">
      <c r="A36" s="25"/>
      <c r="B36" s="23"/>
      <c r="C36" s="26"/>
      <c r="D36" s="24"/>
      <c r="E36" s="24"/>
      <c r="F36" s="26"/>
      <c r="G36" s="30"/>
      <c r="H36" s="30">
        <f t="shared" si="7"/>
        <v>0</v>
      </c>
      <c r="I36" s="24" t="str">
        <f t="shared" si="3"/>
        <v/>
      </c>
      <c r="J36" s="80"/>
      <c r="K36" s="26"/>
      <c r="L36" s="30"/>
    </row>
    <row r="37" ht="22.5" customHeight="1">
      <c r="A37" s="25"/>
      <c r="B37" s="23"/>
      <c r="C37" s="26"/>
      <c r="D37" s="24"/>
      <c r="E37" s="24"/>
      <c r="F37" s="26"/>
      <c r="G37" s="30"/>
      <c r="H37" s="30">
        <f t="shared" si="7"/>
        <v>0</v>
      </c>
      <c r="I37" s="24" t="str">
        <f t="shared" si="3"/>
        <v/>
      </c>
      <c r="J37" s="80"/>
      <c r="K37" s="26"/>
      <c r="L37" s="30"/>
    </row>
    <row r="38" ht="22.5" customHeight="1">
      <c r="A38" s="25"/>
      <c r="B38" s="23"/>
      <c r="C38" s="26"/>
      <c r="D38" s="24"/>
      <c r="E38" s="24"/>
      <c r="F38" s="26"/>
      <c r="G38" s="30"/>
      <c r="H38" s="30">
        <f t="shared" si="7"/>
        <v>0</v>
      </c>
      <c r="I38" s="24" t="str">
        <f t="shared" si="3"/>
        <v/>
      </c>
      <c r="J38" s="80"/>
      <c r="K38" s="26"/>
      <c r="L38" s="30"/>
    </row>
    <row r="39" ht="22.5" customHeight="1">
      <c r="A39" s="25"/>
      <c r="B39" s="23"/>
      <c r="C39" s="26"/>
      <c r="D39" s="24"/>
      <c r="E39" s="24"/>
      <c r="F39" s="26"/>
      <c r="G39" s="30"/>
      <c r="H39" s="30">
        <f t="shared" si="7"/>
        <v>0</v>
      </c>
      <c r="I39" s="24" t="str">
        <f t="shared" si="3"/>
        <v/>
      </c>
      <c r="J39" s="80"/>
      <c r="K39" s="26"/>
      <c r="L39" s="30"/>
    </row>
    <row r="40" ht="22.5" customHeight="1">
      <c r="A40" s="25"/>
      <c r="B40" s="23"/>
      <c r="C40" s="26"/>
      <c r="D40" s="24"/>
      <c r="E40" s="24"/>
      <c r="F40" s="26"/>
      <c r="G40" s="30"/>
      <c r="H40" s="30">
        <f t="shared" si="7"/>
        <v>0</v>
      </c>
      <c r="I40" s="24" t="str">
        <f t="shared" si="3"/>
        <v/>
      </c>
      <c r="J40" s="80"/>
      <c r="K40" s="26"/>
      <c r="L40" s="30"/>
    </row>
    <row r="41" ht="22.5" customHeight="1">
      <c r="A41" s="25"/>
      <c r="B41" s="23"/>
      <c r="C41" s="26"/>
      <c r="D41" s="24"/>
      <c r="E41" s="24"/>
      <c r="F41" s="26"/>
      <c r="G41" s="30"/>
      <c r="H41" s="30">
        <f t="shared" si="7"/>
        <v>0</v>
      </c>
      <c r="I41" s="24" t="str">
        <f t="shared" si="3"/>
        <v/>
      </c>
      <c r="J41" s="80"/>
      <c r="K41" s="26"/>
      <c r="L41" s="30"/>
    </row>
    <row r="42" ht="22.5" customHeight="1">
      <c r="A42" s="25"/>
      <c r="B42" s="23"/>
      <c r="C42" s="26"/>
      <c r="D42" s="24"/>
      <c r="E42" s="24"/>
      <c r="F42" s="26"/>
      <c r="G42" s="30"/>
      <c r="H42" s="30">
        <f t="shared" si="7"/>
        <v>0</v>
      </c>
      <c r="I42" s="24" t="str">
        <f t="shared" si="3"/>
        <v/>
      </c>
      <c r="J42" s="80"/>
      <c r="K42" s="26"/>
      <c r="L42" s="30"/>
    </row>
    <row r="43" ht="22.5" customHeight="1">
      <c r="A43" s="25"/>
      <c r="B43" s="23"/>
      <c r="C43" s="26"/>
      <c r="D43" s="24"/>
      <c r="E43" s="24"/>
      <c r="F43" s="26"/>
      <c r="G43" s="30"/>
      <c r="H43" s="30">
        <f t="shared" si="7"/>
        <v>0</v>
      </c>
      <c r="I43" s="24" t="str">
        <f t="shared" si="3"/>
        <v/>
      </c>
      <c r="J43" s="80"/>
      <c r="K43" s="26"/>
      <c r="L43" s="30"/>
    </row>
    <row r="44" ht="22.5" customHeight="1">
      <c r="A44" s="25"/>
      <c r="B44" s="23"/>
      <c r="C44" s="26"/>
      <c r="D44" s="24"/>
      <c r="E44" s="24"/>
      <c r="F44" s="26"/>
      <c r="G44" s="30"/>
      <c r="H44" s="30">
        <f t="shared" si="7"/>
        <v>0</v>
      </c>
      <c r="I44" s="24" t="str">
        <f t="shared" si="3"/>
        <v/>
      </c>
      <c r="J44" s="80"/>
      <c r="K44" s="26"/>
      <c r="L44" s="30"/>
    </row>
    <row r="45" ht="22.5" customHeight="1">
      <c r="A45" s="25"/>
      <c r="B45" s="23"/>
      <c r="C45" s="26"/>
      <c r="D45" s="24"/>
      <c r="E45" s="24"/>
      <c r="F45" s="26"/>
      <c r="G45" s="30"/>
      <c r="H45" s="30">
        <f t="shared" si="7"/>
        <v>0</v>
      </c>
      <c r="I45" s="24" t="str">
        <f t="shared" si="3"/>
        <v/>
      </c>
      <c r="J45" s="80"/>
      <c r="K45" s="26"/>
      <c r="L45" s="30"/>
    </row>
    <row r="46" ht="22.5" customHeight="1">
      <c r="A46" s="25"/>
      <c r="B46" s="23"/>
      <c r="C46" s="26"/>
      <c r="D46" s="24"/>
      <c r="E46" s="24"/>
      <c r="F46" s="26"/>
      <c r="G46" s="30"/>
      <c r="H46" s="30">
        <f t="shared" si="7"/>
        <v>0</v>
      </c>
      <c r="I46" s="24" t="str">
        <f t="shared" si="3"/>
        <v/>
      </c>
      <c r="J46" s="80"/>
      <c r="K46" s="26"/>
      <c r="L46" s="30"/>
    </row>
    <row r="47" ht="22.5" customHeight="1">
      <c r="A47" s="25"/>
      <c r="B47" s="23"/>
      <c r="C47" s="26"/>
      <c r="D47" s="24"/>
      <c r="E47" s="24"/>
      <c r="F47" s="26"/>
      <c r="G47" s="30"/>
      <c r="H47" s="30">
        <f t="shared" si="7"/>
        <v>0</v>
      </c>
      <c r="I47" s="24" t="str">
        <f t="shared" si="3"/>
        <v/>
      </c>
      <c r="J47" s="80"/>
      <c r="K47" s="26"/>
      <c r="L47" s="30"/>
    </row>
    <row r="48" ht="22.5" customHeight="1">
      <c r="A48" s="25"/>
      <c r="B48" s="23"/>
      <c r="C48" s="26"/>
      <c r="D48" s="24"/>
      <c r="E48" s="24"/>
      <c r="F48" s="26"/>
      <c r="G48" s="30"/>
      <c r="H48" s="30">
        <f t="shared" si="7"/>
        <v>0</v>
      </c>
      <c r="I48" s="24" t="str">
        <f t="shared" si="3"/>
        <v/>
      </c>
      <c r="J48" s="80"/>
      <c r="K48" s="26"/>
      <c r="L48" s="30"/>
    </row>
    <row r="49" ht="22.5" customHeight="1">
      <c r="A49" s="25"/>
      <c r="B49" s="23"/>
      <c r="C49" s="26"/>
      <c r="D49" s="24"/>
      <c r="E49" s="24"/>
      <c r="F49" s="26"/>
      <c r="G49" s="30"/>
      <c r="H49" s="30">
        <f t="shared" si="7"/>
        <v>0</v>
      </c>
      <c r="I49" s="24" t="str">
        <f t="shared" si="3"/>
        <v/>
      </c>
      <c r="J49" s="80"/>
      <c r="K49" s="26"/>
      <c r="L49" s="30"/>
    </row>
    <row r="50" ht="22.5" customHeight="1">
      <c r="A50" s="25"/>
      <c r="B50" s="23"/>
      <c r="C50" s="26"/>
      <c r="D50" s="24"/>
      <c r="E50" s="24"/>
      <c r="F50" s="26"/>
      <c r="G50" s="30"/>
      <c r="H50" s="30">
        <f t="shared" si="7"/>
        <v>0</v>
      </c>
      <c r="I50" s="24" t="str">
        <f t="shared" si="3"/>
        <v/>
      </c>
      <c r="J50" s="80"/>
      <c r="K50" s="26"/>
      <c r="L50" s="30"/>
    </row>
    <row r="51" ht="22.5" customHeight="1">
      <c r="A51" s="25"/>
      <c r="B51" s="23"/>
      <c r="C51" s="26"/>
      <c r="D51" s="24"/>
      <c r="E51" s="24"/>
      <c r="F51" s="26"/>
      <c r="G51" s="30"/>
      <c r="H51" s="30">
        <f t="shared" si="7"/>
        <v>0</v>
      </c>
      <c r="I51" s="24" t="str">
        <f t="shared" si="3"/>
        <v/>
      </c>
      <c r="J51" s="80"/>
      <c r="K51" s="26"/>
      <c r="L51" s="30"/>
    </row>
    <row r="52" ht="22.5" customHeight="1">
      <c r="A52" s="25"/>
      <c r="B52" s="23"/>
      <c r="C52" s="26"/>
      <c r="D52" s="24"/>
      <c r="E52" s="24"/>
      <c r="F52" s="26"/>
      <c r="G52" s="30"/>
      <c r="H52" s="30">
        <f t="shared" si="7"/>
        <v>0</v>
      </c>
      <c r="I52" s="24" t="str">
        <f t="shared" si="3"/>
        <v/>
      </c>
      <c r="J52" s="80"/>
      <c r="K52" s="26"/>
      <c r="L52" s="30"/>
    </row>
    <row r="53" ht="22.5" customHeight="1">
      <c r="A53" s="25"/>
      <c r="B53" s="23"/>
      <c r="C53" s="26"/>
      <c r="D53" s="24"/>
      <c r="E53" s="24"/>
      <c r="F53" s="26"/>
      <c r="G53" s="30"/>
      <c r="H53" s="30">
        <f t="shared" si="7"/>
        <v>0</v>
      </c>
      <c r="I53" s="24" t="str">
        <f t="shared" si="3"/>
        <v/>
      </c>
      <c r="J53" s="80"/>
      <c r="K53" s="26"/>
      <c r="L53" s="30"/>
    </row>
    <row r="54" ht="22.5" customHeight="1">
      <c r="A54" s="25"/>
      <c r="B54" s="23"/>
      <c r="C54" s="26"/>
      <c r="D54" s="24"/>
      <c r="E54" s="24"/>
      <c r="F54" s="26"/>
      <c r="G54" s="30"/>
      <c r="H54" s="30">
        <f t="shared" si="7"/>
        <v>0</v>
      </c>
      <c r="I54" s="24" t="str">
        <f t="shared" si="3"/>
        <v/>
      </c>
      <c r="J54" s="80"/>
      <c r="K54" s="26"/>
      <c r="L54" s="30"/>
    </row>
    <row r="55" ht="22.5" customHeight="1">
      <c r="A55" s="25"/>
      <c r="B55" s="23"/>
      <c r="C55" s="26"/>
      <c r="D55" s="24"/>
      <c r="E55" s="24"/>
      <c r="F55" s="26"/>
      <c r="G55" s="30"/>
      <c r="H55" s="30">
        <f t="shared" si="7"/>
        <v>0</v>
      </c>
      <c r="I55" s="24" t="str">
        <f t="shared" si="3"/>
        <v/>
      </c>
      <c r="J55" s="80"/>
      <c r="K55" s="26"/>
      <c r="L55" s="30"/>
    </row>
    <row r="56" ht="22.5" customHeight="1">
      <c r="A56" s="25"/>
      <c r="B56" s="23"/>
      <c r="C56" s="26"/>
      <c r="D56" s="24"/>
      <c r="E56" s="24"/>
      <c r="F56" s="26"/>
      <c r="G56" s="30"/>
      <c r="H56" s="30">
        <f t="shared" si="7"/>
        <v>0</v>
      </c>
      <c r="I56" s="24" t="str">
        <f t="shared" si="3"/>
        <v/>
      </c>
      <c r="J56" s="80"/>
      <c r="K56" s="26"/>
      <c r="L56" s="30"/>
    </row>
    <row r="57" ht="22.5" customHeight="1">
      <c r="A57" s="25"/>
      <c r="B57" s="23"/>
      <c r="C57" s="26"/>
      <c r="D57" s="24"/>
      <c r="E57" s="24"/>
      <c r="F57" s="26"/>
      <c r="G57" s="30"/>
      <c r="H57" s="30">
        <f t="shared" si="7"/>
        <v>0</v>
      </c>
      <c r="I57" s="24" t="str">
        <f t="shared" si="3"/>
        <v/>
      </c>
      <c r="J57" s="80"/>
      <c r="K57" s="26"/>
      <c r="L57" s="30"/>
    </row>
    <row r="58" ht="22.5" customHeight="1">
      <c r="A58" s="25"/>
      <c r="B58" s="23"/>
      <c r="C58" s="26"/>
      <c r="D58" s="24"/>
      <c r="E58" s="24"/>
      <c r="F58" s="26"/>
      <c r="G58" s="30"/>
      <c r="H58" s="30">
        <f t="shared" si="7"/>
        <v>0</v>
      </c>
      <c r="I58" s="24" t="str">
        <f t="shared" si="3"/>
        <v/>
      </c>
      <c r="J58" s="80"/>
      <c r="K58" s="26"/>
      <c r="L58" s="30"/>
    </row>
    <row r="59" ht="22.5" customHeight="1">
      <c r="A59" s="25"/>
      <c r="B59" s="23"/>
      <c r="C59" s="26"/>
      <c r="D59" s="24"/>
      <c r="E59" s="24"/>
      <c r="F59" s="26"/>
      <c r="G59" s="30"/>
      <c r="H59" s="30">
        <f t="shared" si="7"/>
        <v>0</v>
      </c>
      <c r="I59" s="24" t="str">
        <f t="shared" si="3"/>
        <v/>
      </c>
      <c r="J59" s="80"/>
      <c r="K59" s="26"/>
      <c r="L59" s="30"/>
    </row>
    <row r="60" ht="22.5" customHeight="1">
      <c r="A60" s="25"/>
      <c r="B60" s="23"/>
      <c r="C60" s="26"/>
      <c r="D60" s="24"/>
      <c r="E60" s="24"/>
      <c r="F60" s="26"/>
      <c r="G60" s="30"/>
      <c r="H60" s="30">
        <f t="shared" si="7"/>
        <v>0</v>
      </c>
      <c r="I60" s="24" t="str">
        <f t="shared" si="3"/>
        <v/>
      </c>
      <c r="J60" s="80"/>
      <c r="K60" s="26"/>
      <c r="L60" s="30"/>
    </row>
    <row r="61" ht="22.5" customHeight="1">
      <c r="A61" s="25"/>
      <c r="B61" s="23"/>
      <c r="C61" s="26"/>
      <c r="D61" s="24"/>
      <c r="E61" s="24"/>
      <c r="F61" s="26"/>
      <c r="G61" s="30"/>
      <c r="H61" s="30">
        <f t="shared" si="7"/>
        <v>0</v>
      </c>
      <c r="I61" s="24" t="str">
        <f t="shared" si="3"/>
        <v/>
      </c>
      <c r="J61" s="80"/>
      <c r="K61" s="26"/>
      <c r="L61" s="30"/>
    </row>
    <row r="62" ht="22.5" customHeight="1">
      <c r="A62" s="25"/>
      <c r="B62" s="23"/>
      <c r="C62" s="26"/>
      <c r="D62" s="24"/>
      <c r="E62" s="24"/>
      <c r="F62" s="26"/>
      <c r="G62" s="30"/>
      <c r="H62" s="30">
        <f t="shared" si="7"/>
        <v>0</v>
      </c>
      <c r="I62" s="24" t="str">
        <f t="shared" si="3"/>
        <v/>
      </c>
      <c r="J62" s="80"/>
      <c r="K62" s="26"/>
      <c r="L62" s="30"/>
    </row>
    <row r="63" ht="22.5" customHeight="1">
      <c r="A63" s="25"/>
      <c r="B63" s="23"/>
      <c r="C63" s="26"/>
      <c r="D63" s="24"/>
      <c r="E63" s="24"/>
      <c r="F63" s="26"/>
      <c r="G63" s="30"/>
      <c r="H63" s="30">
        <f t="shared" si="7"/>
        <v>0</v>
      </c>
      <c r="I63" s="24" t="str">
        <f t="shared" si="3"/>
        <v/>
      </c>
      <c r="J63" s="80"/>
      <c r="K63" s="26"/>
      <c r="L63" s="30"/>
    </row>
    <row r="64" ht="22.5" customHeight="1">
      <c r="A64" s="25"/>
      <c r="B64" s="23"/>
      <c r="C64" s="26"/>
      <c r="D64" s="24"/>
      <c r="E64" s="24"/>
      <c r="F64" s="26"/>
      <c r="G64" s="30"/>
      <c r="H64" s="30">
        <f t="shared" si="7"/>
        <v>0</v>
      </c>
      <c r="I64" s="24" t="str">
        <f t="shared" si="3"/>
        <v/>
      </c>
      <c r="J64" s="80"/>
      <c r="K64" s="26"/>
      <c r="L64" s="30"/>
    </row>
    <row r="65" ht="22.5" customHeight="1">
      <c r="A65" s="25"/>
      <c r="B65" s="23"/>
      <c r="C65" s="26"/>
      <c r="D65" s="24"/>
      <c r="E65" s="24"/>
      <c r="F65" s="26"/>
      <c r="G65" s="30"/>
      <c r="H65" s="30">
        <f t="shared" si="7"/>
        <v>0</v>
      </c>
      <c r="I65" s="24" t="str">
        <f t="shared" si="3"/>
        <v/>
      </c>
      <c r="J65" s="80"/>
      <c r="K65" s="26"/>
      <c r="L65" s="30"/>
    </row>
    <row r="66" ht="22.5" customHeight="1">
      <c r="A66" s="25"/>
      <c r="B66" s="23"/>
      <c r="C66" s="26"/>
      <c r="D66" s="24"/>
      <c r="E66" s="24"/>
      <c r="F66" s="26"/>
      <c r="G66" s="30"/>
      <c r="H66" s="30">
        <f t="shared" si="7"/>
        <v>0</v>
      </c>
      <c r="I66" s="24" t="str">
        <f t="shared" si="3"/>
        <v/>
      </c>
      <c r="J66" s="80"/>
      <c r="K66" s="26"/>
      <c r="L66" s="30"/>
    </row>
    <row r="67" ht="22.5" customHeight="1">
      <c r="A67" s="25"/>
      <c r="B67" s="23"/>
      <c r="C67" s="26"/>
      <c r="D67" s="24"/>
      <c r="E67" s="24"/>
      <c r="F67" s="26"/>
      <c r="G67" s="30"/>
      <c r="H67" s="30">
        <f t="shared" si="7"/>
        <v>0</v>
      </c>
      <c r="I67" s="24" t="str">
        <f t="shared" si="3"/>
        <v/>
      </c>
      <c r="J67" s="80"/>
      <c r="K67" s="26"/>
      <c r="L67" s="30"/>
    </row>
    <row r="68" ht="22.5" customHeight="1">
      <c r="A68" s="25"/>
      <c r="B68" s="23"/>
      <c r="C68" s="26"/>
      <c r="D68" s="24"/>
      <c r="E68" s="24"/>
      <c r="F68" s="26"/>
      <c r="G68" s="30"/>
      <c r="H68" s="30">
        <f t="shared" si="7"/>
        <v>0</v>
      </c>
      <c r="I68" s="24" t="str">
        <f t="shared" si="3"/>
        <v/>
      </c>
      <c r="J68" s="80"/>
      <c r="K68" s="26"/>
      <c r="L68" s="30"/>
    </row>
    <row r="69" ht="22.5" customHeight="1">
      <c r="A69" s="25"/>
      <c r="B69" s="23"/>
      <c r="C69" s="26"/>
      <c r="D69" s="24"/>
      <c r="E69" s="24"/>
      <c r="F69" s="26"/>
      <c r="G69" s="30"/>
      <c r="H69" s="30">
        <f t="shared" si="7"/>
        <v>0</v>
      </c>
      <c r="I69" s="24" t="str">
        <f t="shared" si="3"/>
        <v/>
      </c>
      <c r="J69" s="80"/>
      <c r="K69" s="26"/>
      <c r="L69" s="30"/>
    </row>
    <row r="70" ht="22.5" customHeight="1">
      <c r="A70" s="25"/>
      <c r="B70" s="23"/>
      <c r="C70" s="26"/>
      <c r="D70" s="24"/>
      <c r="E70" s="24"/>
      <c r="F70" s="26"/>
      <c r="G70" s="30"/>
      <c r="H70" s="30">
        <f t="shared" si="7"/>
        <v>0</v>
      </c>
      <c r="I70" s="24" t="str">
        <f t="shared" si="3"/>
        <v/>
      </c>
      <c r="J70" s="80"/>
      <c r="K70" s="26"/>
      <c r="L70" s="30"/>
    </row>
    <row r="71" ht="22.5" customHeight="1">
      <c r="A71" s="25"/>
      <c r="B71" s="23"/>
      <c r="C71" s="26"/>
      <c r="D71" s="24"/>
      <c r="E71" s="24"/>
      <c r="F71" s="26"/>
      <c r="G71" s="30"/>
      <c r="H71" s="30">
        <f t="shared" si="7"/>
        <v>0</v>
      </c>
      <c r="I71" s="24" t="str">
        <f t="shared" si="3"/>
        <v/>
      </c>
      <c r="J71" s="80"/>
      <c r="K71" s="26"/>
      <c r="L71" s="30"/>
    </row>
    <row r="72" ht="22.5" customHeight="1">
      <c r="A72" s="25"/>
      <c r="B72" s="23"/>
      <c r="C72" s="26"/>
      <c r="D72" s="24"/>
      <c r="E72" s="24"/>
      <c r="F72" s="26"/>
      <c r="G72" s="30"/>
      <c r="H72" s="30">
        <f t="shared" si="7"/>
        <v>0</v>
      </c>
      <c r="I72" s="24" t="str">
        <f t="shared" si="3"/>
        <v/>
      </c>
      <c r="J72" s="80"/>
      <c r="K72" s="26"/>
      <c r="L72" s="30"/>
    </row>
    <row r="73" ht="22.5" customHeight="1">
      <c r="A73" s="25"/>
      <c r="B73" s="23"/>
      <c r="C73" s="26"/>
      <c r="D73" s="24"/>
      <c r="E73" s="24"/>
      <c r="F73" s="26"/>
      <c r="G73" s="30"/>
      <c r="H73" s="30">
        <f t="shared" si="7"/>
        <v>0</v>
      </c>
      <c r="I73" s="24" t="str">
        <f t="shared" si="3"/>
        <v/>
      </c>
      <c r="J73" s="80"/>
      <c r="K73" s="26"/>
      <c r="L73" s="30"/>
    </row>
    <row r="74" ht="22.5" customHeight="1">
      <c r="A74" s="25"/>
      <c r="B74" s="23"/>
      <c r="C74" s="26"/>
      <c r="D74" s="24"/>
      <c r="E74" s="24"/>
      <c r="F74" s="26"/>
      <c r="G74" s="30"/>
      <c r="H74" s="30">
        <f t="shared" si="7"/>
        <v>0</v>
      </c>
      <c r="I74" s="24" t="str">
        <f t="shared" si="3"/>
        <v/>
      </c>
      <c r="J74" s="80"/>
      <c r="K74" s="26"/>
      <c r="L74" s="30"/>
    </row>
    <row r="75" ht="22.5" customHeight="1">
      <c r="A75" s="25"/>
      <c r="B75" s="23"/>
      <c r="C75" s="26"/>
      <c r="D75" s="24"/>
      <c r="E75" s="24"/>
      <c r="F75" s="26"/>
      <c r="G75" s="30"/>
      <c r="H75" s="30">
        <f t="shared" si="7"/>
        <v>0</v>
      </c>
      <c r="I75" s="24" t="str">
        <f t="shared" si="3"/>
        <v/>
      </c>
      <c r="J75" s="80"/>
      <c r="K75" s="26"/>
      <c r="L75" s="30"/>
    </row>
    <row r="76" ht="22.5" customHeight="1">
      <c r="A76" s="25"/>
      <c r="B76" s="23"/>
      <c r="C76" s="26"/>
      <c r="D76" s="24"/>
      <c r="E76" s="24"/>
      <c r="F76" s="26"/>
      <c r="G76" s="30"/>
      <c r="H76" s="30">
        <f t="shared" si="7"/>
        <v>0</v>
      </c>
      <c r="I76" s="24" t="str">
        <f t="shared" si="3"/>
        <v/>
      </c>
      <c r="J76" s="80"/>
      <c r="K76" s="26"/>
      <c r="L76" s="30"/>
    </row>
    <row r="77" ht="22.5" customHeight="1">
      <c r="A77" s="25"/>
      <c r="B77" s="23"/>
      <c r="C77" s="26"/>
      <c r="D77" s="24"/>
      <c r="E77" s="24"/>
      <c r="F77" s="26"/>
      <c r="G77" s="30"/>
      <c r="H77" s="30">
        <f t="shared" si="7"/>
        <v>0</v>
      </c>
      <c r="I77" s="24" t="str">
        <f t="shared" si="3"/>
        <v/>
      </c>
      <c r="J77" s="80"/>
      <c r="K77" s="26"/>
      <c r="L77" s="30"/>
    </row>
    <row r="78" ht="22.5" customHeight="1">
      <c r="A78" s="25"/>
      <c r="B78" s="23"/>
      <c r="C78" s="26"/>
      <c r="D78" s="24"/>
      <c r="E78" s="24"/>
      <c r="F78" s="26"/>
      <c r="G78" s="30"/>
      <c r="H78" s="30">
        <f t="shared" si="7"/>
        <v>0</v>
      </c>
      <c r="I78" s="24" t="str">
        <f t="shared" si="3"/>
        <v/>
      </c>
      <c r="J78" s="80"/>
      <c r="K78" s="26"/>
      <c r="L78" s="30"/>
    </row>
    <row r="79" ht="22.5" customHeight="1">
      <c r="A79" s="25"/>
      <c r="B79" s="23"/>
      <c r="C79" s="26"/>
      <c r="D79" s="24"/>
      <c r="E79" s="24"/>
      <c r="F79" s="26"/>
      <c r="G79" s="30"/>
      <c r="H79" s="30">
        <f t="shared" si="7"/>
        <v>0</v>
      </c>
      <c r="I79" s="24" t="str">
        <f t="shared" si="3"/>
        <v/>
      </c>
      <c r="J79" s="80"/>
      <c r="K79" s="26"/>
      <c r="L79" s="30"/>
    </row>
    <row r="80" ht="22.5" customHeight="1">
      <c r="A80" s="25"/>
      <c r="B80" s="23"/>
      <c r="C80" s="26"/>
      <c r="D80" s="24"/>
      <c r="E80" s="24"/>
      <c r="F80" s="26"/>
      <c r="G80" s="30"/>
      <c r="H80" s="30">
        <f t="shared" si="7"/>
        <v>0</v>
      </c>
      <c r="I80" s="24" t="str">
        <f t="shared" si="3"/>
        <v/>
      </c>
      <c r="J80" s="80"/>
      <c r="K80" s="26"/>
      <c r="L80" s="30"/>
    </row>
    <row r="81" ht="22.5" customHeight="1">
      <c r="A81" s="25"/>
      <c r="B81" s="23"/>
      <c r="C81" s="26"/>
      <c r="D81" s="24"/>
      <c r="E81" s="24"/>
      <c r="F81" s="26"/>
      <c r="G81" s="30"/>
      <c r="H81" s="30">
        <f t="shared" si="7"/>
        <v>0</v>
      </c>
      <c r="I81" s="24" t="str">
        <f t="shared" si="3"/>
        <v/>
      </c>
      <c r="J81" s="80"/>
      <c r="K81" s="26"/>
      <c r="L81" s="30"/>
    </row>
    <row r="82" ht="22.5" customHeight="1">
      <c r="A82" s="25"/>
      <c r="B82" s="23"/>
      <c r="C82" s="26"/>
      <c r="D82" s="24"/>
      <c r="E82" s="24"/>
      <c r="F82" s="26"/>
      <c r="G82" s="30"/>
      <c r="H82" s="30">
        <f t="shared" si="7"/>
        <v>0</v>
      </c>
      <c r="I82" s="24" t="str">
        <f t="shared" si="3"/>
        <v/>
      </c>
      <c r="J82" s="80"/>
      <c r="K82" s="26"/>
      <c r="L82" s="30"/>
    </row>
    <row r="83" ht="22.5" customHeight="1">
      <c r="A83" s="25"/>
      <c r="B83" s="23"/>
      <c r="C83" s="26"/>
      <c r="D83" s="24"/>
      <c r="E83" s="24"/>
      <c r="F83" s="26"/>
      <c r="G83" s="30"/>
      <c r="H83" s="30">
        <f t="shared" si="7"/>
        <v>0</v>
      </c>
      <c r="I83" s="24" t="str">
        <f t="shared" si="3"/>
        <v/>
      </c>
      <c r="J83" s="80"/>
      <c r="K83" s="26"/>
      <c r="L83" s="30"/>
    </row>
    <row r="84" ht="22.5" customHeight="1">
      <c r="A84" s="25"/>
      <c r="B84" s="23"/>
      <c r="C84" s="26"/>
      <c r="D84" s="24"/>
      <c r="E84" s="24"/>
      <c r="F84" s="26"/>
      <c r="G84" s="30"/>
      <c r="H84" s="30">
        <f t="shared" si="7"/>
        <v>0</v>
      </c>
      <c r="I84" s="24" t="str">
        <f t="shared" si="3"/>
        <v/>
      </c>
      <c r="J84" s="80"/>
      <c r="K84" s="26"/>
      <c r="L84" s="30"/>
    </row>
    <row r="85" ht="22.5" customHeight="1">
      <c r="A85" s="25"/>
      <c r="B85" s="23"/>
      <c r="C85" s="26"/>
      <c r="D85" s="24"/>
      <c r="E85" s="24"/>
      <c r="F85" s="26"/>
      <c r="G85" s="30"/>
      <c r="H85" s="30">
        <f t="shared" si="7"/>
        <v>0</v>
      </c>
      <c r="I85" s="24" t="str">
        <f t="shared" si="3"/>
        <v/>
      </c>
      <c r="J85" s="80"/>
      <c r="K85" s="26"/>
      <c r="L85" s="30"/>
    </row>
    <row r="86" ht="22.5" customHeight="1">
      <c r="A86" s="25"/>
      <c r="B86" s="23"/>
      <c r="C86" s="26"/>
      <c r="D86" s="24"/>
      <c r="E86" s="24"/>
      <c r="F86" s="26"/>
      <c r="G86" s="30"/>
      <c r="H86" s="30">
        <f t="shared" si="7"/>
        <v>0</v>
      </c>
      <c r="I86" s="24" t="str">
        <f t="shared" si="3"/>
        <v/>
      </c>
      <c r="J86" s="80"/>
      <c r="K86" s="26"/>
      <c r="L86" s="30"/>
    </row>
    <row r="87" ht="22.5" customHeight="1">
      <c r="A87" s="25"/>
      <c r="B87" s="23"/>
      <c r="C87" s="26"/>
      <c r="D87" s="24"/>
      <c r="E87" s="24"/>
      <c r="F87" s="26"/>
      <c r="G87" s="30"/>
      <c r="H87" s="30">
        <f t="shared" si="7"/>
        <v>0</v>
      </c>
      <c r="I87" s="24" t="str">
        <f t="shared" si="3"/>
        <v/>
      </c>
      <c r="J87" s="80"/>
      <c r="K87" s="26"/>
      <c r="L87" s="30"/>
    </row>
    <row r="88" ht="22.5" customHeight="1">
      <c r="A88" s="25"/>
      <c r="B88" s="23"/>
      <c r="C88" s="26"/>
      <c r="D88" s="24"/>
      <c r="E88" s="24"/>
      <c r="F88" s="26"/>
      <c r="G88" s="30"/>
      <c r="H88" s="30">
        <f t="shared" si="7"/>
        <v>0</v>
      </c>
      <c r="I88" s="24" t="str">
        <f t="shared" si="3"/>
        <v/>
      </c>
      <c r="J88" s="80"/>
      <c r="K88" s="26"/>
      <c r="L88" s="30"/>
    </row>
    <row r="89" ht="22.5" customHeight="1">
      <c r="A89" s="25"/>
      <c r="B89" s="23"/>
      <c r="C89" s="26"/>
      <c r="D89" s="24"/>
      <c r="E89" s="24"/>
      <c r="F89" s="26"/>
      <c r="G89" s="30"/>
      <c r="H89" s="30">
        <f t="shared" si="7"/>
        <v>0</v>
      </c>
      <c r="I89" s="24" t="str">
        <f t="shared" si="3"/>
        <v/>
      </c>
      <c r="J89" s="80"/>
      <c r="K89" s="26"/>
      <c r="L89" s="30"/>
    </row>
    <row r="90" ht="22.5" customHeight="1">
      <c r="A90" s="25"/>
      <c r="B90" s="23"/>
      <c r="C90" s="26"/>
      <c r="D90" s="24"/>
      <c r="E90" s="24"/>
      <c r="F90" s="26"/>
      <c r="G90" s="30"/>
      <c r="H90" s="30">
        <f t="shared" si="7"/>
        <v>0</v>
      </c>
      <c r="I90" s="24" t="str">
        <f t="shared" si="3"/>
        <v/>
      </c>
      <c r="J90" s="80"/>
      <c r="K90" s="26"/>
      <c r="L90" s="30"/>
    </row>
    <row r="91" ht="22.5" customHeight="1">
      <c r="A91" s="25"/>
      <c r="B91" s="23"/>
      <c r="C91" s="26"/>
      <c r="D91" s="24"/>
      <c r="E91" s="24"/>
      <c r="F91" s="26"/>
      <c r="G91" s="30"/>
      <c r="H91" s="30">
        <f t="shared" si="7"/>
        <v>0</v>
      </c>
      <c r="I91" s="24" t="str">
        <f t="shared" si="3"/>
        <v/>
      </c>
      <c r="J91" s="80"/>
      <c r="K91" s="26"/>
      <c r="L91" s="30"/>
    </row>
    <row r="92" ht="22.5" customHeight="1">
      <c r="A92" s="25"/>
      <c r="B92" s="23"/>
      <c r="C92" s="26"/>
      <c r="D92" s="24"/>
      <c r="E92" s="24"/>
      <c r="F92" s="26"/>
      <c r="G92" s="30"/>
      <c r="H92" s="30">
        <f t="shared" si="7"/>
        <v>0</v>
      </c>
      <c r="I92" s="24" t="str">
        <f t="shared" si="3"/>
        <v/>
      </c>
      <c r="J92" s="80"/>
      <c r="K92" s="26"/>
      <c r="L92" s="30"/>
    </row>
    <row r="93" ht="22.5" customHeight="1">
      <c r="A93" s="25"/>
      <c r="B93" s="23"/>
      <c r="C93" s="26"/>
      <c r="D93" s="24"/>
      <c r="E93" s="24"/>
      <c r="F93" s="26"/>
      <c r="G93" s="30"/>
      <c r="H93" s="30">
        <f t="shared" si="7"/>
        <v>0</v>
      </c>
      <c r="I93" s="24" t="str">
        <f t="shared" si="3"/>
        <v/>
      </c>
      <c r="J93" s="80"/>
      <c r="K93" s="26"/>
      <c r="L93" s="30"/>
    </row>
    <row r="94" ht="22.5" customHeight="1">
      <c r="A94" s="25"/>
      <c r="B94" s="23"/>
      <c r="C94" s="26"/>
      <c r="D94" s="24"/>
      <c r="E94" s="24"/>
      <c r="F94" s="26"/>
      <c r="G94" s="30"/>
      <c r="H94" s="30">
        <f t="shared" si="7"/>
        <v>0</v>
      </c>
      <c r="I94" s="24" t="str">
        <f t="shared" si="3"/>
        <v/>
      </c>
      <c r="J94" s="80"/>
      <c r="K94" s="26"/>
      <c r="L94" s="30"/>
    </row>
    <row r="95" ht="22.5" customHeight="1">
      <c r="A95" s="25"/>
      <c r="B95" s="23"/>
      <c r="C95" s="26"/>
      <c r="D95" s="24"/>
      <c r="E95" s="24"/>
      <c r="F95" s="26"/>
      <c r="G95" s="30"/>
      <c r="H95" s="30">
        <f t="shared" si="7"/>
        <v>0</v>
      </c>
      <c r="I95" s="24" t="str">
        <f t="shared" si="3"/>
        <v/>
      </c>
      <c r="J95" s="80"/>
      <c r="K95" s="26"/>
      <c r="L95" s="30"/>
    </row>
    <row r="96" ht="22.5" customHeight="1">
      <c r="A96" s="25"/>
      <c r="B96" s="23"/>
      <c r="C96" s="26"/>
      <c r="D96" s="24"/>
      <c r="E96" s="24"/>
      <c r="F96" s="26"/>
      <c r="G96" s="30"/>
      <c r="H96" s="30">
        <f t="shared" si="7"/>
        <v>0</v>
      </c>
      <c r="I96" s="24" t="str">
        <f t="shared" si="3"/>
        <v/>
      </c>
      <c r="J96" s="80"/>
      <c r="K96" s="26"/>
      <c r="L96" s="30"/>
    </row>
    <row r="97" ht="22.5" customHeight="1">
      <c r="A97" s="25"/>
      <c r="B97" s="23"/>
      <c r="C97" s="26"/>
      <c r="D97" s="24"/>
      <c r="E97" s="24"/>
      <c r="F97" s="26"/>
      <c r="G97" s="30"/>
      <c r="H97" s="30">
        <f t="shared" si="7"/>
        <v>0</v>
      </c>
      <c r="I97" s="24" t="str">
        <f t="shared" si="3"/>
        <v/>
      </c>
      <c r="J97" s="80"/>
      <c r="K97" s="26"/>
      <c r="L97" s="30"/>
    </row>
    <row r="98" ht="22.5" customHeight="1">
      <c r="A98" s="25"/>
      <c r="B98" s="23"/>
      <c r="C98" s="26"/>
      <c r="D98" s="24"/>
      <c r="E98" s="24"/>
      <c r="F98" s="26"/>
      <c r="G98" s="30"/>
      <c r="H98" s="30">
        <f t="shared" si="7"/>
        <v>0</v>
      </c>
      <c r="I98" s="24" t="str">
        <f t="shared" si="3"/>
        <v/>
      </c>
      <c r="J98" s="80"/>
      <c r="K98" s="26"/>
      <c r="L98" s="30"/>
    </row>
    <row r="99" ht="22.5" customHeight="1">
      <c r="A99" s="25"/>
      <c r="B99" s="23"/>
      <c r="C99" s="26"/>
      <c r="D99" s="24"/>
      <c r="E99" s="24"/>
      <c r="F99" s="26"/>
      <c r="G99" s="30"/>
      <c r="H99" s="30">
        <f t="shared" si="7"/>
        <v>0</v>
      </c>
      <c r="I99" s="24" t="str">
        <f t="shared" si="3"/>
        <v/>
      </c>
      <c r="J99" s="80"/>
      <c r="K99" s="26"/>
      <c r="L99" s="30"/>
    </row>
    <row r="100" ht="22.5" customHeight="1">
      <c r="A100" s="25"/>
      <c r="B100" s="23"/>
      <c r="C100" s="26"/>
      <c r="D100" s="24"/>
      <c r="E100" s="24"/>
      <c r="F100" s="26"/>
      <c r="G100" s="30"/>
      <c r="H100" s="30">
        <f t="shared" si="7"/>
        <v>0</v>
      </c>
      <c r="I100" s="24" t="str">
        <f t="shared" si="3"/>
        <v/>
      </c>
      <c r="J100" s="80"/>
      <c r="K100" s="26"/>
      <c r="L100" s="30"/>
    </row>
    <row r="101" ht="22.5" customHeight="1">
      <c r="A101" s="25"/>
      <c r="B101" s="23"/>
      <c r="C101" s="26"/>
      <c r="D101" s="24"/>
      <c r="E101" s="24"/>
      <c r="F101" s="26"/>
      <c r="G101" s="30"/>
      <c r="H101" s="30">
        <f t="shared" si="7"/>
        <v>0</v>
      </c>
      <c r="I101" s="24" t="str">
        <f t="shared" si="3"/>
        <v/>
      </c>
      <c r="J101" s="80"/>
      <c r="K101" s="26"/>
      <c r="L101" s="30"/>
    </row>
    <row r="102" ht="22.5" customHeight="1">
      <c r="A102" s="25"/>
      <c r="B102" s="23"/>
      <c r="C102" s="26"/>
      <c r="D102" s="24"/>
      <c r="E102" s="24"/>
      <c r="F102" s="26"/>
      <c r="G102" s="30"/>
      <c r="H102" s="30">
        <f t="shared" si="7"/>
        <v>0</v>
      </c>
      <c r="I102" s="24" t="str">
        <f t="shared" si="3"/>
        <v/>
      </c>
      <c r="J102" s="80"/>
      <c r="K102" s="26"/>
      <c r="L102" s="30"/>
    </row>
    <row r="103" ht="22.5" customHeight="1">
      <c r="A103" s="25"/>
      <c r="B103" s="23"/>
      <c r="C103" s="26"/>
      <c r="D103" s="24"/>
      <c r="E103" s="24"/>
      <c r="F103" s="26"/>
      <c r="G103" s="30"/>
      <c r="H103" s="30">
        <f t="shared" si="7"/>
        <v>0</v>
      </c>
      <c r="I103" s="24" t="str">
        <f t="shared" si="3"/>
        <v/>
      </c>
      <c r="J103" s="80"/>
      <c r="K103" s="26"/>
      <c r="L103" s="30"/>
    </row>
    <row r="104" ht="22.5" customHeight="1">
      <c r="A104" s="25"/>
      <c r="B104" s="23"/>
      <c r="C104" s="26"/>
      <c r="D104" s="24"/>
      <c r="E104" s="24"/>
      <c r="F104" s="26"/>
      <c r="G104" s="30"/>
      <c r="H104" s="30">
        <f t="shared" si="7"/>
        <v>0</v>
      </c>
      <c r="I104" s="24" t="str">
        <f t="shared" si="3"/>
        <v/>
      </c>
      <c r="J104" s="80"/>
      <c r="K104" s="26"/>
      <c r="L104" s="30"/>
    </row>
    <row r="105" ht="22.5" customHeight="1">
      <c r="A105" s="25"/>
      <c r="B105" s="23"/>
      <c r="C105" s="26"/>
      <c r="D105" s="24"/>
      <c r="E105" s="24"/>
      <c r="F105" s="26"/>
      <c r="G105" s="30"/>
      <c r="H105" s="30">
        <f t="shared" si="7"/>
        <v>0</v>
      </c>
      <c r="I105" s="24" t="str">
        <f t="shared" si="3"/>
        <v/>
      </c>
      <c r="J105" s="80"/>
      <c r="K105" s="26"/>
      <c r="L105" s="30"/>
    </row>
    <row r="106" ht="22.5" customHeight="1">
      <c r="A106" s="25"/>
      <c r="B106" s="23"/>
      <c r="C106" s="26"/>
      <c r="D106" s="24"/>
      <c r="E106" s="24"/>
      <c r="F106" s="26"/>
      <c r="G106" s="30"/>
      <c r="H106" s="30">
        <f t="shared" si="7"/>
        <v>0</v>
      </c>
      <c r="I106" s="24" t="str">
        <f t="shared" si="3"/>
        <v/>
      </c>
      <c r="J106" s="80"/>
      <c r="K106" s="26"/>
      <c r="L106" s="30"/>
    </row>
    <row r="107" ht="22.5" customHeight="1">
      <c r="A107" s="25"/>
      <c r="B107" s="23"/>
      <c r="C107" s="26"/>
      <c r="D107" s="24"/>
      <c r="E107" s="24"/>
      <c r="F107" s="26"/>
      <c r="G107" s="30"/>
      <c r="H107" s="30">
        <f t="shared" si="7"/>
        <v>0</v>
      </c>
      <c r="I107" s="24" t="str">
        <f t="shared" si="3"/>
        <v/>
      </c>
      <c r="J107" s="80"/>
      <c r="K107" s="26"/>
      <c r="L107" s="30"/>
    </row>
    <row r="108" ht="22.5" customHeight="1">
      <c r="A108" s="25"/>
      <c r="B108" s="23"/>
      <c r="C108" s="26"/>
      <c r="D108" s="24"/>
      <c r="E108" s="24"/>
      <c r="F108" s="26"/>
      <c r="G108" s="30"/>
      <c r="H108" s="30">
        <f t="shared" si="7"/>
        <v>0</v>
      </c>
      <c r="I108" s="24" t="str">
        <f t="shared" si="3"/>
        <v/>
      </c>
      <c r="J108" s="80"/>
      <c r="K108" s="26"/>
      <c r="L108" s="30"/>
    </row>
    <row r="109" ht="22.5" customHeight="1">
      <c r="A109" s="25"/>
      <c r="B109" s="23"/>
      <c r="C109" s="26"/>
      <c r="D109" s="24"/>
      <c r="E109" s="24"/>
      <c r="F109" s="26"/>
      <c r="G109" s="30"/>
      <c r="H109" s="30">
        <f t="shared" si="7"/>
        <v>0</v>
      </c>
      <c r="I109" s="24" t="str">
        <f t="shared" si="3"/>
        <v/>
      </c>
      <c r="J109" s="80"/>
      <c r="K109" s="26"/>
      <c r="L109" s="30"/>
    </row>
    <row r="110" ht="22.5" customHeight="1">
      <c r="A110" s="25"/>
      <c r="B110" s="23"/>
      <c r="C110" s="26"/>
      <c r="D110" s="24"/>
      <c r="E110" s="24"/>
      <c r="F110" s="26"/>
      <c r="G110" s="30"/>
      <c r="H110" s="30">
        <f t="shared" si="7"/>
        <v>0</v>
      </c>
      <c r="I110" s="24" t="str">
        <f t="shared" si="3"/>
        <v/>
      </c>
      <c r="J110" s="80"/>
      <c r="K110" s="26"/>
      <c r="L110" s="30"/>
    </row>
    <row r="111" ht="22.5" customHeight="1">
      <c r="A111" s="25"/>
      <c r="B111" s="23"/>
      <c r="C111" s="26"/>
      <c r="D111" s="24"/>
      <c r="E111" s="24"/>
      <c r="F111" s="26"/>
      <c r="G111" s="30"/>
      <c r="H111" s="30">
        <f t="shared" si="7"/>
        <v>0</v>
      </c>
      <c r="I111" s="24" t="str">
        <f t="shared" si="3"/>
        <v/>
      </c>
      <c r="J111" s="80"/>
      <c r="K111" s="26"/>
      <c r="L111" s="30"/>
    </row>
    <row r="112" ht="22.5" customHeight="1">
      <c r="A112" s="25"/>
      <c r="B112" s="23"/>
      <c r="C112" s="26"/>
      <c r="D112" s="24"/>
      <c r="E112" s="24"/>
      <c r="F112" s="26"/>
      <c r="G112" s="30"/>
      <c r="H112" s="30">
        <f t="shared" si="7"/>
        <v>0</v>
      </c>
      <c r="I112" s="24" t="str">
        <f t="shared" si="3"/>
        <v/>
      </c>
      <c r="J112" s="80"/>
      <c r="K112" s="26"/>
      <c r="L112" s="30"/>
    </row>
    <row r="113" ht="22.5" customHeight="1">
      <c r="A113" s="25"/>
      <c r="B113" s="23"/>
      <c r="C113" s="26"/>
      <c r="D113" s="24"/>
      <c r="E113" s="24"/>
      <c r="F113" s="26"/>
      <c r="G113" s="30"/>
      <c r="H113" s="30">
        <f t="shared" si="7"/>
        <v>0</v>
      </c>
      <c r="I113" s="24" t="str">
        <f t="shared" si="3"/>
        <v/>
      </c>
      <c r="J113" s="80"/>
      <c r="K113" s="26"/>
      <c r="L113" s="30"/>
    </row>
    <row r="114" ht="22.5" customHeight="1">
      <c r="A114" s="25"/>
      <c r="B114" s="23"/>
      <c r="C114" s="26"/>
      <c r="D114" s="24"/>
      <c r="E114" s="24"/>
      <c r="F114" s="26"/>
      <c r="G114" s="30"/>
      <c r="H114" s="30">
        <f t="shared" si="7"/>
        <v>0</v>
      </c>
      <c r="I114" s="24" t="str">
        <f t="shared" si="3"/>
        <v/>
      </c>
      <c r="J114" s="80"/>
      <c r="K114" s="26"/>
      <c r="L114" s="30"/>
    </row>
    <row r="115" ht="22.5" customHeight="1">
      <c r="A115" s="25"/>
      <c r="B115" s="23"/>
      <c r="C115" s="26"/>
      <c r="D115" s="24"/>
      <c r="E115" s="24"/>
      <c r="F115" s="26"/>
      <c r="G115" s="30"/>
      <c r="H115" s="30">
        <f t="shared" si="7"/>
        <v>0</v>
      </c>
      <c r="I115" s="24" t="str">
        <f t="shared" si="3"/>
        <v/>
      </c>
      <c r="J115" s="80"/>
      <c r="K115" s="26"/>
      <c r="L115" s="30"/>
    </row>
    <row r="116" ht="22.5" customHeight="1">
      <c r="A116" s="25"/>
      <c r="B116" s="23"/>
      <c r="C116" s="26"/>
      <c r="D116" s="24"/>
      <c r="E116" s="24"/>
      <c r="F116" s="26"/>
      <c r="G116" s="30"/>
      <c r="H116" s="30">
        <f t="shared" si="7"/>
        <v>0</v>
      </c>
      <c r="I116" s="24" t="str">
        <f t="shared" si="3"/>
        <v/>
      </c>
      <c r="J116" s="80"/>
      <c r="K116" s="26"/>
      <c r="L116" s="30"/>
    </row>
    <row r="117" ht="22.5" customHeight="1">
      <c r="A117" s="25"/>
      <c r="B117" s="23"/>
      <c r="C117" s="26"/>
      <c r="D117" s="24"/>
      <c r="E117" s="24"/>
      <c r="F117" s="26"/>
      <c r="G117" s="30"/>
      <c r="H117" s="30">
        <f t="shared" si="7"/>
        <v>0</v>
      </c>
      <c r="I117" s="24" t="str">
        <f t="shared" si="3"/>
        <v/>
      </c>
      <c r="J117" s="80"/>
      <c r="K117" s="26"/>
      <c r="L117" s="30"/>
    </row>
    <row r="118" ht="22.5" customHeight="1">
      <c r="A118" s="25"/>
      <c r="B118" s="23"/>
      <c r="C118" s="26"/>
      <c r="D118" s="24"/>
      <c r="E118" s="24"/>
      <c r="F118" s="26"/>
      <c r="G118" s="30"/>
      <c r="H118" s="30">
        <f t="shared" si="7"/>
        <v>0</v>
      </c>
      <c r="I118" s="24" t="str">
        <f t="shared" si="3"/>
        <v/>
      </c>
      <c r="J118" s="80"/>
      <c r="K118" s="26"/>
      <c r="L118" s="30"/>
    </row>
    <row r="119" ht="22.5" customHeight="1">
      <c r="A119" s="25"/>
      <c r="B119" s="23"/>
      <c r="C119" s="26"/>
      <c r="D119" s="24"/>
      <c r="E119" s="24"/>
      <c r="F119" s="26"/>
      <c r="G119" s="30"/>
      <c r="H119" s="30">
        <f t="shared" si="7"/>
        <v>0</v>
      </c>
      <c r="I119" s="24" t="str">
        <f t="shared" si="3"/>
        <v/>
      </c>
      <c r="J119" s="80"/>
      <c r="K119" s="26"/>
      <c r="L119" s="30"/>
    </row>
    <row r="120" ht="22.5" customHeight="1">
      <c r="A120" s="25"/>
      <c r="B120" s="23"/>
      <c r="C120" s="26"/>
      <c r="D120" s="24"/>
      <c r="E120" s="24"/>
      <c r="F120" s="26"/>
      <c r="G120" s="30"/>
      <c r="H120" s="30">
        <f t="shared" si="7"/>
        <v>0</v>
      </c>
      <c r="I120" s="24" t="str">
        <f t="shared" si="3"/>
        <v/>
      </c>
      <c r="J120" s="80"/>
      <c r="K120" s="26"/>
      <c r="L120" s="30"/>
    </row>
    <row r="121" ht="22.5" customHeight="1">
      <c r="A121" s="25"/>
      <c r="B121" s="23"/>
      <c r="C121" s="26"/>
      <c r="D121" s="24"/>
      <c r="E121" s="24"/>
      <c r="F121" s="26"/>
      <c r="G121" s="30"/>
      <c r="H121" s="30">
        <f t="shared" si="7"/>
        <v>0</v>
      </c>
      <c r="I121" s="24" t="str">
        <f t="shared" si="3"/>
        <v/>
      </c>
      <c r="J121" s="80"/>
      <c r="K121" s="26"/>
      <c r="L121" s="30"/>
    </row>
    <row r="122" ht="22.5" customHeight="1">
      <c r="A122" s="25"/>
      <c r="B122" s="23"/>
      <c r="C122" s="26"/>
      <c r="D122" s="24"/>
      <c r="E122" s="24"/>
      <c r="F122" s="26"/>
      <c r="G122" s="30"/>
      <c r="H122" s="30">
        <f t="shared" si="7"/>
        <v>0</v>
      </c>
      <c r="I122" s="24" t="str">
        <f t="shared" si="3"/>
        <v/>
      </c>
      <c r="J122" s="80"/>
      <c r="K122" s="26"/>
      <c r="L122" s="30"/>
    </row>
    <row r="123" ht="22.5" customHeight="1">
      <c r="A123" s="25"/>
      <c r="B123" s="23"/>
      <c r="C123" s="26"/>
      <c r="D123" s="24"/>
      <c r="E123" s="24"/>
      <c r="F123" s="26"/>
      <c r="G123" s="30"/>
      <c r="H123" s="30">
        <f t="shared" si="7"/>
        <v>0</v>
      </c>
      <c r="I123" s="24" t="str">
        <f t="shared" si="3"/>
        <v/>
      </c>
      <c r="J123" s="80"/>
      <c r="K123" s="26"/>
      <c r="L123" s="30"/>
    </row>
    <row r="124" ht="22.5" customHeight="1">
      <c r="A124" s="25"/>
      <c r="B124" s="23"/>
      <c r="C124" s="26"/>
      <c r="D124" s="24"/>
      <c r="E124" s="24"/>
      <c r="F124" s="26"/>
      <c r="G124" s="30"/>
      <c r="H124" s="30">
        <f t="shared" si="7"/>
        <v>0</v>
      </c>
      <c r="I124" s="24" t="str">
        <f t="shared" si="3"/>
        <v/>
      </c>
      <c r="J124" s="80"/>
      <c r="K124" s="26"/>
      <c r="L124" s="30"/>
    </row>
    <row r="125" ht="22.5" customHeight="1">
      <c r="A125" s="25"/>
      <c r="B125" s="23"/>
      <c r="C125" s="26"/>
      <c r="D125" s="24"/>
      <c r="E125" s="24"/>
      <c r="F125" s="26"/>
      <c r="G125" s="30"/>
      <c r="H125" s="30">
        <f t="shared" si="7"/>
        <v>0</v>
      </c>
      <c r="I125" s="24" t="str">
        <f t="shared" si="3"/>
        <v/>
      </c>
      <c r="J125" s="80"/>
      <c r="K125" s="26"/>
      <c r="L125" s="30"/>
    </row>
    <row r="126" ht="22.5" customHeight="1">
      <c r="A126" s="25"/>
      <c r="B126" s="23"/>
      <c r="C126" s="26"/>
      <c r="D126" s="24"/>
      <c r="E126" s="24"/>
      <c r="F126" s="26"/>
      <c r="G126" s="30"/>
      <c r="H126" s="30">
        <f t="shared" si="7"/>
        <v>0</v>
      </c>
      <c r="I126" s="24" t="str">
        <f t="shared" si="3"/>
        <v/>
      </c>
      <c r="J126" s="80"/>
      <c r="K126" s="26"/>
      <c r="L126" s="30"/>
    </row>
    <row r="127" ht="22.5" customHeight="1">
      <c r="A127" s="25"/>
      <c r="B127" s="23"/>
      <c r="C127" s="26"/>
      <c r="D127" s="24"/>
      <c r="E127" s="24"/>
      <c r="F127" s="26"/>
      <c r="G127" s="30"/>
      <c r="H127" s="30">
        <f t="shared" si="7"/>
        <v>0</v>
      </c>
      <c r="I127" s="24" t="str">
        <f t="shared" si="3"/>
        <v/>
      </c>
      <c r="J127" s="80"/>
      <c r="K127" s="26"/>
      <c r="L127" s="30"/>
    </row>
    <row r="128" ht="22.5" customHeight="1">
      <c r="A128" s="25"/>
      <c r="B128" s="23"/>
      <c r="C128" s="26"/>
      <c r="D128" s="24"/>
      <c r="E128" s="24"/>
      <c r="F128" s="26"/>
      <c r="G128" s="30"/>
      <c r="H128" s="30">
        <f t="shared" si="7"/>
        <v>0</v>
      </c>
      <c r="I128" s="24" t="str">
        <f t="shared" si="3"/>
        <v/>
      </c>
      <c r="J128" s="80"/>
      <c r="K128" s="26"/>
      <c r="L128" s="30"/>
    </row>
    <row r="129" ht="22.5" customHeight="1">
      <c r="A129" s="25"/>
      <c r="B129" s="23"/>
      <c r="C129" s="26"/>
      <c r="D129" s="24"/>
      <c r="E129" s="24"/>
      <c r="F129" s="26"/>
      <c r="G129" s="30"/>
      <c r="H129" s="30">
        <f t="shared" si="7"/>
        <v>0</v>
      </c>
      <c r="I129" s="24" t="str">
        <f t="shared" si="3"/>
        <v/>
      </c>
      <c r="J129" s="80"/>
      <c r="K129" s="26"/>
      <c r="L129" s="30"/>
    </row>
    <row r="130" ht="22.5" customHeight="1">
      <c r="A130" s="25"/>
      <c r="B130" s="23"/>
      <c r="C130" s="26"/>
      <c r="D130" s="24"/>
      <c r="E130" s="24"/>
      <c r="F130" s="26"/>
      <c r="G130" s="30"/>
      <c r="H130" s="30">
        <f t="shared" si="7"/>
        <v>0</v>
      </c>
      <c r="I130" s="24" t="str">
        <f t="shared" si="3"/>
        <v/>
      </c>
      <c r="J130" s="80"/>
      <c r="K130" s="26"/>
      <c r="L130" s="30"/>
    </row>
    <row r="131" ht="22.5" customHeight="1">
      <c r="A131" s="25"/>
      <c r="B131" s="23"/>
      <c r="C131" s="26"/>
      <c r="D131" s="24"/>
      <c r="E131" s="24"/>
      <c r="F131" s="26"/>
      <c r="G131" s="30"/>
      <c r="H131" s="30">
        <f t="shared" si="7"/>
        <v>0</v>
      </c>
      <c r="I131" s="24" t="str">
        <f t="shared" si="3"/>
        <v/>
      </c>
      <c r="J131" s="80"/>
      <c r="K131" s="26"/>
      <c r="L131" s="30"/>
    </row>
    <row r="132" ht="22.5" customHeight="1">
      <c r="A132" s="25"/>
      <c r="B132" s="23"/>
      <c r="C132" s="26"/>
      <c r="D132" s="24"/>
      <c r="E132" s="24"/>
      <c r="F132" s="26"/>
      <c r="G132" s="30"/>
      <c r="H132" s="30">
        <f t="shared" si="7"/>
        <v>0</v>
      </c>
      <c r="I132" s="24" t="str">
        <f t="shared" si="3"/>
        <v/>
      </c>
      <c r="J132" s="80"/>
      <c r="K132" s="26"/>
      <c r="L132" s="30"/>
    </row>
    <row r="133" ht="22.5" customHeight="1">
      <c r="A133" s="25"/>
      <c r="B133" s="23"/>
      <c r="C133" s="26"/>
      <c r="D133" s="24"/>
      <c r="E133" s="24"/>
      <c r="F133" s="26"/>
      <c r="G133" s="30"/>
      <c r="H133" s="30">
        <f t="shared" si="7"/>
        <v>0</v>
      </c>
      <c r="I133" s="24" t="str">
        <f t="shared" si="3"/>
        <v/>
      </c>
      <c r="J133" s="80"/>
      <c r="K133" s="26"/>
      <c r="L133" s="30"/>
    </row>
    <row r="134" ht="22.5" customHeight="1">
      <c r="A134" s="25"/>
      <c r="B134" s="23"/>
      <c r="C134" s="26"/>
      <c r="D134" s="24"/>
      <c r="E134" s="24"/>
      <c r="F134" s="26"/>
      <c r="G134" s="30"/>
      <c r="H134" s="30">
        <f t="shared" si="7"/>
        <v>0</v>
      </c>
      <c r="I134" s="24" t="str">
        <f t="shared" si="3"/>
        <v/>
      </c>
      <c r="J134" s="80"/>
      <c r="K134" s="26"/>
      <c r="L134" s="30"/>
    </row>
    <row r="135" ht="22.5" customHeight="1">
      <c r="A135" s="25"/>
      <c r="B135" s="23"/>
      <c r="C135" s="26"/>
      <c r="D135" s="24"/>
      <c r="E135" s="24"/>
      <c r="F135" s="26"/>
      <c r="G135" s="30"/>
      <c r="H135" s="30">
        <f t="shared" si="7"/>
        <v>0</v>
      </c>
      <c r="I135" s="24" t="str">
        <f t="shared" si="3"/>
        <v/>
      </c>
      <c r="J135" s="80"/>
      <c r="K135" s="26"/>
      <c r="L135" s="30"/>
    </row>
    <row r="136" ht="22.5" customHeight="1">
      <c r="A136" s="25"/>
      <c r="B136" s="23"/>
      <c r="C136" s="26"/>
      <c r="D136" s="24"/>
      <c r="E136" s="24"/>
      <c r="F136" s="26"/>
      <c r="G136" s="30"/>
      <c r="H136" s="30">
        <f t="shared" si="7"/>
        <v>0</v>
      </c>
      <c r="I136" s="24" t="str">
        <f t="shared" si="3"/>
        <v/>
      </c>
      <c r="J136" s="80"/>
      <c r="K136" s="26"/>
      <c r="L136" s="30"/>
    </row>
    <row r="137" ht="22.5" customHeight="1">
      <c r="A137" s="25"/>
      <c r="B137" s="23"/>
      <c r="C137" s="26"/>
      <c r="D137" s="24"/>
      <c r="E137" s="24"/>
      <c r="F137" s="26"/>
      <c r="G137" s="30"/>
      <c r="H137" s="30">
        <f t="shared" si="7"/>
        <v>0</v>
      </c>
      <c r="I137" s="24" t="str">
        <f t="shared" si="3"/>
        <v/>
      </c>
      <c r="J137" s="80"/>
      <c r="K137" s="26"/>
      <c r="L137" s="30"/>
    </row>
    <row r="138" ht="22.5" customHeight="1">
      <c r="A138" s="25"/>
      <c r="B138" s="23"/>
      <c r="C138" s="26"/>
      <c r="D138" s="24"/>
      <c r="E138" s="24"/>
      <c r="F138" s="26"/>
      <c r="G138" s="30"/>
      <c r="H138" s="30">
        <f t="shared" si="7"/>
        <v>0</v>
      </c>
      <c r="I138" s="24" t="str">
        <f t="shared" si="3"/>
        <v/>
      </c>
      <c r="J138" s="80"/>
      <c r="K138" s="26"/>
      <c r="L138" s="30"/>
    </row>
    <row r="139" ht="22.5" customHeight="1">
      <c r="A139" s="25"/>
      <c r="B139" s="23"/>
      <c r="C139" s="26"/>
      <c r="D139" s="24"/>
      <c r="E139" s="24"/>
      <c r="F139" s="26"/>
      <c r="G139" s="30"/>
      <c r="H139" s="30">
        <f t="shared" si="7"/>
        <v>0</v>
      </c>
      <c r="I139" s="24" t="str">
        <f t="shared" si="3"/>
        <v/>
      </c>
      <c r="J139" s="80"/>
      <c r="K139" s="26"/>
      <c r="L139" s="30"/>
    </row>
    <row r="140" ht="22.5" customHeight="1">
      <c r="A140" s="25"/>
      <c r="B140" s="23"/>
      <c r="C140" s="26"/>
      <c r="D140" s="24"/>
      <c r="E140" s="24"/>
      <c r="F140" s="26"/>
      <c r="G140" s="30"/>
      <c r="H140" s="30">
        <f t="shared" si="7"/>
        <v>0</v>
      </c>
      <c r="I140" s="24" t="str">
        <f t="shared" si="3"/>
        <v/>
      </c>
      <c r="J140" s="80"/>
      <c r="K140" s="26"/>
      <c r="L140" s="30"/>
    </row>
    <row r="141" ht="22.5" customHeight="1">
      <c r="A141" s="25"/>
      <c r="B141" s="23"/>
      <c r="C141" s="26"/>
      <c r="D141" s="24"/>
      <c r="E141" s="24"/>
      <c r="F141" s="26"/>
      <c r="G141" s="30"/>
      <c r="H141" s="30">
        <f t="shared" si="7"/>
        <v>0</v>
      </c>
      <c r="I141" s="24" t="str">
        <f t="shared" si="3"/>
        <v/>
      </c>
      <c r="J141" s="80"/>
      <c r="K141" s="26"/>
      <c r="L141" s="30"/>
    </row>
    <row r="142" ht="22.5" customHeight="1">
      <c r="A142" s="25"/>
      <c r="B142" s="23"/>
      <c r="C142" s="26"/>
      <c r="D142" s="24"/>
      <c r="E142" s="24"/>
      <c r="F142" s="26"/>
      <c r="G142" s="30"/>
      <c r="H142" s="30">
        <f t="shared" si="7"/>
        <v>0</v>
      </c>
      <c r="I142" s="24" t="str">
        <f t="shared" si="3"/>
        <v/>
      </c>
      <c r="J142" s="80"/>
      <c r="K142" s="26"/>
      <c r="L142" s="30"/>
    </row>
    <row r="143" ht="22.5" customHeight="1">
      <c r="A143" s="25"/>
      <c r="B143" s="23"/>
      <c r="C143" s="26"/>
      <c r="D143" s="24"/>
      <c r="E143" s="24"/>
      <c r="F143" s="26"/>
      <c r="G143" s="30"/>
      <c r="H143" s="30">
        <f t="shared" si="7"/>
        <v>0</v>
      </c>
      <c r="I143" s="24" t="str">
        <f t="shared" si="3"/>
        <v/>
      </c>
      <c r="J143" s="80"/>
      <c r="K143" s="26"/>
      <c r="L143" s="30"/>
    </row>
    <row r="144" ht="22.5" customHeight="1">
      <c r="A144" s="25"/>
      <c r="B144" s="23"/>
      <c r="C144" s="26"/>
      <c r="D144" s="24"/>
      <c r="E144" s="24"/>
      <c r="F144" s="26"/>
      <c r="G144" s="30"/>
      <c r="H144" s="30">
        <f t="shared" si="7"/>
        <v>0</v>
      </c>
      <c r="I144" s="24" t="str">
        <f t="shared" si="3"/>
        <v/>
      </c>
      <c r="J144" s="80"/>
      <c r="K144" s="26"/>
      <c r="L144" s="30"/>
    </row>
    <row r="145" ht="22.5" customHeight="1">
      <c r="A145" s="25"/>
      <c r="B145" s="23"/>
      <c r="C145" s="26"/>
      <c r="D145" s="24"/>
      <c r="E145" s="24"/>
      <c r="F145" s="26"/>
      <c r="G145" s="30"/>
      <c r="H145" s="30">
        <f t="shared" si="7"/>
        <v>0</v>
      </c>
      <c r="I145" s="24" t="str">
        <f t="shared" si="3"/>
        <v/>
      </c>
      <c r="J145" s="80"/>
      <c r="K145" s="26"/>
      <c r="L145" s="30"/>
    </row>
    <row r="146" ht="22.5" customHeight="1">
      <c r="A146" s="25"/>
      <c r="B146" s="23"/>
      <c r="C146" s="26"/>
      <c r="D146" s="24"/>
      <c r="E146" s="24"/>
      <c r="F146" s="26"/>
      <c r="G146" s="30"/>
      <c r="H146" s="30">
        <f t="shared" si="7"/>
        <v>0</v>
      </c>
      <c r="I146" s="24" t="str">
        <f t="shared" si="3"/>
        <v/>
      </c>
      <c r="J146" s="80"/>
      <c r="K146" s="26"/>
      <c r="L146" s="30"/>
    </row>
    <row r="147" ht="22.5" customHeight="1">
      <c r="A147" s="25"/>
      <c r="B147" s="23"/>
      <c r="C147" s="26"/>
      <c r="D147" s="24"/>
      <c r="E147" s="24"/>
      <c r="F147" s="26"/>
      <c r="G147" s="30"/>
      <c r="H147" s="30">
        <f t="shared" si="7"/>
        <v>0</v>
      </c>
      <c r="I147" s="24" t="str">
        <f t="shared" si="3"/>
        <v/>
      </c>
      <c r="J147" s="80"/>
      <c r="K147" s="26"/>
      <c r="L147" s="30"/>
    </row>
    <row r="148" ht="22.5" customHeight="1">
      <c r="A148" s="25"/>
      <c r="B148" s="23"/>
      <c r="C148" s="26"/>
      <c r="D148" s="24"/>
      <c r="E148" s="24"/>
      <c r="F148" s="26"/>
      <c r="G148" s="30"/>
      <c r="H148" s="30">
        <f t="shared" si="7"/>
        <v>0</v>
      </c>
      <c r="I148" s="24" t="str">
        <f t="shared" si="3"/>
        <v/>
      </c>
      <c r="J148" s="80"/>
      <c r="K148" s="26"/>
      <c r="L148" s="30"/>
    </row>
    <row r="149" ht="22.5" customHeight="1">
      <c r="A149" s="25"/>
      <c r="B149" s="23"/>
      <c r="C149" s="26"/>
      <c r="D149" s="24"/>
      <c r="E149" s="24"/>
      <c r="F149" s="26"/>
      <c r="G149" s="30"/>
      <c r="H149" s="30">
        <f t="shared" si="7"/>
        <v>0</v>
      </c>
      <c r="I149" s="24" t="str">
        <f t="shared" si="3"/>
        <v/>
      </c>
      <c r="J149" s="80"/>
      <c r="K149" s="26"/>
      <c r="L149" s="30"/>
    </row>
    <row r="150" ht="22.5" customHeight="1">
      <c r="A150" s="25"/>
      <c r="B150" s="23"/>
      <c r="C150" s="26"/>
      <c r="D150" s="24"/>
      <c r="E150" s="24"/>
      <c r="F150" s="26"/>
      <c r="G150" s="30"/>
      <c r="H150" s="30">
        <f t="shared" si="7"/>
        <v>0</v>
      </c>
      <c r="I150" s="24" t="str">
        <f t="shared" si="3"/>
        <v/>
      </c>
      <c r="J150" s="80"/>
      <c r="K150" s="26"/>
      <c r="L150" s="30"/>
    </row>
    <row r="151" ht="22.5" customHeight="1">
      <c r="A151" s="25"/>
      <c r="B151" s="23"/>
      <c r="C151" s="26"/>
      <c r="D151" s="24"/>
      <c r="E151" s="24"/>
      <c r="F151" s="26"/>
      <c r="G151" s="30"/>
      <c r="H151" s="30">
        <f t="shared" si="7"/>
        <v>0</v>
      </c>
      <c r="I151" s="24" t="str">
        <f t="shared" si="3"/>
        <v/>
      </c>
      <c r="J151" s="80"/>
      <c r="K151" s="26"/>
      <c r="L151" s="30"/>
    </row>
    <row r="152" ht="22.5" customHeight="1">
      <c r="A152" s="25"/>
      <c r="B152" s="23"/>
      <c r="C152" s="26"/>
      <c r="D152" s="24"/>
      <c r="E152" s="24"/>
      <c r="F152" s="26"/>
      <c r="G152" s="30"/>
      <c r="H152" s="30">
        <f t="shared" si="7"/>
        <v>0</v>
      </c>
      <c r="I152" s="24" t="str">
        <f t="shared" si="3"/>
        <v/>
      </c>
      <c r="J152" s="80"/>
      <c r="K152" s="26"/>
      <c r="L152" s="30"/>
    </row>
    <row r="153" ht="22.5" customHeight="1">
      <c r="A153" s="25"/>
      <c r="B153" s="23"/>
      <c r="C153" s="26"/>
      <c r="D153" s="24"/>
      <c r="E153" s="24"/>
      <c r="F153" s="26"/>
      <c r="G153" s="30"/>
      <c r="H153" s="30">
        <f t="shared" si="7"/>
        <v>0</v>
      </c>
      <c r="I153" s="24" t="str">
        <f t="shared" si="3"/>
        <v/>
      </c>
      <c r="J153" s="80"/>
      <c r="K153" s="26"/>
      <c r="L153" s="30"/>
    </row>
    <row r="154" ht="22.5" customHeight="1">
      <c r="A154" s="25"/>
      <c r="B154" s="23"/>
      <c r="C154" s="26"/>
      <c r="D154" s="24"/>
      <c r="E154" s="24"/>
      <c r="F154" s="26"/>
      <c r="G154" s="30"/>
      <c r="H154" s="30">
        <f t="shared" si="7"/>
        <v>0</v>
      </c>
      <c r="I154" s="24" t="str">
        <f t="shared" si="3"/>
        <v/>
      </c>
      <c r="J154" s="80"/>
      <c r="K154" s="26"/>
      <c r="L154" s="30"/>
    </row>
    <row r="155" ht="22.5" customHeight="1">
      <c r="A155" s="25"/>
      <c r="B155" s="23"/>
      <c r="C155" s="26"/>
      <c r="D155" s="24"/>
      <c r="E155" s="24"/>
      <c r="F155" s="26"/>
      <c r="G155" s="30"/>
      <c r="H155" s="30">
        <f t="shared" si="7"/>
        <v>0</v>
      </c>
      <c r="I155" s="24" t="str">
        <f t="shared" si="3"/>
        <v/>
      </c>
      <c r="J155" s="80"/>
      <c r="K155" s="26"/>
      <c r="L155" s="30"/>
    </row>
    <row r="156" ht="22.5" customHeight="1">
      <c r="A156" s="25"/>
      <c r="B156" s="23"/>
      <c r="C156" s="26"/>
      <c r="D156" s="24"/>
      <c r="E156" s="24"/>
      <c r="F156" s="26"/>
      <c r="G156" s="30"/>
      <c r="H156" s="30">
        <f t="shared" si="7"/>
        <v>0</v>
      </c>
      <c r="I156" s="24" t="str">
        <f t="shared" si="3"/>
        <v/>
      </c>
      <c r="J156" s="80"/>
      <c r="K156" s="26"/>
      <c r="L156" s="30"/>
    </row>
    <row r="157" ht="22.5" customHeight="1">
      <c r="A157" s="25"/>
      <c r="B157" s="23"/>
      <c r="C157" s="26"/>
      <c r="D157" s="24"/>
      <c r="E157" s="24"/>
      <c r="F157" s="26"/>
      <c r="G157" s="30"/>
      <c r="H157" s="30">
        <f t="shared" si="7"/>
        <v>0</v>
      </c>
      <c r="I157" s="24" t="str">
        <f t="shared" si="3"/>
        <v/>
      </c>
      <c r="J157" s="80"/>
      <c r="K157" s="26"/>
      <c r="L157" s="30"/>
    </row>
    <row r="158" ht="22.5" customHeight="1">
      <c r="A158" s="25"/>
      <c r="B158" s="23"/>
      <c r="C158" s="26"/>
      <c r="D158" s="24"/>
      <c r="E158" s="24"/>
      <c r="F158" s="26"/>
      <c r="G158" s="30"/>
      <c r="H158" s="30">
        <f t="shared" si="7"/>
        <v>0</v>
      </c>
      <c r="I158" s="24" t="str">
        <f t="shared" si="3"/>
        <v/>
      </c>
      <c r="J158" s="80"/>
      <c r="K158" s="26"/>
      <c r="L158" s="30"/>
    </row>
    <row r="159" ht="22.5" customHeight="1">
      <c r="A159" s="25"/>
      <c r="B159" s="23"/>
      <c r="C159" s="26"/>
      <c r="D159" s="24"/>
      <c r="E159" s="24"/>
      <c r="F159" s="26"/>
      <c r="G159" s="30"/>
      <c r="H159" s="30">
        <f t="shared" si="7"/>
        <v>0</v>
      </c>
      <c r="I159" s="24" t="str">
        <f t="shared" si="3"/>
        <v/>
      </c>
      <c r="J159" s="80"/>
      <c r="K159" s="26"/>
      <c r="L159" s="30"/>
    </row>
    <row r="160" ht="22.5" customHeight="1">
      <c r="A160" s="25"/>
      <c r="B160" s="23"/>
      <c r="C160" s="26"/>
      <c r="D160" s="24"/>
      <c r="E160" s="24"/>
      <c r="F160" s="26"/>
      <c r="G160" s="30"/>
      <c r="H160" s="30">
        <f t="shared" si="7"/>
        <v>0</v>
      </c>
      <c r="I160" s="24" t="str">
        <f t="shared" si="3"/>
        <v/>
      </c>
      <c r="J160" s="80"/>
      <c r="K160" s="26"/>
      <c r="L160" s="30"/>
    </row>
    <row r="161" ht="22.5" customHeight="1">
      <c r="A161" s="25"/>
      <c r="B161" s="23"/>
      <c r="C161" s="26"/>
      <c r="D161" s="24"/>
      <c r="E161" s="24"/>
      <c r="F161" s="26"/>
      <c r="G161" s="30"/>
      <c r="H161" s="30">
        <f t="shared" si="7"/>
        <v>0</v>
      </c>
      <c r="I161" s="24" t="str">
        <f t="shared" si="3"/>
        <v/>
      </c>
      <c r="J161" s="80"/>
      <c r="K161" s="26"/>
      <c r="L161" s="30"/>
    </row>
    <row r="162" ht="22.5" customHeight="1">
      <c r="A162" s="25"/>
      <c r="B162" s="23"/>
      <c r="C162" s="26"/>
      <c r="D162" s="24"/>
      <c r="E162" s="24"/>
      <c r="F162" s="26"/>
      <c r="G162" s="30"/>
      <c r="H162" s="30">
        <f t="shared" si="7"/>
        <v>0</v>
      </c>
      <c r="I162" s="24" t="str">
        <f t="shared" si="3"/>
        <v/>
      </c>
      <c r="J162" s="80"/>
      <c r="K162" s="26"/>
      <c r="L162" s="30"/>
    </row>
    <row r="163" ht="22.5" customHeight="1">
      <c r="A163" s="25"/>
      <c r="B163" s="23"/>
      <c r="C163" s="26"/>
      <c r="D163" s="24"/>
      <c r="E163" s="24"/>
      <c r="F163" s="26"/>
      <c r="G163" s="30"/>
      <c r="H163" s="30">
        <f t="shared" si="7"/>
        <v>0</v>
      </c>
      <c r="I163" s="24" t="str">
        <f t="shared" si="3"/>
        <v/>
      </c>
      <c r="J163" s="80"/>
      <c r="K163" s="26"/>
      <c r="L163" s="30"/>
    </row>
    <row r="164" ht="22.5" customHeight="1">
      <c r="A164" s="25"/>
      <c r="B164" s="23"/>
      <c r="C164" s="26"/>
      <c r="D164" s="24"/>
      <c r="E164" s="24"/>
      <c r="F164" s="26"/>
      <c r="G164" s="30"/>
      <c r="H164" s="30">
        <f t="shared" si="7"/>
        <v>0</v>
      </c>
      <c r="I164" s="24" t="str">
        <f t="shared" si="3"/>
        <v/>
      </c>
      <c r="J164" s="80"/>
      <c r="K164" s="26"/>
      <c r="L164" s="30"/>
    </row>
    <row r="165" ht="22.5" customHeight="1">
      <c r="A165" s="25"/>
      <c r="B165" s="23"/>
      <c r="C165" s="26"/>
      <c r="D165" s="24"/>
      <c r="E165" s="24"/>
      <c r="F165" s="26"/>
      <c r="G165" s="30"/>
      <c r="H165" s="30">
        <f t="shared" si="7"/>
        <v>0</v>
      </c>
      <c r="I165" s="24" t="str">
        <f t="shared" si="3"/>
        <v/>
      </c>
      <c r="J165" s="80"/>
      <c r="K165" s="26"/>
      <c r="L165" s="30"/>
    </row>
    <row r="166" ht="22.5" customHeight="1">
      <c r="A166" s="25"/>
      <c r="B166" s="23"/>
      <c r="C166" s="26"/>
      <c r="D166" s="24"/>
      <c r="E166" s="24"/>
      <c r="F166" s="26"/>
      <c r="G166" s="30"/>
      <c r="H166" s="30">
        <f t="shared" si="7"/>
        <v>0</v>
      </c>
      <c r="I166" s="24" t="str">
        <f t="shared" si="3"/>
        <v/>
      </c>
      <c r="J166" s="80"/>
      <c r="K166" s="26"/>
      <c r="L166" s="30"/>
    </row>
    <row r="167" ht="22.5" customHeight="1">
      <c r="A167" s="25"/>
      <c r="B167" s="23"/>
      <c r="C167" s="26"/>
      <c r="D167" s="24"/>
      <c r="E167" s="24"/>
      <c r="F167" s="26"/>
      <c r="G167" s="30"/>
      <c r="H167" s="30">
        <f t="shared" si="7"/>
        <v>0</v>
      </c>
      <c r="I167" s="24" t="str">
        <f t="shared" si="3"/>
        <v/>
      </c>
      <c r="J167" s="80"/>
      <c r="K167" s="26"/>
      <c r="L167" s="30"/>
    </row>
    <row r="168" ht="22.5" customHeight="1">
      <c r="A168" s="25"/>
      <c r="B168" s="23"/>
      <c r="C168" s="26"/>
      <c r="D168" s="24"/>
      <c r="E168" s="24"/>
      <c r="F168" s="26"/>
      <c r="G168" s="30"/>
      <c r="H168" s="30">
        <f t="shared" si="7"/>
        <v>0</v>
      </c>
      <c r="I168" s="24" t="str">
        <f t="shared" si="3"/>
        <v/>
      </c>
      <c r="J168" s="80"/>
      <c r="K168" s="26"/>
      <c r="L168" s="30"/>
    </row>
    <row r="169" ht="22.5" customHeight="1">
      <c r="A169" s="25"/>
      <c r="B169" s="23"/>
      <c r="C169" s="26"/>
      <c r="D169" s="24"/>
      <c r="E169" s="24"/>
      <c r="F169" s="26"/>
      <c r="G169" s="30"/>
      <c r="H169" s="30">
        <f t="shared" si="7"/>
        <v>0</v>
      </c>
      <c r="I169" s="24" t="str">
        <f t="shared" si="3"/>
        <v/>
      </c>
      <c r="J169" s="80"/>
      <c r="K169" s="26"/>
      <c r="L169" s="30"/>
    </row>
    <row r="170" ht="22.5" customHeight="1">
      <c r="A170" s="25"/>
      <c r="B170" s="23"/>
      <c r="C170" s="26"/>
      <c r="D170" s="24"/>
      <c r="E170" s="24"/>
      <c r="F170" s="26"/>
      <c r="G170" s="30"/>
      <c r="H170" s="30">
        <f t="shared" si="7"/>
        <v>0</v>
      </c>
      <c r="I170" s="24" t="str">
        <f t="shared" si="3"/>
        <v/>
      </c>
      <c r="J170" s="80"/>
      <c r="K170" s="26"/>
      <c r="L170" s="30"/>
    </row>
    <row r="171" ht="22.5" customHeight="1">
      <c r="A171" s="25"/>
      <c r="B171" s="23"/>
      <c r="C171" s="26"/>
      <c r="D171" s="24"/>
      <c r="E171" s="24"/>
      <c r="F171" s="26"/>
      <c r="G171" s="30"/>
      <c r="H171" s="30">
        <f t="shared" si="7"/>
        <v>0</v>
      </c>
      <c r="I171" s="24" t="str">
        <f t="shared" si="3"/>
        <v/>
      </c>
      <c r="J171" s="80"/>
      <c r="K171" s="26"/>
      <c r="L171" s="30"/>
    </row>
    <row r="172" ht="22.5" customHeight="1">
      <c r="A172" s="25"/>
      <c r="B172" s="23"/>
      <c r="C172" s="26"/>
      <c r="D172" s="24"/>
      <c r="E172" s="24"/>
      <c r="F172" s="26"/>
      <c r="G172" s="30"/>
      <c r="H172" s="30">
        <f t="shared" si="7"/>
        <v>0</v>
      </c>
      <c r="I172" s="24" t="str">
        <f t="shared" si="3"/>
        <v/>
      </c>
      <c r="J172" s="80"/>
      <c r="K172" s="26"/>
      <c r="L172" s="30"/>
    </row>
    <row r="173" ht="22.5" customHeight="1">
      <c r="A173" s="25"/>
      <c r="B173" s="23"/>
      <c r="C173" s="26"/>
      <c r="D173" s="24"/>
      <c r="E173" s="24"/>
      <c r="F173" s="26"/>
      <c r="G173" s="30"/>
      <c r="H173" s="30">
        <f t="shared" si="7"/>
        <v>0</v>
      </c>
      <c r="I173" s="24" t="str">
        <f t="shared" si="3"/>
        <v/>
      </c>
      <c r="J173" s="80"/>
      <c r="K173" s="26"/>
      <c r="L173" s="30"/>
    </row>
    <row r="174" ht="22.5" customHeight="1">
      <c r="A174" s="25"/>
      <c r="B174" s="23"/>
      <c r="C174" s="26"/>
      <c r="D174" s="24"/>
      <c r="E174" s="24"/>
      <c r="F174" s="26"/>
      <c r="G174" s="30"/>
      <c r="H174" s="30">
        <f t="shared" si="7"/>
        <v>0</v>
      </c>
      <c r="I174" s="24" t="str">
        <f t="shared" si="3"/>
        <v/>
      </c>
      <c r="J174" s="80"/>
      <c r="K174" s="26"/>
      <c r="L174" s="30"/>
    </row>
    <row r="175" ht="22.5" customHeight="1">
      <c r="A175" s="25"/>
      <c r="B175" s="23"/>
      <c r="C175" s="26"/>
      <c r="D175" s="24"/>
      <c r="E175" s="24"/>
      <c r="F175" s="26"/>
      <c r="G175" s="30"/>
      <c r="H175" s="30">
        <f t="shared" si="7"/>
        <v>0</v>
      </c>
      <c r="I175" s="24" t="str">
        <f t="shared" si="3"/>
        <v/>
      </c>
      <c r="J175" s="80"/>
      <c r="K175" s="26"/>
      <c r="L175" s="30"/>
    </row>
    <row r="176" ht="22.5" customHeight="1">
      <c r="A176" s="25"/>
      <c r="B176" s="23"/>
      <c r="C176" s="26"/>
      <c r="D176" s="24"/>
      <c r="E176" s="24"/>
      <c r="F176" s="26"/>
      <c r="G176" s="30"/>
      <c r="H176" s="30">
        <f t="shared" si="7"/>
        <v>0</v>
      </c>
      <c r="I176" s="24" t="str">
        <f t="shared" si="3"/>
        <v/>
      </c>
      <c r="J176" s="80"/>
      <c r="K176" s="26"/>
      <c r="L176" s="30"/>
    </row>
    <row r="177" ht="22.5" customHeight="1">
      <c r="A177" s="25"/>
      <c r="B177" s="23"/>
      <c r="C177" s="26"/>
      <c r="D177" s="24"/>
      <c r="E177" s="24"/>
      <c r="F177" s="26"/>
      <c r="G177" s="30"/>
      <c r="H177" s="30">
        <f t="shared" si="7"/>
        <v>0</v>
      </c>
      <c r="I177" s="24" t="str">
        <f t="shared" si="3"/>
        <v/>
      </c>
      <c r="J177" s="80"/>
      <c r="K177" s="26"/>
      <c r="L177" s="30"/>
    </row>
    <row r="178" ht="22.5" customHeight="1">
      <c r="A178" s="25"/>
      <c r="B178" s="23"/>
      <c r="C178" s="26"/>
      <c r="D178" s="24"/>
      <c r="E178" s="24"/>
      <c r="F178" s="26"/>
      <c r="G178" s="30"/>
      <c r="H178" s="30">
        <f t="shared" si="7"/>
        <v>0</v>
      </c>
      <c r="I178" s="24" t="str">
        <f t="shared" si="3"/>
        <v/>
      </c>
      <c r="J178" s="80"/>
      <c r="K178" s="26"/>
      <c r="L178" s="30"/>
    </row>
    <row r="179" ht="22.5" customHeight="1">
      <c r="A179" s="25"/>
      <c r="B179" s="23"/>
      <c r="C179" s="26"/>
      <c r="D179" s="24"/>
      <c r="E179" s="24"/>
      <c r="F179" s="26"/>
      <c r="G179" s="30"/>
      <c r="H179" s="30">
        <f t="shared" si="7"/>
        <v>0</v>
      </c>
      <c r="I179" s="24" t="str">
        <f t="shared" si="3"/>
        <v/>
      </c>
      <c r="J179" s="80"/>
      <c r="K179" s="26"/>
      <c r="L179" s="30"/>
    </row>
    <row r="180" ht="22.5" customHeight="1">
      <c r="A180" s="25"/>
      <c r="B180" s="23"/>
      <c r="C180" s="26"/>
      <c r="D180" s="24"/>
      <c r="E180" s="24"/>
      <c r="F180" s="26"/>
      <c r="G180" s="30"/>
      <c r="H180" s="30">
        <f t="shared" si="7"/>
        <v>0</v>
      </c>
      <c r="I180" s="24" t="str">
        <f t="shared" si="3"/>
        <v/>
      </c>
      <c r="J180" s="80"/>
      <c r="K180" s="26"/>
      <c r="L180" s="30"/>
    </row>
    <row r="181" ht="22.5" customHeight="1">
      <c r="A181" s="25"/>
      <c r="B181" s="23"/>
      <c r="C181" s="26"/>
      <c r="D181" s="24"/>
      <c r="E181" s="24"/>
      <c r="F181" s="26"/>
      <c r="G181" s="30"/>
      <c r="H181" s="30">
        <f t="shared" si="7"/>
        <v>0</v>
      </c>
      <c r="I181" s="24" t="str">
        <f t="shared" si="3"/>
        <v/>
      </c>
      <c r="J181" s="80"/>
      <c r="K181" s="26"/>
      <c r="L181" s="30"/>
    </row>
    <row r="182" ht="22.5" customHeight="1">
      <c r="A182" s="25"/>
      <c r="B182" s="23"/>
      <c r="C182" s="26"/>
      <c r="D182" s="24"/>
      <c r="E182" s="24"/>
      <c r="F182" s="26"/>
      <c r="G182" s="30"/>
      <c r="H182" s="30">
        <f t="shared" si="7"/>
        <v>0</v>
      </c>
      <c r="I182" s="24" t="str">
        <f t="shared" si="3"/>
        <v/>
      </c>
      <c r="J182" s="80"/>
      <c r="K182" s="26"/>
      <c r="L182" s="30"/>
    </row>
    <row r="183" ht="22.5" customHeight="1">
      <c r="A183" s="25"/>
      <c r="B183" s="23"/>
      <c r="C183" s="26"/>
      <c r="D183" s="24"/>
      <c r="E183" s="24"/>
      <c r="F183" s="26"/>
      <c r="G183" s="30"/>
      <c r="H183" s="30">
        <f t="shared" si="7"/>
        <v>0</v>
      </c>
      <c r="I183" s="24" t="str">
        <f t="shared" si="3"/>
        <v/>
      </c>
      <c r="J183" s="80"/>
      <c r="K183" s="26"/>
      <c r="L183" s="30"/>
    </row>
    <row r="184" ht="22.5" customHeight="1">
      <c r="A184" s="25"/>
      <c r="B184" s="23"/>
      <c r="C184" s="26"/>
      <c r="D184" s="24"/>
      <c r="E184" s="24"/>
      <c r="F184" s="26"/>
      <c r="G184" s="30"/>
      <c r="H184" s="30">
        <f t="shared" si="7"/>
        <v>0</v>
      </c>
      <c r="I184" s="24" t="str">
        <f t="shared" si="3"/>
        <v/>
      </c>
      <c r="J184" s="80"/>
      <c r="K184" s="26"/>
      <c r="L184" s="30"/>
    </row>
    <row r="185" ht="22.5" customHeight="1">
      <c r="A185" s="25"/>
      <c r="B185" s="23"/>
      <c r="C185" s="26"/>
      <c r="D185" s="24"/>
      <c r="E185" s="24"/>
      <c r="F185" s="26"/>
      <c r="G185" s="30"/>
      <c r="H185" s="30">
        <f t="shared" si="7"/>
        <v>0</v>
      </c>
      <c r="I185" s="24" t="str">
        <f t="shared" si="3"/>
        <v/>
      </c>
      <c r="J185" s="80"/>
      <c r="K185" s="26"/>
      <c r="L185" s="30"/>
    </row>
    <row r="186" ht="22.5" customHeight="1">
      <c r="A186" s="25"/>
      <c r="B186" s="23"/>
      <c r="C186" s="26"/>
      <c r="D186" s="24"/>
      <c r="E186" s="24"/>
      <c r="F186" s="26"/>
      <c r="G186" s="30"/>
      <c r="H186" s="30">
        <f t="shared" si="7"/>
        <v>0</v>
      </c>
      <c r="I186" s="24" t="str">
        <f t="shared" si="3"/>
        <v/>
      </c>
      <c r="J186" s="80"/>
      <c r="K186" s="26"/>
      <c r="L186" s="30"/>
    </row>
    <row r="187" ht="22.5" customHeight="1">
      <c r="A187" s="25"/>
      <c r="B187" s="23"/>
      <c r="C187" s="26"/>
      <c r="D187" s="24"/>
      <c r="E187" s="24"/>
      <c r="F187" s="26"/>
      <c r="G187" s="30"/>
      <c r="H187" s="30">
        <f t="shared" si="7"/>
        <v>0</v>
      </c>
      <c r="I187" s="24" t="str">
        <f t="shared" si="3"/>
        <v/>
      </c>
      <c r="J187" s="80"/>
      <c r="K187" s="26"/>
      <c r="L187" s="30"/>
    </row>
    <row r="188" ht="22.5" customHeight="1">
      <c r="A188" s="25"/>
      <c r="B188" s="23"/>
      <c r="C188" s="26"/>
      <c r="D188" s="24"/>
      <c r="E188" s="24"/>
      <c r="F188" s="26"/>
      <c r="G188" s="30"/>
      <c r="H188" s="30">
        <f t="shared" si="7"/>
        <v>0</v>
      </c>
      <c r="I188" s="24" t="str">
        <f t="shared" si="3"/>
        <v/>
      </c>
      <c r="J188" s="80"/>
      <c r="K188" s="26"/>
      <c r="L188" s="30"/>
    </row>
    <row r="189" ht="22.5" customHeight="1">
      <c r="A189" s="25"/>
      <c r="B189" s="23"/>
      <c r="C189" s="26"/>
      <c r="D189" s="24"/>
      <c r="E189" s="24"/>
      <c r="F189" s="26"/>
      <c r="G189" s="30"/>
      <c r="H189" s="30">
        <f t="shared" si="7"/>
        <v>0</v>
      </c>
      <c r="I189" s="24" t="str">
        <f t="shared" si="3"/>
        <v/>
      </c>
      <c r="J189" s="80"/>
      <c r="K189" s="26"/>
      <c r="L189" s="30"/>
    </row>
    <row r="190" ht="22.5" customHeight="1">
      <c r="A190" s="25"/>
      <c r="B190" s="23"/>
      <c r="C190" s="26"/>
      <c r="D190" s="24"/>
      <c r="E190" s="24"/>
      <c r="F190" s="26"/>
      <c r="G190" s="30"/>
      <c r="H190" s="30">
        <f t="shared" si="7"/>
        <v>0</v>
      </c>
      <c r="I190" s="24" t="str">
        <f t="shared" si="3"/>
        <v/>
      </c>
      <c r="J190" s="80"/>
      <c r="K190" s="26"/>
      <c r="L190" s="30"/>
    </row>
    <row r="191" ht="22.5" customHeight="1">
      <c r="A191" s="25"/>
      <c r="B191" s="23"/>
      <c r="C191" s="26"/>
      <c r="D191" s="24"/>
      <c r="E191" s="24"/>
      <c r="F191" s="26"/>
      <c r="G191" s="30"/>
      <c r="H191" s="30">
        <f t="shared" si="7"/>
        <v>0</v>
      </c>
      <c r="I191" s="24" t="str">
        <f t="shared" si="3"/>
        <v/>
      </c>
      <c r="J191" s="80"/>
      <c r="K191" s="26"/>
      <c r="L191" s="30"/>
    </row>
    <row r="192" ht="22.5" customHeight="1">
      <c r="A192" s="25"/>
      <c r="B192" s="23"/>
      <c r="C192" s="26"/>
      <c r="D192" s="24"/>
      <c r="E192" s="24"/>
      <c r="F192" s="26"/>
      <c r="G192" s="30"/>
      <c r="H192" s="30">
        <f t="shared" si="7"/>
        <v>0</v>
      </c>
      <c r="I192" s="24" t="str">
        <f t="shared" si="3"/>
        <v/>
      </c>
      <c r="J192" s="80"/>
      <c r="K192" s="26"/>
      <c r="L192" s="30"/>
    </row>
    <row r="193" ht="22.5" customHeight="1">
      <c r="A193" s="25"/>
      <c r="B193" s="23"/>
      <c r="C193" s="26"/>
      <c r="D193" s="24"/>
      <c r="E193" s="24"/>
      <c r="F193" s="26"/>
      <c r="G193" s="30"/>
      <c r="H193" s="30">
        <f t="shared" si="7"/>
        <v>0</v>
      </c>
      <c r="I193" s="24" t="str">
        <f t="shared" si="3"/>
        <v/>
      </c>
      <c r="J193" s="80"/>
      <c r="K193" s="26"/>
      <c r="L193" s="30"/>
    </row>
    <row r="194" ht="22.5" customHeight="1">
      <c r="A194" s="25"/>
      <c r="B194" s="23"/>
      <c r="C194" s="26"/>
      <c r="D194" s="24"/>
      <c r="E194" s="24"/>
      <c r="F194" s="26"/>
      <c r="G194" s="30"/>
      <c r="H194" s="30">
        <f t="shared" si="7"/>
        <v>0</v>
      </c>
      <c r="I194" s="24" t="str">
        <f t="shared" si="3"/>
        <v/>
      </c>
      <c r="J194" s="80"/>
      <c r="K194" s="26"/>
      <c r="L194" s="30"/>
    </row>
    <row r="195" ht="22.5" customHeight="1">
      <c r="A195" s="25"/>
      <c r="B195" s="23"/>
      <c r="C195" s="26"/>
      <c r="D195" s="24"/>
      <c r="E195" s="24"/>
      <c r="F195" s="26"/>
      <c r="G195" s="30"/>
      <c r="H195" s="30">
        <f t="shared" si="7"/>
        <v>0</v>
      </c>
      <c r="I195" s="24" t="str">
        <f t="shared" si="3"/>
        <v/>
      </c>
      <c r="J195" s="80"/>
      <c r="K195" s="26"/>
      <c r="L195" s="30"/>
    </row>
    <row r="196" ht="22.5" customHeight="1">
      <c r="A196" s="25"/>
      <c r="B196" s="23"/>
      <c r="C196" s="26"/>
      <c r="D196" s="24"/>
      <c r="E196" s="24"/>
      <c r="F196" s="26"/>
      <c r="G196" s="30"/>
      <c r="H196" s="30">
        <f t="shared" si="7"/>
        <v>0</v>
      </c>
      <c r="I196" s="24" t="str">
        <f t="shared" si="3"/>
        <v/>
      </c>
      <c r="J196" s="80"/>
      <c r="K196" s="26"/>
      <c r="L196" s="30"/>
    </row>
    <row r="197" ht="22.5" customHeight="1">
      <c r="A197" s="25"/>
      <c r="B197" s="23"/>
      <c r="C197" s="26"/>
      <c r="D197" s="24"/>
      <c r="E197" s="24"/>
      <c r="F197" s="26"/>
      <c r="G197" s="30"/>
      <c r="H197" s="30">
        <f t="shared" si="7"/>
        <v>0</v>
      </c>
      <c r="I197" s="24" t="str">
        <f t="shared" si="3"/>
        <v/>
      </c>
      <c r="J197" s="80"/>
      <c r="K197" s="26"/>
      <c r="L197" s="30"/>
    </row>
    <row r="198" ht="22.5" customHeight="1">
      <c r="A198" s="25"/>
      <c r="B198" s="23"/>
      <c r="C198" s="26"/>
      <c r="D198" s="24"/>
      <c r="E198" s="24"/>
      <c r="F198" s="26"/>
      <c r="G198" s="30"/>
      <c r="H198" s="30">
        <f t="shared" si="7"/>
        <v>0</v>
      </c>
      <c r="I198" s="24" t="str">
        <f t="shared" si="3"/>
        <v/>
      </c>
      <c r="J198" s="80"/>
      <c r="K198" s="26"/>
      <c r="L198" s="30"/>
    </row>
    <row r="199" ht="22.5" customHeight="1">
      <c r="A199" s="25"/>
      <c r="B199" s="23"/>
      <c r="C199" s="26"/>
      <c r="D199" s="24"/>
      <c r="E199" s="24"/>
      <c r="F199" s="26"/>
      <c r="G199" s="30"/>
      <c r="H199" s="30">
        <f t="shared" si="7"/>
        <v>0</v>
      </c>
      <c r="I199" s="24" t="str">
        <f t="shared" si="3"/>
        <v/>
      </c>
      <c r="J199" s="80"/>
      <c r="K199" s="26"/>
      <c r="L199" s="30"/>
    </row>
    <row r="200" ht="22.5" customHeight="1">
      <c r="A200" s="25"/>
      <c r="B200" s="23"/>
      <c r="C200" s="26"/>
      <c r="D200" s="24"/>
      <c r="E200" s="24"/>
      <c r="F200" s="26"/>
      <c r="G200" s="30"/>
      <c r="H200" s="30">
        <f t="shared" si="7"/>
        <v>0</v>
      </c>
      <c r="I200" s="24" t="str">
        <f t="shared" si="3"/>
        <v/>
      </c>
      <c r="J200" s="80"/>
      <c r="K200" s="26"/>
      <c r="L200" s="30"/>
    </row>
    <row r="201" ht="22.5" customHeight="1">
      <c r="A201" s="25"/>
      <c r="B201" s="23"/>
      <c r="C201" s="26"/>
      <c r="D201" s="24"/>
      <c r="E201" s="24"/>
      <c r="F201" s="26"/>
      <c r="G201" s="30"/>
      <c r="H201" s="30">
        <f t="shared" si="7"/>
        <v>0</v>
      </c>
      <c r="I201" s="24" t="str">
        <f t="shared" si="3"/>
        <v/>
      </c>
      <c r="J201" s="80"/>
      <c r="K201" s="26"/>
      <c r="L201" s="30"/>
    </row>
    <row r="202" ht="22.5" customHeight="1">
      <c r="A202" s="25"/>
      <c r="B202" s="23"/>
      <c r="C202" s="26"/>
      <c r="D202" s="24"/>
      <c r="E202" s="24"/>
      <c r="F202" s="26"/>
      <c r="G202" s="30"/>
      <c r="H202" s="30">
        <f t="shared" si="7"/>
        <v>0</v>
      </c>
      <c r="I202" s="24" t="str">
        <f t="shared" si="3"/>
        <v/>
      </c>
      <c r="J202" s="80"/>
      <c r="K202" s="26"/>
      <c r="L202" s="30"/>
    </row>
    <row r="203" ht="22.5" customHeight="1">
      <c r="A203" s="25"/>
      <c r="B203" s="23"/>
      <c r="C203" s="26"/>
      <c r="D203" s="24"/>
      <c r="E203" s="24"/>
      <c r="F203" s="26"/>
      <c r="G203" s="30"/>
      <c r="H203" s="30">
        <f t="shared" si="7"/>
        <v>0</v>
      </c>
      <c r="I203" s="24" t="str">
        <f t="shared" si="3"/>
        <v/>
      </c>
      <c r="J203" s="80"/>
      <c r="K203" s="26"/>
      <c r="L203" s="30"/>
    </row>
    <row r="204" ht="22.5" customHeight="1">
      <c r="A204" s="25"/>
      <c r="B204" s="23"/>
      <c r="C204" s="26"/>
      <c r="D204" s="24"/>
      <c r="E204" s="24"/>
      <c r="F204" s="26"/>
      <c r="G204" s="30"/>
      <c r="H204" s="30">
        <f t="shared" si="7"/>
        <v>0</v>
      </c>
      <c r="I204" s="24" t="str">
        <f t="shared" si="3"/>
        <v/>
      </c>
      <c r="J204" s="80"/>
      <c r="K204" s="26"/>
      <c r="L204" s="30"/>
    </row>
    <row r="205" ht="22.5" customHeight="1">
      <c r="A205" s="25"/>
      <c r="B205" s="23"/>
      <c r="C205" s="26"/>
      <c r="D205" s="24"/>
      <c r="E205" s="24"/>
      <c r="F205" s="26"/>
      <c r="G205" s="30"/>
      <c r="H205" s="30">
        <f t="shared" si="7"/>
        <v>0</v>
      </c>
      <c r="I205" s="24" t="str">
        <f t="shared" si="3"/>
        <v/>
      </c>
      <c r="J205" s="80"/>
      <c r="K205" s="26"/>
      <c r="L205" s="30"/>
    </row>
    <row r="206" ht="22.5" customHeight="1">
      <c r="A206" s="25"/>
      <c r="B206" s="23"/>
      <c r="C206" s="26"/>
      <c r="D206" s="24"/>
      <c r="E206" s="24"/>
      <c r="F206" s="26"/>
      <c r="G206" s="30"/>
      <c r="H206" s="30">
        <f t="shared" si="7"/>
        <v>0</v>
      </c>
      <c r="I206" s="24" t="str">
        <f t="shared" si="3"/>
        <v/>
      </c>
      <c r="J206" s="80"/>
      <c r="K206" s="26"/>
      <c r="L206" s="30"/>
    </row>
    <row r="207" ht="22.5" customHeight="1">
      <c r="A207" s="25"/>
      <c r="B207" s="23"/>
      <c r="C207" s="26"/>
      <c r="D207" s="24"/>
      <c r="E207" s="24"/>
      <c r="F207" s="26"/>
      <c r="G207" s="30"/>
      <c r="H207" s="30">
        <f t="shared" si="7"/>
        <v>0</v>
      </c>
      <c r="I207" s="24" t="str">
        <f t="shared" si="3"/>
        <v/>
      </c>
      <c r="J207" s="80"/>
      <c r="K207" s="26"/>
      <c r="L207" s="30"/>
    </row>
    <row r="208" ht="22.5" customHeight="1">
      <c r="A208" s="25"/>
      <c r="B208" s="23"/>
      <c r="C208" s="26"/>
      <c r="D208" s="24"/>
      <c r="E208" s="24"/>
      <c r="F208" s="26"/>
      <c r="G208" s="30"/>
      <c r="H208" s="30">
        <f t="shared" si="7"/>
        <v>0</v>
      </c>
      <c r="I208" s="24" t="str">
        <f t="shared" si="3"/>
        <v/>
      </c>
      <c r="J208" s="80"/>
      <c r="K208" s="26"/>
      <c r="L208" s="30"/>
    </row>
    <row r="209" ht="22.5" customHeight="1">
      <c r="A209" s="25"/>
      <c r="B209" s="23"/>
      <c r="C209" s="26"/>
      <c r="D209" s="24"/>
      <c r="E209" s="24"/>
      <c r="F209" s="26"/>
      <c r="G209" s="30"/>
      <c r="H209" s="30">
        <f t="shared" si="7"/>
        <v>0</v>
      </c>
      <c r="I209" s="24" t="str">
        <f t="shared" si="3"/>
        <v/>
      </c>
      <c r="J209" s="80"/>
      <c r="K209" s="26"/>
      <c r="L209" s="30"/>
    </row>
    <row r="210" ht="22.5" customHeight="1">
      <c r="A210" s="25"/>
      <c r="B210" s="23"/>
      <c r="C210" s="26"/>
      <c r="D210" s="24"/>
      <c r="E210" s="24"/>
      <c r="F210" s="26"/>
      <c r="G210" s="30"/>
      <c r="H210" s="30">
        <f t="shared" si="7"/>
        <v>0</v>
      </c>
      <c r="I210" s="24" t="str">
        <f t="shared" si="3"/>
        <v/>
      </c>
      <c r="J210" s="80"/>
      <c r="K210" s="26"/>
      <c r="L210" s="30"/>
    </row>
    <row r="211" ht="22.5" customHeight="1">
      <c r="A211" s="25"/>
      <c r="B211" s="23"/>
      <c r="C211" s="26"/>
      <c r="D211" s="24"/>
      <c r="E211" s="24"/>
      <c r="F211" s="26"/>
      <c r="G211" s="30"/>
      <c r="H211" s="30">
        <f t="shared" si="7"/>
        <v>0</v>
      </c>
      <c r="I211" s="24" t="str">
        <f t="shared" si="3"/>
        <v/>
      </c>
      <c r="J211" s="80"/>
      <c r="K211" s="26"/>
      <c r="L211" s="30"/>
    </row>
    <row r="212" ht="22.5" customHeight="1">
      <c r="A212" s="25"/>
      <c r="B212" s="23"/>
      <c r="C212" s="26"/>
      <c r="D212" s="24"/>
      <c r="E212" s="24"/>
      <c r="F212" s="26"/>
      <c r="G212" s="30"/>
      <c r="H212" s="30">
        <f t="shared" si="7"/>
        <v>0</v>
      </c>
      <c r="I212" s="24" t="str">
        <f t="shared" si="3"/>
        <v/>
      </c>
      <c r="J212" s="80"/>
      <c r="K212" s="26"/>
      <c r="L212" s="30"/>
    </row>
    <row r="213" ht="22.5" customHeight="1">
      <c r="A213" s="25"/>
      <c r="B213" s="23"/>
      <c r="C213" s="26"/>
      <c r="D213" s="24"/>
      <c r="E213" s="24"/>
      <c r="F213" s="26"/>
      <c r="G213" s="30"/>
      <c r="H213" s="30">
        <f t="shared" si="7"/>
        <v>0</v>
      </c>
      <c r="I213" s="24" t="str">
        <f t="shared" si="3"/>
        <v/>
      </c>
      <c r="J213" s="80"/>
      <c r="K213" s="26"/>
      <c r="L213" s="30"/>
    </row>
    <row r="214" ht="22.5" customHeight="1">
      <c r="A214" s="25"/>
      <c r="B214" s="23"/>
      <c r="C214" s="26"/>
      <c r="D214" s="24"/>
      <c r="E214" s="24"/>
      <c r="F214" s="26"/>
      <c r="G214" s="30"/>
      <c r="H214" s="30">
        <f t="shared" si="7"/>
        <v>0</v>
      </c>
      <c r="I214" s="24" t="str">
        <f t="shared" si="3"/>
        <v/>
      </c>
      <c r="J214" s="80"/>
      <c r="K214" s="26"/>
      <c r="L214" s="30"/>
    </row>
    <row r="215" ht="22.5" customHeight="1">
      <c r="A215" s="25"/>
      <c r="B215" s="23"/>
      <c r="C215" s="26"/>
      <c r="D215" s="24"/>
      <c r="E215" s="24"/>
      <c r="F215" s="26"/>
      <c r="G215" s="30"/>
      <c r="H215" s="30">
        <f t="shared" si="7"/>
        <v>0</v>
      </c>
      <c r="I215" s="24" t="str">
        <f t="shared" si="3"/>
        <v/>
      </c>
      <c r="J215" s="80"/>
      <c r="K215" s="26"/>
      <c r="L215" s="30"/>
    </row>
    <row r="216" ht="22.5" customHeight="1">
      <c r="A216" s="25"/>
      <c r="B216" s="23"/>
      <c r="C216" s="26"/>
      <c r="D216" s="24"/>
      <c r="E216" s="24"/>
      <c r="F216" s="26"/>
      <c r="G216" s="30"/>
      <c r="H216" s="30">
        <f t="shared" si="7"/>
        <v>0</v>
      </c>
      <c r="I216" s="24" t="str">
        <f t="shared" si="3"/>
        <v/>
      </c>
      <c r="J216" s="80"/>
      <c r="K216" s="26"/>
      <c r="L216" s="30"/>
    </row>
    <row r="217" ht="22.5" customHeight="1">
      <c r="A217" s="25"/>
      <c r="B217" s="23"/>
      <c r="C217" s="26"/>
      <c r="D217" s="24"/>
      <c r="E217" s="24"/>
      <c r="F217" s="26"/>
      <c r="G217" s="30"/>
      <c r="H217" s="30">
        <f t="shared" si="7"/>
        <v>0</v>
      </c>
      <c r="I217" s="24" t="str">
        <f t="shared" si="3"/>
        <v/>
      </c>
      <c r="J217" s="80"/>
      <c r="K217" s="26"/>
      <c r="L217" s="30"/>
    </row>
    <row r="218" ht="22.5" customHeight="1">
      <c r="A218" s="25"/>
      <c r="B218" s="23"/>
      <c r="C218" s="26"/>
      <c r="D218" s="24"/>
      <c r="E218" s="24"/>
      <c r="F218" s="26"/>
      <c r="G218" s="30"/>
      <c r="H218" s="30">
        <f t="shared" si="7"/>
        <v>0</v>
      </c>
      <c r="I218" s="24" t="str">
        <f t="shared" si="3"/>
        <v/>
      </c>
      <c r="J218" s="80"/>
      <c r="K218" s="26"/>
      <c r="L218" s="30"/>
    </row>
    <row r="219" ht="22.5" customHeight="1">
      <c r="A219" s="25"/>
      <c r="B219" s="23"/>
      <c r="C219" s="26"/>
      <c r="D219" s="24"/>
      <c r="E219" s="24"/>
      <c r="F219" s="26"/>
      <c r="G219" s="30"/>
      <c r="H219" s="30">
        <f t="shared" si="7"/>
        <v>0</v>
      </c>
      <c r="I219" s="24" t="str">
        <f t="shared" si="3"/>
        <v/>
      </c>
      <c r="J219" s="80"/>
      <c r="K219" s="26"/>
      <c r="L219" s="30"/>
    </row>
    <row r="220" ht="22.5" customHeight="1">
      <c r="A220" s="25"/>
      <c r="B220" s="23"/>
      <c r="C220" s="26"/>
      <c r="D220" s="24"/>
      <c r="E220" s="24"/>
      <c r="F220" s="26"/>
      <c r="G220" s="30"/>
      <c r="H220" s="30">
        <f t="shared" si="7"/>
        <v>0</v>
      </c>
      <c r="I220" s="24" t="str">
        <f t="shared" si="3"/>
        <v/>
      </c>
      <c r="J220" s="80"/>
      <c r="K220" s="26"/>
      <c r="L220" s="30"/>
    </row>
    <row r="221" ht="22.5" customHeight="1">
      <c r="A221" s="25"/>
      <c r="B221" s="23"/>
      <c r="C221" s="26"/>
      <c r="D221" s="24"/>
      <c r="E221" s="24"/>
      <c r="F221" s="26"/>
      <c r="G221" s="30"/>
      <c r="H221" s="30">
        <f t="shared" si="7"/>
        <v>0</v>
      </c>
      <c r="I221" s="24" t="str">
        <f t="shared" si="3"/>
        <v/>
      </c>
      <c r="J221" s="80"/>
      <c r="K221" s="26"/>
      <c r="L221" s="30"/>
    </row>
    <row r="222" ht="22.5" customHeight="1">
      <c r="A222" s="25"/>
      <c r="B222" s="23"/>
      <c r="C222" s="26"/>
      <c r="D222" s="24"/>
      <c r="E222" s="24"/>
      <c r="F222" s="26"/>
      <c r="G222" s="30"/>
      <c r="H222" s="30">
        <f t="shared" si="7"/>
        <v>0</v>
      </c>
      <c r="I222" s="24" t="str">
        <f t="shared" si="3"/>
        <v/>
      </c>
      <c r="J222" s="80"/>
      <c r="K222" s="26"/>
      <c r="L222" s="30"/>
    </row>
    <row r="223" ht="22.5" customHeight="1">
      <c r="A223" s="25"/>
      <c r="B223" s="23"/>
      <c r="C223" s="26"/>
      <c r="D223" s="24"/>
      <c r="E223" s="24"/>
      <c r="F223" s="26"/>
      <c r="G223" s="30"/>
      <c r="H223" s="30">
        <f t="shared" si="7"/>
        <v>0</v>
      </c>
      <c r="I223" s="24" t="str">
        <f t="shared" si="3"/>
        <v/>
      </c>
      <c r="J223" s="80"/>
      <c r="K223" s="26"/>
      <c r="L223" s="30"/>
    </row>
    <row r="224" ht="22.5" customHeight="1">
      <c r="A224" s="25"/>
      <c r="B224" s="23"/>
      <c r="C224" s="26"/>
      <c r="D224" s="24"/>
      <c r="E224" s="24"/>
      <c r="F224" s="26"/>
      <c r="G224" s="30"/>
      <c r="H224" s="30">
        <f t="shared" si="7"/>
        <v>0</v>
      </c>
      <c r="I224" s="24" t="str">
        <f t="shared" si="3"/>
        <v/>
      </c>
      <c r="J224" s="80"/>
      <c r="K224" s="26"/>
      <c r="L224" s="30"/>
    </row>
    <row r="225" ht="22.5" customHeight="1">
      <c r="A225" s="25"/>
      <c r="B225" s="23"/>
      <c r="C225" s="26"/>
      <c r="D225" s="24"/>
      <c r="E225" s="24"/>
      <c r="F225" s="26"/>
      <c r="G225" s="30"/>
      <c r="H225" s="30">
        <f t="shared" si="7"/>
        <v>0</v>
      </c>
      <c r="I225" s="24" t="str">
        <f t="shared" si="3"/>
        <v/>
      </c>
      <c r="J225" s="80"/>
      <c r="K225" s="26"/>
      <c r="L225" s="30"/>
    </row>
    <row r="226" ht="22.5" customHeight="1">
      <c r="A226" s="25"/>
      <c r="B226" s="23"/>
      <c r="C226" s="26"/>
      <c r="D226" s="24"/>
      <c r="E226" s="24"/>
      <c r="F226" s="26"/>
      <c r="G226" s="30"/>
      <c r="H226" s="30">
        <f t="shared" si="7"/>
        <v>0</v>
      </c>
      <c r="I226" s="24" t="str">
        <f t="shared" si="3"/>
        <v/>
      </c>
      <c r="J226" s="80"/>
      <c r="K226" s="26"/>
      <c r="L226" s="30"/>
    </row>
    <row r="227" ht="22.5" customHeight="1">
      <c r="A227" s="25"/>
      <c r="B227" s="23"/>
      <c r="C227" s="26"/>
      <c r="D227" s="24"/>
      <c r="E227" s="24"/>
      <c r="F227" s="26"/>
      <c r="G227" s="30"/>
      <c r="H227" s="30">
        <f t="shared" si="7"/>
        <v>0</v>
      </c>
      <c r="I227" s="24" t="str">
        <f t="shared" si="3"/>
        <v/>
      </c>
      <c r="J227" s="80"/>
      <c r="K227" s="26"/>
      <c r="L227" s="30"/>
    </row>
    <row r="228" ht="22.5" customHeight="1">
      <c r="A228" s="25"/>
      <c r="B228" s="23"/>
      <c r="C228" s="26"/>
      <c r="D228" s="24"/>
      <c r="E228" s="24"/>
      <c r="F228" s="26"/>
      <c r="G228" s="30"/>
      <c r="H228" s="30">
        <f t="shared" si="7"/>
        <v>0</v>
      </c>
      <c r="I228" s="24" t="str">
        <f t="shared" si="3"/>
        <v/>
      </c>
      <c r="J228" s="80"/>
      <c r="K228" s="26"/>
      <c r="L228" s="30"/>
    </row>
    <row r="229" ht="22.5" customHeight="1">
      <c r="A229" s="25"/>
      <c r="B229" s="23"/>
      <c r="C229" s="26"/>
      <c r="D229" s="24"/>
      <c r="E229" s="24"/>
      <c r="F229" s="26"/>
      <c r="G229" s="30"/>
      <c r="H229" s="30">
        <f t="shared" si="7"/>
        <v>0</v>
      </c>
      <c r="I229" s="24" t="str">
        <f t="shared" si="3"/>
        <v/>
      </c>
      <c r="J229" s="80"/>
      <c r="K229" s="26"/>
      <c r="L229" s="30"/>
    </row>
    <row r="230" ht="22.5" customHeight="1">
      <c r="A230" s="25"/>
      <c r="B230" s="23"/>
      <c r="C230" s="26"/>
      <c r="D230" s="24"/>
      <c r="E230" s="24"/>
      <c r="F230" s="26"/>
      <c r="G230" s="30"/>
      <c r="H230" s="30">
        <f t="shared" si="7"/>
        <v>0</v>
      </c>
      <c r="I230" s="24" t="str">
        <f t="shared" si="3"/>
        <v/>
      </c>
      <c r="J230" s="80"/>
      <c r="K230" s="26"/>
      <c r="L230" s="30"/>
    </row>
    <row r="231" ht="22.5" customHeight="1">
      <c r="A231" s="25"/>
      <c r="B231" s="23"/>
      <c r="C231" s="26"/>
      <c r="D231" s="24"/>
      <c r="E231" s="24"/>
      <c r="F231" s="26"/>
      <c r="G231" s="30"/>
      <c r="H231" s="30">
        <f t="shared" si="7"/>
        <v>0</v>
      </c>
      <c r="I231" s="24" t="str">
        <f t="shared" si="3"/>
        <v/>
      </c>
      <c r="J231" s="80"/>
      <c r="K231" s="26"/>
      <c r="L231" s="30"/>
    </row>
    <row r="232" ht="22.5" customHeight="1">
      <c r="A232" s="25"/>
      <c r="B232" s="23"/>
      <c r="C232" s="26"/>
      <c r="D232" s="24"/>
      <c r="E232" s="24"/>
      <c r="F232" s="26"/>
      <c r="G232" s="30"/>
      <c r="H232" s="30">
        <f t="shared" si="7"/>
        <v>0</v>
      </c>
      <c r="I232" s="24" t="str">
        <f t="shared" si="3"/>
        <v/>
      </c>
      <c r="J232" s="80"/>
      <c r="K232" s="26"/>
      <c r="L232" s="30"/>
    </row>
    <row r="233" ht="22.5" customHeight="1">
      <c r="A233" s="25"/>
      <c r="B233" s="23"/>
      <c r="C233" s="26"/>
      <c r="D233" s="24"/>
      <c r="E233" s="24"/>
      <c r="F233" s="26"/>
      <c r="G233" s="30"/>
      <c r="H233" s="30">
        <f t="shared" si="7"/>
        <v>0</v>
      </c>
      <c r="I233" s="24" t="str">
        <f t="shared" si="3"/>
        <v/>
      </c>
      <c r="J233" s="80"/>
      <c r="K233" s="26"/>
      <c r="L233" s="30"/>
    </row>
    <row r="234" ht="22.5" customHeight="1">
      <c r="A234" s="25"/>
      <c r="B234" s="23"/>
      <c r="C234" s="26"/>
      <c r="D234" s="24"/>
      <c r="E234" s="24"/>
      <c r="F234" s="26"/>
      <c r="G234" s="30"/>
      <c r="H234" s="30">
        <f t="shared" si="7"/>
        <v>0</v>
      </c>
      <c r="I234" s="24" t="str">
        <f t="shared" si="3"/>
        <v/>
      </c>
      <c r="J234" s="80"/>
      <c r="K234" s="26"/>
      <c r="L234" s="30"/>
    </row>
    <row r="235" ht="22.5" customHeight="1">
      <c r="A235" s="25"/>
      <c r="B235" s="23"/>
      <c r="C235" s="26"/>
      <c r="D235" s="24"/>
      <c r="E235" s="24"/>
      <c r="F235" s="26"/>
      <c r="G235" s="30"/>
      <c r="H235" s="30">
        <f t="shared" si="7"/>
        <v>0</v>
      </c>
      <c r="I235" s="24" t="str">
        <f t="shared" si="3"/>
        <v/>
      </c>
      <c r="J235" s="80"/>
      <c r="K235" s="26"/>
      <c r="L235" s="30"/>
    </row>
    <row r="236" ht="22.5" customHeight="1">
      <c r="A236" s="25"/>
      <c r="B236" s="23"/>
      <c r="C236" s="26"/>
      <c r="D236" s="24"/>
      <c r="E236" s="24"/>
      <c r="F236" s="26"/>
      <c r="G236" s="30"/>
      <c r="H236" s="30">
        <f t="shared" si="7"/>
        <v>0</v>
      </c>
      <c r="I236" s="24" t="str">
        <f t="shared" si="3"/>
        <v/>
      </c>
      <c r="J236" s="80"/>
      <c r="K236" s="26"/>
      <c r="L236" s="30"/>
    </row>
    <row r="237" ht="22.5" customHeight="1">
      <c r="A237" s="25"/>
      <c r="B237" s="23"/>
      <c r="C237" s="26"/>
      <c r="D237" s="24"/>
      <c r="E237" s="24"/>
      <c r="F237" s="26"/>
      <c r="G237" s="30"/>
      <c r="H237" s="30">
        <f t="shared" si="7"/>
        <v>0</v>
      </c>
      <c r="I237" s="24" t="str">
        <f t="shared" si="3"/>
        <v/>
      </c>
      <c r="J237" s="80"/>
      <c r="K237" s="26"/>
      <c r="L237" s="30"/>
    </row>
    <row r="238" ht="22.5" customHeight="1">
      <c r="A238" s="25"/>
      <c r="B238" s="23"/>
      <c r="C238" s="26"/>
      <c r="D238" s="24"/>
      <c r="E238" s="24"/>
      <c r="F238" s="26"/>
      <c r="G238" s="30"/>
      <c r="H238" s="30">
        <f t="shared" si="7"/>
        <v>0</v>
      </c>
      <c r="I238" s="24" t="str">
        <f t="shared" si="3"/>
        <v/>
      </c>
      <c r="J238" s="80"/>
      <c r="K238" s="26"/>
      <c r="L238" s="30"/>
    </row>
    <row r="239" ht="22.5" customHeight="1">
      <c r="A239" s="25"/>
      <c r="B239" s="23"/>
      <c r="C239" s="26"/>
      <c r="D239" s="24"/>
      <c r="E239" s="24"/>
      <c r="F239" s="26"/>
      <c r="G239" s="30"/>
      <c r="H239" s="30">
        <f t="shared" si="7"/>
        <v>0</v>
      </c>
      <c r="I239" s="24" t="str">
        <f t="shared" si="3"/>
        <v/>
      </c>
      <c r="J239" s="80"/>
      <c r="K239" s="26"/>
      <c r="L239" s="30"/>
    </row>
    <row r="240" ht="22.5" customHeight="1">
      <c r="A240" s="25"/>
      <c r="B240" s="23"/>
      <c r="C240" s="26"/>
      <c r="D240" s="24"/>
      <c r="E240" s="24"/>
      <c r="F240" s="26"/>
      <c r="G240" s="30"/>
      <c r="H240" s="30">
        <f t="shared" si="7"/>
        <v>0</v>
      </c>
      <c r="I240" s="24" t="str">
        <f t="shared" si="3"/>
        <v/>
      </c>
      <c r="J240" s="80"/>
      <c r="K240" s="26"/>
      <c r="L240" s="30"/>
    </row>
    <row r="241" ht="22.5" customHeight="1">
      <c r="A241" s="25"/>
      <c r="B241" s="23"/>
      <c r="C241" s="26"/>
      <c r="D241" s="24"/>
      <c r="E241" s="24"/>
      <c r="F241" s="26"/>
      <c r="G241" s="30"/>
      <c r="H241" s="30">
        <f t="shared" si="7"/>
        <v>0</v>
      </c>
      <c r="I241" s="24" t="str">
        <f t="shared" si="3"/>
        <v/>
      </c>
      <c r="J241" s="80"/>
      <c r="K241" s="26"/>
      <c r="L241" s="30"/>
    </row>
    <row r="242" ht="22.5" customHeight="1">
      <c r="A242" s="25"/>
      <c r="B242" s="23"/>
      <c r="C242" s="26"/>
      <c r="D242" s="24"/>
      <c r="E242" s="24"/>
      <c r="F242" s="26"/>
      <c r="G242" s="30"/>
      <c r="H242" s="30">
        <f t="shared" si="7"/>
        <v>0</v>
      </c>
      <c r="I242" s="24" t="str">
        <f t="shared" si="3"/>
        <v/>
      </c>
      <c r="J242" s="80"/>
      <c r="K242" s="26"/>
      <c r="L242" s="30"/>
    </row>
    <row r="243" ht="22.5" customHeight="1">
      <c r="A243" s="25"/>
      <c r="B243" s="23"/>
      <c r="C243" s="26"/>
      <c r="D243" s="24"/>
      <c r="E243" s="24"/>
      <c r="F243" s="26"/>
      <c r="G243" s="30"/>
      <c r="H243" s="30">
        <f t="shared" si="7"/>
        <v>0</v>
      </c>
      <c r="I243" s="24" t="str">
        <f t="shared" si="3"/>
        <v/>
      </c>
      <c r="J243" s="80"/>
      <c r="K243" s="26"/>
      <c r="L243" s="30"/>
    </row>
    <row r="244" ht="22.5" customHeight="1">
      <c r="A244" s="25"/>
      <c r="B244" s="23"/>
      <c r="C244" s="26"/>
      <c r="D244" s="24"/>
      <c r="E244" s="24"/>
      <c r="F244" s="26"/>
      <c r="G244" s="30"/>
      <c r="H244" s="30">
        <f t="shared" si="7"/>
        <v>0</v>
      </c>
      <c r="I244" s="24" t="str">
        <f t="shared" si="3"/>
        <v/>
      </c>
      <c r="J244" s="80"/>
      <c r="K244" s="26"/>
      <c r="L244" s="30"/>
    </row>
    <row r="245" ht="22.5" customHeight="1">
      <c r="A245" s="25"/>
      <c r="B245" s="23"/>
      <c r="C245" s="26"/>
      <c r="D245" s="24"/>
      <c r="E245" s="24"/>
      <c r="F245" s="26"/>
      <c r="G245" s="30"/>
      <c r="H245" s="30">
        <f t="shared" si="7"/>
        <v>0</v>
      </c>
      <c r="I245" s="24" t="str">
        <f t="shared" si="3"/>
        <v/>
      </c>
      <c r="J245" s="80"/>
      <c r="K245" s="26"/>
      <c r="L245" s="30"/>
    </row>
    <row r="246" ht="22.5" customHeight="1">
      <c r="A246" s="25"/>
      <c r="B246" s="23"/>
      <c r="C246" s="26"/>
      <c r="D246" s="24"/>
      <c r="E246" s="24"/>
      <c r="F246" s="26"/>
      <c r="G246" s="30"/>
      <c r="H246" s="30">
        <f t="shared" si="7"/>
        <v>0</v>
      </c>
      <c r="I246" s="24" t="str">
        <f t="shared" si="3"/>
        <v/>
      </c>
      <c r="J246" s="80"/>
      <c r="K246" s="26"/>
      <c r="L246" s="30"/>
    </row>
    <row r="247" ht="22.5" customHeight="1">
      <c r="A247" s="25"/>
      <c r="B247" s="23"/>
      <c r="C247" s="26"/>
      <c r="D247" s="24"/>
      <c r="E247" s="24"/>
      <c r="F247" s="26"/>
      <c r="G247" s="30"/>
      <c r="H247" s="30">
        <f t="shared" si="7"/>
        <v>0</v>
      </c>
      <c r="I247" s="24" t="str">
        <f t="shared" si="3"/>
        <v/>
      </c>
      <c r="J247" s="80"/>
      <c r="K247" s="26"/>
      <c r="L247" s="30"/>
    </row>
    <row r="248" ht="22.5" customHeight="1">
      <c r="A248" s="25"/>
      <c r="B248" s="23"/>
      <c r="C248" s="26"/>
      <c r="D248" s="24"/>
      <c r="E248" s="24"/>
      <c r="F248" s="26"/>
      <c r="G248" s="30"/>
      <c r="H248" s="30">
        <f t="shared" si="7"/>
        <v>0</v>
      </c>
      <c r="I248" s="24" t="str">
        <f t="shared" si="3"/>
        <v/>
      </c>
      <c r="J248" s="80"/>
      <c r="K248" s="26"/>
      <c r="L248" s="30"/>
    </row>
    <row r="249" ht="22.5" customHeight="1">
      <c r="A249" s="25"/>
      <c r="B249" s="23"/>
      <c r="C249" s="26"/>
      <c r="D249" s="24"/>
      <c r="E249" s="24"/>
      <c r="F249" s="26"/>
      <c r="G249" s="30"/>
      <c r="H249" s="30">
        <f t="shared" si="7"/>
        <v>0</v>
      </c>
      <c r="I249" s="24" t="str">
        <f t="shared" si="3"/>
        <v/>
      </c>
      <c r="J249" s="80"/>
      <c r="K249" s="26"/>
      <c r="L249" s="30"/>
    </row>
    <row r="250" ht="22.5" customHeight="1">
      <c r="A250" s="25"/>
      <c r="B250" s="23"/>
      <c r="C250" s="26"/>
      <c r="D250" s="24"/>
      <c r="E250" s="24"/>
      <c r="F250" s="26"/>
      <c r="G250" s="30"/>
      <c r="H250" s="30">
        <f t="shared" si="7"/>
        <v>0</v>
      </c>
      <c r="I250" s="24" t="str">
        <f t="shared" si="3"/>
        <v/>
      </c>
      <c r="J250" s="80"/>
      <c r="K250" s="26"/>
      <c r="L250" s="30"/>
    </row>
    <row r="251" ht="22.5" customHeight="1">
      <c r="A251" s="25"/>
      <c r="B251" s="23"/>
      <c r="C251" s="26"/>
      <c r="D251" s="24"/>
      <c r="E251" s="24"/>
      <c r="F251" s="26"/>
      <c r="G251" s="30"/>
      <c r="H251" s="30">
        <f t="shared" si="7"/>
        <v>0</v>
      </c>
      <c r="I251" s="24" t="str">
        <f t="shared" si="3"/>
        <v/>
      </c>
      <c r="J251" s="80"/>
      <c r="K251" s="26"/>
      <c r="L251" s="30"/>
    </row>
    <row r="252" ht="22.5" customHeight="1">
      <c r="A252" s="25"/>
      <c r="B252" s="23"/>
      <c r="C252" s="26"/>
      <c r="D252" s="24"/>
      <c r="E252" s="24"/>
      <c r="F252" s="26"/>
      <c r="G252" s="30"/>
      <c r="H252" s="30">
        <f t="shared" si="7"/>
        <v>0</v>
      </c>
      <c r="I252" s="24" t="str">
        <f t="shared" si="3"/>
        <v/>
      </c>
      <c r="J252" s="80"/>
      <c r="K252" s="26"/>
      <c r="L252" s="30"/>
    </row>
    <row r="253" ht="22.5" customHeight="1">
      <c r="A253" s="25"/>
      <c r="B253" s="23"/>
      <c r="C253" s="26"/>
      <c r="D253" s="24"/>
      <c r="E253" s="24"/>
      <c r="F253" s="26"/>
      <c r="G253" s="30"/>
      <c r="H253" s="30">
        <f t="shared" si="7"/>
        <v>0</v>
      </c>
      <c r="I253" s="24" t="str">
        <f t="shared" si="3"/>
        <v/>
      </c>
      <c r="J253" s="80"/>
      <c r="K253" s="26"/>
      <c r="L253" s="30"/>
    </row>
    <row r="254" ht="22.5" customHeight="1">
      <c r="A254" s="25"/>
      <c r="B254" s="23"/>
      <c r="C254" s="26"/>
      <c r="D254" s="24"/>
      <c r="E254" s="24"/>
      <c r="F254" s="26"/>
      <c r="G254" s="30"/>
      <c r="H254" s="30">
        <f t="shared" si="7"/>
        <v>0</v>
      </c>
      <c r="I254" s="24" t="str">
        <f t="shared" si="3"/>
        <v/>
      </c>
      <c r="J254" s="80"/>
      <c r="K254" s="26"/>
      <c r="L254" s="30"/>
    </row>
    <row r="255" ht="22.5" customHeight="1">
      <c r="A255" s="25"/>
      <c r="B255" s="23"/>
      <c r="C255" s="26"/>
      <c r="D255" s="24"/>
      <c r="E255" s="24"/>
      <c r="F255" s="26"/>
      <c r="G255" s="30"/>
      <c r="H255" s="30">
        <f t="shared" si="7"/>
        <v>0</v>
      </c>
      <c r="I255" s="24" t="str">
        <f t="shared" si="3"/>
        <v/>
      </c>
      <c r="J255" s="80"/>
      <c r="K255" s="26"/>
      <c r="L255" s="30"/>
    </row>
    <row r="256" ht="22.5" customHeight="1">
      <c r="A256" s="25"/>
      <c r="B256" s="23"/>
      <c r="C256" s="26"/>
      <c r="D256" s="24"/>
      <c r="E256" s="24"/>
      <c r="F256" s="26"/>
      <c r="G256" s="30"/>
      <c r="H256" s="30">
        <f t="shared" si="7"/>
        <v>0</v>
      </c>
      <c r="I256" s="24" t="str">
        <f t="shared" si="3"/>
        <v/>
      </c>
      <c r="J256" s="80"/>
      <c r="K256" s="26"/>
      <c r="L256" s="30"/>
    </row>
    <row r="257" ht="22.5" customHeight="1">
      <c r="A257" s="25"/>
      <c r="B257" s="23"/>
      <c r="C257" s="26"/>
      <c r="D257" s="24"/>
      <c r="E257" s="24"/>
      <c r="F257" s="26"/>
      <c r="G257" s="30"/>
      <c r="H257" s="30">
        <f t="shared" si="7"/>
        <v>0</v>
      </c>
      <c r="I257" s="24" t="str">
        <f t="shared" si="3"/>
        <v/>
      </c>
      <c r="J257" s="80"/>
      <c r="K257" s="26"/>
      <c r="L257" s="30"/>
    </row>
    <row r="258" ht="22.5" customHeight="1">
      <c r="A258" s="25"/>
      <c r="B258" s="23"/>
      <c r="C258" s="26"/>
      <c r="D258" s="24"/>
      <c r="E258" s="24"/>
      <c r="F258" s="26"/>
      <c r="G258" s="30"/>
      <c r="H258" s="30">
        <f t="shared" si="7"/>
        <v>0</v>
      </c>
      <c r="I258" s="24" t="str">
        <f t="shared" si="3"/>
        <v/>
      </c>
      <c r="J258" s="80"/>
      <c r="K258" s="26"/>
      <c r="L258" s="30"/>
    </row>
    <row r="259" ht="22.5" customHeight="1">
      <c r="A259" s="25"/>
      <c r="B259" s="23"/>
      <c r="C259" s="26"/>
      <c r="D259" s="24"/>
      <c r="E259" s="24"/>
      <c r="F259" s="26"/>
      <c r="G259" s="30"/>
      <c r="H259" s="30">
        <f t="shared" si="7"/>
        <v>0</v>
      </c>
      <c r="I259" s="24" t="str">
        <f t="shared" si="3"/>
        <v/>
      </c>
      <c r="J259" s="80"/>
      <c r="K259" s="26"/>
      <c r="L259" s="30"/>
    </row>
    <row r="260" ht="22.5" customHeight="1">
      <c r="A260" s="25"/>
      <c r="B260" s="23"/>
      <c r="C260" s="26"/>
      <c r="D260" s="24"/>
      <c r="E260" s="24"/>
      <c r="F260" s="26"/>
      <c r="G260" s="30"/>
      <c r="H260" s="30">
        <f t="shared" si="7"/>
        <v>0</v>
      </c>
      <c r="I260" s="24" t="str">
        <f t="shared" si="3"/>
        <v/>
      </c>
      <c r="J260" s="80"/>
      <c r="K260" s="26"/>
      <c r="L260" s="30"/>
    </row>
    <row r="261" ht="22.5" customHeight="1">
      <c r="A261" s="25"/>
      <c r="B261" s="23"/>
      <c r="C261" s="26"/>
      <c r="D261" s="24"/>
      <c r="E261" s="24"/>
      <c r="F261" s="26"/>
      <c r="G261" s="30"/>
      <c r="H261" s="30">
        <f t="shared" si="7"/>
        <v>0</v>
      </c>
      <c r="I261" s="24" t="str">
        <f t="shared" si="3"/>
        <v/>
      </c>
      <c r="J261" s="80"/>
      <c r="K261" s="26"/>
      <c r="L261" s="30"/>
    </row>
    <row r="262" ht="22.5" customHeight="1">
      <c r="A262" s="25"/>
      <c r="B262" s="23"/>
      <c r="C262" s="26"/>
      <c r="D262" s="24"/>
      <c r="E262" s="24"/>
      <c r="F262" s="26"/>
      <c r="G262" s="30"/>
      <c r="H262" s="30">
        <f t="shared" si="7"/>
        <v>0</v>
      </c>
      <c r="I262" s="24" t="str">
        <f t="shared" si="3"/>
        <v/>
      </c>
      <c r="J262" s="80"/>
      <c r="K262" s="26"/>
      <c r="L262" s="30"/>
    </row>
    <row r="263" ht="22.5" customHeight="1">
      <c r="A263" s="25"/>
      <c r="B263" s="23"/>
      <c r="C263" s="26"/>
      <c r="D263" s="24"/>
      <c r="E263" s="24"/>
      <c r="F263" s="26"/>
      <c r="G263" s="30"/>
      <c r="H263" s="30">
        <f t="shared" si="7"/>
        <v>0</v>
      </c>
      <c r="I263" s="24" t="str">
        <f t="shared" si="3"/>
        <v/>
      </c>
      <c r="J263" s="80"/>
      <c r="K263" s="26"/>
      <c r="L263" s="30"/>
    </row>
    <row r="264" ht="22.5" customHeight="1">
      <c r="A264" s="25"/>
      <c r="B264" s="23"/>
      <c r="C264" s="26"/>
      <c r="D264" s="24"/>
      <c r="E264" s="24"/>
      <c r="F264" s="26"/>
      <c r="G264" s="30"/>
      <c r="H264" s="30">
        <f t="shared" si="7"/>
        <v>0</v>
      </c>
      <c r="I264" s="24" t="str">
        <f t="shared" si="3"/>
        <v/>
      </c>
      <c r="J264" s="80"/>
      <c r="K264" s="26"/>
      <c r="L264" s="30"/>
    </row>
    <row r="265" ht="22.5" customHeight="1">
      <c r="A265" s="25"/>
      <c r="B265" s="23"/>
      <c r="C265" s="26"/>
      <c r="D265" s="24"/>
      <c r="E265" s="24"/>
      <c r="F265" s="26"/>
      <c r="G265" s="30"/>
      <c r="H265" s="30">
        <f t="shared" si="7"/>
        <v>0</v>
      </c>
      <c r="I265" s="24" t="str">
        <f t="shared" si="3"/>
        <v/>
      </c>
      <c r="J265" s="80"/>
      <c r="K265" s="26"/>
      <c r="L265" s="30"/>
    </row>
    <row r="266" ht="22.5" customHeight="1">
      <c r="A266" s="25"/>
      <c r="B266" s="23"/>
      <c r="C266" s="26"/>
      <c r="D266" s="24"/>
      <c r="E266" s="24"/>
      <c r="F266" s="26"/>
      <c r="G266" s="30"/>
      <c r="H266" s="30">
        <f t="shared" si="7"/>
        <v>0</v>
      </c>
      <c r="I266" s="24" t="str">
        <f t="shared" si="3"/>
        <v/>
      </c>
      <c r="J266" s="80"/>
      <c r="K266" s="26"/>
      <c r="L266" s="30"/>
    </row>
    <row r="267" ht="22.5" customHeight="1">
      <c r="A267" s="25"/>
      <c r="B267" s="23"/>
      <c r="C267" s="26"/>
      <c r="D267" s="24"/>
      <c r="E267" s="24"/>
      <c r="F267" s="26"/>
      <c r="G267" s="30"/>
      <c r="H267" s="30">
        <f t="shared" si="7"/>
        <v>0</v>
      </c>
      <c r="I267" s="24" t="str">
        <f t="shared" si="3"/>
        <v/>
      </c>
      <c r="J267" s="80"/>
      <c r="K267" s="26"/>
      <c r="L267" s="30"/>
    </row>
    <row r="268" ht="22.5" customHeight="1">
      <c r="A268" s="25"/>
      <c r="B268" s="23"/>
      <c r="C268" s="26"/>
      <c r="D268" s="24"/>
      <c r="E268" s="24"/>
      <c r="F268" s="26"/>
      <c r="G268" s="30"/>
      <c r="H268" s="30">
        <f t="shared" si="7"/>
        <v>0</v>
      </c>
      <c r="I268" s="24" t="str">
        <f t="shared" si="3"/>
        <v/>
      </c>
      <c r="J268" s="80"/>
      <c r="K268" s="26"/>
      <c r="L268" s="30"/>
    </row>
    <row r="269" ht="22.5" customHeight="1">
      <c r="A269" s="25"/>
      <c r="B269" s="23"/>
      <c r="C269" s="26"/>
      <c r="D269" s="24"/>
      <c r="E269" s="24"/>
      <c r="F269" s="26"/>
      <c r="G269" s="30"/>
      <c r="H269" s="30">
        <f t="shared" si="7"/>
        <v>0</v>
      </c>
      <c r="I269" s="24" t="str">
        <f t="shared" si="3"/>
        <v/>
      </c>
      <c r="J269" s="80"/>
      <c r="K269" s="26"/>
      <c r="L269" s="30"/>
    </row>
    <row r="270" ht="22.5" customHeight="1">
      <c r="A270" s="25"/>
      <c r="B270" s="23"/>
      <c r="C270" s="26"/>
      <c r="D270" s="24"/>
      <c r="E270" s="24"/>
      <c r="F270" s="26"/>
      <c r="G270" s="30"/>
      <c r="H270" s="30">
        <f t="shared" si="7"/>
        <v>0</v>
      </c>
      <c r="I270" s="24" t="str">
        <f t="shared" si="3"/>
        <v/>
      </c>
      <c r="J270" s="80"/>
      <c r="K270" s="26"/>
      <c r="L270" s="30"/>
    </row>
    <row r="271" ht="22.5" customHeight="1">
      <c r="A271" s="25"/>
      <c r="B271" s="23"/>
      <c r="C271" s="26"/>
      <c r="D271" s="24"/>
      <c r="E271" s="24"/>
      <c r="F271" s="26"/>
      <c r="G271" s="30"/>
      <c r="H271" s="30">
        <f t="shared" si="7"/>
        <v>0</v>
      </c>
      <c r="I271" s="24" t="str">
        <f t="shared" si="3"/>
        <v/>
      </c>
      <c r="J271" s="80"/>
      <c r="K271" s="26"/>
      <c r="L271" s="30"/>
    </row>
    <row r="272" ht="22.5" customHeight="1">
      <c r="A272" s="25"/>
      <c r="B272" s="23"/>
      <c r="C272" s="26"/>
      <c r="D272" s="24"/>
      <c r="E272" s="24"/>
      <c r="F272" s="26"/>
      <c r="G272" s="30"/>
      <c r="H272" s="30">
        <f t="shared" si="7"/>
        <v>0</v>
      </c>
      <c r="I272" s="24" t="str">
        <f t="shared" si="3"/>
        <v/>
      </c>
      <c r="J272" s="80"/>
      <c r="K272" s="26"/>
      <c r="L272" s="30"/>
    </row>
    <row r="273" ht="22.5" customHeight="1">
      <c r="A273" s="25"/>
      <c r="B273" s="23"/>
      <c r="C273" s="26"/>
      <c r="D273" s="24"/>
      <c r="E273" s="24"/>
      <c r="F273" s="26"/>
      <c r="G273" s="30"/>
      <c r="H273" s="30">
        <f t="shared" si="7"/>
        <v>0</v>
      </c>
      <c r="I273" s="24" t="str">
        <f t="shared" si="3"/>
        <v/>
      </c>
      <c r="J273" s="80"/>
      <c r="K273" s="26"/>
      <c r="L273" s="30"/>
    </row>
    <row r="274" ht="22.5" customHeight="1">
      <c r="A274" s="25"/>
      <c r="B274" s="23"/>
      <c r="C274" s="26"/>
      <c r="D274" s="24"/>
      <c r="E274" s="24"/>
      <c r="F274" s="26"/>
      <c r="G274" s="30"/>
      <c r="H274" s="30">
        <f t="shared" si="7"/>
        <v>0</v>
      </c>
      <c r="I274" s="24" t="str">
        <f t="shared" si="3"/>
        <v/>
      </c>
      <c r="J274" s="80"/>
      <c r="K274" s="26"/>
      <c r="L274" s="30"/>
    </row>
    <row r="275" ht="22.5" customHeight="1">
      <c r="A275" s="25"/>
      <c r="B275" s="23"/>
      <c r="C275" s="26"/>
      <c r="D275" s="24"/>
      <c r="E275" s="24"/>
      <c r="F275" s="26"/>
      <c r="G275" s="30"/>
      <c r="H275" s="30">
        <f t="shared" si="7"/>
        <v>0</v>
      </c>
      <c r="I275" s="24" t="str">
        <f t="shared" si="3"/>
        <v/>
      </c>
      <c r="J275" s="80"/>
      <c r="K275" s="26"/>
      <c r="L275" s="30"/>
    </row>
    <row r="276" ht="22.5" customHeight="1">
      <c r="A276" s="25"/>
      <c r="B276" s="23"/>
      <c r="C276" s="26"/>
      <c r="D276" s="24"/>
      <c r="E276" s="24"/>
      <c r="F276" s="26"/>
      <c r="G276" s="30"/>
      <c r="H276" s="30">
        <f t="shared" si="7"/>
        <v>0</v>
      </c>
      <c r="I276" s="24" t="str">
        <f t="shared" si="3"/>
        <v/>
      </c>
      <c r="J276" s="80"/>
      <c r="K276" s="26"/>
      <c r="L276" s="30"/>
    </row>
    <row r="277" ht="22.5" customHeight="1">
      <c r="A277" s="25"/>
      <c r="B277" s="23"/>
      <c r="C277" s="26"/>
      <c r="D277" s="24"/>
      <c r="E277" s="24"/>
      <c r="F277" s="26"/>
      <c r="G277" s="30"/>
      <c r="H277" s="30">
        <f t="shared" si="7"/>
        <v>0</v>
      </c>
      <c r="I277" s="24" t="str">
        <f t="shared" si="3"/>
        <v/>
      </c>
      <c r="J277" s="80"/>
      <c r="K277" s="26"/>
      <c r="L277" s="30"/>
    </row>
    <row r="278" ht="22.5" customHeight="1">
      <c r="A278" s="25"/>
      <c r="B278" s="23"/>
      <c r="C278" s="26"/>
      <c r="D278" s="24"/>
      <c r="E278" s="24"/>
      <c r="F278" s="26"/>
      <c r="G278" s="30"/>
      <c r="H278" s="30">
        <f t="shared" si="7"/>
        <v>0</v>
      </c>
      <c r="I278" s="24" t="str">
        <f t="shared" si="3"/>
        <v/>
      </c>
      <c r="J278" s="80"/>
      <c r="K278" s="26"/>
      <c r="L278" s="30"/>
    </row>
    <row r="279" ht="22.5" customHeight="1">
      <c r="A279" s="25"/>
      <c r="B279" s="23"/>
      <c r="C279" s="26"/>
      <c r="D279" s="24"/>
      <c r="E279" s="24"/>
      <c r="F279" s="26"/>
      <c r="G279" s="30"/>
      <c r="H279" s="30">
        <f t="shared" si="7"/>
        <v>0</v>
      </c>
      <c r="I279" s="24" t="str">
        <f t="shared" si="3"/>
        <v/>
      </c>
      <c r="J279" s="80"/>
      <c r="K279" s="26"/>
      <c r="L279" s="30"/>
    </row>
    <row r="280" ht="22.5" customHeight="1">
      <c r="A280" s="25"/>
      <c r="B280" s="23"/>
      <c r="C280" s="26"/>
      <c r="D280" s="24"/>
      <c r="E280" s="24"/>
      <c r="F280" s="26"/>
      <c r="G280" s="30"/>
      <c r="H280" s="30">
        <f t="shared" si="7"/>
        <v>0</v>
      </c>
      <c r="I280" s="24" t="str">
        <f t="shared" si="3"/>
        <v/>
      </c>
      <c r="J280" s="80"/>
      <c r="K280" s="26"/>
      <c r="L280" s="30"/>
    </row>
    <row r="281" ht="22.5" customHeight="1">
      <c r="A281" s="25"/>
      <c r="B281" s="23"/>
      <c r="C281" s="26"/>
      <c r="D281" s="24"/>
      <c r="E281" s="24"/>
      <c r="F281" s="26"/>
      <c r="G281" s="30"/>
      <c r="H281" s="30">
        <f t="shared" si="7"/>
        <v>0</v>
      </c>
      <c r="I281" s="24" t="str">
        <f t="shared" si="3"/>
        <v/>
      </c>
      <c r="J281" s="80"/>
      <c r="K281" s="26"/>
      <c r="L281" s="30"/>
    </row>
    <row r="282" ht="22.5" customHeight="1">
      <c r="A282" s="25"/>
      <c r="B282" s="23"/>
      <c r="C282" s="26"/>
      <c r="D282" s="24"/>
      <c r="E282" s="24"/>
      <c r="F282" s="26"/>
      <c r="G282" s="30"/>
      <c r="H282" s="30">
        <f t="shared" si="7"/>
        <v>0</v>
      </c>
      <c r="I282" s="24" t="str">
        <f t="shared" si="3"/>
        <v/>
      </c>
      <c r="J282" s="80"/>
      <c r="K282" s="26"/>
      <c r="L282" s="30"/>
    </row>
    <row r="283" ht="22.5" customHeight="1">
      <c r="A283" s="25"/>
      <c r="B283" s="23"/>
      <c r="C283" s="26"/>
      <c r="D283" s="24"/>
      <c r="E283" s="24"/>
      <c r="F283" s="26"/>
      <c r="G283" s="30"/>
      <c r="H283" s="30">
        <f t="shared" si="7"/>
        <v>0</v>
      </c>
      <c r="I283" s="24" t="str">
        <f t="shared" si="3"/>
        <v/>
      </c>
      <c r="J283" s="80"/>
      <c r="K283" s="26"/>
      <c r="L283" s="30"/>
    </row>
    <row r="284" ht="22.5" customHeight="1">
      <c r="A284" s="25"/>
      <c r="B284" s="23"/>
      <c r="C284" s="26"/>
      <c r="D284" s="24"/>
      <c r="E284" s="24"/>
      <c r="F284" s="26"/>
      <c r="G284" s="30"/>
      <c r="H284" s="30">
        <f t="shared" si="7"/>
        <v>0</v>
      </c>
      <c r="I284" s="24" t="str">
        <f t="shared" si="3"/>
        <v/>
      </c>
      <c r="J284" s="80"/>
      <c r="K284" s="26"/>
      <c r="L284" s="30"/>
    </row>
    <row r="285" ht="22.5" customHeight="1">
      <c r="A285" s="25"/>
      <c r="B285" s="23"/>
      <c r="C285" s="26"/>
      <c r="D285" s="24"/>
      <c r="E285" s="24"/>
      <c r="F285" s="26"/>
      <c r="G285" s="30"/>
      <c r="H285" s="30">
        <f t="shared" si="7"/>
        <v>0</v>
      </c>
      <c r="I285" s="24" t="str">
        <f t="shared" si="3"/>
        <v/>
      </c>
      <c r="J285" s="80"/>
      <c r="K285" s="26"/>
      <c r="L285" s="30"/>
    </row>
    <row r="286" ht="22.5" customHeight="1">
      <c r="A286" s="25"/>
      <c r="B286" s="23"/>
      <c r="C286" s="26"/>
      <c r="D286" s="24"/>
      <c r="E286" s="24"/>
      <c r="F286" s="26"/>
      <c r="G286" s="30"/>
      <c r="H286" s="30">
        <f t="shared" si="7"/>
        <v>0</v>
      </c>
      <c r="I286" s="24" t="str">
        <f t="shared" si="3"/>
        <v/>
      </c>
      <c r="J286" s="80"/>
      <c r="K286" s="26"/>
      <c r="L286" s="30"/>
    </row>
    <row r="287" ht="22.5" customHeight="1">
      <c r="A287" s="25"/>
      <c r="B287" s="23"/>
      <c r="C287" s="26"/>
      <c r="D287" s="24"/>
      <c r="E287" s="24"/>
      <c r="F287" s="26"/>
      <c r="G287" s="30"/>
      <c r="H287" s="30">
        <f t="shared" si="7"/>
        <v>0</v>
      </c>
      <c r="I287" s="24" t="str">
        <f t="shared" si="3"/>
        <v/>
      </c>
      <c r="J287" s="80"/>
      <c r="K287" s="26"/>
      <c r="L287" s="30"/>
    </row>
    <row r="288" ht="22.5" customHeight="1">
      <c r="A288" s="25"/>
      <c r="B288" s="23"/>
      <c r="C288" s="26"/>
      <c r="D288" s="24"/>
      <c r="E288" s="24"/>
      <c r="F288" s="26"/>
      <c r="G288" s="30"/>
      <c r="H288" s="30">
        <f t="shared" si="7"/>
        <v>0</v>
      </c>
      <c r="I288" s="24" t="str">
        <f t="shared" si="3"/>
        <v/>
      </c>
      <c r="J288" s="80"/>
      <c r="K288" s="26"/>
      <c r="L288" s="30"/>
    </row>
    <row r="289" ht="22.5" customHeight="1">
      <c r="A289" s="25"/>
      <c r="B289" s="23"/>
      <c r="C289" s="26"/>
      <c r="D289" s="24"/>
      <c r="E289" s="24"/>
      <c r="F289" s="26"/>
      <c r="G289" s="30"/>
      <c r="H289" s="30">
        <f t="shared" si="7"/>
        <v>0</v>
      </c>
      <c r="I289" s="24" t="str">
        <f t="shared" si="3"/>
        <v/>
      </c>
      <c r="J289" s="80"/>
      <c r="K289" s="26"/>
      <c r="L289" s="30"/>
    </row>
    <row r="290" ht="22.5" customHeight="1">
      <c r="A290" s="25"/>
      <c r="B290" s="23"/>
      <c r="C290" s="26"/>
      <c r="D290" s="24"/>
      <c r="E290" s="24"/>
      <c r="F290" s="26"/>
      <c r="G290" s="30"/>
      <c r="H290" s="30">
        <f t="shared" si="7"/>
        <v>0</v>
      </c>
      <c r="I290" s="24" t="str">
        <f t="shared" si="3"/>
        <v/>
      </c>
      <c r="J290" s="80"/>
      <c r="K290" s="26"/>
      <c r="L290" s="30"/>
    </row>
    <row r="291" ht="22.5" customHeight="1">
      <c r="A291" s="25"/>
      <c r="B291" s="23"/>
      <c r="C291" s="26"/>
      <c r="D291" s="24"/>
      <c r="E291" s="24"/>
      <c r="F291" s="26"/>
      <c r="G291" s="30"/>
      <c r="H291" s="30">
        <f t="shared" si="7"/>
        <v>0</v>
      </c>
      <c r="I291" s="24" t="str">
        <f t="shared" si="3"/>
        <v/>
      </c>
      <c r="J291" s="80"/>
      <c r="K291" s="26"/>
      <c r="L291" s="30"/>
    </row>
    <row r="292" ht="22.5" customHeight="1">
      <c r="A292" s="25"/>
      <c r="B292" s="23"/>
      <c r="C292" s="26"/>
      <c r="D292" s="24"/>
      <c r="E292" s="24"/>
      <c r="F292" s="26"/>
      <c r="G292" s="30"/>
      <c r="H292" s="30">
        <f t="shared" si="7"/>
        <v>0</v>
      </c>
      <c r="I292" s="24" t="str">
        <f t="shared" si="3"/>
        <v/>
      </c>
      <c r="J292" s="80"/>
      <c r="K292" s="26"/>
      <c r="L292" s="30"/>
    </row>
    <row r="293" ht="22.5" customHeight="1">
      <c r="A293" s="25"/>
      <c r="B293" s="23"/>
      <c r="C293" s="26"/>
      <c r="D293" s="24"/>
      <c r="E293" s="24"/>
      <c r="F293" s="26"/>
      <c r="G293" s="30"/>
      <c r="H293" s="30">
        <f t="shared" si="7"/>
        <v>0</v>
      </c>
      <c r="I293" s="24" t="str">
        <f t="shared" si="3"/>
        <v/>
      </c>
      <c r="J293" s="80"/>
      <c r="K293" s="26"/>
      <c r="L293" s="30"/>
    </row>
    <row r="294" ht="22.5" customHeight="1">
      <c r="A294" s="25"/>
      <c r="B294" s="23"/>
      <c r="C294" s="26"/>
      <c r="D294" s="24"/>
      <c r="E294" s="24"/>
      <c r="F294" s="26"/>
      <c r="G294" s="30"/>
      <c r="H294" s="30">
        <f t="shared" si="7"/>
        <v>0</v>
      </c>
      <c r="I294" s="24" t="str">
        <f t="shared" si="3"/>
        <v/>
      </c>
      <c r="J294" s="80"/>
      <c r="K294" s="26"/>
      <c r="L294" s="30"/>
    </row>
    <row r="295" ht="22.5" customHeight="1">
      <c r="A295" s="25"/>
      <c r="B295" s="23"/>
      <c r="C295" s="26"/>
      <c r="D295" s="24"/>
      <c r="E295" s="24"/>
      <c r="F295" s="26"/>
      <c r="G295" s="30"/>
      <c r="H295" s="30">
        <f t="shared" si="7"/>
        <v>0</v>
      </c>
      <c r="I295" s="24" t="str">
        <f t="shared" si="3"/>
        <v/>
      </c>
      <c r="J295" s="80"/>
      <c r="K295" s="26"/>
      <c r="L295" s="30"/>
    </row>
    <row r="296" ht="22.5" customHeight="1">
      <c r="A296" s="25"/>
      <c r="B296" s="23"/>
      <c r="C296" s="26"/>
      <c r="D296" s="24"/>
      <c r="E296" s="24"/>
      <c r="F296" s="26"/>
      <c r="G296" s="30"/>
      <c r="H296" s="30">
        <f t="shared" si="7"/>
        <v>0</v>
      </c>
      <c r="I296" s="24" t="str">
        <f t="shared" si="3"/>
        <v/>
      </c>
      <c r="J296" s="80"/>
      <c r="K296" s="26"/>
      <c r="L296" s="30"/>
    </row>
    <row r="297" ht="22.5" customHeight="1">
      <c r="A297" s="25"/>
      <c r="B297" s="23"/>
      <c r="C297" s="26"/>
      <c r="D297" s="24"/>
      <c r="E297" s="24"/>
      <c r="F297" s="26"/>
      <c r="G297" s="30"/>
      <c r="H297" s="30">
        <f t="shared" si="7"/>
        <v>0</v>
      </c>
      <c r="I297" s="24" t="str">
        <f t="shared" si="3"/>
        <v/>
      </c>
      <c r="J297" s="80"/>
      <c r="K297" s="26"/>
      <c r="L297" s="30"/>
    </row>
    <row r="298" ht="22.5" customHeight="1">
      <c r="A298" s="25"/>
      <c r="B298" s="23"/>
      <c r="C298" s="26"/>
      <c r="D298" s="24"/>
      <c r="E298" s="24"/>
      <c r="F298" s="26"/>
      <c r="G298" s="30"/>
      <c r="H298" s="30">
        <f t="shared" si="7"/>
        <v>0</v>
      </c>
      <c r="I298" s="24" t="str">
        <f t="shared" si="3"/>
        <v/>
      </c>
      <c r="J298" s="80"/>
      <c r="K298" s="26"/>
      <c r="L298" s="30"/>
    </row>
    <row r="299" ht="22.5" customHeight="1">
      <c r="A299" s="25"/>
      <c r="B299" s="23"/>
      <c r="C299" s="26"/>
      <c r="D299" s="24"/>
      <c r="E299" s="24"/>
      <c r="F299" s="26"/>
      <c r="G299" s="30"/>
      <c r="H299" s="30">
        <f t="shared" si="7"/>
        <v>0</v>
      </c>
      <c r="I299" s="24" t="str">
        <f t="shared" si="3"/>
        <v/>
      </c>
      <c r="J299" s="80"/>
      <c r="K299" s="26"/>
      <c r="L299" s="30"/>
    </row>
    <row r="300" ht="22.5" customHeight="1">
      <c r="A300" s="25"/>
      <c r="B300" s="23"/>
      <c r="C300" s="26"/>
      <c r="D300" s="24"/>
      <c r="E300" s="24"/>
      <c r="F300" s="26"/>
      <c r="G300" s="30"/>
      <c r="H300" s="30">
        <f t="shared" si="7"/>
        <v>0</v>
      </c>
      <c r="I300" s="24" t="str">
        <f t="shared" si="3"/>
        <v/>
      </c>
      <c r="J300" s="80"/>
      <c r="K300" s="26"/>
      <c r="L300" s="30"/>
    </row>
    <row r="301" ht="22.5" customHeight="1">
      <c r="A301" s="25"/>
      <c r="B301" s="23"/>
      <c r="C301" s="26"/>
      <c r="D301" s="24"/>
      <c r="E301" s="24"/>
      <c r="F301" s="26"/>
      <c r="G301" s="30"/>
      <c r="H301" s="30">
        <f t="shared" si="7"/>
        <v>0</v>
      </c>
      <c r="I301" s="24" t="str">
        <f t="shared" si="3"/>
        <v/>
      </c>
      <c r="J301" s="80"/>
      <c r="K301" s="26"/>
      <c r="L301" s="30"/>
    </row>
    <row r="302" ht="22.5" customHeight="1">
      <c r="A302" s="25"/>
      <c r="B302" s="23"/>
      <c r="C302" s="26"/>
      <c r="D302" s="24"/>
      <c r="E302" s="24"/>
      <c r="F302" s="26"/>
      <c r="G302" s="30"/>
      <c r="H302" s="30">
        <f t="shared" si="7"/>
        <v>0</v>
      </c>
      <c r="I302" s="24" t="str">
        <f t="shared" si="3"/>
        <v/>
      </c>
      <c r="J302" s="80"/>
      <c r="K302" s="26"/>
      <c r="L302" s="30"/>
    </row>
    <row r="303" ht="22.5" customHeight="1">
      <c r="A303" s="25"/>
      <c r="B303" s="23"/>
      <c r="C303" s="26"/>
      <c r="D303" s="24"/>
      <c r="E303" s="24"/>
      <c r="F303" s="26"/>
      <c r="G303" s="30"/>
      <c r="H303" s="30">
        <f t="shared" si="7"/>
        <v>0</v>
      </c>
      <c r="I303" s="24" t="str">
        <f t="shared" si="3"/>
        <v/>
      </c>
      <c r="J303" s="80"/>
      <c r="K303" s="26"/>
      <c r="L303" s="30"/>
    </row>
    <row r="304" ht="22.5" customHeight="1">
      <c r="A304" s="25"/>
      <c r="B304" s="23"/>
      <c r="C304" s="26"/>
      <c r="D304" s="24"/>
      <c r="E304" s="24"/>
      <c r="F304" s="26"/>
      <c r="G304" s="30"/>
      <c r="H304" s="30">
        <f t="shared" si="7"/>
        <v>0</v>
      </c>
      <c r="I304" s="24" t="str">
        <f t="shared" si="3"/>
        <v/>
      </c>
      <c r="J304" s="80"/>
      <c r="K304" s="26"/>
      <c r="L304" s="30"/>
    </row>
    <row r="305" ht="22.5" customHeight="1">
      <c r="A305" s="25"/>
      <c r="B305" s="23"/>
      <c r="C305" s="26"/>
      <c r="D305" s="24"/>
      <c r="E305" s="24"/>
      <c r="F305" s="26"/>
      <c r="G305" s="30"/>
      <c r="H305" s="30">
        <f t="shared" si="7"/>
        <v>0</v>
      </c>
      <c r="I305" s="24" t="str">
        <f t="shared" si="3"/>
        <v/>
      </c>
      <c r="J305" s="80"/>
      <c r="K305" s="26"/>
      <c r="L305" s="30"/>
    </row>
    <row r="306" ht="22.5" customHeight="1">
      <c r="A306" s="25"/>
      <c r="B306" s="23"/>
      <c r="C306" s="26"/>
      <c r="D306" s="24"/>
      <c r="E306" s="24"/>
      <c r="F306" s="26"/>
      <c r="G306" s="30"/>
      <c r="H306" s="30">
        <f t="shared" si="7"/>
        <v>0</v>
      </c>
      <c r="I306" s="24" t="str">
        <f t="shared" si="3"/>
        <v/>
      </c>
      <c r="J306" s="80"/>
      <c r="K306" s="26"/>
      <c r="L306" s="30"/>
    </row>
    <row r="307" ht="22.5" customHeight="1">
      <c r="A307" s="25"/>
      <c r="B307" s="23"/>
      <c r="C307" s="26"/>
      <c r="D307" s="24"/>
      <c r="E307" s="24"/>
      <c r="F307" s="26"/>
      <c r="G307" s="30"/>
      <c r="H307" s="30">
        <f t="shared" si="7"/>
        <v>0</v>
      </c>
      <c r="I307" s="24" t="str">
        <f t="shared" si="3"/>
        <v/>
      </c>
      <c r="J307" s="80"/>
      <c r="K307" s="26"/>
      <c r="L307" s="30"/>
    </row>
    <row r="308" ht="22.5" customHeight="1">
      <c r="A308" s="25"/>
      <c r="B308" s="23"/>
      <c r="C308" s="26"/>
      <c r="D308" s="24"/>
      <c r="E308" s="24"/>
      <c r="F308" s="26"/>
      <c r="G308" s="30"/>
      <c r="H308" s="30">
        <f t="shared" si="7"/>
        <v>0</v>
      </c>
      <c r="I308" s="24" t="str">
        <f t="shared" si="3"/>
        <v/>
      </c>
      <c r="J308" s="80"/>
      <c r="K308" s="26"/>
      <c r="L308" s="30"/>
    </row>
    <row r="309" ht="22.5" customHeight="1">
      <c r="A309" s="25"/>
      <c r="B309" s="23"/>
      <c r="C309" s="26"/>
      <c r="D309" s="24"/>
      <c r="E309" s="24"/>
      <c r="F309" s="26"/>
      <c r="G309" s="30"/>
      <c r="H309" s="30">
        <f t="shared" si="7"/>
        <v>0</v>
      </c>
      <c r="I309" s="24" t="str">
        <f t="shared" si="3"/>
        <v/>
      </c>
      <c r="J309" s="80"/>
      <c r="K309" s="26"/>
      <c r="L309" s="30"/>
    </row>
    <row r="310" ht="22.5" customHeight="1">
      <c r="A310" s="25"/>
      <c r="B310" s="23"/>
      <c r="C310" s="26"/>
      <c r="D310" s="24"/>
      <c r="E310" s="24"/>
      <c r="F310" s="26"/>
      <c r="G310" s="30"/>
      <c r="H310" s="30">
        <f t="shared" si="7"/>
        <v>0</v>
      </c>
      <c r="I310" s="24" t="str">
        <f t="shared" si="3"/>
        <v/>
      </c>
      <c r="J310" s="80"/>
      <c r="K310" s="26"/>
      <c r="L310" s="30"/>
    </row>
    <row r="311" ht="22.5" customHeight="1">
      <c r="A311" s="25"/>
      <c r="B311" s="23"/>
      <c r="C311" s="26"/>
      <c r="D311" s="24"/>
      <c r="E311" s="24"/>
      <c r="F311" s="26"/>
      <c r="G311" s="30"/>
      <c r="H311" s="30">
        <f t="shared" si="7"/>
        <v>0</v>
      </c>
      <c r="I311" s="24" t="str">
        <f t="shared" si="3"/>
        <v/>
      </c>
      <c r="J311" s="80"/>
      <c r="K311" s="26"/>
      <c r="L311" s="30"/>
    </row>
    <row r="312" ht="22.5" customHeight="1">
      <c r="A312" s="25"/>
      <c r="B312" s="23"/>
      <c r="C312" s="26"/>
      <c r="D312" s="24"/>
      <c r="E312" s="24"/>
      <c r="F312" s="26"/>
      <c r="G312" s="30"/>
      <c r="H312" s="30">
        <f t="shared" si="7"/>
        <v>0</v>
      </c>
      <c r="I312" s="24" t="str">
        <f t="shared" si="3"/>
        <v/>
      </c>
      <c r="J312" s="80"/>
      <c r="K312" s="26"/>
      <c r="L312" s="30"/>
    </row>
    <row r="313" ht="22.5" customHeight="1">
      <c r="A313" s="25"/>
      <c r="B313" s="23"/>
      <c r="C313" s="26"/>
      <c r="D313" s="24"/>
      <c r="E313" s="24"/>
      <c r="F313" s="26"/>
      <c r="G313" s="30"/>
      <c r="H313" s="30">
        <f t="shared" si="7"/>
        <v>0</v>
      </c>
      <c r="I313" s="24" t="str">
        <f t="shared" si="3"/>
        <v/>
      </c>
      <c r="J313" s="80"/>
      <c r="K313" s="26"/>
      <c r="L313" s="30"/>
    </row>
    <row r="314" ht="22.5" customHeight="1">
      <c r="A314" s="25"/>
      <c r="B314" s="23"/>
      <c r="C314" s="26"/>
      <c r="D314" s="24"/>
      <c r="E314" s="24"/>
      <c r="F314" s="26"/>
      <c r="G314" s="30"/>
      <c r="H314" s="30">
        <f t="shared" si="7"/>
        <v>0</v>
      </c>
      <c r="I314" s="24" t="str">
        <f t="shared" si="3"/>
        <v/>
      </c>
      <c r="J314" s="80"/>
      <c r="K314" s="26"/>
      <c r="L314" s="30"/>
    </row>
    <row r="315" ht="22.5" customHeight="1">
      <c r="A315" s="25"/>
      <c r="B315" s="23"/>
      <c r="C315" s="26"/>
      <c r="D315" s="24"/>
      <c r="E315" s="24"/>
      <c r="F315" s="26"/>
      <c r="G315" s="30"/>
      <c r="H315" s="30">
        <f t="shared" si="7"/>
        <v>0</v>
      </c>
      <c r="I315" s="24" t="str">
        <f t="shared" si="3"/>
        <v/>
      </c>
      <c r="J315" s="80"/>
      <c r="K315" s="26"/>
      <c r="L315" s="30"/>
    </row>
    <row r="316" ht="22.5" customHeight="1">
      <c r="A316" s="25"/>
      <c r="B316" s="23"/>
      <c r="C316" s="26"/>
      <c r="D316" s="24"/>
      <c r="E316" s="24"/>
      <c r="F316" s="26"/>
      <c r="G316" s="30"/>
      <c r="H316" s="30">
        <f t="shared" si="7"/>
        <v>0</v>
      </c>
      <c r="I316" s="24" t="str">
        <f t="shared" si="3"/>
        <v/>
      </c>
      <c r="J316" s="80"/>
      <c r="K316" s="26"/>
      <c r="L316" s="30"/>
    </row>
    <row r="317" ht="22.5" customHeight="1">
      <c r="A317" s="25"/>
      <c r="B317" s="23"/>
      <c r="C317" s="26"/>
      <c r="D317" s="24"/>
      <c r="E317" s="24"/>
      <c r="F317" s="26"/>
      <c r="G317" s="30"/>
      <c r="H317" s="30">
        <f t="shared" si="7"/>
        <v>0</v>
      </c>
      <c r="I317" s="24" t="str">
        <f t="shared" si="3"/>
        <v/>
      </c>
      <c r="J317" s="80"/>
      <c r="K317" s="26"/>
      <c r="L317" s="30"/>
    </row>
    <row r="318" ht="22.5" customHeight="1">
      <c r="A318" s="25"/>
      <c r="B318" s="23"/>
      <c r="C318" s="26"/>
      <c r="D318" s="24"/>
      <c r="E318" s="24"/>
      <c r="F318" s="26"/>
      <c r="G318" s="30"/>
      <c r="H318" s="30">
        <f t="shared" si="7"/>
        <v>0</v>
      </c>
      <c r="I318" s="24" t="str">
        <f t="shared" si="3"/>
        <v/>
      </c>
      <c r="J318" s="80"/>
      <c r="K318" s="26"/>
      <c r="L318" s="30"/>
    </row>
    <row r="319" ht="22.5" customHeight="1">
      <c r="A319" s="25"/>
      <c r="B319" s="23"/>
      <c r="C319" s="26"/>
      <c r="D319" s="24"/>
      <c r="E319" s="24"/>
      <c r="F319" s="26"/>
      <c r="G319" s="30"/>
      <c r="H319" s="30">
        <f t="shared" si="7"/>
        <v>0</v>
      </c>
      <c r="I319" s="24" t="str">
        <f t="shared" si="3"/>
        <v/>
      </c>
      <c r="J319" s="80"/>
      <c r="K319" s="26"/>
      <c r="L319" s="30"/>
    </row>
    <row r="320" ht="22.5" customHeight="1">
      <c r="A320" s="25"/>
      <c r="B320" s="23"/>
      <c r="C320" s="26"/>
      <c r="D320" s="24"/>
      <c r="E320" s="24"/>
      <c r="F320" s="26"/>
      <c r="G320" s="30"/>
      <c r="H320" s="30">
        <f t="shared" si="7"/>
        <v>0</v>
      </c>
      <c r="I320" s="24" t="str">
        <f t="shared" si="3"/>
        <v/>
      </c>
      <c r="J320" s="80"/>
      <c r="K320" s="26"/>
      <c r="L320" s="30"/>
    </row>
    <row r="321" ht="22.5" customHeight="1">
      <c r="A321" s="25"/>
      <c r="B321" s="23"/>
      <c r="C321" s="26"/>
      <c r="D321" s="24"/>
      <c r="E321" s="24"/>
      <c r="F321" s="26"/>
      <c r="G321" s="30"/>
      <c r="H321" s="30">
        <f t="shared" si="7"/>
        <v>0</v>
      </c>
      <c r="I321" s="24" t="str">
        <f t="shared" si="3"/>
        <v/>
      </c>
      <c r="J321" s="80"/>
      <c r="K321" s="26"/>
      <c r="L321" s="30"/>
    </row>
    <row r="322" ht="22.5" customHeight="1">
      <c r="A322" s="25"/>
      <c r="B322" s="23"/>
      <c r="C322" s="26"/>
      <c r="D322" s="24"/>
      <c r="E322" s="24"/>
      <c r="F322" s="26"/>
      <c r="G322" s="30"/>
      <c r="H322" s="30">
        <f t="shared" si="7"/>
        <v>0</v>
      </c>
      <c r="I322" s="24" t="str">
        <f t="shared" si="3"/>
        <v/>
      </c>
      <c r="J322" s="80"/>
      <c r="K322" s="26"/>
      <c r="L322" s="30"/>
    </row>
    <row r="323" ht="22.5" customHeight="1">
      <c r="A323" s="25"/>
      <c r="B323" s="23"/>
      <c r="C323" s="26"/>
      <c r="D323" s="24"/>
      <c r="E323" s="24"/>
      <c r="F323" s="26"/>
      <c r="G323" s="30"/>
      <c r="H323" s="30">
        <f t="shared" si="7"/>
        <v>0</v>
      </c>
      <c r="I323" s="24" t="str">
        <f t="shared" si="3"/>
        <v/>
      </c>
      <c r="J323" s="80"/>
      <c r="K323" s="26"/>
      <c r="L323" s="30"/>
    </row>
    <row r="324" ht="22.5" customHeight="1">
      <c r="A324" s="25"/>
      <c r="B324" s="23"/>
      <c r="C324" s="26"/>
      <c r="D324" s="24"/>
      <c r="E324" s="24"/>
      <c r="F324" s="26"/>
      <c r="G324" s="30"/>
      <c r="H324" s="30">
        <f t="shared" si="7"/>
        <v>0</v>
      </c>
      <c r="I324" s="24" t="str">
        <f t="shared" si="3"/>
        <v/>
      </c>
      <c r="J324" s="80"/>
      <c r="K324" s="26"/>
      <c r="L324" s="30"/>
    </row>
    <row r="325" ht="22.5" customHeight="1">
      <c r="A325" s="25"/>
      <c r="B325" s="23"/>
      <c r="C325" s="26"/>
      <c r="D325" s="24"/>
      <c r="E325" s="24"/>
      <c r="F325" s="26"/>
      <c r="G325" s="30"/>
      <c r="H325" s="30">
        <f t="shared" si="7"/>
        <v>0</v>
      </c>
      <c r="I325" s="24" t="str">
        <f t="shared" si="3"/>
        <v/>
      </c>
      <c r="J325" s="80"/>
      <c r="K325" s="26"/>
      <c r="L325" s="30"/>
    </row>
    <row r="326" ht="22.5" customHeight="1">
      <c r="A326" s="25"/>
      <c r="B326" s="23"/>
      <c r="C326" s="26"/>
      <c r="D326" s="24"/>
      <c r="E326" s="24"/>
      <c r="F326" s="26"/>
      <c r="G326" s="30"/>
      <c r="H326" s="30">
        <f t="shared" si="7"/>
        <v>0</v>
      </c>
      <c r="I326" s="24" t="str">
        <f t="shared" si="3"/>
        <v/>
      </c>
      <c r="J326" s="80"/>
      <c r="K326" s="26"/>
      <c r="L326" s="30"/>
    </row>
    <row r="327" ht="22.5" customHeight="1">
      <c r="A327" s="25"/>
      <c r="B327" s="23"/>
      <c r="C327" s="26"/>
      <c r="D327" s="24"/>
      <c r="E327" s="24"/>
      <c r="F327" s="26"/>
      <c r="G327" s="30"/>
      <c r="H327" s="30">
        <f t="shared" si="7"/>
        <v>0</v>
      </c>
      <c r="I327" s="24" t="str">
        <f t="shared" si="3"/>
        <v/>
      </c>
      <c r="J327" s="80"/>
      <c r="K327" s="26"/>
      <c r="L327" s="30"/>
    </row>
    <row r="328" ht="22.5" customHeight="1">
      <c r="A328" s="25"/>
      <c r="B328" s="23"/>
      <c r="C328" s="26"/>
      <c r="D328" s="24"/>
      <c r="E328" s="24"/>
      <c r="F328" s="26"/>
      <c r="G328" s="30"/>
      <c r="H328" s="30">
        <f t="shared" si="7"/>
        <v>0</v>
      </c>
      <c r="I328" s="24" t="str">
        <f t="shared" si="3"/>
        <v/>
      </c>
      <c r="J328" s="80"/>
      <c r="K328" s="26"/>
      <c r="L328" s="30"/>
    </row>
    <row r="329" ht="22.5" customHeight="1">
      <c r="A329" s="25"/>
      <c r="B329" s="23"/>
      <c r="C329" s="26"/>
      <c r="D329" s="24"/>
      <c r="E329" s="24"/>
      <c r="F329" s="26"/>
      <c r="G329" s="30"/>
      <c r="H329" s="30">
        <f t="shared" si="7"/>
        <v>0</v>
      </c>
      <c r="I329" s="24" t="str">
        <f t="shared" si="3"/>
        <v/>
      </c>
      <c r="J329" s="80"/>
      <c r="K329" s="26"/>
      <c r="L329" s="30"/>
    </row>
    <row r="330" ht="22.5" customHeight="1">
      <c r="A330" s="25"/>
      <c r="B330" s="23"/>
      <c r="C330" s="26"/>
      <c r="D330" s="24"/>
      <c r="E330" s="24"/>
      <c r="F330" s="26"/>
      <c r="G330" s="30"/>
      <c r="H330" s="30">
        <f t="shared" si="7"/>
        <v>0</v>
      </c>
      <c r="I330" s="24" t="str">
        <f t="shared" si="3"/>
        <v/>
      </c>
      <c r="J330" s="80"/>
      <c r="K330" s="26"/>
      <c r="L330" s="30"/>
    </row>
    <row r="331" ht="22.5" customHeight="1">
      <c r="A331" s="25"/>
      <c r="B331" s="23"/>
      <c r="C331" s="26"/>
      <c r="D331" s="24"/>
      <c r="E331" s="24"/>
      <c r="F331" s="26"/>
      <c r="G331" s="30"/>
      <c r="H331" s="30">
        <f t="shared" si="7"/>
        <v>0</v>
      </c>
      <c r="I331" s="24" t="str">
        <f t="shared" si="3"/>
        <v/>
      </c>
      <c r="J331" s="80"/>
      <c r="K331" s="26"/>
      <c r="L331" s="30"/>
    </row>
    <row r="332" ht="22.5" customHeight="1">
      <c r="A332" s="25"/>
      <c r="B332" s="23"/>
      <c r="C332" s="26"/>
      <c r="D332" s="24"/>
      <c r="E332" s="24"/>
      <c r="F332" s="26"/>
      <c r="G332" s="30"/>
      <c r="H332" s="30">
        <f t="shared" si="7"/>
        <v>0</v>
      </c>
      <c r="I332" s="24" t="str">
        <f t="shared" si="3"/>
        <v/>
      </c>
      <c r="J332" s="80"/>
      <c r="K332" s="26"/>
      <c r="L332" s="30"/>
    </row>
    <row r="333" ht="22.5" customHeight="1">
      <c r="A333" s="25"/>
      <c r="B333" s="23"/>
      <c r="C333" s="26"/>
      <c r="D333" s="24"/>
      <c r="E333" s="24"/>
      <c r="F333" s="26"/>
      <c r="G333" s="30"/>
      <c r="H333" s="30">
        <f t="shared" si="7"/>
        <v>0</v>
      </c>
      <c r="I333" s="24" t="str">
        <f t="shared" si="3"/>
        <v/>
      </c>
      <c r="J333" s="80"/>
      <c r="K333" s="26"/>
      <c r="L333" s="30"/>
    </row>
    <row r="334" ht="22.5" customHeight="1">
      <c r="A334" s="25"/>
      <c r="B334" s="23"/>
      <c r="C334" s="26"/>
      <c r="D334" s="24"/>
      <c r="E334" s="24"/>
      <c r="F334" s="26"/>
      <c r="G334" s="30"/>
      <c r="H334" s="30">
        <f t="shared" si="7"/>
        <v>0</v>
      </c>
      <c r="I334" s="24" t="str">
        <f t="shared" si="3"/>
        <v/>
      </c>
      <c r="J334" s="80"/>
      <c r="K334" s="26"/>
      <c r="L334" s="30"/>
    </row>
    <row r="335" ht="22.5" customHeight="1">
      <c r="A335" s="25"/>
      <c r="B335" s="23"/>
      <c r="C335" s="26"/>
      <c r="D335" s="24"/>
      <c r="E335" s="24"/>
      <c r="F335" s="26"/>
      <c r="G335" s="30"/>
      <c r="H335" s="30">
        <f t="shared" si="7"/>
        <v>0</v>
      </c>
      <c r="I335" s="24" t="str">
        <f t="shared" si="3"/>
        <v/>
      </c>
      <c r="J335" s="80"/>
      <c r="K335" s="26"/>
      <c r="L335" s="30"/>
    </row>
    <row r="336" ht="22.5" customHeight="1">
      <c r="A336" s="25"/>
      <c r="B336" s="23"/>
      <c r="C336" s="26"/>
      <c r="D336" s="24"/>
      <c r="E336" s="24"/>
      <c r="F336" s="26"/>
      <c r="G336" s="30"/>
      <c r="H336" s="30">
        <f t="shared" si="7"/>
        <v>0</v>
      </c>
      <c r="I336" s="24" t="str">
        <f t="shared" si="3"/>
        <v/>
      </c>
      <c r="J336" s="80"/>
      <c r="K336" s="26"/>
      <c r="L336" s="30"/>
    </row>
    <row r="337" ht="22.5" customHeight="1">
      <c r="A337" s="25"/>
      <c r="B337" s="23"/>
      <c r="C337" s="26"/>
      <c r="D337" s="24"/>
      <c r="E337" s="24"/>
      <c r="F337" s="26"/>
      <c r="G337" s="30"/>
      <c r="H337" s="30">
        <f t="shared" si="7"/>
        <v>0</v>
      </c>
      <c r="I337" s="24" t="str">
        <f t="shared" si="3"/>
        <v/>
      </c>
      <c r="J337" s="80"/>
      <c r="K337" s="26"/>
      <c r="L337" s="30"/>
    </row>
    <row r="338" ht="22.5" customHeight="1">
      <c r="A338" s="25"/>
      <c r="B338" s="23"/>
      <c r="C338" s="26"/>
      <c r="D338" s="24"/>
      <c r="E338" s="24"/>
      <c r="F338" s="26"/>
      <c r="G338" s="30"/>
      <c r="H338" s="30">
        <f t="shared" si="7"/>
        <v>0</v>
      </c>
      <c r="I338" s="24" t="str">
        <f t="shared" si="3"/>
        <v/>
      </c>
      <c r="J338" s="80"/>
      <c r="K338" s="26"/>
      <c r="L338" s="30"/>
    </row>
    <row r="339" ht="22.5" customHeight="1">
      <c r="A339" s="25"/>
      <c r="B339" s="23"/>
      <c r="C339" s="26"/>
      <c r="D339" s="24"/>
      <c r="E339" s="24"/>
      <c r="F339" s="26"/>
      <c r="G339" s="30"/>
      <c r="H339" s="30">
        <f t="shared" si="7"/>
        <v>0</v>
      </c>
      <c r="I339" s="24" t="str">
        <f t="shared" si="3"/>
        <v/>
      </c>
      <c r="J339" s="80"/>
      <c r="K339" s="26"/>
      <c r="L339" s="30"/>
    </row>
    <row r="340" ht="22.5" customHeight="1">
      <c r="A340" s="25"/>
      <c r="B340" s="23"/>
      <c r="C340" s="26"/>
      <c r="D340" s="24"/>
      <c r="E340" s="24"/>
      <c r="F340" s="26"/>
      <c r="G340" s="30"/>
      <c r="H340" s="30">
        <f t="shared" si="7"/>
        <v>0</v>
      </c>
      <c r="I340" s="24" t="str">
        <f t="shared" si="3"/>
        <v/>
      </c>
      <c r="J340" s="80"/>
      <c r="K340" s="26"/>
      <c r="L340" s="30"/>
    </row>
    <row r="341" ht="22.5" customHeight="1">
      <c r="A341" s="25"/>
      <c r="B341" s="23"/>
      <c r="C341" s="26"/>
      <c r="D341" s="24"/>
      <c r="E341" s="24"/>
      <c r="F341" s="26"/>
      <c r="G341" s="30"/>
      <c r="H341" s="30">
        <f t="shared" si="7"/>
        <v>0</v>
      </c>
      <c r="I341" s="24" t="str">
        <f t="shared" si="3"/>
        <v/>
      </c>
      <c r="J341" s="80"/>
      <c r="K341" s="26"/>
      <c r="L341" s="30"/>
    </row>
    <row r="342" ht="22.5" customHeight="1">
      <c r="A342" s="25"/>
      <c r="B342" s="23"/>
      <c r="C342" s="26"/>
      <c r="D342" s="24"/>
      <c r="E342" s="24"/>
      <c r="F342" s="26"/>
      <c r="G342" s="30"/>
      <c r="H342" s="30">
        <f t="shared" si="7"/>
        <v>0</v>
      </c>
      <c r="I342" s="24" t="str">
        <f t="shared" si="3"/>
        <v/>
      </c>
      <c r="J342" s="80"/>
      <c r="K342" s="26"/>
      <c r="L342" s="30"/>
    </row>
    <row r="343" ht="22.5" customHeight="1">
      <c r="A343" s="25"/>
      <c r="B343" s="23"/>
      <c r="C343" s="26"/>
      <c r="D343" s="24"/>
      <c r="E343" s="24"/>
      <c r="F343" s="26"/>
      <c r="G343" s="30"/>
      <c r="H343" s="30">
        <f t="shared" si="7"/>
        <v>0</v>
      </c>
      <c r="I343" s="24" t="str">
        <f t="shared" si="3"/>
        <v/>
      </c>
      <c r="J343" s="80"/>
      <c r="K343" s="26"/>
      <c r="L343" s="30"/>
    </row>
    <row r="344" ht="22.5" customHeight="1">
      <c r="A344" s="25"/>
      <c r="B344" s="23"/>
      <c r="C344" s="26"/>
      <c r="D344" s="24"/>
      <c r="E344" s="24"/>
      <c r="F344" s="26"/>
      <c r="G344" s="30"/>
      <c r="H344" s="30">
        <f t="shared" si="7"/>
        <v>0</v>
      </c>
      <c r="I344" s="24" t="str">
        <f t="shared" si="3"/>
        <v/>
      </c>
      <c r="J344" s="80"/>
      <c r="K344" s="26"/>
      <c r="L344" s="30"/>
    </row>
    <row r="345" ht="22.5" customHeight="1">
      <c r="A345" s="25"/>
      <c r="B345" s="23"/>
      <c r="C345" s="26"/>
      <c r="D345" s="24"/>
      <c r="E345" s="24"/>
      <c r="F345" s="26"/>
      <c r="G345" s="30"/>
      <c r="H345" s="30">
        <f t="shared" si="7"/>
        <v>0</v>
      </c>
      <c r="I345" s="24" t="str">
        <f t="shared" si="3"/>
        <v/>
      </c>
      <c r="J345" s="80"/>
      <c r="K345" s="26"/>
      <c r="L345" s="30"/>
    </row>
    <row r="346" ht="22.5" customHeight="1">
      <c r="A346" s="25"/>
      <c r="B346" s="23"/>
      <c r="C346" s="26"/>
      <c r="D346" s="24"/>
      <c r="E346" s="24"/>
      <c r="F346" s="26"/>
      <c r="G346" s="30"/>
      <c r="H346" s="30">
        <f t="shared" si="7"/>
        <v>0</v>
      </c>
      <c r="I346" s="24" t="str">
        <f t="shared" si="3"/>
        <v/>
      </c>
      <c r="J346" s="80"/>
      <c r="K346" s="26"/>
      <c r="L346" s="30"/>
    </row>
    <row r="347" ht="22.5" customHeight="1">
      <c r="A347" s="25"/>
      <c r="B347" s="23"/>
      <c r="C347" s="26"/>
      <c r="D347" s="24"/>
      <c r="E347" s="24"/>
      <c r="F347" s="26"/>
      <c r="G347" s="30"/>
      <c r="H347" s="30">
        <f t="shared" si="7"/>
        <v>0</v>
      </c>
      <c r="I347" s="24" t="str">
        <f t="shared" si="3"/>
        <v/>
      </c>
      <c r="J347" s="80"/>
      <c r="K347" s="26"/>
      <c r="L347" s="30"/>
    </row>
    <row r="348" ht="22.5" customHeight="1">
      <c r="A348" s="25"/>
      <c r="B348" s="23"/>
      <c r="C348" s="26"/>
      <c r="D348" s="24"/>
      <c r="E348" s="24"/>
      <c r="F348" s="26"/>
      <c r="G348" s="30"/>
      <c r="H348" s="30">
        <f t="shared" si="7"/>
        <v>0</v>
      </c>
      <c r="I348" s="24" t="str">
        <f t="shared" si="3"/>
        <v/>
      </c>
      <c r="J348" s="80"/>
      <c r="K348" s="26"/>
      <c r="L348" s="30"/>
    </row>
    <row r="349" ht="22.5" customHeight="1">
      <c r="A349" s="25"/>
      <c r="B349" s="23"/>
      <c r="C349" s="26"/>
      <c r="D349" s="24"/>
      <c r="E349" s="24"/>
      <c r="F349" s="26"/>
      <c r="G349" s="30"/>
      <c r="H349" s="30">
        <f t="shared" si="7"/>
        <v>0</v>
      </c>
      <c r="I349" s="24" t="str">
        <f t="shared" si="3"/>
        <v/>
      </c>
      <c r="J349" s="80"/>
      <c r="K349" s="26"/>
      <c r="L349" s="30"/>
    </row>
    <row r="350" ht="22.5" customHeight="1">
      <c r="A350" s="25"/>
      <c r="B350" s="23"/>
      <c r="C350" s="26"/>
      <c r="D350" s="24"/>
      <c r="E350" s="24"/>
      <c r="F350" s="26"/>
      <c r="G350" s="30"/>
      <c r="H350" s="30">
        <f t="shared" si="7"/>
        <v>0</v>
      </c>
      <c r="I350" s="24" t="str">
        <f t="shared" si="3"/>
        <v/>
      </c>
      <c r="J350" s="80"/>
      <c r="K350" s="26"/>
      <c r="L350" s="30"/>
    </row>
    <row r="351" ht="22.5" customHeight="1">
      <c r="A351" s="25"/>
      <c r="B351" s="23"/>
      <c r="C351" s="26"/>
      <c r="D351" s="24"/>
      <c r="E351" s="24"/>
      <c r="F351" s="26"/>
      <c r="G351" s="30"/>
      <c r="H351" s="30">
        <f t="shared" si="7"/>
        <v>0</v>
      </c>
      <c r="I351" s="24" t="str">
        <f t="shared" si="3"/>
        <v/>
      </c>
      <c r="J351" s="80"/>
      <c r="K351" s="26"/>
      <c r="L351" s="30"/>
    </row>
    <row r="352" ht="22.5" customHeight="1">
      <c r="A352" s="25"/>
      <c r="B352" s="23"/>
      <c r="C352" s="26"/>
      <c r="D352" s="24"/>
      <c r="E352" s="24"/>
      <c r="F352" s="26"/>
      <c r="G352" s="30"/>
      <c r="H352" s="30">
        <f t="shared" si="7"/>
        <v>0</v>
      </c>
      <c r="I352" s="24" t="str">
        <f t="shared" si="3"/>
        <v/>
      </c>
      <c r="J352" s="80"/>
      <c r="K352" s="26"/>
      <c r="L352" s="30"/>
    </row>
    <row r="353" ht="22.5" customHeight="1">
      <c r="A353" s="25"/>
      <c r="B353" s="23"/>
      <c r="C353" s="26"/>
      <c r="D353" s="24"/>
      <c r="E353" s="24"/>
      <c r="F353" s="26"/>
      <c r="G353" s="30"/>
      <c r="H353" s="30">
        <f t="shared" si="7"/>
        <v>0</v>
      </c>
      <c r="I353" s="24" t="str">
        <f t="shared" si="3"/>
        <v/>
      </c>
      <c r="J353" s="80"/>
      <c r="K353" s="26"/>
      <c r="L353" s="30"/>
    </row>
    <row r="354" ht="22.5" customHeight="1">
      <c r="A354" s="25"/>
      <c r="B354" s="23"/>
      <c r="C354" s="26"/>
      <c r="D354" s="24"/>
      <c r="E354" s="24"/>
      <c r="F354" s="26"/>
      <c r="G354" s="30"/>
      <c r="H354" s="30">
        <f t="shared" si="7"/>
        <v>0</v>
      </c>
      <c r="I354" s="24" t="str">
        <f t="shared" si="3"/>
        <v/>
      </c>
      <c r="J354" s="80"/>
      <c r="K354" s="26"/>
      <c r="L354" s="30"/>
    </row>
    <row r="355" ht="22.5" customHeight="1">
      <c r="A355" s="25"/>
      <c r="B355" s="23"/>
      <c r="C355" s="26"/>
      <c r="D355" s="24"/>
      <c r="E355" s="24"/>
      <c r="F355" s="26"/>
      <c r="G355" s="30"/>
      <c r="H355" s="30">
        <f t="shared" si="7"/>
        <v>0</v>
      </c>
      <c r="I355" s="24" t="str">
        <f t="shared" si="3"/>
        <v/>
      </c>
      <c r="J355" s="80"/>
      <c r="K355" s="26"/>
      <c r="L355" s="30"/>
    </row>
    <row r="356" ht="22.5" customHeight="1">
      <c r="A356" s="25"/>
      <c r="B356" s="23"/>
      <c r="C356" s="26"/>
      <c r="D356" s="24"/>
      <c r="E356" s="24"/>
      <c r="F356" s="26"/>
      <c r="G356" s="30"/>
      <c r="H356" s="30">
        <f t="shared" si="7"/>
        <v>0</v>
      </c>
      <c r="I356" s="24" t="str">
        <f t="shared" si="3"/>
        <v/>
      </c>
      <c r="J356" s="80"/>
      <c r="K356" s="26"/>
      <c r="L356" s="30"/>
    </row>
    <row r="357" ht="22.5" customHeight="1">
      <c r="A357" s="25"/>
      <c r="B357" s="23"/>
      <c r="C357" s="26"/>
      <c r="D357" s="24"/>
      <c r="E357" s="24"/>
      <c r="F357" s="26"/>
      <c r="G357" s="30"/>
      <c r="H357" s="30">
        <f t="shared" si="7"/>
        <v>0</v>
      </c>
      <c r="I357" s="24" t="str">
        <f t="shared" si="3"/>
        <v/>
      </c>
      <c r="J357" s="80"/>
      <c r="K357" s="26"/>
      <c r="L357" s="30"/>
    </row>
    <row r="358" ht="22.5" customHeight="1">
      <c r="A358" s="25"/>
      <c r="B358" s="23"/>
      <c r="C358" s="26"/>
      <c r="D358" s="24"/>
      <c r="E358" s="24"/>
      <c r="F358" s="26"/>
      <c r="G358" s="30"/>
      <c r="H358" s="30">
        <f t="shared" si="7"/>
        <v>0</v>
      </c>
      <c r="I358" s="24" t="str">
        <f t="shared" si="3"/>
        <v/>
      </c>
      <c r="J358" s="80"/>
      <c r="K358" s="26"/>
      <c r="L358" s="30"/>
    </row>
    <row r="359" ht="22.5" customHeight="1">
      <c r="A359" s="25"/>
      <c r="B359" s="23"/>
      <c r="C359" s="26"/>
      <c r="D359" s="24"/>
      <c r="E359" s="24"/>
      <c r="F359" s="26"/>
      <c r="G359" s="30"/>
      <c r="H359" s="30">
        <f t="shared" si="7"/>
        <v>0</v>
      </c>
      <c r="I359" s="24" t="str">
        <f t="shared" si="3"/>
        <v/>
      </c>
      <c r="J359" s="80"/>
      <c r="K359" s="26"/>
      <c r="L359" s="30"/>
    </row>
    <row r="360" ht="22.5" customHeight="1">
      <c r="A360" s="25"/>
      <c r="B360" s="23"/>
      <c r="C360" s="26"/>
      <c r="D360" s="24"/>
      <c r="E360" s="24"/>
      <c r="F360" s="26"/>
      <c r="G360" s="30"/>
      <c r="H360" s="30">
        <f t="shared" si="7"/>
        <v>0</v>
      </c>
      <c r="I360" s="24" t="str">
        <f t="shared" si="3"/>
        <v/>
      </c>
      <c r="J360" s="80"/>
      <c r="K360" s="26"/>
      <c r="L360" s="30"/>
    </row>
    <row r="361" ht="22.5" customHeight="1">
      <c r="A361" s="25"/>
      <c r="B361" s="23"/>
      <c r="C361" s="26"/>
      <c r="D361" s="24"/>
      <c r="E361" s="24"/>
      <c r="F361" s="26"/>
      <c r="G361" s="30"/>
      <c r="H361" s="30">
        <f t="shared" si="7"/>
        <v>0</v>
      </c>
      <c r="I361" s="24" t="str">
        <f t="shared" si="3"/>
        <v/>
      </c>
      <c r="J361" s="80"/>
      <c r="K361" s="26"/>
      <c r="L361" s="30"/>
    </row>
    <row r="362" ht="22.5" customHeight="1">
      <c r="A362" s="25"/>
      <c r="B362" s="23"/>
      <c r="C362" s="26"/>
      <c r="D362" s="24"/>
      <c r="E362" s="24"/>
      <c r="F362" s="26"/>
      <c r="G362" s="30"/>
      <c r="H362" s="30">
        <f t="shared" si="7"/>
        <v>0</v>
      </c>
      <c r="I362" s="24" t="str">
        <f t="shared" si="3"/>
        <v/>
      </c>
      <c r="J362" s="80"/>
      <c r="K362" s="26"/>
      <c r="L362" s="30"/>
    </row>
    <row r="363" ht="22.5" customHeight="1">
      <c r="A363" s="25"/>
      <c r="B363" s="23"/>
      <c r="C363" s="26"/>
      <c r="D363" s="24"/>
      <c r="E363" s="24"/>
      <c r="F363" s="26"/>
      <c r="G363" s="30"/>
      <c r="H363" s="30">
        <f t="shared" si="7"/>
        <v>0</v>
      </c>
      <c r="I363" s="24" t="str">
        <f t="shared" si="3"/>
        <v/>
      </c>
      <c r="J363" s="80"/>
      <c r="K363" s="26"/>
      <c r="L363" s="30"/>
    </row>
    <row r="364" ht="22.5" customHeight="1">
      <c r="A364" s="25"/>
      <c r="B364" s="23"/>
      <c r="C364" s="26"/>
      <c r="D364" s="24"/>
      <c r="E364" s="24"/>
      <c r="F364" s="26"/>
      <c r="G364" s="30"/>
      <c r="H364" s="30">
        <f t="shared" si="7"/>
        <v>0</v>
      </c>
      <c r="I364" s="24" t="str">
        <f t="shared" si="3"/>
        <v/>
      </c>
      <c r="J364" s="80"/>
      <c r="K364" s="26"/>
      <c r="L364" s="30"/>
    </row>
    <row r="365" ht="22.5" customHeight="1">
      <c r="A365" s="25"/>
      <c r="B365" s="23"/>
      <c r="C365" s="26"/>
      <c r="D365" s="24"/>
      <c r="E365" s="24"/>
      <c r="F365" s="26"/>
      <c r="G365" s="30"/>
      <c r="H365" s="30">
        <f t="shared" si="7"/>
        <v>0</v>
      </c>
      <c r="I365" s="24" t="str">
        <f t="shared" si="3"/>
        <v/>
      </c>
      <c r="J365" s="80"/>
      <c r="K365" s="26"/>
      <c r="L365" s="30"/>
    </row>
    <row r="366" ht="22.5" customHeight="1">
      <c r="A366" s="25"/>
      <c r="B366" s="23"/>
      <c r="C366" s="26"/>
      <c r="D366" s="24"/>
      <c r="E366" s="24"/>
      <c r="F366" s="26"/>
      <c r="G366" s="30"/>
      <c r="H366" s="30">
        <f t="shared" si="7"/>
        <v>0</v>
      </c>
      <c r="I366" s="24" t="str">
        <f t="shared" si="3"/>
        <v/>
      </c>
      <c r="J366" s="80"/>
      <c r="K366" s="26"/>
      <c r="L366" s="30"/>
    </row>
    <row r="367" ht="22.5" customHeight="1">
      <c r="A367" s="25"/>
      <c r="B367" s="23"/>
      <c r="C367" s="26"/>
      <c r="D367" s="24"/>
      <c r="E367" s="24"/>
      <c r="F367" s="26"/>
      <c r="G367" s="30"/>
      <c r="H367" s="30">
        <f t="shared" si="7"/>
        <v>0</v>
      </c>
      <c r="I367" s="24" t="str">
        <f t="shared" si="3"/>
        <v/>
      </c>
      <c r="J367" s="80"/>
      <c r="K367" s="26"/>
      <c r="L367" s="30"/>
    </row>
    <row r="368" ht="22.5" customHeight="1">
      <c r="A368" s="25"/>
      <c r="B368" s="23"/>
      <c r="C368" s="26"/>
      <c r="D368" s="24"/>
      <c r="E368" s="24"/>
      <c r="F368" s="26"/>
      <c r="G368" s="30"/>
      <c r="H368" s="30">
        <f t="shared" si="7"/>
        <v>0</v>
      </c>
      <c r="I368" s="24" t="str">
        <f t="shared" si="3"/>
        <v/>
      </c>
      <c r="J368" s="80"/>
      <c r="K368" s="26"/>
      <c r="L368" s="30"/>
    </row>
    <row r="369" ht="22.5" customHeight="1">
      <c r="A369" s="25"/>
      <c r="B369" s="23"/>
      <c r="C369" s="26"/>
      <c r="D369" s="24"/>
      <c r="E369" s="24"/>
      <c r="F369" s="26"/>
      <c r="G369" s="30"/>
      <c r="H369" s="30">
        <f t="shared" si="7"/>
        <v>0</v>
      </c>
      <c r="I369" s="24" t="str">
        <f t="shared" si="3"/>
        <v/>
      </c>
      <c r="J369" s="80"/>
      <c r="K369" s="26"/>
      <c r="L369" s="30"/>
    </row>
    <row r="370" ht="22.5" customHeight="1">
      <c r="A370" s="25"/>
      <c r="B370" s="23"/>
      <c r="C370" s="26"/>
      <c r="D370" s="24"/>
      <c r="E370" s="24"/>
      <c r="F370" s="26"/>
      <c r="G370" s="30"/>
      <c r="H370" s="30">
        <f t="shared" si="7"/>
        <v>0</v>
      </c>
      <c r="I370" s="24" t="str">
        <f t="shared" si="3"/>
        <v/>
      </c>
      <c r="J370" s="80"/>
      <c r="K370" s="26"/>
      <c r="L370" s="30"/>
    </row>
    <row r="371" ht="22.5" customHeight="1">
      <c r="A371" s="25"/>
      <c r="B371" s="23"/>
      <c r="C371" s="26"/>
      <c r="D371" s="24"/>
      <c r="E371" s="24"/>
      <c r="F371" s="26"/>
      <c r="G371" s="30"/>
      <c r="H371" s="30">
        <f t="shared" si="7"/>
        <v>0</v>
      </c>
      <c r="I371" s="24" t="str">
        <f t="shared" si="3"/>
        <v/>
      </c>
      <c r="J371" s="80"/>
      <c r="K371" s="26"/>
      <c r="L371" s="30"/>
    </row>
    <row r="372" ht="22.5" customHeight="1">
      <c r="A372" s="25"/>
      <c r="B372" s="23"/>
      <c r="C372" s="26"/>
      <c r="D372" s="24"/>
      <c r="E372" s="24"/>
      <c r="F372" s="26"/>
      <c r="G372" s="30"/>
      <c r="H372" s="30">
        <f t="shared" si="7"/>
        <v>0</v>
      </c>
      <c r="I372" s="24" t="str">
        <f t="shared" si="3"/>
        <v/>
      </c>
      <c r="J372" s="80"/>
      <c r="K372" s="26"/>
      <c r="L372" s="30"/>
    </row>
    <row r="373" ht="22.5" customHeight="1">
      <c r="A373" s="25"/>
      <c r="B373" s="23"/>
      <c r="C373" s="26"/>
      <c r="D373" s="24"/>
      <c r="E373" s="24"/>
      <c r="F373" s="26"/>
      <c r="G373" s="30"/>
      <c r="H373" s="30">
        <f t="shared" si="7"/>
        <v>0</v>
      </c>
      <c r="I373" s="24" t="str">
        <f t="shared" si="3"/>
        <v/>
      </c>
      <c r="J373" s="80"/>
      <c r="K373" s="26"/>
      <c r="L373" s="30"/>
    </row>
    <row r="374" ht="22.5" customHeight="1">
      <c r="A374" s="25"/>
      <c r="B374" s="23"/>
      <c r="C374" s="26"/>
      <c r="D374" s="24"/>
      <c r="E374" s="24"/>
      <c r="F374" s="26"/>
      <c r="G374" s="30"/>
      <c r="H374" s="30">
        <f t="shared" si="7"/>
        <v>0</v>
      </c>
      <c r="I374" s="24" t="str">
        <f t="shared" si="3"/>
        <v/>
      </c>
      <c r="J374" s="80"/>
      <c r="K374" s="26"/>
      <c r="L374" s="30"/>
    </row>
    <row r="375" ht="22.5" customHeight="1">
      <c r="A375" s="25"/>
      <c r="B375" s="23"/>
      <c r="C375" s="26"/>
      <c r="D375" s="24"/>
      <c r="E375" s="24"/>
      <c r="F375" s="26"/>
      <c r="G375" s="30"/>
      <c r="H375" s="30">
        <f t="shared" si="7"/>
        <v>0</v>
      </c>
      <c r="I375" s="24" t="str">
        <f t="shared" si="3"/>
        <v/>
      </c>
      <c r="J375" s="80"/>
      <c r="K375" s="26"/>
      <c r="L375" s="30"/>
    </row>
    <row r="376" ht="22.5" customHeight="1">
      <c r="A376" s="25"/>
      <c r="B376" s="23"/>
      <c r="C376" s="26"/>
      <c r="D376" s="24"/>
      <c r="E376" s="24"/>
      <c r="F376" s="26"/>
      <c r="G376" s="30"/>
      <c r="H376" s="30">
        <f t="shared" si="7"/>
        <v>0</v>
      </c>
      <c r="I376" s="24" t="str">
        <f t="shared" si="3"/>
        <v/>
      </c>
      <c r="J376" s="80"/>
      <c r="K376" s="26"/>
      <c r="L376" s="30"/>
    </row>
    <row r="377" ht="22.5" customHeight="1">
      <c r="A377" s="25"/>
      <c r="B377" s="23"/>
      <c r="C377" s="26"/>
      <c r="D377" s="24"/>
      <c r="E377" s="24"/>
      <c r="F377" s="26"/>
      <c r="G377" s="30"/>
      <c r="H377" s="30">
        <f t="shared" si="7"/>
        <v>0</v>
      </c>
      <c r="I377" s="24" t="str">
        <f t="shared" si="3"/>
        <v/>
      </c>
      <c r="J377" s="80"/>
      <c r="K377" s="26"/>
      <c r="L377" s="30"/>
    </row>
    <row r="378" ht="22.5" customHeight="1">
      <c r="A378" s="25"/>
      <c r="B378" s="23"/>
      <c r="C378" s="26"/>
      <c r="D378" s="24"/>
      <c r="E378" s="24"/>
      <c r="F378" s="26"/>
      <c r="G378" s="30"/>
      <c r="H378" s="30">
        <f t="shared" si="7"/>
        <v>0</v>
      </c>
      <c r="I378" s="24" t="str">
        <f t="shared" si="3"/>
        <v/>
      </c>
      <c r="J378" s="80"/>
      <c r="K378" s="26"/>
      <c r="L378" s="30"/>
    </row>
    <row r="379" ht="22.5" customHeight="1">
      <c r="A379" s="25"/>
      <c r="B379" s="23"/>
      <c r="C379" s="26"/>
      <c r="D379" s="24"/>
      <c r="E379" s="24"/>
      <c r="F379" s="26"/>
      <c r="G379" s="30"/>
      <c r="H379" s="30">
        <f t="shared" si="7"/>
        <v>0</v>
      </c>
      <c r="I379" s="24" t="str">
        <f t="shared" si="3"/>
        <v/>
      </c>
      <c r="J379" s="80"/>
      <c r="K379" s="26"/>
      <c r="L379" s="30"/>
    </row>
    <row r="380" ht="22.5" customHeight="1">
      <c r="A380" s="25"/>
      <c r="B380" s="23"/>
      <c r="C380" s="26"/>
      <c r="D380" s="24"/>
      <c r="E380" s="24"/>
      <c r="F380" s="26"/>
      <c r="G380" s="30"/>
      <c r="H380" s="30">
        <f t="shared" si="7"/>
        <v>0</v>
      </c>
      <c r="I380" s="24" t="str">
        <f t="shared" si="3"/>
        <v/>
      </c>
      <c r="J380" s="80"/>
      <c r="K380" s="26"/>
      <c r="L380" s="30"/>
    </row>
    <row r="381" ht="22.5" customHeight="1">
      <c r="A381" s="25"/>
      <c r="B381" s="23"/>
      <c r="C381" s="26"/>
      <c r="D381" s="24"/>
      <c r="E381" s="24"/>
      <c r="F381" s="26"/>
      <c r="G381" s="30"/>
      <c r="H381" s="30">
        <f t="shared" si="7"/>
        <v>0</v>
      </c>
      <c r="I381" s="24" t="str">
        <f t="shared" si="3"/>
        <v/>
      </c>
      <c r="J381" s="80"/>
      <c r="K381" s="26"/>
      <c r="L381" s="30"/>
    </row>
    <row r="382" ht="22.5" customHeight="1">
      <c r="A382" s="25"/>
      <c r="B382" s="23"/>
      <c r="C382" s="26"/>
      <c r="D382" s="24"/>
      <c r="E382" s="24"/>
      <c r="F382" s="26"/>
      <c r="G382" s="30"/>
      <c r="H382" s="30">
        <f t="shared" si="7"/>
        <v>0</v>
      </c>
      <c r="I382" s="24" t="str">
        <f t="shared" si="3"/>
        <v/>
      </c>
      <c r="J382" s="80"/>
      <c r="K382" s="26"/>
      <c r="L382" s="30"/>
    </row>
    <row r="383" ht="22.5" customHeight="1">
      <c r="A383" s="25"/>
      <c r="B383" s="23"/>
      <c r="C383" s="26"/>
      <c r="D383" s="24"/>
      <c r="E383" s="24"/>
      <c r="F383" s="26"/>
      <c r="G383" s="30"/>
      <c r="H383" s="30">
        <f t="shared" si="7"/>
        <v>0</v>
      </c>
      <c r="I383" s="24" t="str">
        <f t="shared" si="3"/>
        <v/>
      </c>
      <c r="J383" s="80"/>
      <c r="K383" s="26"/>
      <c r="L383" s="30"/>
    </row>
    <row r="384" ht="22.5" customHeight="1">
      <c r="A384" s="25"/>
      <c r="B384" s="23"/>
      <c r="C384" s="26"/>
      <c r="D384" s="24"/>
      <c r="E384" s="24"/>
      <c r="F384" s="26"/>
      <c r="G384" s="30"/>
      <c r="H384" s="30">
        <f t="shared" si="7"/>
        <v>0</v>
      </c>
      <c r="I384" s="24" t="str">
        <f t="shared" si="3"/>
        <v/>
      </c>
      <c r="J384" s="80"/>
      <c r="K384" s="26"/>
      <c r="L384" s="30"/>
    </row>
    <row r="385" ht="22.5" customHeight="1">
      <c r="A385" s="25"/>
      <c r="B385" s="23"/>
      <c r="C385" s="26"/>
      <c r="D385" s="24"/>
      <c r="E385" s="24"/>
      <c r="F385" s="26"/>
      <c r="G385" s="30"/>
      <c r="H385" s="30">
        <f t="shared" si="7"/>
        <v>0</v>
      </c>
      <c r="I385" s="24" t="str">
        <f t="shared" si="3"/>
        <v/>
      </c>
      <c r="J385" s="80"/>
      <c r="K385" s="26"/>
      <c r="L385" s="30"/>
    </row>
    <row r="386" ht="22.5" customHeight="1">
      <c r="A386" s="25"/>
      <c r="B386" s="23"/>
      <c r="C386" s="26"/>
      <c r="D386" s="24"/>
      <c r="E386" s="24"/>
      <c r="F386" s="26"/>
      <c r="G386" s="30"/>
      <c r="H386" s="30">
        <f t="shared" si="7"/>
        <v>0</v>
      </c>
      <c r="I386" s="24" t="str">
        <f t="shared" si="3"/>
        <v/>
      </c>
      <c r="J386" s="80"/>
      <c r="K386" s="26"/>
      <c r="L386" s="30"/>
    </row>
    <row r="387" ht="22.5" customHeight="1">
      <c r="A387" s="25"/>
      <c r="B387" s="23"/>
      <c r="C387" s="26"/>
      <c r="D387" s="24"/>
      <c r="E387" s="24"/>
      <c r="F387" s="26"/>
      <c r="G387" s="30"/>
      <c r="H387" s="30">
        <f t="shared" si="7"/>
        <v>0</v>
      </c>
      <c r="I387" s="24" t="str">
        <f t="shared" si="3"/>
        <v/>
      </c>
      <c r="J387" s="80"/>
      <c r="K387" s="26"/>
      <c r="L387" s="30"/>
    </row>
    <row r="388" ht="22.5" customHeight="1">
      <c r="A388" s="25"/>
      <c r="B388" s="23"/>
      <c r="C388" s="26"/>
      <c r="D388" s="24"/>
      <c r="E388" s="24"/>
      <c r="F388" s="26"/>
      <c r="G388" s="30"/>
      <c r="H388" s="30">
        <f t="shared" si="7"/>
        <v>0</v>
      </c>
      <c r="I388" s="24" t="str">
        <f t="shared" si="3"/>
        <v/>
      </c>
      <c r="J388" s="80"/>
      <c r="K388" s="26"/>
      <c r="L388" s="30"/>
    </row>
    <row r="389" ht="22.5" customHeight="1">
      <c r="A389" s="25"/>
      <c r="B389" s="23"/>
      <c r="C389" s="26"/>
      <c r="D389" s="24"/>
      <c r="E389" s="24"/>
      <c r="F389" s="26"/>
      <c r="G389" s="30"/>
      <c r="H389" s="30">
        <f t="shared" si="7"/>
        <v>0</v>
      </c>
      <c r="I389" s="24" t="str">
        <f t="shared" si="3"/>
        <v/>
      </c>
      <c r="J389" s="80"/>
      <c r="K389" s="26"/>
      <c r="L389" s="30"/>
    </row>
    <row r="390" ht="22.5" customHeight="1">
      <c r="A390" s="25"/>
      <c r="B390" s="23"/>
      <c r="C390" s="26"/>
      <c r="D390" s="24"/>
      <c r="E390" s="24"/>
      <c r="F390" s="26"/>
      <c r="G390" s="30"/>
      <c r="H390" s="30">
        <f t="shared" si="7"/>
        <v>0</v>
      </c>
      <c r="I390" s="24" t="str">
        <f t="shared" si="3"/>
        <v/>
      </c>
      <c r="J390" s="80"/>
      <c r="K390" s="26"/>
      <c r="L390" s="30"/>
    </row>
    <row r="391" ht="22.5" customHeight="1">
      <c r="A391" s="25"/>
      <c r="B391" s="23"/>
      <c r="C391" s="26"/>
      <c r="D391" s="24"/>
      <c r="E391" s="24"/>
      <c r="F391" s="26"/>
      <c r="G391" s="30"/>
      <c r="H391" s="30">
        <f t="shared" si="7"/>
        <v>0</v>
      </c>
      <c r="I391" s="24" t="str">
        <f t="shared" si="3"/>
        <v/>
      </c>
      <c r="J391" s="80"/>
      <c r="K391" s="26"/>
      <c r="L391" s="30"/>
    </row>
    <row r="392" ht="22.5" customHeight="1">
      <c r="A392" s="25"/>
      <c r="B392" s="23"/>
      <c r="C392" s="26"/>
      <c r="D392" s="24"/>
      <c r="E392" s="24"/>
      <c r="F392" s="26"/>
      <c r="G392" s="30"/>
      <c r="H392" s="30">
        <f t="shared" si="7"/>
        <v>0</v>
      </c>
      <c r="I392" s="24" t="str">
        <f t="shared" si="3"/>
        <v/>
      </c>
      <c r="J392" s="80"/>
      <c r="K392" s="26"/>
      <c r="L392" s="30"/>
    </row>
    <row r="393" ht="22.5" customHeight="1">
      <c r="A393" s="25"/>
      <c r="B393" s="23"/>
      <c r="C393" s="26"/>
      <c r="D393" s="24"/>
      <c r="E393" s="24"/>
      <c r="F393" s="26"/>
      <c r="G393" s="30"/>
      <c r="H393" s="30">
        <f t="shared" si="7"/>
        <v>0</v>
      </c>
      <c r="I393" s="24" t="str">
        <f t="shared" si="3"/>
        <v/>
      </c>
      <c r="J393" s="80"/>
      <c r="K393" s="26"/>
      <c r="L393" s="30"/>
    </row>
    <row r="394" ht="22.5" customHeight="1">
      <c r="A394" s="25"/>
      <c r="B394" s="23"/>
      <c r="C394" s="26"/>
      <c r="D394" s="24"/>
      <c r="E394" s="24"/>
      <c r="F394" s="26"/>
      <c r="G394" s="30"/>
      <c r="H394" s="30">
        <f t="shared" si="7"/>
        <v>0</v>
      </c>
      <c r="I394" s="24" t="str">
        <f t="shared" si="3"/>
        <v/>
      </c>
      <c r="J394" s="80"/>
      <c r="K394" s="26"/>
      <c r="L394" s="30"/>
    </row>
    <row r="395" ht="22.5" customHeight="1">
      <c r="A395" s="25"/>
      <c r="B395" s="23"/>
      <c r="C395" s="26"/>
      <c r="D395" s="24"/>
      <c r="E395" s="24"/>
      <c r="F395" s="26"/>
      <c r="G395" s="30"/>
      <c r="H395" s="30">
        <f t="shared" si="7"/>
        <v>0</v>
      </c>
      <c r="I395" s="24" t="str">
        <f t="shared" si="3"/>
        <v/>
      </c>
      <c r="J395" s="80"/>
      <c r="K395" s="26"/>
      <c r="L395" s="30"/>
    </row>
    <row r="396" ht="22.5" customHeight="1">
      <c r="A396" s="25"/>
      <c r="B396" s="23"/>
      <c r="C396" s="26"/>
      <c r="D396" s="24"/>
      <c r="E396" s="24"/>
      <c r="F396" s="26"/>
      <c r="G396" s="30"/>
      <c r="H396" s="30">
        <f t="shared" si="7"/>
        <v>0</v>
      </c>
      <c r="I396" s="24" t="str">
        <f t="shared" si="3"/>
        <v/>
      </c>
      <c r="J396" s="80"/>
      <c r="K396" s="26"/>
      <c r="L396" s="30"/>
    </row>
    <row r="397" ht="22.5" customHeight="1">
      <c r="A397" s="25"/>
      <c r="B397" s="23"/>
      <c r="C397" s="26"/>
      <c r="D397" s="24"/>
      <c r="E397" s="24"/>
      <c r="F397" s="26"/>
      <c r="G397" s="30"/>
      <c r="H397" s="30">
        <f t="shared" si="7"/>
        <v>0</v>
      </c>
      <c r="I397" s="24" t="str">
        <f t="shared" si="3"/>
        <v/>
      </c>
      <c r="J397" s="80"/>
      <c r="K397" s="26"/>
      <c r="L397" s="30"/>
    </row>
    <row r="398" ht="22.5" customHeight="1">
      <c r="A398" s="25"/>
      <c r="B398" s="23"/>
      <c r="C398" s="26"/>
      <c r="D398" s="24"/>
      <c r="E398" s="24"/>
      <c r="F398" s="26"/>
      <c r="G398" s="30"/>
      <c r="H398" s="30">
        <f t="shared" si="7"/>
        <v>0</v>
      </c>
      <c r="I398" s="24" t="str">
        <f t="shared" si="3"/>
        <v/>
      </c>
      <c r="J398" s="80"/>
      <c r="K398" s="26"/>
      <c r="L398" s="30"/>
    </row>
    <row r="399" ht="22.5" customHeight="1">
      <c r="A399" s="25"/>
      <c r="B399" s="23"/>
      <c r="C399" s="26"/>
      <c r="D399" s="24"/>
      <c r="E399" s="24"/>
      <c r="F399" s="26"/>
      <c r="G399" s="30"/>
      <c r="H399" s="30">
        <f t="shared" si="7"/>
        <v>0</v>
      </c>
      <c r="I399" s="24" t="str">
        <f t="shared" si="3"/>
        <v/>
      </c>
      <c r="J399" s="80"/>
      <c r="K399" s="26"/>
      <c r="L399" s="30"/>
    </row>
    <row r="400" ht="22.5" customHeight="1">
      <c r="A400" s="25"/>
      <c r="B400" s="23"/>
      <c r="C400" s="26"/>
      <c r="D400" s="24"/>
      <c r="E400" s="24"/>
      <c r="F400" s="26"/>
      <c r="G400" s="30"/>
      <c r="H400" s="30">
        <f t="shared" si="7"/>
        <v>0</v>
      </c>
      <c r="I400" s="24" t="str">
        <f t="shared" si="3"/>
        <v/>
      </c>
      <c r="J400" s="80"/>
      <c r="K400" s="26"/>
      <c r="L400" s="30"/>
    </row>
    <row r="401" ht="22.5" customHeight="1">
      <c r="A401" s="25"/>
      <c r="B401" s="23"/>
      <c r="C401" s="26"/>
      <c r="D401" s="24"/>
      <c r="E401" s="24"/>
      <c r="F401" s="26"/>
      <c r="G401" s="30"/>
      <c r="H401" s="30">
        <f t="shared" si="7"/>
        <v>0</v>
      </c>
      <c r="I401" s="24" t="str">
        <f t="shared" si="3"/>
        <v/>
      </c>
      <c r="J401" s="80"/>
      <c r="K401" s="26"/>
      <c r="L401" s="30"/>
    </row>
    <row r="402" ht="22.5" customHeight="1">
      <c r="A402" s="25"/>
      <c r="B402" s="23"/>
      <c r="C402" s="26"/>
      <c r="D402" s="24"/>
      <c r="E402" s="24"/>
      <c r="F402" s="26"/>
      <c r="G402" s="30"/>
      <c r="H402" s="30">
        <f t="shared" si="7"/>
        <v>0</v>
      </c>
      <c r="I402" s="24" t="str">
        <f t="shared" si="3"/>
        <v/>
      </c>
      <c r="J402" s="80"/>
      <c r="K402" s="26"/>
      <c r="L402" s="30"/>
    </row>
    <row r="403" ht="22.5" customHeight="1">
      <c r="A403" s="25"/>
      <c r="B403" s="23"/>
      <c r="C403" s="26"/>
      <c r="D403" s="24"/>
      <c r="E403" s="24"/>
      <c r="F403" s="26"/>
      <c r="G403" s="30"/>
      <c r="H403" s="30">
        <f t="shared" si="7"/>
        <v>0</v>
      </c>
      <c r="I403" s="24" t="str">
        <f t="shared" si="3"/>
        <v/>
      </c>
      <c r="J403" s="80"/>
      <c r="K403" s="26"/>
      <c r="L403" s="30"/>
    </row>
    <row r="404" ht="22.5" customHeight="1">
      <c r="A404" s="25"/>
      <c r="B404" s="23"/>
      <c r="C404" s="26"/>
      <c r="D404" s="24"/>
      <c r="E404" s="24"/>
      <c r="F404" s="26"/>
      <c r="G404" s="30"/>
      <c r="H404" s="30">
        <f t="shared" si="7"/>
        <v>0</v>
      </c>
      <c r="I404" s="24" t="str">
        <f t="shared" si="3"/>
        <v/>
      </c>
      <c r="J404" s="80"/>
      <c r="K404" s="26"/>
      <c r="L404" s="30"/>
    </row>
    <row r="405" ht="22.5" customHeight="1">
      <c r="A405" s="25"/>
      <c r="B405" s="23"/>
      <c r="C405" s="26"/>
      <c r="D405" s="24"/>
      <c r="E405" s="24"/>
      <c r="F405" s="26"/>
      <c r="G405" s="30"/>
      <c r="H405" s="30">
        <f t="shared" si="7"/>
        <v>0</v>
      </c>
      <c r="I405" s="24" t="str">
        <f t="shared" si="3"/>
        <v/>
      </c>
      <c r="J405" s="80"/>
      <c r="K405" s="26"/>
      <c r="L405" s="30"/>
    </row>
    <row r="406" ht="22.5" customHeight="1">
      <c r="A406" s="25"/>
      <c r="B406" s="23"/>
      <c r="C406" s="26"/>
      <c r="D406" s="24"/>
      <c r="E406" s="24"/>
      <c r="F406" s="26"/>
      <c r="G406" s="30"/>
      <c r="H406" s="30">
        <f t="shared" si="7"/>
        <v>0</v>
      </c>
      <c r="I406" s="24" t="str">
        <f t="shared" si="3"/>
        <v/>
      </c>
      <c r="J406" s="80"/>
      <c r="K406" s="26"/>
      <c r="L406" s="30"/>
    </row>
    <row r="407" ht="22.5" customHeight="1">
      <c r="A407" s="25"/>
      <c r="B407" s="23"/>
      <c r="C407" s="26"/>
      <c r="D407" s="24"/>
      <c r="E407" s="24"/>
      <c r="F407" s="26"/>
      <c r="G407" s="30"/>
      <c r="H407" s="30">
        <f t="shared" si="7"/>
        <v>0</v>
      </c>
      <c r="I407" s="24" t="str">
        <f t="shared" si="3"/>
        <v/>
      </c>
      <c r="J407" s="80"/>
      <c r="K407" s="26"/>
      <c r="L407" s="30"/>
    </row>
    <row r="408" ht="22.5" customHeight="1">
      <c r="A408" s="25"/>
      <c r="B408" s="23"/>
      <c r="C408" s="26"/>
      <c r="D408" s="24"/>
      <c r="E408" s="24"/>
      <c r="F408" s="26"/>
      <c r="G408" s="30"/>
      <c r="H408" s="30">
        <f t="shared" si="7"/>
        <v>0</v>
      </c>
      <c r="I408" s="24" t="str">
        <f t="shared" si="3"/>
        <v/>
      </c>
      <c r="J408" s="80"/>
      <c r="K408" s="26"/>
      <c r="L408" s="30"/>
    </row>
    <row r="409" ht="22.5" customHeight="1">
      <c r="A409" s="25"/>
      <c r="B409" s="23"/>
      <c r="C409" s="26"/>
      <c r="D409" s="24"/>
      <c r="E409" s="24"/>
      <c r="F409" s="26"/>
      <c r="G409" s="30"/>
      <c r="H409" s="30">
        <f t="shared" si="7"/>
        <v>0</v>
      </c>
      <c r="I409" s="24" t="str">
        <f t="shared" si="3"/>
        <v/>
      </c>
      <c r="J409" s="80"/>
      <c r="K409" s="26"/>
      <c r="L409" s="30"/>
    </row>
    <row r="410" ht="22.5" customHeight="1">
      <c r="A410" s="25"/>
      <c r="B410" s="23"/>
      <c r="C410" s="26"/>
      <c r="D410" s="24"/>
      <c r="E410" s="24"/>
      <c r="F410" s="26"/>
      <c r="G410" s="30"/>
      <c r="H410" s="30">
        <f t="shared" si="7"/>
        <v>0</v>
      </c>
      <c r="I410" s="24" t="str">
        <f t="shared" si="3"/>
        <v/>
      </c>
      <c r="J410" s="80"/>
      <c r="K410" s="26"/>
      <c r="L410" s="30"/>
    </row>
    <row r="411" ht="22.5" customHeight="1">
      <c r="A411" s="25"/>
      <c r="B411" s="23"/>
      <c r="C411" s="26"/>
      <c r="D411" s="24"/>
      <c r="E411" s="24"/>
      <c r="F411" s="26"/>
      <c r="G411" s="30"/>
      <c r="H411" s="30">
        <f t="shared" si="7"/>
        <v>0</v>
      </c>
      <c r="I411" s="24" t="str">
        <f t="shared" si="3"/>
        <v/>
      </c>
      <c r="J411" s="80"/>
      <c r="K411" s="26"/>
      <c r="L411" s="30"/>
    </row>
    <row r="412" ht="22.5" customHeight="1">
      <c r="A412" s="25"/>
      <c r="B412" s="23"/>
      <c r="C412" s="26"/>
      <c r="D412" s="24"/>
      <c r="E412" s="24"/>
      <c r="F412" s="26"/>
      <c r="G412" s="30"/>
      <c r="H412" s="30">
        <f t="shared" si="7"/>
        <v>0</v>
      </c>
      <c r="I412" s="24" t="str">
        <f t="shared" si="3"/>
        <v/>
      </c>
      <c r="J412" s="80"/>
      <c r="K412" s="26"/>
      <c r="L412" s="30"/>
    </row>
    <row r="413" ht="22.5" customHeight="1">
      <c r="A413" s="25"/>
      <c r="B413" s="23"/>
      <c r="C413" s="26"/>
      <c r="D413" s="24"/>
      <c r="E413" s="24"/>
      <c r="F413" s="26"/>
      <c r="G413" s="30"/>
      <c r="H413" s="30">
        <f t="shared" si="7"/>
        <v>0</v>
      </c>
      <c r="I413" s="24" t="str">
        <f t="shared" si="3"/>
        <v/>
      </c>
      <c r="J413" s="80"/>
      <c r="K413" s="26"/>
      <c r="L413" s="30"/>
    </row>
    <row r="414" ht="22.5" customHeight="1">
      <c r="A414" s="25"/>
      <c r="B414" s="23"/>
      <c r="C414" s="26"/>
      <c r="D414" s="24"/>
      <c r="E414" s="24"/>
      <c r="F414" s="26"/>
      <c r="G414" s="30"/>
      <c r="H414" s="30">
        <f t="shared" si="7"/>
        <v>0</v>
      </c>
      <c r="I414" s="24" t="str">
        <f t="shared" si="3"/>
        <v/>
      </c>
      <c r="J414" s="80"/>
      <c r="K414" s="26"/>
      <c r="L414" s="30"/>
    </row>
    <row r="415" ht="22.5" customHeight="1">
      <c r="A415" s="25"/>
      <c r="B415" s="23"/>
      <c r="C415" s="26"/>
      <c r="D415" s="24"/>
      <c r="E415" s="24"/>
      <c r="F415" s="26"/>
      <c r="G415" s="30"/>
      <c r="H415" s="30">
        <f t="shared" si="7"/>
        <v>0</v>
      </c>
      <c r="I415" s="24" t="str">
        <f t="shared" si="3"/>
        <v/>
      </c>
      <c r="J415" s="80"/>
      <c r="K415" s="26"/>
      <c r="L415" s="30"/>
    </row>
    <row r="416" ht="22.5" customHeight="1">
      <c r="A416" s="25"/>
      <c r="B416" s="23"/>
      <c r="C416" s="26"/>
      <c r="D416" s="24"/>
      <c r="E416" s="24"/>
      <c r="F416" s="26"/>
      <c r="G416" s="30"/>
      <c r="H416" s="30">
        <f t="shared" si="7"/>
        <v>0</v>
      </c>
      <c r="I416" s="24" t="str">
        <f t="shared" si="3"/>
        <v/>
      </c>
      <c r="J416" s="80"/>
      <c r="K416" s="26"/>
      <c r="L416" s="30"/>
    </row>
    <row r="417" ht="22.5" customHeight="1">
      <c r="A417" s="25"/>
      <c r="B417" s="23"/>
      <c r="C417" s="26"/>
      <c r="D417" s="24"/>
      <c r="E417" s="24"/>
      <c r="F417" s="26"/>
      <c r="G417" s="30"/>
      <c r="H417" s="30">
        <f t="shared" si="7"/>
        <v>0</v>
      </c>
      <c r="I417" s="24" t="str">
        <f t="shared" si="3"/>
        <v/>
      </c>
      <c r="J417" s="80"/>
      <c r="K417" s="26"/>
      <c r="L417" s="30"/>
    </row>
    <row r="418" ht="22.5" customHeight="1">
      <c r="A418" s="25"/>
      <c r="B418" s="23"/>
      <c r="C418" s="26"/>
      <c r="D418" s="24"/>
      <c r="E418" s="24"/>
      <c r="F418" s="26"/>
      <c r="G418" s="30"/>
      <c r="H418" s="30">
        <f t="shared" si="7"/>
        <v>0</v>
      </c>
      <c r="I418" s="24" t="str">
        <f t="shared" si="3"/>
        <v/>
      </c>
      <c r="J418" s="80"/>
      <c r="K418" s="26"/>
      <c r="L418" s="30"/>
    </row>
    <row r="419" ht="22.5" customHeight="1">
      <c r="A419" s="25"/>
      <c r="B419" s="23"/>
      <c r="C419" s="26"/>
      <c r="D419" s="24"/>
      <c r="E419" s="24"/>
      <c r="F419" s="26"/>
      <c r="G419" s="30"/>
      <c r="H419" s="30">
        <f t="shared" si="7"/>
        <v>0</v>
      </c>
      <c r="I419" s="24" t="str">
        <f t="shared" si="3"/>
        <v/>
      </c>
      <c r="J419" s="80"/>
      <c r="K419" s="26"/>
      <c r="L419" s="30"/>
    </row>
    <row r="420" ht="22.5" customHeight="1">
      <c r="A420" s="25"/>
      <c r="B420" s="23"/>
      <c r="C420" s="26"/>
      <c r="D420" s="24"/>
      <c r="E420" s="24"/>
      <c r="F420" s="26"/>
      <c r="G420" s="30"/>
      <c r="H420" s="30">
        <f t="shared" si="7"/>
        <v>0</v>
      </c>
      <c r="I420" s="24" t="str">
        <f t="shared" si="3"/>
        <v/>
      </c>
      <c r="J420" s="80"/>
      <c r="K420" s="26"/>
      <c r="L420" s="30"/>
    </row>
    <row r="421" ht="22.5" customHeight="1">
      <c r="A421" s="25"/>
      <c r="B421" s="23"/>
      <c r="C421" s="26"/>
      <c r="D421" s="24"/>
      <c r="E421" s="24"/>
      <c r="F421" s="26"/>
      <c r="G421" s="30"/>
      <c r="H421" s="30">
        <f t="shared" si="7"/>
        <v>0</v>
      </c>
      <c r="I421" s="24" t="str">
        <f t="shared" si="3"/>
        <v/>
      </c>
      <c r="J421" s="80"/>
      <c r="K421" s="26"/>
      <c r="L421" s="30"/>
    </row>
    <row r="422" ht="22.5" customHeight="1">
      <c r="A422" s="25"/>
      <c r="B422" s="23"/>
      <c r="C422" s="26"/>
      <c r="D422" s="24"/>
      <c r="E422" s="24"/>
      <c r="F422" s="26"/>
      <c r="G422" s="30"/>
      <c r="H422" s="30">
        <f t="shared" si="7"/>
        <v>0</v>
      </c>
      <c r="I422" s="24" t="str">
        <f t="shared" si="3"/>
        <v/>
      </c>
      <c r="J422" s="80"/>
      <c r="K422" s="26"/>
      <c r="L422" s="30"/>
    </row>
    <row r="423" ht="22.5" customHeight="1">
      <c r="A423" s="25"/>
      <c r="B423" s="23"/>
      <c r="C423" s="26"/>
      <c r="D423" s="24"/>
      <c r="E423" s="24"/>
      <c r="F423" s="26"/>
      <c r="G423" s="30"/>
      <c r="H423" s="30">
        <f t="shared" si="7"/>
        <v>0</v>
      </c>
      <c r="I423" s="24" t="str">
        <f t="shared" si="3"/>
        <v/>
      </c>
      <c r="J423" s="80"/>
      <c r="K423" s="26"/>
      <c r="L423" s="30"/>
    </row>
    <row r="424" ht="22.5" customHeight="1">
      <c r="A424" s="25"/>
      <c r="B424" s="23"/>
      <c r="C424" s="26"/>
      <c r="D424" s="24"/>
      <c r="E424" s="24"/>
      <c r="F424" s="26"/>
      <c r="G424" s="30"/>
      <c r="H424" s="30">
        <f t="shared" si="7"/>
        <v>0</v>
      </c>
      <c r="I424" s="24" t="str">
        <f t="shared" si="3"/>
        <v/>
      </c>
      <c r="J424" s="80"/>
      <c r="K424" s="26"/>
      <c r="L424" s="30"/>
    </row>
    <row r="425" ht="22.5" customHeight="1">
      <c r="A425" s="25"/>
      <c r="B425" s="23"/>
      <c r="C425" s="26"/>
      <c r="D425" s="24"/>
      <c r="E425" s="24"/>
      <c r="F425" s="26"/>
      <c r="G425" s="30"/>
      <c r="H425" s="30">
        <f t="shared" si="7"/>
        <v>0</v>
      </c>
      <c r="I425" s="24" t="str">
        <f t="shared" si="3"/>
        <v/>
      </c>
      <c r="J425" s="80"/>
      <c r="K425" s="26"/>
      <c r="L425" s="30"/>
    </row>
    <row r="426" ht="22.5" customHeight="1">
      <c r="A426" s="25"/>
      <c r="B426" s="23"/>
      <c r="C426" s="26"/>
      <c r="D426" s="24"/>
      <c r="E426" s="24"/>
      <c r="F426" s="26"/>
      <c r="G426" s="30"/>
      <c r="H426" s="30">
        <f t="shared" si="7"/>
        <v>0</v>
      </c>
      <c r="I426" s="24" t="str">
        <f t="shared" si="3"/>
        <v/>
      </c>
      <c r="J426" s="80"/>
      <c r="K426" s="26"/>
      <c r="L426" s="30"/>
    </row>
    <row r="427" ht="22.5" customHeight="1">
      <c r="A427" s="25"/>
      <c r="B427" s="23"/>
      <c r="C427" s="26"/>
      <c r="D427" s="24"/>
      <c r="E427" s="24"/>
      <c r="F427" s="26"/>
      <c r="G427" s="30"/>
      <c r="H427" s="30">
        <f t="shared" si="7"/>
        <v>0</v>
      </c>
      <c r="I427" s="24" t="str">
        <f t="shared" si="3"/>
        <v/>
      </c>
      <c r="J427" s="80"/>
      <c r="K427" s="26"/>
      <c r="L427" s="30"/>
    </row>
    <row r="428" ht="22.5" customHeight="1">
      <c r="A428" s="25"/>
      <c r="B428" s="23"/>
      <c r="C428" s="26"/>
      <c r="D428" s="24"/>
      <c r="E428" s="24"/>
      <c r="F428" s="26"/>
      <c r="G428" s="30"/>
      <c r="H428" s="30">
        <f t="shared" si="7"/>
        <v>0</v>
      </c>
      <c r="I428" s="24" t="str">
        <f t="shared" si="3"/>
        <v/>
      </c>
      <c r="J428" s="80"/>
      <c r="K428" s="26"/>
      <c r="L428" s="30"/>
    </row>
    <row r="429" ht="22.5" customHeight="1">
      <c r="A429" s="25"/>
      <c r="B429" s="23"/>
      <c r="C429" s="26"/>
      <c r="D429" s="24"/>
      <c r="E429" s="24"/>
      <c r="F429" s="26"/>
      <c r="G429" s="30"/>
      <c r="H429" s="30">
        <f t="shared" si="7"/>
        <v>0</v>
      </c>
      <c r="I429" s="24" t="str">
        <f t="shared" si="3"/>
        <v/>
      </c>
      <c r="J429" s="80"/>
      <c r="K429" s="26"/>
      <c r="L429" s="30"/>
    </row>
    <row r="430" ht="22.5" customHeight="1">
      <c r="A430" s="25"/>
      <c r="B430" s="23"/>
      <c r="C430" s="26"/>
      <c r="D430" s="24"/>
      <c r="E430" s="24"/>
      <c r="F430" s="26"/>
      <c r="G430" s="30"/>
      <c r="H430" s="30">
        <f t="shared" si="7"/>
        <v>0</v>
      </c>
      <c r="I430" s="24" t="str">
        <f t="shared" si="3"/>
        <v/>
      </c>
      <c r="J430" s="80"/>
      <c r="K430" s="26"/>
      <c r="L430" s="30"/>
    </row>
    <row r="431" ht="22.5" customHeight="1">
      <c r="A431" s="25"/>
      <c r="B431" s="23"/>
      <c r="C431" s="26"/>
      <c r="D431" s="24"/>
      <c r="E431" s="24"/>
      <c r="F431" s="26"/>
      <c r="G431" s="30"/>
      <c r="H431" s="30">
        <f t="shared" si="7"/>
        <v>0</v>
      </c>
      <c r="I431" s="24" t="str">
        <f t="shared" si="3"/>
        <v/>
      </c>
      <c r="J431" s="80"/>
      <c r="K431" s="26"/>
      <c r="L431" s="30"/>
    </row>
    <row r="432" ht="22.5" customHeight="1">
      <c r="A432" s="25"/>
      <c r="B432" s="23"/>
      <c r="C432" s="26"/>
      <c r="D432" s="24"/>
      <c r="E432" s="24"/>
      <c r="F432" s="26"/>
      <c r="G432" s="30"/>
      <c r="H432" s="30">
        <f t="shared" si="7"/>
        <v>0</v>
      </c>
      <c r="I432" s="24" t="str">
        <f t="shared" si="3"/>
        <v/>
      </c>
      <c r="J432" s="80"/>
      <c r="K432" s="26"/>
      <c r="L432" s="30"/>
    </row>
    <row r="433" ht="22.5" customHeight="1">
      <c r="A433" s="25"/>
      <c r="B433" s="23"/>
      <c r="C433" s="26"/>
      <c r="D433" s="24"/>
      <c r="E433" s="24"/>
      <c r="F433" s="26"/>
      <c r="G433" s="30"/>
      <c r="H433" s="30">
        <f t="shared" si="7"/>
        <v>0</v>
      </c>
      <c r="I433" s="24" t="str">
        <f t="shared" si="3"/>
        <v/>
      </c>
      <c r="J433" s="80"/>
      <c r="K433" s="26"/>
      <c r="L433" s="30"/>
    </row>
    <row r="434" ht="22.5" customHeight="1">
      <c r="A434" s="25"/>
      <c r="B434" s="23"/>
      <c r="C434" s="26"/>
      <c r="D434" s="24"/>
      <c r="E434" s="24"/>
      <c r="F434" s="26"/>
      <c r="G434" s="30"/>
      <c r="H434" s="30">
        <f t="shared" si="7"/>
        <v>0</v>
      </c>
      <c r="I434" s="24" t="str">
        <f t="shared" si="3"/>
        <v/>
      </c>
      <c r="J434" s="80"/>
      <c r="K434" s="26"/>
      <c r="L434" s="30"/>
    </row>
    <row r="435" ht="22.5" customHeight="1">
      <c r="A435" s="25"/>
      <c r="B435" s="23"/>
      <c r="C435" s="26"/>
      <c r="D435" s="24"/>
      <c r="E435" s="24"/>
      <c r="F435" s="26"/>
      <c r="G435" s="30"/>
      <c r="H435" s="30">
        <f t="shared" si="7"/>
        <v>0</v>
      </c>
      <c r="I435" s="24" t="str">
        <f t="shared" si="3"/>
        <v/>
      </c>
      <c r="J435" s="80"/>
      <c r="K435" s="26"/>
      <c r="L435" s="30"/>
    </row>
    <row r="436" ht="22.5" customHeight="1">
      <c r="A436" s="25"/>
      <c r="B436" s="23"/>
      <c r="C436" s="26"/>
      <c r="D436" s="24"/>
      <c r="E436" s="24"/>
      <c r="F436" s="26"/>
      <c r="G436" s="30"/>
      <c r="H436" s="30">
        <f t="shared" si="7"/>
        <v>0</v>
      </c>
      <c r="I436" s="24" t="str">
        <f t="shared" si="3"/>
        <v/>
      </c>
      <c r="J436" s="80"/>
      <c r="K436" s="26"/>
      <c r="L436" s="30"/>
    </row>
    <row r="437" ht="22.5" customHeight="1">
      <c r="A437" s="25"/>
      <c r="B437" s="23"/>
      <c r="C437" s="26"/>
      <c r="D437" s="24"/>
      <c r="E437" s="24"/>
      <c r="F437" s="26"/>
      <c r="G437" s="30"/>
      <c r="H437" s="30">
        <f t="shared" si="7"/>
        <v>0</v>
      </c>
      <c r="I437" s="24" t="str">
        <f t="shared" si="3"/>
        <v/>
      </c>
      <c r="J437" s="80"/>
      <c r="K437" s="26"/>
      <c r="L437" s="30"/>
    </row>
    <row r="438" ht="22.5" customHeight="1">
      <c r="A438" s="25"/>
      <c r="B438" s="23"/>
      <c r="C438" s="26"/>
      <c r="D438" s="24"/>
      <c r="E438" s="24"/>
      <c r="F438" s="26"/>
      <c r="G438" s="30"/>
      <c r="H438" s="30">
        <f t="shared" si="7"/>
        <v>0</v>
      </c>
      <c r="I438" s="24" t="str">
        <f t="shared" si="3"/>
        <v/>
      </c>
      <c r="J438" s="80"/>
      <c r="K438" s="26"/>
      <c r="L438" s="30"/>
    </row>
    <row r="439" ht="22.5" customHeight="1">
      <c r="A439" s="25"/>
      <c r="B439" s="23"/>
      <c r="C439" s="26"/>
      <c r="D439" s="24"/>
      <c r="E439" s="24"/>
      <c r="F439" s="26"/>
      <c r="G439" s="30"/>
      <c r="H439" s="30">
        <f t="shared" si="7"/>
        <v>0</v>
      </c>
      <c r="I439" s="24" t="str">
        <f t="shared" si="3"/>
        <v/>
      </c>
      <c r="J439" s="80"/>
      <c r="K439" s="26"/>
      <c r="L439" s="30"/>
    </row>
    <row r="440" ht="22.5" customHeight="1">
      <c r="A440" s="25"/>
      <c r="B440" s="23"/>
      <c r="C440" s="26"/>
      <c r="D440" s="24"/>
      <c r="E440" s="24"/>
      <c r="F440" s="26"/>
      <c r="G440" s="30"/>
      <c r="H440" s="30">
        <f t="shared" si="7"/>
        <v>0</v>
      </c>
      <c r="I440" s="24" t="str">
        <f t="shared" si="3"/>
        <v/>
      </c>
      <c r="J440" s="80"/>
      <c r="K440" s="26"/>
      <c r="L440" s="30"/>
    </row>
    <row r="441" ht="22.5" customHeight="1">
      <c r="A441" s="25"/>
      <c r="B441" s="23"/>
      <c r="C441" s="26"/>
      <c r="D441" s="24"/>
      <c r="E441" s="24"/>
      <c r="F441" s="26"/>
      <c r="G441" s="30"/>
      <c r="H441" s="30">
        <f t="shared" si="7"/>
        <v>0</v>
      </c>
      <c r="I441" s="24" t="str">
        <f t="shared" si="3"/>
        <v/>
      </c>
      <c r="J441" s="80"/>
      <c r="K441" s="26"/>
      <c r="L441" s="30"/>
    </row>
    <row r="442" ht="22.5" customHeight="1">
      <c r="A442" s="25"/>
      <c r="B442" s="23"/>
      <c r="C442" s="26"/>
      <c r="D442" s="24"/>
      <c r="E442" s="24"/>
      <c r="F442" s="26"/>
      <c r="G442" s="30"/>
      <c r="H442" s="30">
        <f t="shared" si="7"/>
        <v>0</v>
      </c>
      <c r="I442" s="24" t="str">
        <f t="shared" si="3"/>
        <v/>
      </c>
      <c r="J442" s="80"/>
      <c r="K442" s="26"/>
      <c r="L442" s="30"/>
    </row>
    <row r="443" ht="22.5" customHeight="1">
      <c r="A443" s="25"/>
      <c r="B443" s="23"/>
      <c r="C443" s="26"/>
      <c r="D443" s="24"/>
      <c r="E443" s="24"/>
      <c r="F443" s="26"/>
      <c r="G443" s="30"/>
      <c r="H443" s="30">
        <f t="shared" si="7"/>
        <v>0</v>
      </c>
      <c r="I443" s="24" t="str">
        <f t="shared" si="3"/>
        <v/>
      </c>
      <c r="J443" s="80"/>
      <c r="K443" s="26"/>
      <c r="L443" s="30"/>
    </row>
    <row r="444" ht="22.5" customHeight="1">
      <c r="A444" s="25"/>
      <c r="B444" s="23"/>
      <c r="C444" s="26"/>
      <c r="D444" s="24"/>
      <c r="E444" s="24"/>
      <c r="F444" s="26"/>
      <c r="G444" s="30"/>
      <c r="H444" s="30">
        <f t="shared" si="7"/>
        <v>0</v>
      </c>
      <c r="I444" s="24" t="str">
        <f t="shared" si="3"/>
        <v/>
      </c>
      <c r="J444" s="80"/>
      <c r="K444" s="26"/>
      <c r="L444" s="30"/>
    </row>
    <row r="445" ht="22.5" customHeight="1">
      <c r="A445" s="25"/>
      <c r="B445" s="23"/>
      <c r="C445" s="26"/>
      <c r="D445" s="24"/>
      <c r="E445" s="24"/>
      <c r="F445" s="26"/>
      <c r="G445" s="30"/>
      <c r="H445" s="30">
        <f t="shared" si="7"/>
        <v>0</v>
      </c>
      <c r="I445" s="24" t="str">
        <f t="shared" si="3"/>
        <v/>
      </c>
      <c r="J445" s="80"/>
      <c r="K445" s="26"/>
      <c r="L445" s="30"/>
    </row>
    <row r="446" ht="22.5" customHeight="1">
      <c r="A446" s="25"/>
      <c r="B446" s="23"/>
      <c r="C446" s="26"/>
      <c r="D446" s="24"/>
      <c r="E446" s="24"/>
      <c r="F446" s="26"/>
      <c r="G446" s="30"/>
      <c r="H446" s="30">
        <f t="shared" si="7"/>
        <v>0</v>
      </c>
      <c r="I446" s="24" t="str">
        <f t="shared" si="3"/>
        <v/>
      </c>
      <c r="J446" s="80"/>
      <c r="K446" s="26"/>
      <c r="L446" s="30"/>
    </row>
    <row r="447" ht="22.5" customHeight="1">
      <c r="A447" s="25"/>
      <c r="B447" s="23"/>
      <c r="C447" s="26"/>
      <c r="D447" s="24"/>
      <c r="E447" s="24"/>
      <c r="F447" s="26"/>
      <c r="G447" s="30"/>
      <c r="H447" s="30">
        <f t="shared" si="7"/>
        <v>0</v>
      </c>
      <c r="I447" s="24" t="str">
        <f t="shared" si="3"/>
        <v/>
      </c>
      <c r="J447" s="80"/>
      <c r="K447" s="26"/>
      <c r="L447" s="30"/>
    </row>
    <row r="448" ht="22.5" customHeight="1">
      <c r="A448" s="25"/>
      <c r="B448" s="23"/>
      <c r="C448" s="26"/>
      <c r="D448" s="24"/>
      <c r="E448" s="24"/>
      <c r="F448" s="26"/>
      <c r="G448" s="30"/>
      <c r="H448" s="30">
        <f t="shared" si="7"/>
        <v>0</v>
      </c>
      <c r="I448" s="24" t="str">
        <f t="shared" si="3"/>
        <v/>
      </c>
      <c r="J448" s="80"/>
      <c r="K448" s="26"/>
      <c r="L448" s="30"/>
    </row>
    <row r="449" ht="22.5" customHeight="1">
      <c r="A449" s="25"/>
      <c r="B449" s="23"/>
      <c r="C449" s="26"/>
      <c r="D449" s="24"/>
      <c r="E449" s="24"/>
      <c r="F449" s="26"/>
      <c r="G449" s="30"/>
      <c r="H449" s="30">
        <f t="shared" si="7"/>
        <v>0</v>
      </c>
      <c r="I449" s="24" t="str">
        <f t="shared" si="3"/>
        <v/>
      </c>
      <c r="J449" s="80"/>
      <c r="K449" s="26"/>
      <c r="L449" s="30"/>
    </row>
    <row r="450" ht="22.5" customHeight="1">
      <c r="A450" s="25"/>
      <c r="B450" s="23"/>
      <c r="C450" s="26"/>
      <c r="D450" s="24"/>
      <c r="E450" s="24"/>
      <c r="F450" s="26"/>
      <c r="G450" s="30"/>
      <c r="H450" s="30">
        <f t="shared" si="7"/>
        <v>0</v>
      </c>
      <c r="I450" s="24" t="str">
        <f t="shared" si="3"/>
        <v/>
      </c>
      <c r="J450" s="80"/>
      <c r="K450" s="26"/>
      <c r="L450" s="30"/>
    </row>
    <row r="451" ht="22.5" customHeight="1">
      <c r="A451" s="25"/>
      <c r="B451" s="23"/>
      <c r="C451" s="26"/>
      <c r="D451" s="24"/>
      <c r="E451" s="24"/>
      <c r="F451" s="26"/>
      <c r="G451" s="30"/>
      <c r="H451" s="30">
        <f t="shared" si="7"/>
        <v>0</v>
      </c>
      <c r="I451" s="24" t="str">
        <f t="shared" si="3"/>
        <v/>
      </c>
      <c r="J451" s="80"/>
      <c r="K451" s="26"/>
      <c r="L451" s="30"/>
    </row>
    <row r="452" ht="22.5" customHeight="1">
      <c r="A452" s="25"/>
      <c r="B452" s="23"/>
      <c r="C452" s="26"/>
      <c r="D452" s="24"/>
      <c r="E452" s="24"/>
      <c r="F452" s="26"/>
      <c r="G452" s="30"/>
      <c r="H452" s="30">
        <f t="shared" si="7"/>
        <v>0</v>
      </c>
      <c r="I452" s="24" t="str">
        <f t="shared" si="3"/>
        <v/>
      </c>
      <c r="J452" s="80"/>
      <c r="K452" s="26"/>
      <c r="L452" s="30"/>
    </row>
    <row r="453" ht="22.5" customHeight="1">
      <c r="A453" s="25"/>
      <c r="B453" s="23"/>
      <c r="C453" s="26"/>
      <c r="D453" s="24"/>
      <c r="E453" s="24"/>
      <c r="F453" s="26"/>
      <c r="G453" s="30"/>
      <c r="H453" s="30">
        <f t="shared" si="7"/>
        <v>0</v>
      </c>
      <c r="I453" s="24" t="str">
        <f t="shared" si="3"/>
        <v/>
      </c>
      <c r="J453" s="80"/>
      <c r="K453" s="26"/>
      <c r="L453" s="30"/>
    </row>
    <row r="454" ht="22.5" customHeight="1">
      <c r="A454" s="25"/>
      <c r="B454" s="23"/>
      <c r="C454" s="26"/>
      <c r="D454" s="24"/>
      <c r="E454" s="24"/>
      <c r="F454" s="26"/>
      <c r="G454" s="30"/>
      <c r="H454" s="30">
        <f t="shared" si="7"/>
        <v>0</v>
      </c>
      <c r="I454" s="24" t="str">
        <f t="shared" si="3"/>
        <v/>
      </c>
      <c r="J454" s="80"/>
      <c r="K454" s="26"/>
      <c r="L454" s="30"/>
    </row>
    <row r="455" ht="22.5" customHeight="1">
      <c r="A455" s="25"/>
      <c r="B455" s="23"/>
      <c r="C455" s="26"/>
      <c r="D455" s="24"/>
      <c r="E455" s="24"/>
      <c r="F455" s="26"/>
      <c r="G455" s="30"/>
      <c r="H455" s="30">
        <f t="shared" si="7"/>
        <v>0</v>
      </c>
      <c r="I455" s="24" t="str">
        <f t="shared" si="3"/>
        <v/>
      </c>
      <c r="J455" s="80"/>
      <c r="K455" s="26"/>
      <c r="L455" s="30"/>
    </row>
    <row r="456" ht="22.5" customHeight="1">
      <c r="A456" s="25"/>
      <c r="B456" s="23"/>
      <c r="C456" s="26"/>
      <c r="D456" s="24"/>
      <c r="E456" s="24"/>
      <c r="F456" s="26"/>
      <c r="G456" s="30"/>
      <c r="H456" s="30">
        <f t="shared" si="7"/>
        <v>0</v>
      </c>
      <c r="I456" s="24" t="str">
        <f t="shared" si="3"/>
        <v/>
      </c>
      <c r="J456" s="80"/>
      <c r="K456" s="26"/>
      <c r="L456" s="30"/>
    </row>
    <row r="457" ht="22.5" customHeight="1">
      <c r="A457" s="25"/>
      <c r="B457" s="23"/>
      <c r="C457" s="26"/>
      <c r="D457" s="24"/>
      <c r="E457" s="24"/>
      <c r="F457" s="26"/>
      <c r="G457" s="30"/>
      <c r="H457" s="30">
        <f t="shared" si="7"/>
        <v>0</v>
      </c>
      <c r="I457" s="24" t="str">
        <f t="shared" si="3"/>
        <v/>
      </c>
      <c r="J457" s="80"/>
      <c r="K457" s="26"/>
      <c r="L457" s="30"/>
    </row>
    <row r="458" ht="22.5" customHeight="1">
      <c r="A458" s="25"/>
      <c r="B458" s="23"/>
      <c r="C458" s="26"/>
      <c r="D458" s="24"/>
      <c r="E458" s="24"/>
      <c r="F458" s="26"/>
      <c r="G458" s="30"/>
      <c r="H458" s="30">
        <f t="shared" si="7"/>
        <v>0</v>
      </c>
      <c r="I458" s="24" t="str">
        <f t="shared" si="3"/>
        <v/>
      </c>
      <c r="J458" s="80"/>
      <c r="K458" s="26"/>
      <c r="L458" s="30"/>
    </row>
    <row r="459" ht="22.5" customHeight="1">
      <c r="A459" s="25"/>
      <c r="B459" s="23"/>
      <c r="C459" s="26"/>
      <c r="D459" s="24"/>
      <c r="E459" s="24"/>
      <c r="F459" s="26"/>
      <c r="G459" s="30"/>
      <c r="H459" s="30">
        <f t="shared" si="7"/>
        <v>0</v>
      </c>
      <c r="I459" s="24" t="str">
        <f t="shared" si="3"/>
        <v/>
      </c>
      <c r="J459" s="80"/>
      <c r="K459" s="26"/>
      <c r="L459" s="30"/>
    </row>
    <row r="460" ht="22.5" customHeight="1">
      <c r="A460" s="25"/>
      <c r="B460" s="23"/>
      <c r="C460" s="26"/>
      <c r="D460" s="24"/>
      <c r="E460" s="24"/>
      <c r="F460" s="26"/>
      <c r="G460" s="30"/>
      <c r="H460" s="30">
        <f t="shared" si="7"/>
        <v>0</v>
      </c>
      <c r="I460" s="24" t="str">
        <f t="shared" si="3"/>
        <v/>
      </c>
      <c r="J460" s="80"/>
      <c r="K460" s="26"/>
      <c r="L460" s="30"/>
    </row>
    <row r="461" ht="22.5" customHeight="1">
      <c r="A461" s="25"/>
      <c r="B461" s="23"/>
      <c r="C461" s="26"/>
      <c r="D461" s="24"/>
      <c r="E461" s="24"/>
      <c r="F461" s="26"/>
      <c r="G461" s="30"/>
      <c r="H461" s="30">
        <f t="shared" si="7"/>
        <v>0</v>
      </c>
      <c r="I461" s="24" t="str">
        <f t="shared" si="3"/>
        <v/>
      </c>
      <c r="J461" s="80"/>
      <c r="K461" s="26"/>
      <c r="L461" s="30"/>
    </row>
    <row r="462" ht="22.5" customHeight="1">
      <c r="A462" s="25"/>
      <c r="B462" s="23"/>
      <c r="C462" s="26"/>
      <c r="D462" s="24"/>
      <c r="E462" s="24"/>
      <c r="F462" s="26"/>
      <c r="G462" s="30"/>
      <c r="H462" s="30">
        <f t="shared" si="7"/>
        <v>0</v>
      </c>
      <c r="I462" s="24" t="str">
        <f t="shared" si="3"/>
        <v/>
      </c>
      <c r="J462" s="80"/>
      <c r="K462" s="26"/>
      <c r="L462" s="30"/>
    </row>
    <row r="463" ht="22.5" customHeight="1">
      <c r="A463" s="25"/>
      <c r="B463" s="23"/>
      <c r="C463" s="26"/>
      <c r="D463" s="24"/>
      <c r="E463" s="24"/>
      <c r="F463" s="26"/>
      <c r="G463" s="30"/>
      <c r="H463" s="30">
        <f t="shared" si="7"/>
        <v>0</v>
      </c>
      <c r="I463" s="24" t="str">
        <f t="shared" si="3"/>
        <v/>
      </c>
      <c r="J463" s="80"/>
      <c r="K463" s="26"/>
      <c r="L463" s="30"/>
    </row>
    <row r="464" ht="22.5" customHeight="1">
      <c r="A464" s="25"/>
      <c r="B464" s="23"/>
      <c r="C464" s="26"/>
      <c r="D464" s="24"/>
      <c r="E464" s="24"/>
      <c r="F464" s="26"/>
      <c r="G464" s="30"/>
      <c r="H464" s="30">
        <f t="shared" si="7"/>
        <v>0</v>
      </c>
      <c r="I464" s="24" t="str">
        <f t="shared" si="3"/>
        <v/>
      </c>
      <c r="J464" s="80"/>
      <c r="K464" s="26"/>
      <c r="L464" s="30"/>
    </row>
    <row r="465" ht="22.5" customHeight="1">
      <c r="A465" s="25"/>
      <c r="B465" s="23"/>
      <c r="C465" s="26"/>
      <c r="D465" s="24"/>
      <c r="E465" s="24"/>
      <c r="F465" s="26"/>
      <c r="G465" s="30"/>
      <c r="H465" s="30">
        <f t="shared" si="7"/>
        <v>0</v>
      </c>
      <c r="I465" s="24" t="str">
        <f t="shared" si="3"/>
        <v/>
      </c>
      <c r="J465" s="80"/>
      <c r="K465" s="26"/>
      <c r="L465" s="30"/>
    </row>
    <row r="466" ht="22.5" customHeight="1">
      <c r="A466" s="25"/>
      <c r="B466" s="23"/>
      <c r="C466" s="26"/>
      <c r="D466" s="24"/>
      <c r="E466" s="24"/>
      <c r="F466" s="26"/>
      <c r="G466" s="30"/>
      <c r="H466" s="30">
        <f t="shared" si="7"/>
        <v>0</v>
      </c>
      <c r="I466" s="24" t="str">
        <f t="shared" si="3"/>
        <v/>
      </c>
      <c r="J466" s="80"/>
      <c r="K466" s="26"/>
      <c r="L466" s="30"/>
    </row>
    <row r="467" ht="22.5" customHeight="1">
      <c r="A467" s="25"/>
      <c r="B467" s="23"/>
      <c r="C467" s="26"/>
      <c r="D467" s="24"/>
      <c r="E467" s="24"/>
      <c r="F467" s="26"/>
      <c r="G467" s="30"/>
      <c r="H467" s="30">
        <f t="shared" si="7"/>
        <v>0</v>
      </c>
      <c r="I467" s="24" t="str">
        <f t="shared" si="3"/>
        <v/>
      </c>
      <c r="J467" s="80"/>
      <c r="K467" s="26"/>
      <c r="L467" s="30"/>
    </row>
    <row r="468" ht="22.5" customHeight="1">
      <c r="A468" s="25"/>
      <c r="B468" s="23"/>
      <c r="C468" s="26"/>
      <c r="D468" s="24"/>
      <c r="E468" s="24"/>
      <c r="F468" s="26"/>
      <c r="G468" s="30"/>
      <c r="H468" s="30">
        <f t="shared" si="7"/>
        <v>0</v>
      </c>
      <c r="I468" s="24" t="str">
        <f t="shared" si="3"/>
        <v/>
      </c>
      <c r="J468" s="80"/>
      <c r="K468" s="26"/>
      <c r="L468" s="30"/>
    </row>
    <row r="469" ht="22.5" customHeight="1">
      <c r="A469" s="25"/>
      <c r="B469" s="23"/>
      <c r="C469" s="26"/>
      <c r="D469" s="24"/>
      <c r="E469" s="24"/>
      <c r="F469" s="26"/>
      <c r="G469" s="30"/>
      <c r="H469" s="30">
        <f t="shared" si="7"/>
        <v>0</v>
      </c>
      <c r="I469" s="24" t="str">
        <f t="shared" si="3"/>
        <v/>
      </c>
      <c r="J469" s="80"/>
      <c r="K469" s="26"/>
      <c r="L469" s="30"/>
    </row>
    <row r="470" ht="22.5" customHeight="1">
      <c r="A470" s="25"/>
      <c r="B470" s="23"/>
      <c r="C470" s="26"/>
      <c r="D470" s="24"/>
      <c r="E470" s="24"/>
      <c r="F470" s="26"/>
      <c r="G470" s="30"/>
      <c r="H470" s="30">
        <f t="shared" si="7"/>
        <v>0</v>
      </c>
      <c r="I470" s="24" t="str">
        <f t="shared" si="3"/>
        <v/>
      </c>
      <c r="J470" s="80"/>
      <c r="K470" s="26"/>
      <c r="L470" s="30"/>
    </row>
    <row r="471" ht="22.5" customHeight="1">
      <c r="A471" s="25"/>
      <c r="B471" s="23"/>
      <c r="C471" s="26"/>
      <c r="D471" s="24"/>
      <c r="E471" s="24"/>
      <c r="F471" s="26"/>
      <c r="G471" s="30"/>
      <c r="H471" s="30">
        <f t="shared" si="7"/>
        <v>0</v>
      </c>
      <c r="I471" s="24" t="str">
        <f t="shared" si="3"/>
        <v/>
      </c>
      <c r="J471" s="80"/>
      <c r="K471" s="26"/>
      <c r="L471" s="30"/>
    </row>
    <row r="472" ht="22.5" customHeight="1">
      <c r="A472" s="25"/>
      <c r="B472" s="23"/>
      <c r="C472" s="26"/>
      <c r="D472" s="24"/>
      <c r="E472" s="24"/>
      <c r="F472" s="26"/>
      <c r="G472" s="30"/>
      <c r="H472" s="30">
        <f t="shared" si="7"/>
        <v>0</v>
      </c>
      <c r="I472" s="24" t="str">
        <f t="shared" si="3"/>
        <v/>
      </c>
      <c r="J472" s="80"/>
      <c r="K472" s="26"/>
      <c r="L472" s="30"/>
    </row>
    <row r="473" ht="22.5" customHeight="1">
      <c r="A473" s="25"/>
      <c r="B473" s="23"/>
      <c r="C473" s="26"/>
      <c r="D473" s="24"/>
      <c r="E473" s="24"/>
      <c r="F473" s="26"/>
      <c r="G473" s="30"/>
      <c r="H473" s="30">
        <f t="shared" si="7"/>
        <v>0</v>
      </c>
      <c r="I473" s="24" t="str">
        <f t="shared" si="3"/>
        <v/>
      </c>
      <c r="J473" s="80"/>
      <c r="K473" s="26"/>
      <c r="L473" s="30"/>
    </row>
    <row r="474" ht="22.5" customHeight="1">
      <c r="A474" s="25"/>
      <c r="B474" s="23"/>
      <c r="C474" s="26"/>
      <c r="D474" s="24"/>
      <c r="E474" s="24"/>
      <c r="F474" s="26"/>
      <c r="G474" s="30"/>
      <c r="H474" s="30">
        <f t="shared" si="7"/>
        <v>0</v>
      </c>
      <c r="I474" s="24" t="str">
        <f t="shared" si="3"/>
        <v/>
      </c>
      <c r="J474" s="80"/>
      <c r="K474" s="26"/>
      <c r="L474" s="30"/>
    </row>
    <row r="475" ht="22.5" customHeight="1">
      <c r="A475" s="25"/>
      <c r="B475" s="23"/>
      <c r="C475" s="26"/>
      <c r="D475" s="24"/>
      <c r="E475" s="24"/>
      <c r="F475" s="26"/>
      <c r="G475" s="30"/>
      <c r="H475" s="30">
        <f t="shared" si="7"/>
        <v>0</v>
      </c>
      <c r="I475" s="24" t="str">
        <f t="shared" si="3"/>
        <v/>
      </c>
      <c r="J475" s="80"/>
      <c r="K475" s="26"/>
      <c r="L475" s="30"/>
    </row>
    <row r="476" ht="22.5" customHeight="1">
      <c r="A476" s="25"/>
      <c r="B476" s="23"/>
      <c r="C476" s="26"/>
      <c r="D476" s="24"/>
      <c r="E476" s="24"/>
      <c r="F476" s="26"/>
      <c r="G476" s="30"/>
      <c r="H476" s="30">
        <f t="shared" si="7"/>
        <v>0</v>
      </c>
      <c r="I476" s="24" t="str">
        <f t="shared" si="3"/>
        <v/>
      </c>
      <c r="J476" s="80"/>
      <c r="K476" s="26"/>
      <c r="L476" s="30"/>
    </row>
    <row r="477" ht="22.5" customHeight="1">
      <c r="A477" s="25"/>
      <c r="B477" s="23"/>
      <c r="C477" s="26"/>
      <c r="D477" s="24"/>
      <c r="E477" s="24"/>
      <c r="F477" s="26"/>
      <c r="G477" s="30"/>
      <c r="H477" s="30">
        <f t="shared" si="7"/>
        <v>0</v>
      </c>
      <c r="I477" s="24" t="str">
        <f t="shared" si="3"/>
        <v/>
      </c>
      <c r="J477" s="80"/>
      <c r="K477" s="26"/>
      <c r="L477" s="30"/>
    </row>
    <row r="478" ht="22.5" customHeight="1">
      <c r="A478" s="25"/>
      <c r="B478" s="23"/>
      <c r="C478" s="26"/>
      <c r="D478" s="24"/>
      <c r="E478" s="24"/>
      <c r="F478" s="26"/>
      <c r="G478" s="30"/>
      <c r="H478" s="30">
        <f t="shared" si="7"/>
        <v>0</v>
      </c>
      <c r="I478" s="24" t="str">
        <f t="shared" si="3"/>
        <v/>
      </c>
      <c r="J478" s="80"/>
      <c r="K478" s="26"/>
      <c r="L478" s="30"/>
    </row>
    <row r="479" ht="22.5" customHeight="1">
      <c r="A479" s="25"/>
      <c r="B479" s="23"/>
      <c r="C479" s="26"/>
      <c r="D479" s="24"/>
      <c r="E479" s="24"/>
      <c r="F479" s="26"/>
      <c r="G479" s="30"/>
      <c r="H479" s="30">
        <f t="shared" si="7"/>
        <v>0</v>
      </c>
      <c r="I479" s="24" t="str">
        <f t="shared" si="3"/>
        <v/>
      </c>
      <c r="J479" s="80"/>
      <c r="K479" s="26"/>
      <c r="L479" s="30"/>
    </row>
    <row r="480" ht="22.5" customHeight="1">
      <c r="A480" s="25"/>
      <c r="B480" s="23"/>
      <c r="C480" s="26"/>
      <c r="D480" s="24"/>
      <c r="E480" s="24"/>
      <c r="F480" s="26"/>
      <c r="G480" s="30"/>
      <c r="H480" s="30">
        <f t="shared" si="7"/>
        <v>0</v>
      </c>
      <c r="I480" s="24" t="str">
        <f t="shared" si="3"/>
        <v/>
      </c>
      <c r="J480" s="80"/>
      <c r="K480" s="26"/>
      <c r="L480" s="30"/>
    </row>
    <row r="481" ht="22.5" customHeight="1">
      <c r="A481" s="25"/>
      <c r="B481" s="23"/>
      <c r="C481" s="26"/>
      <c r="D481" s="24"/>
      <c r="E481" s="24"/>
      <c r="F481" s="26"/>
      <c r="G481" s="30"/>
      <c r="H481" s="30">
        <f t="shared" si="7"/>
        <v>0</v>
      </c>
      <c r="I481" s="24" t="str">
        <f t="shared" si="3"/>
        <v/>
      </c>
      <c r="J481" s="80"/>
      <c r="K481" s="26"/>
      <c r="L481" s="30"/>
    </row>
    <row r="482" ht="22.5" customHeight="1">
      <c r="A482" s="25"/>
      <c r="B482" s="23"/>
      <c r="C482" s="26"/>
      <c r="D482" s="24"/>
      <c r="E482" s="24"/>
      <c r="F482" s="26"/>
      <c r="G482" s="30"/>
      <c r="H482" s="30">
        <f t="shared" si="7"/>
        <v>0</v>
      </c>
      <c r="I482" s="24" t="str">
        <f t="shared" si="3"/>
        <v/>
      </c>
      <c r="J482" s="80"/>
      <c r="K482" s="26"/>
      <c r="L482" s="30"/>
    </row>
    <row r="483" ht="22.5" customHeight="1">
      <c r="A483" s="25"/>
      <c r="B483" s="23"/>
      <c r="C483" s="26"/>
      <c r="D483" s="24"/>
      <c r="E483" s="24"/>
      <c r="F483" s="26"/>
      <c r="G483" s="30"/>
      <c r="H483" s="30">
        <f t="shared" si="7"/>
        <v>0</v>
      </c>
      <c r="I483" s="24" t="str">
        <f t="shared" si="3"/>
        <v/>
      </c>
      <c r="J483" s="80"/>
      <c r="K483" s="26"/>
      <c r="L483" s="30"/>
    </row>
    <row r="484" ht="22.5" customHeight="1">
      <c r="A484" s="25"/>
      <c r="B484" s="23"/>
      <c r="C484" s="26"/>
      <c r="D484" s="24"/>
      <c r="E484" s="24"/>
      <c r="F484" s="26"/>
      <c r="G484" s="30"/>
      <c r="H484" s="30">
        <f t="shared" si="7"/>
        <v>0</v>
      </c>
      <c r="I484" s="24" t="str">
        <f t="shared" si="3"/>
        <v/>
      </c>
      <c r="J484" s="80"/>
      <c r="K484" s="26"/>
      <c r="L484" s="30"/>
    </row>
    <row r="485" ht="22.5" customHeight="1">
      <c r="A485" s="25"/>
      <c r="B485" s="23"/>
      <c r="C485" s="26"/>
      <c r="D485" s="24"/>
      <c r="E485" s="24"/>
      <c r="F485" s="26"/>
      <c r="G485" s="30"/>
      <c r="H485" s="30">
        <f t="shared" si="7"/>
        <v>0</v>
      </c>
      <c r="I485" s="24" t="str">
        <f t="shared" si="3"/>
        <v/>
      </c>
      <c r="J485" s="80"/>
      <c r="K485" s="26"/>
      <c r="L485" s="30"/>
    </row>
    <row r="486" ht="22.5" customHeight="1">
      <c r="A486" s="25"/>
      <c r="B486" s="23"/>
      <c r="C486" s="26"/>
      <c r="D486" s="24"/>
      <c r="E486" s="24"/>
      <c r="F486" s="26"/>
      <c r="G486" s="30"/>
      <c r="H486" s="30">
        <f t="shared" si="7"/>
        <v>0</v>
      </c>
      <c r="I486" s="24" t="str">
        <f t="shared" si="3"/>
        <v/>
      </c>
      <c r="J486" s="80"/>
      <c r="K486" s="26"/>
      <c r="L486" s="30"/>
    </row>
    <row r="487" ht="22.5" customHeight="1">
      <c r="A487" s="25"/>
      <c r="B487" s="23"/>
      <c r="C487" s="26"/>
      <c r="D487" s="24"/>
      <c r="E487" s="24"/>
      <c r="F487" s="26"/>
      <c r="G487" s="30"/>
      <c r="H487" s="30">
        <f t="shared" si="7"/>
        <v>0</v>
      </c>
      <c r="I487" s="24" t="str">
        <f t="shared" si="3"/>
        <v/>
      </c>
      <c r="J487" s="80"/>
      <c r="K487" s="26"/>
      <c r="L487" s="30"/>
    </row>
    <row r="488" ht="22.5" customHeight="1">
      <c r="A488" s="25"/>
      <c r="B488" s="23"/>
      <c r="C488" s="26"/>
      <c r="D488" s="24"/>
      <c r="E488" s="24"/>
      <c r="F488" s="26"/>
      <c r="G488" s="30"/>
      <c r="H488" s="30">
        <f t="shared" si="7"/>
        <v>0</v>
      </c>
      <c r="I488" s="24" t="str">
        <f t="shared" si="3"/>
        <v/>
      </c>
      <c r="J488" s="80"/>
      <c r="K488" s="26"/>
      <c r="L488" s="30"/>
    </row>
    <row r="489" ht="22.5" customHeight="1">
      <c r="A489" s="25"/>
      <c r="B489" s="23"/>
      <c r="C489" s="26"/>
      <c r="D489" s="24"/>
      <c r="E489" s="24"/>
      <c r="F489" s="26"/>
      <c r="G489" s="30"/>
      <c r="H489" s="30">
        <f t="shared" si="7"/>
        <v>0</v>
      </c>
      <c r="I489" s="24" t="str">
        <f t="shared" si="3"/>
        <v/>
      </c>
      <c r="J489" s="80"/>
      <c r="K489" s="26"/>
      <c r="L489" s="30"/>
    </row>
    <row r="490" ht="22.5" customHeight="1">
      <c r="A490" s="25"/>
      <c r="B490" s="23"/>
      <c r="C490" s="26"/>
      <c r="D490" s="24"/>
      <c r="E490" s="24"/>
      <c r="F490" s="26"/>
      <c r="G490" s="30"/>
      <c r="H490" s="30">
        <f t="shared" si="7"/>
        <v>0</v>
      </c>
      <c r="I490" s="24" t="str">
        <f t="shared" si="3"/>
        <v/>
      </c>
      <c r="J490" s="80"/>
      <c r="K490" s="26"/>
      <c r="L490" s="30"/>
    </row>
    <row r="491" ht="22.5" customHeight="1">
      <c r="A491" s="25"/>
      <c r="B491" s="23"/>
      <c r="C491" s="26"/>
      <c r="D491" s="24"/>
      <c r="E491" s="24"/>
      <c r="F491" s="26"/>
      <c r="G491" s="30"/>
      <c r="H491" s="30">
        <f t="shared" si="7"/>
        <v>0</v>
      </c>
      <c r="I491" s="24" t="str">
        <f t="shared" si="3"/>
        <v/>
      </c>
      <c r="J491" s="80"/>
      <c r="K491" s="26"/>
      <c r="L491" s="30"/>
    </row>
    <row r="492" ht="22.5" customHeight="1">
      <c r="A492" s="25"/>
      <c r="B492" s="23"/>
      <c r="C492" s="26"/>
      <c r="D492" s="24"/>
      <c r="E492" s="24"/>
      <c r="F492" s="26"/>
      <c r="G492" s="30"/>
      <c r="H492" s="30">
        <f t="shared" si="7"/>
        <v>0</v>
      </c>
      <c r="I492" s="24" t="str">
        <f t="shared" si="3"/>
        <v/>
      </c>
      <c r="J492" s="80"/>
      <c r="K492" s="26"/>
      <c r="L492" s="30"/>
    </row>
    <row r="493" ht="22.5" customHeight="1">
      <c r="A493" s="25"/>
      <c r="B493" s="23"/>
      <c r="C493" s="26"/>
      <c r="D493" s="24"/>
      <c r="E493" s="24"/>
      <c r="F493" s="26"/>
      <c r="G493" s="30"/>
      <c r="H493" s="30">
        <f t="shared" si="7"/>
        <v>0</v>
      </c>
      <c r="I493" s="24" t="str">
        <f t="shared" si="3"/>
        <v/>
      </c>
      <c r="J493" s="80"/>
      <c r="K493" s="26"/>
      <c r="L493" s="30"/>
    </row>
    <row r="494" ht="22.5" customHeight="1">
      <c r="A494" s="25"/>
      <c r="B494" s="23"/>
      <c r="C494" s="26"/>
      <c r="D494" s="24"/>
      <c r="E494" s="24"/>
      <c r="F494" s="26"/>
      <c r="G494" s="30"/>
      <c r="H494" s="30">
        <f t="shared" si="7"/>
        <v>0</v>
      </c>
      <c r="I494" s="24" t="str">
        <f t="shared" si="3"/>
        <v/>
      </c>
      <c r="J494" s="80"/>
      <c r="K494" s="26"/>
      <c r="L494" s="30"/>
    </row>
    <row r="495" ht="22.5" customHeight="1">
      <c r="A495" s="25"/>
      <c r="B495" s="23"/>
      <c r="C495" s="26"/>
      <c r="D495" s="24"/>
      <c r="E495" s="24"/>
      <c r="F495" s="26"/>
      <c r="G495" s="30"/>
      <c r="H495" s="30">
        <f t="shared" si="7"/>
        <v>0</v>
      </c>
      <c r="I495" s="24" t="str">
        <f t="shared" si="3"/>
        <v/>
      </c>
      <c r="J495" s="80"/>
      <c r="K495" s="26"/>
      <c r="L495" s="30"/>
    </row>
    <row r="496" ht="22.5" customHeight="1">
      <c r="A496" s="25"/>
      <c r="B496" s="23"/>
      <c r="C496" s="26"/>
      <c r="D496" s="24"/>
      <c r="E496" s="24"/>
      <c r="F496" s="26"/>
      <c r="G496" s="30"/>
      <c r="H496" s="30">
        <f t="shared" si="7"/>
        <v>0</v>
      </c>
      <c r="I496" s="24" t="str">
        <f t="shared" si="3"/>
        <v/>
      </c>
      <c r="J496" s="80"/>
      <c r="K496" s="26"/>
      <c r="L496" s="30"/>
    </row>
    <row r="497" ht="22.5" customHeight="1">
      <c r="A497" s="25"/>
      <c r="B497" s="23"/>
      <c r="C497" s="26"/>
      <c r="D497" s="24"/>
      <c r="E497" s="24"/>
      <c r="F497" s="26"/>
      <c r="G497" s="30"/>
      <c r="H497" s="30">
        <f t="shared" si="7"/>
        <v>0</v>
      </c>
      <c r="I497" s="24" t="str">
        <f t="shared" si="3"/>
        <v/>
      </c>
      <c r="J497" s="80"/>
      <c r="K497" s="26"/>
      <c r="L497" s="30"/>
    </row>
    <row r="498" ht="22.5" customHeight="1">
      <c r="A498" s="25"/>
      <c r="B498" s="23"/>
      <c r="C498" s="26"/>
      <c r="D498" s="24"/>
      <c r="E498" s="24"/>
      <c r="F498" s="26"/>
      <c r="G498" s="30"/>
      <c r="H498" s="30">
        <f t="shared" si="7"/>
        <v>0</v>
      </c>
      <c r="I498" s="24" t="str">
        <f t="shared" si="3"/>
        <v/>
      </c>
      <c r="J498" s="80"/>
      <c r="K498" s="26"/>
      <c r="L498" s="30"/>
    </row>
    <row r="499" ht="22.5" customHeight="1">
      <c r="A499" s="25"/>
      <c r="B499" s="23"/>
      <c r="C499" s="26"/>
      <c r="D499" s="24"/>
      <c r="E499" s="24"/>
      <c r="F499" s="26"/>
      <c r="G499" s="30"/>
      <c r="H499" s="30">
        <f t="shared" si="7"/>
        <v>0</v>
      </c>
      <c r="I499" s="24" t="str">
        <f t="shared" si="3"/>
        <v/>
      </c>
      <c r="J499" s="80"/>
      <c r="K499" s="26"/>
      <c r="L499" s="30"/>
    </row>
    <row r="500" ht="22.5" customHeight="1">
      <c r="A500" s="25"/>
      <c r="B500" s="23"/>
      <c r="C500" s="26"/>
      <c r="D500" s="24"/>
      <c r="E500" s="24"/>
      <c r="F500" s="26"/>
      <c r="G500" s="30"/>
      <c r="H500" s="30">
        <f t="shared" si="7"/>
        <v>0</v>
      </c>
      <c r="I500" s="24" t="str">
        <f t="shared" si="3"/>
        <v/>
      </c>
      <c r="J500" s="80"/>
      <c r="K500" s="26"/>
      <c r="L500" s="30"/>
    </row>
    <row r="501" ht="22.5" customHeight="1">
      <c r="A501" s="25"/>
      <c r="B501" s="23"/>
      <c r="C501" s="26"/>
      <c r="D501" s="24"/>
      <c r="E501" s="24"/>
      <c r="F501" s="26"/>
      <c r="G501" s="30"/>
      <c r="H501" s="30">
        <f t="shared" si="7"/>
        <v>0</v>
      </c>
      <c r="I501" s="24" t="str">
        <f t="shared" si="3"/>
        <v/>
      </c>
      <c r="J501" s="80"/>
      <c r="K501" s="26"/>
      <c r="L501" s="30"/>
    </row>
    <row r="502" ht="22.5" customHeight="1">
      <c r="A502" s="25"/>
      <c r="B502" s="23"/>
      <c r="C502" s="26"/>
      <c r="D502" s="24"/>
      <c r="E502" s="24"/>
      <c r="F502" s="26"/>
      <c r="G502" s="30"/>
      <c r="H502" s="30">
        <f t="shared" si="7"/>
        <v>0</v>
      </c>
      <c r="I502" s="24" t="str">
        <f t="shared" si="3"/>
        <v/>
      </c>
      <c r="J502" s="80"/>
      <c r="K502" s="26"/>
      <c r="L502" s="30"/>
    </row>
    <row r="503" ht="22.5" customHeight="1">
      <c r="A503" s="25"/>
      <c r="B503" s="23"/>
      <c r="C503" s="26"/>
      <c r="D503" s="24"/>
      <c r="E503" s="24"/>
      <c r="F503" s="26"/>
      <c r="G503" s="30"/>
      <c r="H503" s="30">
        <f t="shared" si="7"/>
        <v>0</v>
      </c>
      <c r="I503" s="24" t="str">
        <f t="shared" si="3"/>
        <v/>
      </c>
      <c r="J503" s="80"/>
      <c r="K503" s="26"/>
      <c r="L503" s="30"/>
    </row>
    <row r="504" ht="22.5" customHeight="1">
      <c r="A504" s="25"/>
      <c r="B504" s="23"/>
      <c r="C504" s="26"/>
      <c r="D504" s="24"/>
      <c r="E504" s="24"/>
      <c r="F504" s="26"/>
      <c r="G504" s="30"/>
      <c r="H504" s="30">
        <f t="shared" si="7"/>
        <v>0</v>
      </c>
      <c r="I504" s="24" t="str">
        <f t="shared" si="3"/>
        <v/>
      </c>
      <c r="J504" s="80"/>
      <c r="K504" s="26"/>
      <c r="L504" s="30"/>
    </row>
    <row r="505" ht="22.5" customHeight="1">
      <c r="A505" s="25"/>
      <c r="B505" s="23"/>
      <c r="C505" s="26"/>
      <c r="D505" s="24"/>
      <c r="E505" s="24"/>
      <c r="F505" s="26"/>
      <c r="G505" s="30"/>
      <c r="H505" s="30">
        <f t="shared" si="7"/>
        <v>0</v>
      </c>
      <c r="I505" s="24" t="str">
        <f t="shared" si="3"/>
        <v/>
      </c>
      <c r="J505" s="80"/>
      <c r="K505" s="26"/>
      <c r="L505" s="30"/>
    </row>
    <row r="506" ht="22.5" customHeight="1">
      <c r="A506" s="25"/>
      <c r="B506" s="23"/>
      <c r="C506" s="26"/>
      <c r="D506" s="24"/>
      <c r="E506" s="24"/>
      <c r="F506" s="26"/>
      <c r="G506" s="30"/>
      <c r="H506" s="30">
        <f t="shared" si="7"/>
        <v>0</v>
      </c>
      <c r="I506" s="24" t="str">
        <f t="shared" si="3"/>
        <v/>
      </c>
      <c r="J506" s="80"/>
      <c r="K506" s="26"/>
      <c r="L506" s="30"/>
    </row>
    <row r="507" ht="22.5" customHeight="1">
      <c r="A507" s="25"/>
      <c r="B507" s="23"/>
      <c r="C507" s="26"/>
      <c r="D507" s="24"/>
      <c r="E507" s="24"/>
      <c r="F507" s="26"/>
      <c r="G507" s="30"/>
      <c r="H507" s="30">
        <f t="shared" si="7"/>
        <v>0</v>
      </c>
      <c r="I507" s="24" t="str">
        <f t="shared" si="3"/>
        <v/>
      </c>
      <c r="J507" s="80"/>
      <c r="K507" s="26"/>
      <c r="L507" s="30"/>
    </row>
    <row r="508" ht="22.5" customHeight="1">
      <c r="A508" s="25"/>
      <c r="B508" s="23"/>
      <c r="C508" s="26"/>
      <c r="D508" s="24"/>
      <c r="E508" s="24"/>
      <c r="F508" s="26"/>
      <c r="G508" s="30"/>
      <c r="H508" s="30">
        <f t="shared" si="7"/>
        <v>0</v>
      </c>
      <c r="I508" s="24" t="str">
        <f t="shared" si="3"/>
        <v/>
      </c>
      <c r="J508" s="80"/>
      <c r="K508" s="26"/>
      <c r="L508" s="30"/>
    </row>
    <row r="509" ht="22.5" customHeight="1">
      <c r="A509" s="25"/>
      <c r="B509" s="23"/>
      <c r="C509" s="26"/>
      <c r="D509" s="24"/>
      <c r="E509" s="24"/>
      <c r="F509" s="26"/>
      <c r="G509" s="30"/>
      <c r="H509" s="30">
        <f t="shared" si="7"/>
        <v>0</v>
      </c>
      <c r="I509" s="24" t="str">
        <f t="shared" si="3"/>
        <v/>
      </c>
      <c r="J509" s="80"/>
      <c r="K509" s="26"/>
      <c r="L509" s="30"/>
    </row>
    <row r="510" ht="22.5" customHeight="1">
      <c r="A510" s="25"/>
      <c r="B510" s="23"/>
      <c r="C510" s="26"/>
      <c r="D510" s="24"/>
      <c r="E510" s="24"/>
      <c r="F510" s="26"/>
      <c r="G510" s="30"/>
      <c r="H510" s="30">
        <f t="shared" si="7"/>
        <v>0</v>
      </c>
      <c r="I510" s="24" t="str">
        <f t="shared" si="3"/>
        <v/>
      </c>
      <c r="J510" s="80"/>
      <c r="K510" s="26"/>
      <c r="L510" s="30"/>
    </row>
    <row r="511" ht="22.5" customHeight="1">
      <c r="A511" s="25"/>
      <c r="B511" s="23"/>
      <c r="C511" s="26"/>
      <c r="D511" s="24"/>
      <c r="E511" s="24"/>
      <c r="F511" s="26"/>
      <c r="G511" s="30"/>
      <c r="H511" s="30">
        <f t="shared" si="7"/>
        <v>0</v>
      </c>
      <c r="I511" s="24" t="str">
        <f t="shared" si="3"/>
        <v/>
      </c>
      <c r="J511" s="80"/>
      <c r="K511" s="26"/>
      <c r="L511" s="30"/>
    </row>
    <row r="512" ht="22.5" customHeight="1">
      <c r="A512" s="25"/>
      <c r="B512" s="23"/>
      <c r="C512" s="26"/>
      <c r="D512" s="24"/>
      <c r="E512" s="24"/>
      <c r="F512" s="26"/>
      <c r="G512" s="30"/>
      <c r="H512" s="30">
        <f t="shared" si="7"/>
        <v>0</v>
      </c>
      <c r="I512" s="24" t="str">
        <f t="shared" si="3"/>
        <v/>
      </c>
      <c r="J512" s="80"/>
      <c r="K512" s="26"/>
      <c r="L512" s="30"/>
    </row>
    <row r="513" ht="22.5" customHeight="1">
      <c r="A513" s="25"/>
      <c r="B513" s="23"/>
      <c r="C513" s="26"/>
      <c r="D513" s="24"/>
      <c r="E513" s="24"/>
      <c r="F513" s="26"/>
      <c r="G513" s="30"/>
      <c r="H513" s="30">
        <f t="shared" si="7"/>
        <v>0</v>
      </c>
      <c r="I513" s="24" t="str">
        <f t="shared" si="3"/>
        <v/>
      </c>
      <c r="J513" s="80"/>
      <c r="K513" s="26"/>
      <c r="L513" s="30"/>
    </row>
    <row r="514" ht="22.5" customHeight="1">
      <c r="A514" s="25"/>
      <c r="B514" s="23"/>
      <c r="C514" s="26"/>
      <c r="D514" s="24"/>
      <c r="E514" s="24"/>
      <c r="F514" s="26"/>
      <c r="G514" s="30"/>
      <c r="H514" s="30">
        <f t="shared" si="7"/>
        <v>0</v>
      </c>
      <c r="I514" s="24" t="str">
        <f t="shared" si="3"/>
        <v/>
      </c>
      <c r="J514" s="80"/>
      <c r="K514" s="26"/>
      <c r="L514" s="30"/>
    </row>
    <row r="515" ht="22.5" customHeight="1">
      <c r="A515" s="25"/>
      <c r="B515" s="23"/>
      <c r="C515" s="26"/>
      <c r="D515" s="24"/>
      <c r="E515" s="24"/>
      <c r="F515" s="26"/>
      <c r="G515" s="30"/>
      <c r="H515" s="30">
        <f t="shared" si="7"/>
        <v>0</v>
      </c>
      <c r="I515" s="24" t="str">
        <f t="shared" si="3"/>
        <v/>
      </c>
      <c r="J515" s="80"/>
      <c r="K515" s="26"/>
      <c r="L515" s="30"/>
    </row>
    <row r="516" ht="22.5" customHeight="1">
      <c r="A516" s="25"/>
      <c r="B516" s="23"/>
      <c r="C516" s="26"/>
      <c r="D516" s="24"/>
      <c r="E516" s="24"/>
      <c r="F516" s="26"/>
      <c r="G516" s="30"/>
      <c r="H516" s="30">
        <f t="shared" si="7"/>
        <v>0</v>
      </c>
      <c r="I516" s="24" t="str">
        <f t="shared" si="3"/>
        <v/>
      </c>
      <c r="J516" s="80"/>
      <c r="K516" s="26"/>
      <c r="L516" s="30"/>
    </row>
    <row r="517" ht="22.5" customHeight="1">
      <c r="A517" s="25"/>
      <c r="B517" s="23"/>
      <c r="C517" s="26"/>
      <c r="D517" s="24"/>
      <c r="E517" s="24"/>
      <c r="F517" s="26"/>
      <c r="G517" s="30"/>
      <c r="H517" s="30">
        <f t="shared" si="7"/>
        <v>0</v>
      </c>
      <c r="I517" s="24" t="str">
        <f t="shared" si="3"/>
        <v/>
      </c>
      <c r="J517" s="80"/>
      <c r="K517" s="26"/>
      <c r="L517" s="30"/>
    </row>
    <row r="518" ht="22.5" customHeight="1">
      <c r="A518" s="25"/>
      <c r="B518" s="23"/>
      <c r="C518" s="26"/>
      <c r="D518" s="24"/>
      <c r="E518" s="24"/>
      <c r="F518" s="26"/>
      <c r="G518" s="30"/>
      <c r="H518" s="30">
        <f t="shared" si="7"/>
        <v>0</v>
      </c>
      <c r="I518" s="24" t="str">
        <f t="shared" si="3"/>
        <v/>
      </c>
      <c r="J518" s="80"/>
      <c r="K518" s="26"/>
      <c r="L518" s="30"/>
    </row>
    <row r="519" ht="22.5" customHeight="1">
      <c r="A519" s="25"/>
      <c r="B519" s="23"/>
      <c r="C519" s="26"/>
      <c r="D519" s="24"/>
      <c r="E519" s="24"/>
      <c r="F519" s="26"/>
      <c r="G519" s="30"/>
      <c r="H519" s="30">
        <f t="shared" si="7"/>
        <v>0</v>
      </c>
      <c r="I519" s="24" t="str">
        <f t="shared" si="3"/>
        <v/>
      </c>
      <c r="J519" s="80"/>
      <c r="K519" s="26"/>
      <c r="L519" s="30"/>
    </row>
    <row r="520" ht="22.5" customHeight="1">
      <c r="A520" s="25"/>
      <c r="B520" s="23"/>
      <c r="C520" s="26"/>
      <c r="D520" s="24"/>
      <c r="E520" s="24"/>
      <c r="F520" s="26"/>
      <c r="G520" s="30"/>
      <c r="H520" s="30">
        <f t="shared" si="7"/>
        <v>0</v>
      </c>
      <c r="I520" s="24" t="str">
        <f t="shared" si="3"/>
        <v/>
      </c>
      <c r="J520" s="80"/>
      <c r="K520" s="26"/>
      <c r="L520" s="30"/>
    </row>
    <row r="521" ht="22.5" customHeight="1">
      <c r="A521" s="25"/>
      <c r="B521" s="23"/>
      <c r="C521" s="26"/>
      <c r="D521" s="24"/>
      <c r="E521" s="24"/>
      <c r="F521" s="26"/>
      <c r="G521" s="30"/>
      <c r="H521" s="30">
        <f t="shared" si="7"/>
        <v>0</v>
      </c>
      <c r="I521" s="24" t="str">
        <f t="shared" si="3"/>
        <v/>
      </c>
      <c r="J521" s="80"/>
      <c r="K521" s="26"/>
      <c r="L521" s="30"/>
    </row>
    <row r="522" ht="22.5" customHeight="1">
      <c r="A522" s="25"/>
      <c r="B522" s="23"/>
      <c r="C522" s="26"/>
      <c r="D522" s="24"/>
      <c r="E522" s="24"/>
      <c r="F522" s="26"/>
      <c r="G522" s="30"/>
      <c r="H522" s="30">
        <f t="shared" si="7"/>
        <v>0</v>
      </c>
      <c r="I522" s="24" t="str">
        <f t="shared" si="3"/>
        <v/>
      </c>
      <c r="J522" s="80"/>
      <c r="K522" s="26"/>
      <c r="L522" s="30"/>
    </row>
    <row r="523" ht="22.5" customHeight="1">
      <c r="A523" s="25"/>
      <c r="B523" s="23"/>
      <c r="C523" s="26"/>
      <c r="D523" s="24"/>
      <c r="E523" s="24"/>
      <c r="F523" s="26"/>
      <c r="G523" s="30"/>
      <c r="H523" s="30">
        <f t="shared" si="7"/>
        <v>0</v>
      </c>
      <c r="I523" s="24" t="str">
        <f t="shared" si="3"/>
        <v/>
      </c>
      <c r="J523" s="80"/>
      <c r="K523" s="26"/>
      <c r="L523" s="30"/>
    </row>
    <row r="524" ht="22.5" customHeight="1">
      <c r="A524" s="25"/>
      <c r="B524" s="23"/>
      <c r="C524" s="26"/>
      <c r="D524" s="24"/>
      <c r="E524" s="24"/>
      <c r="F524" s="26"/>
      <c r="G524" s="30"/>
      <c r="H524" s="30">
        <f t="shared" si="7"/>
        <v>0</v>
      </c>
      <c r="I524" s="24" t="str">
        <f t="shared" si="3"/>
        <v/>
      </c>
      <c r="J524" s="80"/>
      <c r="K524" s="26"/>
      <c r="L524" s="30"/>
    </row>
    <row r="525" ht="22.5" customHeight="1">
      <c r="A525" s="25"/>
      <c r="B525" s="23"/>
      <c r="C525" s="26"/>
      <c r="D525" s="24"/>
      <c r="E525" s="24"/>
      <c r="F525" s="26"/>
      <c r="G525" s="30"/>
      <c r="H525" s="30">
        <f t="shared" si="7"/>
        <v>0</v>
      </c>
      <c r="I525" s="24" t="str">
        <f t="shared" si="3"/>
        <v/>
      </c>
      <c r="J525" s="80"/>
      <c r="K525" s="26"/>
      <c r="L525" s="30"/>
    </row>
    <row r="526" ht="22.5" customHeight="1">
      <c r="A526" s="25"/>
      <c r="B526" s="23"/>
      <c r="C526" s="26"/>
      <c r="D526" s="24"/>
      <c r="E526" s="24"/>
      <c r="F526" s="26"/>
      <c r="G526" s="30"/>
      <c r="H526" s="30">
        <f t="shared" si="7"/>
        <v>0</v>
      </c>
      <c r="I526" s="24" t="str">
        <f t="shared" si="3"/>
        <v/>
      </c>
      <c r="J526" s="80"/>
      <c r="K526" s="26"/>
      <c r="L526" s="30"/>
    </row>
    <row r="527" ht="22.5" customHeight="1">
      <c r="A527" s="25"/>
      <c r="B527" s="23"/>
      <c r="C527" s="26"/>
      <c r="D527" s="24"/>
      <c r="E527" s="24"/>
      <c r="F527" s="26"/>
      <c r="G527" s="30"/>
      <c r="H527" s="30">
        <f t="shared" si="7"/>
        <v>0</v>
      </c>
      <c r="I527" s="24" t="str">
        <f t="shared" si="3"/>
        <v/>
      </c>
      <c r="J527" s="80"/>
      <c r="K527" s="26"/>
      <c r="L527" s="30"/>
    </row>
    <row r="528" ht="22.5" customHeight="1">
      <c r="A528" s="25"/>
      <c r="B528" s="23"/>
      <c r="C528" s="26"/>
      <c r="D528" s="24"/>
      <c r="E528" s="24"/>
      <c r="F528" s="26"/>
      <c r="G528" s="30"/>
      <c r="H528" s="30">
        <f t="shared" si="7"/>
        <v>0</v>
      </c>
      <c r="I528" s="24" t="str">
        <f t="shared" si="3"/>
        <v/>
      </c>
      <c r="J528" s="80"/>
      <c r="K528" s="26"/>
      <c r="L528" s="30"/>
    </row>
    <row r="529" ht="22.5" customHeight="1">
      <c r="A529" s="25"/>
      <c r="B529" s="23"/>
      <c r="C529" s="26"/>
      <c r="D529" s="24"/>
      <c r="E529" s="24"/>
      <c r="F529" s="26"/>
      <c r="G529" s="30"/>
      <c r="H529" s="30">
        <f t="shared" si="7"/>
        <v>0</v>
      </c>
      <c r="I529" s="24" t="str">
        <f t="shared" si="3"/>
        <v/>
      </c>
      <c r="J529" s="80"/>
      <c r="K529" s="26"/>
      <c r="L529" s="30"/>
    </row>
    <row r="530" ht="22.5" customHeight="1">
      <c r="A530" s="25"/>
      <c r="B530" s="23"/>
      <c r="C530" s="26"/>
      <c r="D530" s="24"/>
      <c r="E530" s="24"/>
      <c r="F530" s="26"/>
      <c r="G530" s="30"/>
      <c r="H530" s="30">
        <f t="shared" si="7"/>
        <v>0</v>
      </c>
      <c r="I530" s="24" t="str">
        <f t="shared" si="3"/>
        <v/>
      </c>
      <c r="J530" s="80"/>
      <c r="K530" s="26"/>
      <c r="L530" s="30"/>
    </row>
    <row r="531" ht="22.5" customHeight="1">
      <c r="A531" s="25"/>
      <c r="B531" s="23"/>
      <c r="C531" s="26"/>
      <c r="D531" s="24"/>
      <c r="E531" s="24"/>
      <c r="F531" s="26"/>
      <c r="G531" s="30"/>
      <c r="H531" s="30">
        <f t="shared" si="7"/>
        <v>0</v>
      </c>
      <c r="I531" s="24" t="str">
        <f t="shared" si="3"/>
        <v/>
      </c>
      <c r="J531" s="80"/>
      <c r="K531" s="26"/>
      <c r="L531" s="30"/>
    </row>
    <row r="532" ht="22.5" customHeight="1">
      <c r="A532" s="25"/>
      <c r="B532" s="23"/>
      <c r="C532" s="26"/>
      <c r="D532" s="24"/>
      <c r="E532" s="24"/>
      <c r="F532" s="26"/>
      <c r="G532" s="30"/>
      <c r="H532" s="30">
        <f t="shared" si="7"/>
        <v>0</v>
      </c>
      <c r="I532" s="24" t="str">
        <f t="shared" si="3"/>
        <v/>
      </c>
      <c r="J532" s="80"/>
      <c r="K532" s="26"/>
      <c r="L532" s="30"/>
    </row>
    <row r="533" ht="22.5" customHeight="1">
      <c r="A533" s="25"/>
      <c r="B533" s="23"/>
      <c r="C533" s="26"/>
      <c r="D533" s="24"/>
      <c r="E533" s="24"/>
      <c r="F533" s="26"/>
      <c r="G533" s="30"/>
      <c r="H533" s="30">
        <f t="shared" si="7"/>
        <v>0</v>
      </c>
      <c r="I533" s="24" t="str">
        <f t="shared" si="3"/>
        <v/>
      </c>
      <c r="J533" s="80"/>
      <c r="K533" s="26"/>
      <c r="L533" s="30"/>
    </row>
    <row r="534" ht="22.5" customHeight="1">
      <c r="A534" s="25"/>
      <c r="B534" s="23"/>
      <c r="C534" s="26"/>
      <c r="D534" s="24"/>
      <c r="E534" s="24"/>
      <c r="F534" s="26"/>
      <c r="G534" s="30"/>
      <c r="H534" s="30">
        <f t="shared" si="7"/>
        <v>0</v>
      </c>
      <c r="I534" s="24" t="str">
        <f t="shared" si="3"/>
        <v/>
      </c>
      <c r="J534" s="80"/>
      <c r="K534" s="26"/>
      <c r="L534" s="30"/>
    </row>
    <row r="535" ht="22.5" customHeight="1">
      <c r="A535" s="25"/>
      <c r="B535" s="23"/>
      <c r="C535" s="26"/>
      <c r="D535" s="24"/>
      <c r="E535" s="24"/>
      <c r="F535" s="26"/>
      <c r="G535" s="30"/>
      <c r="H535" s="30">
        <f t="shared" si="7"/>
        <v>0</v>
      </c>
      <c r="I535" s="24" t="str">
        <f t="shared" si="3"/>
        <v/>
      </c>
      <c r="J535" s="80"/>
      <c r="K535" s="26"/>
      <c r="L535" s="30"/>
    </row>
    <row r="536" ht="22.5" customHeight="1">
      <c r="A536" s="25"/>
      <c r="B536" s="23"/>
      <c r="C536" s="26"/>
      <c r="D536" s="24"/>
      <c r="E536" s="24"/>
      <c r="F536" s="26"/>
      <c r="G536" s="30"/>
      <c r="H536" s="30">
        <f t="shared" si="7"/>
        <v>0</v>
      </c>
      <c r="I536" s="24" t="str">
        <f t="shared" si="3"/>
        <v/>
      </c>
      <c r="J536" s="80"/>
      <c r="K536" s="26"/>
      <c r="L536" s="30"/>
    </row>
    <row r="537" ht="22.5" customHeight="1">
      <c r="A537" s="25"/>
      <c r="B537" s="23"/>
      <c r="C537" s="26"/>
      <c r="D537" s="24"/>
      <c r="E537" s="24"/>
      <c r="F537" s="26"/>
      <c r="G537" s="30"/>
      <c r="H537" s="30">
        <f t="shared" si="7"/>
        <v>0</v>
      </c>
      <c r="I537" s="24" t="str">
        <f t="shared" si="3"/>
        <v/>
      </c>
      <c r="J537" s="80"/>
      <c r="K537" s="26"/>
      <c r="L537" s="30"/>
    </row>
    <row r="538" ht="22.5" customHeight="1">
      <c r="A538" s="25"/>
      <c r="B538" s="23"/>
      <c r="C538" s="26"/>
      <c r="D538" s="24"/>
      <c r="E538" s="24"/>
      <c r="F538" s="26"/>
      <c r="G538" s="30"/>
      <c r="H538" s="30">
        <f t="shared" si="7"/>
        <v>0</v>
      </c>
      <c r="I538" s="24" t="str">
        <f t="shared" si="3"/>
        <v/>
      </c>
      <c r="J538" s="80"/>
      <c r="K538" s="26"/>
      <c r="L538" s="30"/>
    </row>
    <row r="539" ht="22.5" customHeight="1">
      <c r="A539" s="25"/>
      <c r="B539" s="23"/>
      <c r="C539" s="26"/>
      <c r="D539" s="24"/>
      <c r="E539" s="24"/>
      <c r="F539" s="26"/>
      <c r="G539" s="30"/>
      <c r="H539" s="30">
        <f t="shared" si="7"/>
        <v>0</v>
      </c>
      <c r="I539" s="24" t="str">
        <f t="shared" si="3"/>
        <v/>
      </c>
      <c r="J539" s="80"/>
      <c r="K539" s="26"/>
      <c r="L539" s="30"/>
    </row>
    <row r="540" ht="22.5" customHeight="1">
      <c r="A540" s="25"/>
      <c r="B540" s="23"/>
      <c r="C540" s="26"/>
      <c r="D540" s="24"/>
      <c r="E540" s="24"/>
      <c r="F540" s="26"/>
      <c r="G540" s="30"/>
      <c r="H540" s="30">
        <f t="shared" si="7"/>
        <v>0</v>
      </c>
      <c r="I540" s="24" t="str">
        <f t="shared" si="3"/>
        <v/>
      </c>
      <c r="J540" s="80"/>
      <c r="K540" s="26"/>
      <c r="L540" s="30"/>
    </row>
    <row r="541" ht="22.5" customHeight="1">
      <c r="A541" s="25"/>
      <c r="B541" s="23"/>
      <c r="C541" s="26"/>
      <c r="D541" s="24"/>
      <c r="E541" s="24"/>
      <c r="F541" s="26"/>
      <c r="G541" s="30"/>
      <c r="H541" s="30">
        <f t="shared" si="7"/>
        <v>0</v>
      </c>
      <c r="I541" s="24" t="str">
        <f t="shared" si="3"/>
        <v/>
      </c>
      <c r="J541" s="80"/>
      <c r="K541" s="26"/>
      <c r="L541" s="30"/>
    </row>
    <row r="542" ht="22.5" customHeight="1">
      <c r="A542" s="25"/>
      <c r="B542" s="23"/>
      <c r="C542" s="26"/>
      <c r="D542" s="24"/>
      <c r="E542" s="24"/>
      <c r="F542" s="26"/>
      <c r="G542" s="30"/>
      <c r="H542" s="30">
        <f t="shared" si="7"/>
        <v>0</v>
      </c>
      <c r="I542" s="24" t="str">
        <f t="shared" si="3"/>
        <v/>
      </c>
      <c r="J542" s="80"/>
      <c r="K542" s="26"/>
      <c r="L542" s="30"/>
    </row>
    <row r="543" ht="22.5" customHeight="1">
      <c r="A543" s="25"/>
      <c r="B543" s="23"/>
      <c r="C543" s="26"/>
      <c r="D543" s="24"/>
      <c r="E543" s="24"/>
      <c r="F543" s="26"/>
      <c r="G543" s="30"/>
      <c r="H543" s="30">
        <f t="shared" si="7"/>
        <v>0</v>
      </c>
      <c r="I543" s="24" t="str">
        <f t="shared" si="3"/>
        <v/>
      </c>
      <c r="J543" s="80"/>
      <c r="K543" s="26"/>
      <c r="L543" s="30"/>
    </row>
    <row r="544" ht="22.5" customHeight="1">
      <c r="A544" s="25"/>
      <c r="B544" s="23"/>
      <c r="C544" s="26"/>
      <c r="D544" s="24"/>
      <c r="E544" s="24"/>
      <c r="F544" s="26"/>
      <c r="G544" s="30"/>
      <c r="H544" s="30">
        <f t="shared" si="7"/>
        <v>0</v>
      </c>
      <c r="I544" s="24" t="str">
        <f t="shared" si="3"/>
        <v/>
      </c>
      <c r="J544" s="80"/>
      <c r="K544" s="26"/>
      <c r="L544" s="30"/>
    </row>
    <row r="545" ht="22.5" customHeight="1">
      <c r="A545" s="25"/>
      <c r="B545" s="23"/>
      <c r="C545" s="26"/>
      <c r="D545" s="24"/>
      <c r="E545" s="24"/>
      <c r="F545" s="26"/>
      <c r="G545" s="30"/>
      <c r="H545" s="30">
        <f t="shared" si="7"/>
        <v>0</v>
      </c>
      <c r="I545" s="24" t="str">
        <f t="shared" si="3"/>
        <v/>
      </c>
      <c r="J545" s="80"/>
      <c r="K545" s="26"/>
      <c r="L545" s="30"/>
    </row>
    <row r="546" ht="22.5" customHeight="1">
      <c r="A546" s="25"/>
      <c r="B546" s="23"/>
      <c r="C546" s="26"/>
      <c r="D546" s="24"/>
      <c r="E546" s="24"/>
      <c r="F546" s="26"/>
      <c r="G546" s="30"/>
      <c r="H546" s="30">
        <f t="shared" si="7"/>
        <v>0</v>
      </c>
      <c r="I546" s="24" t="str">
        <f t="shared" si="3"/>
        <v/>
      </c>
      <c r="J546" s="80"/>
      <c r="K546" s="26"/>
      <c r="L546" s="30"/>
    </row>
    <row r="547" ht="22.5" customHeight="1">
      <c r="A547" s="25"/>
      <c r="B547" s="23"/>
      <c r="C547" s="26"/>
      <c r="D547" s="24"/>
      <c r="E547" s="24"/>
      <c r="F547" s="26"/>
      <c r="G547" s="30"/>
      <c r="H547" s="30">
        <f t="shared" si="7"/>
        <v>0</v>
      </c>
      <c r="I547" s="24" t="str">
        <f t="shared" si="3"/>
        <v/>
      </c>
      <c r="J547" s="80"/>
      <c r="K547" s="26"/>
      <c r="L547" s="30"/>
    </row>
    <row r="548" ht="22.5" customHeight="1">
      <c r="A548" s="25"/>
      <c r="B548" s="23"/>
      <c r="C548" s="26"/>
      <c r="D548" s="24"/>
      <c r="E548" s="24"/>
      <c r="F548" s="26"/>
      <c r="G548" s="30"/>
      <c r="H548" s="30">
        <f t="shared" si="7"/>
        <v>0</v>
      </c>
      <c r="I548" s="24" t="str">
        <f t="shared" si="3"/>
        <v/>
      </c>
      <c r="J548" s="80"/>
      <c r="K548" s="26"/>
      <c r="L548" s="30"/>
    </row>
    <row r="549" ht="22.5" customHeight="1">
      <c r="A549" s="25"/>
      <c r="B549" s="23"/>
      <c r="C549" s="26"/>
      <c r="D549" s="24"/>
      <c r="E549" s="24"/>
      <c r="F549" s="26"/>
      <c r="G549" s="30"/>
      <c r="H549" s="30">
        <f t="shared" si="7"/>
        <v>0</v>
      </c>
      <c r="I549" s="24" t="str">
        <f t="shared" si="3"/>
        <v/>
      </c>
      <c r="J549" s="80"/>
      <c r="K549" s="26"/>
      <c r="L549" s="30"/>
    </row>
    <row r="550" ht="22.5" customHeight="1">
      <c r="A550" s="25"/>
      <c r="B550" s="23"/>
      <c r="C550" s="26"/>
      <c r="D550" s="24"/>
      <c r="E550" s="24"/>
      <c r="F550" s="26"/>
      <c r="G550" s="30"/>
      <c r="H550" s="30">
        <f t="shared" si="7"/>
        <v>0</v>
      </c>
      <c r="I550" s="24" t="str">
        <f t="shared" si="3"/>
        <v/>
      </c>
      <c r="J550" s="80"/>
      <c r="K550" s="26"/>
      <c r="L550" s="30"/>
    </row>
    <row r="551" ht="22.5" customHeight="1">
      <c r="A551" s="25"/>
      <c r="B551" s="23"/>
      <c r="C551" s="26"/>
      <c r="D551" s="24"/>
      <c r="E551" s="24"/>
      <c r="F551" s="26"/>
      <c r="G551" s="30"/>
      <c r="H551" s="30">
        <f t="shared" si="7"/>
        <v>0</v>
      </c>
      <c r="I551" s="24" t="str">
        <f t="shared" si="3"/>
        <v/>
      </c>
      <c r="J551" s="80"/>
      <c r="K551" s="26"/>
      <c r="L551" s="30"/>
    </row>
    <row r="552" ht="22.5" customHeight="1">
      <c r="A552" s="25"/>
      <c r="B552" s="23"/>
      <c r="C552" s="26"/>
      <c r="D552" s="24"/>
      <c r="E552" s="24"/>
      <c r="F552" s="26"/>
      <c r="G552" s="30"/>
      <c r="H552" s="30">
        <f t="shared" si="7"/>
        <v>0</v>
      </c>
      <c r="I552" s="24" t="str">
        <f t="shared" si="3"/>
        <v/>
      </c>
      <c r="J552" s="80"/>
      <c r="K552" s="26"/>
      <c r="L552" s="30"/>
    </row>
    <row r="553" ht="22.5" customHeight="1">
      <c r="A553" s="25"/>
      <c r="B553" s="23"/>
      <c r="C553" s="26"/>
      <c r="D553" s="24"/>
      <c r="E553" s="24"/>
      <c r="F553" s="26"/>
      <c r="G553" s="30"/>
      <c r="H553" s="30">
        <f t="shared" si="7"/>
        <v>0</v>
      </c>
      <c r="I553" s="24" t="str">
        <f t="shared" si="3"/>
        <v/>
      </c>
      <c r="J553" s="80"/>
      <c r="K553" s="26"/>
      <c r="L553" s="30"/>
    </row>
    <row r="554" ht="22.5" customHeight="1">
      <c r="A554" s="25"/>
      <c r="B554" s="23"/>
      <c r="C554" s="26"/>
      <c r="D554" s="24"/>
      <c r="E554" s="24"/>
      <c r="F554" s="26"/>
      <c r="G554" s="30"/>
      <c r="H554" s="30">
        <f t="shared" si="7"/>
        <v>0</v>
      </c>
      <c r="I554" s="24" t="str">
        <f t="shared" si="3"/>
        <v/>
      </c>
      <c r="J554" s="80"/>
      <c r="K554" s="26"/>
      <c r="L554" s="30"/>
    </row>
    <row r="555" ht="22.5" customHeight="1">
      <c r="A555" s="25"/>
      <c r="B555" s="23"/>
      <c r="C555" s="26"/>
      <c r="D555" s="24"/>
      <c r="E555" s="24"/>
      <c r="F555" s="26"/>
      <c r="G555" s="30"/>
      <c r="H555" s="30">
        <f t="shared" si="7"/>
        <v>0</v>
      </c>
      <c r="I555" s="24" t="str">
        <f t="shared" si="3"/>
        <v/>
      </c>
      <c r="J555" s="80"/>
      <c r="K555" s="26"/>
      <c r="L555" s="30"/>
    </row>
    <row r="556" ht="22.5" customHeight="1">
      <c r="A556" s="25"/>
      <c r="B556" s="23"/>
      <c r="C556" s="26"/>
      <c r="D556" s="24"/>
      <c r="E556" s="24"/>
      <c r="F556" s="26"/>
      <c r="G556" s="30"/>
      <c r="H556" s="30">
        <f t="shared" si="7"/>
        <v>0</v>
      </c>
      <c r="I556" s="24" t="str">
        <f t="shared" si="3"/>
        <v/>
      </c>
      <c r="J556" s="80"/>
      <c r="K556" s="26"/>
      <c r="L556" s="30"/>
    </row>
    <row r="557" ht="22.5" customHeight="1">
      <c r="A557" s="25"/>
      <c r="B557" s="23"/>
      <c r="C557" s="26"/>
      <c r="D557" s="24"/>
      <c r="E557" s="24"/>
      <c r="F557" s="26"/>
      <c r="G557" s="30"/>
      <c r="H557" s="30">
        <f t="shared" si="7"/>
        <v>0</v>
      </c>
      <c r="I557" s="24" t="str">
        <f t="shared" si="3"/>
        <v/>
      </c>
      <c r="J557" s="80"/>
      <c r="K557" s="26"/>
      <c r="L557" s="30"/>
    </row>
    <row r="558" ht="22.5" customHeight="1">
      <c r="A558" s="25"/>
      <c r="B558" s="23"/>
      <c r="C558" s="26"/>
      <c r="D558" s="24"/>
      <c r="E558" s="24"/>
      <c r="F558" s="26"/>
      <c r="G558" s="30"/>
      <c r="H558" s="30">
        <f t="shared" si="7"/>
        <v>0</v>
      </c>
      <c r="I558" s="24" t="str">
        <f t="shared" si="3"/>
        <v/>
      </c>
      <c r="J558" s="80"/>
      <c r="K558" s="26"/>
      <c r="L558" s="30"/>
    </row>
    <row r="559" ht="22.5" customHeight="1">
      <c r="A559" s="25"/>
      <c r="B559" s="23"/>
      <c r="C559" s="26"/>
      <c r="D559" s="24"/>
      <c r="E559" s="24"/>
      <c r="F559" s="26"/>
      <c r="G559" s="30"/>
      <c r="H559" s="30">
        <f t="shared" si="7"/>
        <v>0</v>
      </c>
      <c r="I559" s="24" t="str">
        <f t="shared" si="3"/>
        <v/>
      </c>
      <c r="J559" s="80"/>
      <c r="K559" s="26"/>
      <c r="L559" s="30"/>
    </row>
    <row r="560" ht="22.5" customHeight="1">
      <c r="A560" s="25"/>
      <c r="B560" s="23"/>
      <c r="C560" s="26"/>
      <c r="D560" s="24"/>
      <c r="E560" s="24"/>
      <c r="F560" s="26"/>
      <c r="G560" s="30"/>
      <c r="H560" s="30">
        <f t="shared" si="7"/>
        <v>0</v>
      </c>
      <c r="I560" s="24" t="str">
        <f t="shared" si="3"/>
        <v/>
      </c>
      <c r="J560" s="80"/>
      <c r="K560" s="26"/>
      <c r="L560" s="30"/>
    </row>
    <row r="561" ht="22.5" customHeight="1">
      <c r="A561" s="25"/>
      <c r="B561" s="23"/>
      <c r="C561" s="26"/>
      <c r="D561" s="24"/>
      <c r="E561" s="24"/>
      <c r="F561" s="26"/>
      <c r="G561" s="30"/>
      <c r="H561" s="30">
        <f t="shared" si="7"/>
        <v>0</v>
      </c>
      <c r="I561" s="24" t="str">
        <f t="shared" si="3"/>
        <v/>
      </c>
      <c r="J561" s="80"/>
      <c r="K561" s="26"/>
      <c r="L561" s="30"/>
    </row>
    <row r="562" ht="22.5" customHeight="1">
      <c r="A562" s="25"/>
      <c r="B562" s="23"/>
      <c r="C562" s="26"/>
      <c r="D562" s="24"/>
      <c r="E562" s="24"/>
      <c r="F562" s="26"/>
      <c r="G562" s="30"/>
      <c r="H562" s="30">
        <f t="shared" si="7"/>
        <v>0</v>
      </c>
      <c r="I562" s="24" t="str">
        <f t="shared" si="3"/>
        <v/>
      </c>
      <c r="J562" s="80"/>
      <c r="K562" s="26"/>
      <c r="L562" s="30"/>
    </row>
    <row r="563" ht="22.5" customHeight="1">
      <c r="A563" s="25"/>
      <c r="B563" s="23"/>
      <c r="C563" s="26"/>
      <c r="D563" s="24"/>
      <c r="E563" s="24"/>
      <c r="F563" s="26"/>
      <c r="G563" s="30"/>
      <c r="H563" s="30">
        <f t="shared" si="7"/>
        <v>0</v>
      </c>
      <c r="I563" s="24" t="str">
        <f t="shared" si="3"/>
        <v/>
      </c>
      <c r="J563" s="80"/>
      <c r="K563" s="26"/>
      <c r="L563" s="30"/>
    </row>
    <row r="564" ht="22.5" customHeight="1">
      <c r="A564" s="25"/>
      <c r="B564" s="23"/>
      <c r="C564" s="26"/>
      <c r="D564" s="24"/>
      <c r="E564" s="24"/>
      <c r="F564" s="26"/>
      <c r="G564" s="30"/>
      <c r="H564" s="30">
        <f t="shared" si="7"/>
        <v>0</v>
      </c>
      <c r="I564" s="24" t="str">
        <f t="shared" si="3"/>
        <v/>
      </c>
      <c r="J564" s="80"/>
      <c r="K564" s="26"/>
      <c r="L564" s="30"/>
    </row>
    <row r="565" ht="22.5" customHeight="1">
      <c r="A565" s="25"/>
      <c r="B565" s="23"/>
      <c r="C565" s="26"/>
      <c r="D565" s="24"/>
      <c r="E565" s="24"/>
      <c r="F565" s="26"/>
      <c r="G565" s="30"/>
      <c r="H565" s="30">
        <f t="shared" si="7"/>
        <v>0</v>
      </c>
      <c r="I565" s="24" t="str">
        <f t="shared" si="3"/>
        <v/>
      </c>
      <c r="J565" s="80"/>
      <c r="K565" s="26"/>
      <c r="L565" s="30"/>
    </row>
    <row r="566" ht="22.5" customHeight="1">
      <c r="A566" s="25"/>
      <c r="B566" s="23"/>
      <c r="C566" s="26"/>
      <c r="D566" s="24"/>
      <c r="E566" s="24"/>
      <c r="F566" s="26"/>
      <c r="G566" s="30"/>
      <c r="H566" s="30">
        <f t="shared" si="7"/>
        <v>0</v>
      </c>
      <c r="I566" s="24" t="str">
        <f t="shared" si="3"/>
        <v/>
      </c>
      <c r="J566" s="80"/>
      <c r="K566" s="26"/>
      <c r="L566" s="30"/>
    </row>
    <row r="567" ht="22.5" customHeight="1">
      <c r="A567" s="25"/>
      <c r="B567" s="23"/>
      <c r="C567" s="26"/>
      <c r="D567" s="24"/>
      <c r="E567" s="24"/>
      <c r="F567" s="26"/>
      <c r="G567" s="30"/>
      <c r="H567" s="30">
        <f t="shared" si="7"/>
        <v>0</v>
      </c>
      <c r="I567" s="24" t="str">
        <f t="shared" si="3"/>
        <v/>
      </c>
      <c r="J567" s="80"/>
      <c r="K567" s="26"/>
      <c r="L567" s="30"/>
    </row>
    <row r="568" ht="22.5" customHeight="1">
      <c r="A568" s="25"/>
      <c r="B568" s="23"/>
      <c r="C568" s="26"/>
      <c r="D568" s="24"/>
      <c r="E568" s="24"/>
      <c r="F568" s="26"/>
      <c r="G568" s="30"/>
      <c r="H568" s="30">
        <f t="shared" si="7"/>
        <v>0</v>
      </c>
      <c r="I568" s="24" t="str">
        <f t="shared" si="3"/>
        <v/>
      </c>
      <c r="J568" s="80"/>
      <c r="K568" s="26"/>
      <c r="L568" s="30"/>
    </row>
    <row r="569" ht="22.5" customHeight="1">
      <c r="A569" s="25"/>
      <c r="B569" s="23"/>
      <c r="C569" s="26"/>
      <c r="D569" s="24"/>
      <c r="E569" s="24"/>
      <c r="F569" s="26"/>
      <c r="G569" s="30"/>
      <c r="H569" s="30">
        <f t="shared" si="7"/>
        <v>0</v>
      </c>
      <c r="I569" s="24" t="str">
        <f t="shared" si="3"/>
        <v/>
      </c>
      <c r="J569" s="80"/>
      <c r="K569" s="26"/>
      <c r="L569" s="30"/>
    </row>
    <row r="570" ht="22.5" customHeight="1">
      <c r="A570" s="25"/>
      <c r="B570" s="23"/>
      <c r="C570" s="26"/>
      <c r="D570" s="24"/>
      <c r="E570" s="24"/>
      <c r="F570" s="26"/>
      <c r="G570" s="30"/>
      <c r="H570" s="30">
        <f t="shared" si="7"/>
        <v>0</v>
      </c>
      <c r="I570" s="24" t="str">
        <f t="shared" si="3"/>
        <v/>
      </c>
      <c r="J570" s="80"/>
      <c r="K570" s="26"/>
      <c r="L570" s="30"/>
    </row>
    <row r="571" ht="22.5" customHeight="1">
      <c r="A571" s="25"/>
      <c r="B571" s="23"/>
      <c r="C571" s="26"/>
      <c r="D571" s="24"/>
      <c r="E571" s="24"/>
      <c r="F571" s="26"/>
      <c r="G571" s="30"/>
      <c r="H571" s="30">
        <f t="shared" si="7"/>
        <v>0</v>
      </c>
      <c r="I571" s="24" t="str">
        <f t="shared" si="3"/>
        <v/>
      </c>
      <c r="J571" s="80"/>
      <c r="K571" s="26"/>
      <c r="L571" s="30"/>
    </row>
    <row r="572" ht="22.5" customHeight="1">
      <c r="A572" s="25"/>
      <c r="B572" s="23"/>
      <c r="C572" s="26"/>
      <c r="D572" s="24"/>
      <c r="E572" s="24"/>
      <c r="F572" s="26"/>
      <c r="G572" s="30"/>
      <c r="H572" s="30">
        <f t="shared" si="7"/>
        <v>0</v>
      </c>
      <c r="I572" s="24" t="str">
        <f t="shared" si="3"/>
        <v/>
      </c>
      <c r="J572" s="80"/>
      <c r="K572" s="26"/>
      <c r="L572" s="30"/>
    </row>
    <row r="573" ht="22.5" customHeight="1">
      <c r="A573" s="25"/>
      <c r="B573" s="23"/>
      <c r="C573" s="26"/>
      <c r="D573" s="24"/>
      <c r="E573" s="24"/>
      <c r="F573" s="26"/>
      <c r="G573" s="30"/>
      <c r="H573" s="30">
        <f t="shared" si="7"/>
        <v>0</v>
      </c>
      <c r="I573" s="24" t="str">
        <f t="shared" si="3"/>
        <v/>
      </c>
      <c r="J573" s="80"/>
      <c r="K573" s="26"/>
      <c r="L573" s="30"/>
    </row>
    <row r="574" ht="22.5" customHeight="1">
      <c r="A574" s="25"/>
      <c r="B574" s="23"/>
      <c r="C574" s="26"/>
      <c r="D574" s="24"/>
      <c r="E574" s="24"/>
      <c r="F574" s="26"/>
      <c r="G574" s="30"/>
      <c r="H574" s="30">
        <f t="shared" si="7"/>
        <v>0</v>
      </c>
      <c r="I574" s="24" t="str">
        <f t="shared" si="3"/>
        <v/>
      </c>
      <c r="J574" s="80"/>
      <c r="K574" s="26"/>
      <c r="L574" s="30"/>
    </row>
    <row r="575" ht="22.5" customHeight="1">
      <c r="A575" s="25"/>
      <c r="B575" s="23"/>
      <c r="C575" s="26"/>
      <c r="D575" s="24"/>
      <c r="E575" s="24"/>
      <c r="F575" s="26"/>
      <c r="G575" s="30"/>
      <c r="H575" s="30">
        <f t="shared" si="7"/>
        <v>0</v>
      </c>
      <c r="I575" s="24" t="str">
        <f t="shared" si="3"/>
        <v/>
      </c>
      <c r="J575" s="80"/>
      <c r="K575" s="26"/>
      <c r="L575" s="30"/>
    </row>
    <row r="576" ht="22.5" customHeight="1">
      <c r="A576" s="25"/>
      <c r="B576" s="23"/>
      <c r="C576" s="26"/>
      <c r="D576" s="24"/>
      <c r="E576" s="24"/>
      <c r="F576" s="26"/>
      <c r="G576" s="30"/>
      <c r="H576" s="30">
        <f t="shared" si="7"/>
        <v>0</v>
      </c>
      <c r="I576" s="24" t="str">
        <f t="shared" si="3"/>
        <v/>
      </c>
      <c r="J576" s="80"/>
      <c r="K576" s="26"/>
      <c r="L576" s="30"/>
    </row>
    <row r="577" ht="22.5" customHeight="1">
      <c r="A577" s="25"/>
      <c r="B577" s="23"/>
      <c r="C577" s="26"/>
      <c r="D577" s="24"/>
      <c r="E577" s="24"/>
      <c r="F577" s="26"/>
      <c r="G577" s="30"/>
      <c r="H577" s="30">
        <f t="shared" si="7"/>
        <v>0</v>
      </c>
      <c r="I577" s="24" t="str">
        <f t="shared" si="3"/>
        <v/>
      </c>
      <c r="J577" s="80"/>
      <c r="K577" s="26"/>
      <c r="L577" s="30"/>
    </row>
    <row r="578" ht="22.5" customHeight="1">
      <c r="A578" s="25"/>
      <c r="B578" s="23"/>
      <c r="C578" s="26"/>
      <c r="D578" s="24"/>
      <c r="E578" s="24"/>
      <c r="F578" s="26"/>
      <c r="G578" s="30"/>
      <c r="H578" s="30">
        <f t="shared" si="7"/>
        <v>0</v>
      </c>
      <c r="I578" s="24" t="str">
        <f t="shared" si="3"/>
        <v/>
      </c>
      <c r="J578" s="80"/>
      <c r="K578" s="26"/>
      <c r="L578" s="30"/>
    </row>
    <row r="579" ht="22.5" customHeight="1">
      <c r="A579" s="25"/>
      <c r="B579" s="23"/>
      <c r="C579" s="26"/>
      <c r="D579" s="24"/>
      <c r="E579" s="24"/>
      <c r="F579" s="26"/>
      <c r="G579" s="30"/>
      <c r="H579" s="30">
        <f t="shared" si="7"/>
        <v>0</v>
      </c>
      <c r="I579" s="24" t="str">
        <f t="shared" si="3"/>
        <v/>
      </c>
      <c r="J579" s="80"/>
      <c r="K579" s="26"/>
      <c r="L579" s="30"/>
    </row>
    <row r="580" ht="22.5" customHeight="1">
      <c r="A580" s="25"/>
      <c r="B580" s="23"/>
      <c r="C580" s="26"/>
      <c r="D580" s="24"/>
      <c r="E580" s="24"/>
      <c r="F580" s="26"/>
      <c r="G580" s="30"/>
      <c r="H580" s="30">
        <f t="shared" si="7"/>
        <v>0</v>
      </c>
      <c r="I580" s="24" t="str">
        <f t="shared" si="3"/>
        <v/>
      </c>
      <c r="J580" s="80"/>
      <c r="K580" s="26"/>
      <c r="L580" s="30"/>
    </row>
    <row r="581" ht="22.5" customHeight="1">
      <c r="A581" s="25"/>
      <c r="B581" s="23"/>
      <c r="C581" s="26"/>
      <c r="D581" s="24"/>
      <c r="E581" s="24"/>
      <c r="F581" s="26"/>
      <c r="G581" s="30"/>
      <c r="H581" s="30">
        <f t="shared" si="7"/>
        <v>0</v>
      </c>
      <c r="I581" s="24" t="str">
        <f t="shared" si="3"/>
        <v/>
      </c>
      <c r="J581" s="80"/>
      <c r="K581" s="26"/>
      <c r="L581" s="30"/>
    </row>
    <row r="582" ht="22.5" customHeight="1">
      <c r="A582" s="25"/>
      <c r="B582" s="23"/>
      <c r="C582" s="26"/>
      <c r="D582" s="24"/>
      <c r="E582" s="24"/>
      <c r="F582" s="26"/>
      <c r="G582" s="30"/>
      <c r="H582" s="30">
        <f t="shared" si="7"/>
        <v>0</v>
      </c>
      <c r="I582" s="24" t="str">
        <f t="shared" si="3"/>
        <v/>
      </c>
      <c r="J582" s="80"/>
      <c r="K582" s="26"/>
      <c r="L582" s="30"/>
    </row>
    <row r="583" ht="22.5" customHeight="1">
      <c r="A583" s="25"/>
      <c r="B583" s="23"/>
      <c r="C583" s="26"/>
      <c r="D583" s="24"/>
      <c r="E583" s="24"/>
      <c r="F583" s="26"/>
      <c r="G583" s="30"/>
      <c r="H583" s="30">
        <f t="shared" si="7"/>
        <v>0</v>
      </c>
      <c r="I583" s="24" t="str">
        <f t="shared" si="3"/>
        <v/>
      </c>
      <c r="J583" s="80"/>
      <c r="K583" s="26"/>
      <c r="L583" s="30"/>
    </row>
    <row r="584" ht="22.5" customHeight="1">
      <c r="A584" s="25"/>
      <c r="B584" s="23"/>
      <c r="C584" s="26"/>
      <c r="D584" s="24"/>
      <c r="E584" s="24"/>
      <c r="F584" s="26"/>
      <c r="G584" s="30"/>
      <c r="H584" s="30">
        <f t="shared" si="7"/>
        <v>0</v>
      </c>
      <c r="I584" s="24" t="str">
        <f t="shared" si="3"/>
        <v/>
      </c>
      <c r="J584" s="80"/>
      <c r="K584" s="26"/>
      <c r="L584" s="30"/>
    </row>
    <row r="585" ht="22.5" customHeight="1">
      <c r="A585" s="25"/>
      <c r="B585" s="23"/>
      <c r="C585" s="26"/>
      <c r="D585" s="24"/>
      <c r="E585" s="24"/>
      <c r="F585" s="26"/>
      <c r="G585" s="30"/>
      <c r="H585" s="30">
        <f t="shared" si="7"/>
        <v>0</v>
      </c>
      <c r="I585" s="24" t="str">
        <f t="shared" si="3"/>
        <v/>
      </c>
      <c r="J585" s="80"/>
      <c r="K585" s="26"/>
      <c r="L585" s="30"/>
    </row>
    <row r="586" ht="22.5" customHeight="1">
      <c r="A586" s="25"/>
      <c r="B586" s="23"/>
      <c r="C586" s="26"/>
      <c r="D586" s="24"/>
      <c r="E586" s="24"/>
      <c r="F586" s="26"/>
      <c r="G586" s="30"/>
      <c r="H586" s="30">
        <f t="shared" si="7"/>
        <v>0</v>
      </c>
      <c r="I586" s="24" t="str">
        <f t="shared" si="3"/>
        <v/>
      </c>
      <c r="J586" s="80"/>
      <c r="K586" s="26"/>
      <c r="L586" s="30"/>
    </row>
    <row r="587" ht="22.5" customHeight="1">
      <c r="A587" s="25"/>
      <c r="B587" s="23"/>
      <c r="C587" s="26"/>
      <c r="D587" s="24"/>
      <c r="E587" s="24"/>
      <c r="F587" s="26"/>
      <c r="G587" s="30"/>
      <c r="H587" s="30">
        <f t="shared" si="7"/>
        <v>0</v>
      </c>
      <c r="I587" s="24" t="str">
        <f t="shared" si="3"/>
        <v/>
      </c>
      <c r="J587" s="80"/>
      <c r="K587" s="26"/>
      <c r="L587" s="30"/>
    </row>
    <row r="588" ht="22.5" customHeight="1">
      <c r="A588" s="25"/>
      <c r="B588" s="23"/>
      <c r="C588" s="26"/>
      <c r="D588" s="24"/>
      <c r="E588" s="24"/>
      <c r="F588" s="26"/>
      <c r="G588" s="30"/>
      <c r="H588" s="30">
        <f t="shared" si="7"/>
        <v>0</v>
      </c>
      <c r="I588" s="24" t="str">
        <f t="shared" si="3"/>
        <v/>
      </c>
      <c r="J588" s="80"/>
      <c r="K588" s="26"/>
      <c r="L588" s="30"/>
    </row>
    <row r="589" ht="22.5" customHeight="1">
      <c r="A589" s="25"/>
      <c r="B589" s="23"/>
      <c r="C589" s="26"/>
      <c r="D589" s="24"/>
      <c r="E589" s="24"/>
      <c r="F589" s="26"/>
      <c r="G589" s="30"/>
      <c r="H589" s="30">
        <f t="shared" si="7"/>
        <v>0</v>
      </c>
      <c r="I589" s="24" t="str">
        <f t="shared" si="3"/>
        <v/>
      </c>
      <c r="J589" s="80"/>
      <c r="K589" s="26"/>
      <c r="L589" s="30"/>
    </row>
    <row r="590" ht="22.5" customHeight="1">
      <c r="A590" s="25"/>
      <c r="B590" s="23"/>
      <c r="C590" s="26"/>
      <c r="D590" s="24"/>
      <c r="E590" s="24"/>
      <c r="F590" s="26"/>
      <c r="G590" s="30"/>
      <c r="H590" s="30">
        <f t="shared" si="7"/>
        <v>0</v>
      </c>
      <c r="I590" s="24" t="str">
        <f t="shared" si="3"/>
        <v/>
      </c>
      <c r="J590" s="80"/>
      <c r="K590" s="26"/>
      <c r="L590" s="30"/>
    </row>
    <row r="591" ht="22.5" customHeight="1">
      <c r="A591" s="25"/>
      <c r="B591" s="23"/>
      <c r="C591" s="26"/>
      <c r="D591" s="24"/>
      <c r="E591" s="24"/>
      <c r="F591" s="26"/>
      <c r="G591" s="30"/>
      <c r="H591" s="30">
        <f t="shared" si="7"/>
        <v>0</v>
      </c>
      <c r="I591" s="24" t="str">
        <f t="shared" si="3"/>
        <v/>
      </c>
      <c r="J591" s="80"/>
      <c r="K591" s="26"/>
      <c r="L591" s="30"/>
    </row>
    <row r="592" ht="22.5" customHeight="1">
      <c r="A592" s="25"/>
      <c r="B592" s="23"/>
      <c r="C592" s="26"/>
      <c r="D592" s="24"/>
      <c r="E592" s="24"/>
      <c r="F592" s="26"/>
      <c r="G592" s="30"/>
      <c r="H592" s="30">
        <f t="shared" si="7"/>
        <v>0</v>
      </c>
      <c r="I592" s="24" t="str">
        <f t="shared" si="3"/>
        <v/>
      </c>
      <c r="J592" s="80"/>
      <c r="K592" s="26"/>
      <c r="L592" s="30"/>
    </row>
    <row r="593" ht="22.5" customHeight="1">
      <c r="A593" s="25"/>
      <c r="B593" s="23"/>
      <c r="C593" s="26"/>
      <c r="D593" s="24"/>
      <c r="E593" s="24"/>
      <c r="F593" s="26"/>
      <c r="G593" s="30"/>
      <c r="H593" s="30">
        <f t="shared" si="7"/>
        <v>0</v>
      </c>
      <c r="I593" s="24" t="str">
        <f t="shared" si="3"/>
        <v/>
      </c>
      <c r="J593" s="80"/>
      <c r="K593" s="26"/>
      <c r="L593" s="30"/>
    </row>
    <row r="594" ht="22.5" customHeight="1">
      <c r="A594" s="25"/>
      <c r="B594" s="23"/>
      <c r="C594" s="26"/>
      <c r="D594" s="24"/>
      <c r="E594" s="24"/>
      <c r="F594" s="26"/>
      <c r="G594" s="30"/>
      <c r="H594" s="30">
        <f t="shared" si="7"/>
        <v>0</v>
      </c>
      <c r="I594" s="24" t="str">
        <f t="shared" si="3"/>
        <v/>
      </c>
      <c r="J594" s="80"/>
      <c r="K594" s="26"/>
      <c r="L594" s="30"/>
    </row>
    <row r="595" ht="22.5" customHeight="1">
      <c r="A595" s="25"/>
      <c r="B595" s="23"/>
      <c r="C595" s="26"/>
      <c r="D595" s="24"/>
      <c r="E595" s="24"/>
      <c r="F595" s="26"/>
      <c r="G595" s="30"/>
      <c r="H595" s="30">
        <f t="shared" si="7"/>
        <v>0</v>
      </c>
      <c r="I595" s="24" t="str">
        <f t="shared" si="3"/>
        <v/>
      </c>
      <c r="J595" s="80"/>
      <c r="K595" s="26"/>
      <c r="L595" s="30"/>
    </row>
    <row r="596" ht="22.5" customHeight="1">
      <c r="A596" s="25"/>
      <c r="B596" s="23"/>
      <c r="C596" s="26"/>
      <c r="D596" s="24"/>
      <c r="E596" s="24"/>
      <c r="F596" s="26"/>
      <c r="G596" s="30"/>
      <c r="H596" s="30">
        <f t="shared" si="7"/>
        <v>0</v>
      </c>
      <c r="I596" s="24" t="str">
        <f t="shared" si="3"/>
        <v/>
      </c>
      <c r="J596" s="80"/>
      <c r="K596" s="26"/>
      <c r="L596" s="30"/>
    </row>
    <row r="597" ht="22.5" customHeight="1">
      <c r="A597" s="25"/>
      <c r="B597" s="23"/>
      <c r="C597" s="26"/>
      <c r="D597" s="24"/>
      <c r="E597" s="24"/>
      <c r="F597" s="26"/>
      <c r="G597" s="30"/>
      <c r="H597" s="30">
        <f t="shared" si="7"/>
        <v>0</v>
      </c>
      <c r="I597" s="24" t="str">
        <f t="shared" si="3"/>
        <v/>
      </c>
      <c r="J597" s="80"/>
      <c r="K597" s="26"/>
      <c r="L597" s="30"/>
    </row>
    <row r="598" ht="22.5" customHeight="1">
      <c r="A598" s="25"/>
      <c r="B598" s="23"/>
      <c r="C598" s="26"/>
      <c r="D598" s="24"/>
      <c r="E598" s="24"/>
      <c r="F598" s="26"/>
      <c r="G598" s="30"/>
      <c r="H598" s="30">
        <f t="shared" si="7"/>
        <v>0</v>
      </c>
      <c r="I598" s="24" t="str">
        <f t="shared" si="3"/>
        <v/>
      </c>
      <c r="J598" s="80"/>
      <c r="K598" s="26"/>
      <c r="L598" s="30"/>
    </row>
    <row r="599" ht="22.5" customHeight="1">
      <c r="A599" s="25"/>
      <c r="B599" s="23"/>
      <c r="C599" s="26"/>
      <c r="D599" s="24"/>
      <c r="E599" s="24"/>
      <c r="F599" s="26"/>
      <c r="G599" s="30"/>
      <c r="H599" s="30">
        <f t="shared" si="7"/>
        <v>0</v>
      </c>
      <c r="I599" s="24" t="str">
        <f t="shared" si="3"/>
        <v/>
      </c>
      <c r="J599" s="80"/>
      <c r="K599" s="26"/>
      <c r="L599" s="30"/>
    </row>
    <row r="600" ht="22.5" customHeight="1">
      <c r="A600" s="25"/>
      <c r="B600" s="23"/>
      <c r="C600" s="26"/>
      <c r="D600" s="24"/>
      <c r="E600" s="24"/>
      <c r="F600" s="26"/>
      <c r="G600" s="30"/>
      <c r="H600" s="30">
        <f t="shared" si="7"/>
        <v>0</v>
      </c>
      <c r="I600" s="24" t="str">
        <f t="shared" si="3"/>
        <v/>
      </c>
      <c r="J600" s="80"/>
      <c r="K600" s="26"/>
      <c r="L600" s="30"/>
    </row>
    <row r="601" ht="22.5" customHeight="1">
      <c r="A601" s="25"/>
      <c r="B601" s="23"/>
      <c r="C601" s="26"/>
      <c r="D601" s="24"/>
      <c r="E601" s="24"/>
      <c r="F601" s="26"/>
      <c r="G601" s="30"/>
      <c r="H601" s="30">
        <f t="shared" si="7"/>
        <v>0</v>
      </c>
      <c r="I601" s="24" t="str">
        <f t="shared" si="3"/>
        <v/>
      </c>
      <c r="J601" s="80"/>
      <c r="K601" s="26"/>
      <c r="L601" s="30"/>
    </row>
    <row r="602" ht="22.5" customHeight="1">
      <c r="A602" s="25"/>
      <c r="B602" s="23"/>
      <c r="C602" s="26"/>
      <c r="D602" s="24"/>
      <c r="E602" s="24"/>
      <c r="F602" s="26"/>
      <c r="G602" s="30"/>
      <c r="H602" s="30">
        <f t="shared" si="7"/>
        <v>0</v>
      </c>
      <c r="I602" s="24" t="str">
        <f t="shared" si="3"/>
        <v/>
      </c>
      <c r="J602" s="80"/>
      <c r="K602" s="26"/>
      <c r="L602" s="30"/>
    </row>
    <row r="603" ht="22.5" customHeight="1">
      <c r="A603" s="25"/>
      <c r="B603" s="23"/>
      <c r="C603" s="26"/>
      <c r="D603" s="24"/>
      <c r="E603" s="24"/>
      <c r="F603" s="26"/>
      <c r="G603" s="30"/>
      <c r="H603" s="30">
        <f t="shared" si="7"/>
        <v>0</v>
      </c>
      <c r="I603" s="24" t="str">
        <f t="shared" si="3"/>
        <v/>
      </c>
      <c r="J603" s="80"/>
      <c r="K603" s="26"/>
      <c r="L603" s="30"/>
    </row>
    <row r="604" ht="22.5" customHeight="1">
      <c r="A604" s="25"/>
      <c r="B604" s="23"/>
      <c r="C604" s="26"/>
      <c r="D604" s="24"/>
      <c r="E604" s="24"/>
      <c r="F604" s="26"/>
      <c r="G604" s="30"/>
      <c r="H604" s="30">
        <f t="shared" si="7"/>
        <v>0</v>
      </c>
      <c r="I604" s="24" t="str">
        <f t="shared" si="3"/>
        <v/>
      </c>
      <c r="J604" s="80"/>
      <c r="K604" s="26"/>
      <c r="L604" s="30"/>
    </row>
    <row r="605" ht="22.5" customHeight="1">
      <c r="A605" s="25"/>
      <c r="B605" s="23"/>
      <c r="C605" s="26"/>
      <c r="D605" s="24"/>
      <c r="E605" s="24"/>
      <c r="F605" s="26"/>
      <c r="G605" s="30"/>
      <c r="H605" s="30">
        <f t="shared" si="7"/>
        <v>0</v>
      </c>
      <c r="I605" s="24" t="str">
        <f t="shared" si="3"/>
        <v/>
      </c>
      <c r="J605" s="80"/>
      <c r="K605" s="26"/>
      <c r="L605" s="30"/>
    </row>
    <row r="606" ht="22.5" customHeight="1">
      <c r="A606" s="25"/>
      <c r="B606" s="23"/>
      <c r="C606" s="26"/>
      <c r="D606" s="24"/>
      <c r="E606" s="24"/>
      <c r="F606" s="26"/>
      <c r="G606" s="30"/>
      <c r="H606" s="30">
        <f t="shared" si="7"/>
        <v>0</v>
      </c>
      <c r="I606" s="24" t="str">
        <f t="shared" si="3"/>
        <v/>
      </c>
      <c r="J606" s="80"/>
      <c r="K606" s="26"/>
      <c r="L606" s="30"/>
    </row>
    <row r="607" ht="22.5" customHeight="1">
      <c r="A607" s="25"/>
      <c r="B607" s="23"/>
      <c r="C607" s="26"/>
      <c r="D607" s="24"/>
      <c r="E607" s="24"/>
      <c r="F607" s="26"/>
      <c r="G607" s="30"/>
      <c r="H607" s="30">
        <f t="shared" si="7"/>
        <v>0</v>
      </c>
      <c r="I607" s="24" t="str">
        <f t="shared" si="3"/>
        <v/>
      </c>
      <c r="J607" s="80"/>
      <c r="K607" s="26"/>
      <c r="L607" s="30"/>
    </row>
    <row r="608" ht="22.5" customHeight="1">
      <c r="A608" s="25"/>
      <c r="B608" s="23"/>
      <c r="C608" s="26"/>
      <c r="D608" s="24"/>
      <c r="E608" s="24"/>
      <c r="F608" s="26"/>
      <c r="G608" s="30"/>
      <c r="H608" s="30">
        <f t="shared" si="7"/>
        <v>0</v>
      </c>
      <c r="I608" s="24" t="str">
        <f t="shared" si="3"/>
        <v/>
      </c>
      <c r="J608" s="80"/>
      <c r="K608" s="26"/>
      <c r="L608" s="30"/>
    </row>
    <row r="609" ht="22.5" customHeight="1">
      <c r="A609" s="25"/>
      <c r="B609" s="23"/>
      <c r="C609" s="26"/>
      <c r="D609" s="24"/>
      <c r="E609" s="24"/>
      <c r="F609" s="26"/>
      <c r="G609" s="30"/>
      <c r="H609" s="30">
        <f t="shared" si="7"/>
        <v>0</v>
      </c>
      <c r="I609" s="24" t="str">
        <f t="shared" si="3"/>
        <v/>
      </c>
      <c r="J609" s="80"/>
      <c r="K609" s="26"/>
      <c r="L609" s="30"/>
    </row>
    <row r="610" ht="22.5" customHeight="1">
      <c r="A610" s="25"/>
      <c r="B610" s="23"/>
      <c r="C610" s="26"/>
      <c r="D610" s="24"/>
      <c r="E610" s="24"/>
      <c r="F610" s="26"/>
      <c r="G610" s="30"/>
      <c r="H610" s="30">
        <f t="shared" si="7"/>
        <v>0</v>
      </c>
      <c r="I610" s="24" t="str">
        <f t="shared" si="3"/>
        <v/>
      </c>
      <c r="J610" s="80"/>
      <c r="K610" s="26"/>
      <c r="L610" s="30"/>
    </row>
    <row r="611" ht="22.5" customHeight="1">
      <c r="A611" s="25"/>
      <c r="B611" s="23"/>
      <c r="C611" s="26"/>
      <c r="D611" s="24"/>
      <c r="E611" s="24"/>
      <c r="F611" s="26"/>
      <c r="G611" s="30"/>
      <c r="H611" s="30">
        <f t="shared" si="7"/>
        <v>0</v>
      </c>
      <c r="I611" s="24" t="str">
        <f t="shared" si="3"/>
        <v/>
      </c>
      <c r="J611" s="80"/>
      <c r="K611" s="26"/>
      <c r="L611" s="30"/>
    </row>
    <row r="612" ht="22.5" customHeight="1">
      <c r="A612" s="25"/>
      <c r="B612" s="23"/>
      <c r="C612" s="26"/>
      <c r="D612" s="24"/>
      <c r="E612" s="24"/>
      <c r="F612" s="26"/>
      <c r="G612" s="30"/>
      <c r="H612" s="30">
        <f t="shared" si="7"/>
        <v>0</v>
      </c>
      <c r="I612" s="24" t="str">
        <f t="shared" si="3"/>
        <v/>
      </c>
      <c r="J612" s="80"/>
      <c r="K612" s="26"/>
      <c r="L612" s="30"/>
    </row>
    <row r="613" ht="22.5" customHeight="1">
      <c r="A613" s="25"/>
      <c r="B613" s="23"/>
      <c r="C613" s="26"/>
      <c r="D613" s="24"/>
      <c r="E613" s="24"/>
      <c r="F613" s="26"/>
      <c r="G613" s="30"/>
      <c r="H613" s="30">
        <f t="shared" si="7"/>
        <v>0</v>
      </c>
      <c r="I613" s="24" t="str">
        <f t="shared" si="3"/>
        <v/>
      </c>
      <c r="J613" s="80"/>
      <c r="K613" s="26"/>
      <c r="L613" s="30"/>
    </row>
    <row r="614" ht="22.5" customHeight="1">
      <c r="A614" s="25"/>
      <c r="B614" s="23"/>
      <c r="C614" s="26"/>
      <c r="D614" s="24"/>
      <c r="E614" s="24"/>
      <c r="F614" s="26"/>
      <c r="G614" s="30"/>
      <c r="H614" s="30">
        <f t="shared" si="7"/>
        <v>0</v>
      </c>
      <c r="I614" s="24" t="str">
        <f t="shared" si="3"/>
        <v/>
      </c>
      <c r="J614" s="80"/>
      <c r="K614" s="26"/>
      <c r="L614" s="30"/>
    </row>
    <row r="615" ht="22.5" customHeight="1">
      <c r="A615" s="25"/>
      <c r="B615" s="23"/>
      <c r="C615" s="26"/>
      <c r="D615" s="24"/>
      <c r="E615" s="24"/>
      <c r="F615" s="26"/>
      <c r="G615" s="30"/>
      <c r="H615" s="30">
        <f t="shared" si="7"/>
        <v>0</v>
      </c>
      <c r="I615" s="24" t="str">
        <f t="shared" si="3"/>
        <v/>
      </c>
      <c r="J615" s="80"/>
      <c r="K615" s="26"/>
      <c r="L615" s="30"/>
    </row>
    <row r="616" ht="22.5" customHeight="1">
      <c r="A616" s="25"/>
      <c r="B616" s="23"/>
      <c r="C616" s="26"/>
      <c r="D616" s="24"/>
      <c r="E616" s="24"/>
      <c r="F616" s="26"/>
      <c r="G616" s="30"/>
      <c r="H616" s="30">
        <f t="shared" si="7"/>
        <v>0</v>
      </c>
      <c r="I616" s="24" t="str">
        <f t="shared" si="3"/>
        <v/>
      </c>
      <c r="J616" s="80"/>
      <c r="K616" s="26"/>
      <c r="L616" s="30"/>
    </row>
    <row r="617" ht="22.5" customHeight="1">
      <c r="A617" s="25"/>
      <c r="B617" s="23"/>
      <c r="C617" s="26"/>
      <c r="D617" s="24"/>
      <c r="E617" s="24"/>
      <c r="F617" s="26"/>
      <c r="G617" s="30"/>
      <c r="H617" s="30">
        <f t="shared" si="7"/>
        <v>0</v>
      </c>
      <c r="I617" s="24" t="str">
        <f t="shared" si="3"/>
        <v/>
      </c>
      <c r="J617" s="80"/>
      <c r="K617" s="26"/>
      <c r="L617" s="30"/>
    </row>
    <row r="618" ht="22.5" customHeight="1">
      <c r="A618" s="25"/>
      <c r="B618" s="23"/>
      <c r="C618" s="26"/>
      <c r="D618" s="24"/>
      <c r="E618" s="24"/>
      <c r="F618" s="26"/>
      <c r="G618" s="30"/>
      <c r="H618" s="30">
        <f t="shared" si="7"/>
        <v>0</v>
      </c>
      <c r="I618" s="24" t="str">
        <f t="shared" si="3"/>
        <v/>
      </c>
      <c r="J618" s="80"/>
      <c r="K618" s="26"/>
      <c r="L618" s="30"/>
    </row>
    <row r="619" ht="22.5" customHeight="1">
      <c r="A619" s="25"/>
      <c r="B619" s="23"/>
      <c r="C619" s="26"/>
      <c r="D619" s="24"/>
      <c r="E619" s="24"/>
      <c r="F619" s="26"/>
      <c r="G619" s="30"/>
      <c r="H619" s="30">
        <f t="shared" si="7"/>
        <v>0</v>
      </c>
      <c r="I619" s="24" t="str">
        <f t="shared" si="3"/>
        <v/>
      </c>
      <c r="J619" s="80"/>
      <c r="K619" s="26"/>
      <c r="L619" s="30"/>
    </row>
    <row r="620" ht="22.5" customHeight="1">
      <c r="A620" s="25"/>
      <c r="B620" s="23"/>
      <c r="C620" s="26"/>
      <c r="D620" s="24"/>
      <c r="E620" s="24"/>
      <c r="F620" s="26"/>
      <c r="G620" s="30"/>
      <c r="H620" s="30">
        <f t="shared" si="7"/>
        <v>0</v>
      </c>
      <c r="I620" s="24" t="str">
        <f t="shared" si="3"/>
        <v/>
      </c>
      <c r="J620" s="80"/>
      <c r="K620" s="26"/>
      <c r="L620" s="30"/>
    </row>
    <row r="621" ht="22.5" customHeight="1">
      <c r="A621" s="25"/>
      <c r="B621" s="23"/>
      <c r="C621" s="26"/>
      <c r="D621" s="24"/>
      <c r="E621" s="24"/>
      <c r="F621" s="26"/>
      <c r="G621" s="30"/>
      <c r="H621" s="30">
        <f t="shared" si="7"/>
        <v>0</v>
      </c>
      <c r="I621" s="24" t="str">
        <f t="shared" si="3"/>
        <v/>
      </c>
      <c r="J621" s="80"/>
      <c r="K621" s="26"/>
      <c r="L621" s="30"/>
    </row>
    <row r="622" ht="22.5" customHeight="1">
      <c r="A622" s="25"/>
      <c r="B622" s="23"/>
      <c r="C622" s="26"/>
      <c r="D622" s="24"/>
      <c r="E622" s="24"/>
      <c r="F622" s="26"/>
      <c r="G622" s="30"/>
      <c r="H622" s="30">
        <f t="shared" si="7"/>
        <v>0</v>
      </c>
      <c r="I622" s="24" t="str">
        <f t="shared" si="3"/>
        <v/>
      </c>
      <c r="J622" s="80"/>
      <c r="K622" s="26"/>
      <c r="L622" s="30"/>
    </row>
    <row r="623" ht="22.5" customHeight="1">
      <c r="A623" s="25"/>
      <c r="B623" s="23"/>
      <c r="C623" s="26"/>
      <c r="D623" s="24"/>
      <c r="E623" s="24"/>
      <c r="F623" s="26"/>
      <c r="G623" s="30"/>
      <c r="H623" s="30">
        <f t="shared" si="7"/>
        <v>0</v>
      </c>
      <c r="I623" s="24" t="str">
        <f t="shared" si="3"/>
        <v/>
      </c>
      <c r="J623" s="80"/>
      <c r="K623" s="26"/>
      <c r="L623" s="30"/>
    </row>
    <row r="624" ht="22.5" customHeight="1">
      <c r="A624" s="25"/>
      <c r="B624" s="23"/>
      <c r="C624" s="26"/>
      <c r="D624" s="24"/>
      <c r="E624" s="24"/>
      <c r="F624" s="26"/>
      <c r="G624" s="30"/>
      <c r="H624" s="30">
        <f t="shared" si="7"/>
        <v>0</v>
      </c>
      <c r="I624" s="24" t="str">
        <f t="shared" si="3"/>
        <v/>
      </c>
      <c r="J624" s="80"/>
      <c r="K624" s="26"/>
      <c r="L624" s="30"/>
    </row>
    <row r="625" ht="22.5" customHeight="1">
      <c r="A625" s="25"/>
      <c r="B625" s="23"/>
      <c r="C625" s="26"/>
      <c r="D625" s="24"/>
      <c r="E625" s="24"/>
      <c r="F625" s="26"/>
      <c r="G625" s="30"/>
      <c r="H625" s="30">
        <f t="shared" si="7"/>
        <v>0</v>
      </c>
      <c r="I625" s="24" t="str">
        <f t="shared" si="3"/>
        <v/>
      </c>
      <c r="J625" s="80"/>
      <c r="K625" s="26"/>
      <c r="L625" s="30"/>
    </row>
    <row r="626" ht="22.5" customHeight="1">
      <c r="A626" s="25"/>
      <c r="B626" s="23"/>
      <c r="C626" s="26"/>
      <c r="D626" s="24"/>
      <c r="E626" s="24"/>
      <c r="F626" s="26"/>
      <c r="G626" s="30"/>
      <c r="H626" s="30">
        <f t="shared" si="7"/>
        <v>0</v>
      </c>
      <c r="I626" s="24" t="str">
        <f t="shared" si="3"/>
        <v/>
      </c>
      <c r="J626" s="80"/>
      <c r="K626" s="26"/>
      <c r="L626" s="30"/>
    </row>
    <row r="627" ht="22.5" customHeight="1">
      <c r="A627" s="25"/>
      <c r="B627" s="23"/>
      <c r="C627" s="26"/>
      <c r="D627" s="24"/>
      <c r="E627" s="24"/>
      <c r="F627" s="26"/>
      <c r="G627" s="30"/>
      <c r="H627" s="30">
        <f t="shared" si="7"/>
        <v>0</v>
      </c>
      <c r="I627" s="24" t="str">
        <f t="shared" si="3"/>
        <v/>
      </c>
      <c r="J627" s="80"/>
      <c r="K627" s="26"/>
      <c r="L627" s="30"/>
    </row>
    <row r="628" ht="22.5" customHeight="1">
      <c r="A628" s="25"/>
      <c r="B628" s="23"/>
      <c r="C628" s="26"/>
      <c r="D628" s="24"/>
      <c r="E628" s="24"/>
      <c r="F628" s="26"/>
      <c r="G628" s="30"/>
      <c r="H628" s="30">
        <f t="shared" si="7"/>
        <v>0</v>
      </c>
      <c r="I628" s="24" t="str">
        <f t="shared" si="3"/>
        <v/>
      </c>
      <c r="J628" s="80"/>
      <c r="K628" s="26"/>
      <c r="L628" s="30"/>
    </row>
    <row r="629" ht="22.5" customHeight="1">
      <c r="A629" s="25"/>
      <c r="B629" s="23"/>
      <c r="C629" s="26"/>
      <c r="D629" s="24"/>
      <c r="E629" s="24"/>
      <c r="F629" s="26"/>
      <c r="G629" s="30"/>
      <c r="H629" s="30">
        <f t="shared" si="7"/>
        <v>0</v>
      </c>
      <c r="I629" s="24" t="str">
        <f t="shared" si="3"/>
        <v/>
      </c>
      <c r="J629" s="80"/>
      <c r="K629" s="26"/>
      <c r="L629" s="30"/>
    </row>
    <row r="630" ht="22.5" customHeight="1">
      <c r="A630" s="25"/>
      <c r="B630" s="23"/>
      <c r="C630" s="26"/>
      <c r="D630" s="24"/>
      <c r="E630" s="24"/>
      <c r="F630" s="26"/>
      <c r="G630" s="30"/>
      <c r="H630" s="30">
        <f t="shared" si="7"/>
        <v>0</v>
      </c>
      <c r="I630" s="24" t="str">
        <f t="shared" si="3"/>
        <v/>
      </c>
      <c r="J630" s="80"/>
      <c r="K630" s="26"/>
      <c r="L630" s="30"/>
    </row>
    <row r="631" ht="22.5" customHeight="1">
      <c r="A631" s="25"/>
      <c r="B631" s="23"/>
      <c r="C631" s="26"/>
      <c r="D631" s="24"/>
      <c r="E631" s="24"/>
      <c r="F631" s="26"/>
      <c r="G631" s="30"/>
      <c r="H631" s="30">
        <f t="shared" si="7"/>
        <v>0</v>
      </c>
      <c r="I631" s="24" t="str">
        <f t="shared" si="3"/>
        <v/>
      </c>
      <c r="J631" s="80"/>
      <c r="K631" s="26"/>
      <c r="L631" s="30"/>
    </row>
    <row r="632" ht="22.5" customHeight="1">
      <c r="A632" s="25"/>
      <c r="B632" s="23"/>
      <c r="C632" s="26"/>
      <c r="D632" s="24"/>
      <c r="E632" s="24"/>
      <c r="F632" s="26"/>
      <c r="G632" s="30"/>
      <c r="H632" s="30">
        <f t="shared" si="7"/>
        <v>0</v>
      </c>
      <c r="I632" s="24" t="str">
        <f t="shared" si="3"/>
        <v/>
      </c>
      <c r="J632" s="80"/>
      <c r="K632" s="26"/>
      <c r="L632" s="30"/>
    </row>
    <row r="633" ht="22.5" customHeight="1">
      <c r="A633" s="25"/>
      <c r="B633" s="23"/>
      <c r="C633" s="26"/>
      <c r="D633" s="24"/>
      <c r="E633" s="24"/>
      <c r="F633" s="26"/>
      <c r="G633" s="30"/>
      <c r="H633" s="30">
        <f t="shared" si="7"/>
        <v>0</v>
      </c>
      <c r="I633" s="24" t="str">
        <f t="shared" si="3"/>
        <v/>
      </c>
      <c r="J633" s="80"/>
      <c r="K633" s="26"/>
      <c r="L633" s="30"/>
    </row>
    <row r="634" ht="22.5" customHeight="1">
      <c r="A634" s="25"/>
      <c r="B634" s="23"/>
      <c r="C634" s="26"/>
      <c r="D634" s="24"/>
      <c r="E634" s="24"/>
      <c r="F634" s="26"/>
      <c r="G634" s="30"/>
      <c r="H634" s="30">
        <f t="shared" si="7"/>
        <v>0</v>
      </c>
      <c r="I634" s="24" t="str">
        <f t="shared" si="3"/>
        <v/>
      </c>
      <c r="J634" s="80"/>
      <c r="K634" s="26"/>
      <c r="L634" s="30"/>
    </row>
    <row r="635" ht="22.5" customHeight="1">
      <c r="A635" s="25"/>
      <c r="B635" s="23"/>
      <c r="C635" s="26"/>
      <c r="D635" s="24"/>
      <c r="E635" s="24"/>
      <c r="F635" s="26"/>
      <c r="G635" s="30"/>
      <c r="H635" s="30">
        <f t="shared" si="7"/>
        <v>0</v>
      </c>
      <c r="I635" s="24" t="str">
        <f t="shared" si="3"/>
        <v/>
      </c>
      <c r="J635" s="80"/>
      <c r="K635" s="26"/>
      <c r="L635" s="30"/>
    </row>
    <row r="636" ht="22.5" customHeight="1">
      <c r="A636" s="25"/>
      <c r="B636" s="23"/>
      <c r="C636" s="26"/>
      <c r="D636" s="24"/>
      <c r="E636" s="24"/>
      <c r="F636" s="26"/>
      <c r="G636" s="30"/>
      <c r="H636" s="30">
        <f t="shared" si="7"/>
        <v>0</v>
      </c>
      <c r="I636" s="24" t="str">
        <f t="shared" si="3"/>
        <v/>
      </c>
      <c r="J636" s="80"/>
      <c r="K636" s="26"/>
      <c r="L636" s="30"/>
    </row>
    <row r="637" ht="22.5" customHeight="1">
      <c r="A637" s="25"/>
      <c r="B637" s="23"/>
      <c r="C637" s="26"/>
      <c r="D637" s="24"/>
      <c r="E637" s="24"/>
      <c r="F637" s="26"/>
      <c r="G637" s="30"/>
      <c r="H637" s="30">
        <f t="shared" si="7"/>
        <v>0</v>
      </c>
      <c r="I637" s="24" t="str">
        <f t="shared" si="3"/>
        <v/>
      </c>
      <c r="J637" s="80"/>
      <c r="K637" s="26"/>
      <c r="L637" s="30"/>
    </row>
    <row r="638" ht="22.5" customHeight="1">
      <c r="A638" s="25"/>
      <c r="B638" s="23"/>
      <c r="C638" s="26"/>
      <c r="D638" s="24"/>
      <c r="E638" s="24"/>
      <c r="F638" s="26"/>
      <c r="G638" s="30"/>
      <c r="H638" s="30">
        <f t="shared" si="7"/>
        <v>0</v>
      </c>
      <c r="I638" s="24" t="str">
        <f t="shared" si="3"/>
        <v/>
      </c>
      <c r="J638" s="80"/>
      <c r="K638" s="26"/>
      <c r="L638" s="30"/>
    </row>
    <row r="639" ht="22.5" customHeight="1">
      <c r="A639" s="25"/>
      <c r="B639" s="23"/>
      <c r="C639" s="26"/>
      <c r="D639" s="24"/>
      <c r="E639" s="24"/>
      <c r="F639" s="26"/>
      <c r="G639" s="30"/>
      <c r="H639" s="30">
        <f t="shared" si="7"/>
        <v>0</v>
      </c>
      <c r="I639" s="24" t="str">
        <f t="shared" si="3"/>
        <v/>
      </c>
      <c r="J639" s="80"/>
      <c r="K639" s="26"/>
      <c r="L639" s="30"/>
    </row>
    <row r="640" ht="22.5" customHeight="1">
      <c r="A640" s="25"/>
      <c r="B640" s="23"/>
      <c r="C640" s="26"/>
      <c r="D640" s="24"/>
      <c r="E640" s="24"/>
      <c r="F640" s="26"/>
      <c r="G640" s="30"/>
      <c r="H640" s="30">
        <f t="shared" si="7"/>
        <v>0</v>
      </c>
      <c r="I640" s="24" t="str">
        <f t="shared" si="3"/>
        <v/>
      </c>
      <c r="J640" s="80"/>
      <c r="K640" s="26"/>
      <c r="L640" s="30"/>
    </row>
    <row r="641" ht="22.5" customHeight="1">
      <c r="A641" s="25"/>
      <c r="B641" s="23"/>
      <c r="C641" s="26"/>
      <c r="D641" s="24"/>
      <c r="E641" s="24"/>
      <c r="F641" s="26"/>
      <c r="G641" s="30"/>
      <c r="H641" s="30">
        <f t="shared" si="7"/>
        <v>0</v>
      </c>
      <c r="I641" s="24" t="str">
        <f t="shared" si="3"/>
        <v/>
      </c>
      <c r="J641" s="80"/>
      <c r="K641" s="26"/>
      <c r="L641" s="30"/>
    </row>
    <row r="642" ht="22.5" customHeight="1">
      <c r="A642" s="25"/>
      <c r="B642" s="23"/>
      <c r="C642" s="26"/>
      <c r="D642" s="24"/>
      <c r="E642" s="24"/>
      <c r="F642" s="26"/>
      <c r="G642" s="30"/>
      <c r="H642" s="30">
        <f t="shared" si="7"/>
        <v>0</v>
      </c>
      <c r="I642" s="24" t="str">
        <f t="shared" si="3"/>
        <v/>
      </c>
      <c r="J642" s="80"/>
      <c r="K642" s="26"/>
      <c r="L642" s="30"/>
    </row>
    <row r="643" ht="22.5" customHeight="1">
      <c r="A643" s="25"/>
      <c r="B643" s="23"/>
      <c r="C643" s="26"/>
      <c r="D643" s="24"/>
      <c r="E643" s="24"/>
      <c r="F643" s="26"/>
      <c r="G643" s="30"/>
      <c r="H643" s="30">
        <f t="shared" si="7"/>
        <v>0</v>
      </c>
      <c r="I643" s="24" t="str">
        <f t="shared" si="3"/>
        <v/>
      </c>
      <c r="J643" s="80"/>
      <c r="K643" s="26"/>
      <c r="L643" s="30"/>
    </row>
    <row r="644" ht="22.5" customHeight="1">
      <c r="A644" s="25"/>
      <c r="B644" s="23"/>
      <c r="C644" s="26"/>
      <c r="D644" s="24"/>
      <c r="E644" s="24"/>
      <c r="F644" s="26"/>
      <c r="G644" s="30"/>
      <c r="H644" s="30">
        <f t="shared" si="7"/>
        <v>0</v>
      </c>
      <c r="I644" s="24" t="str">
        <f t="shared" si="3"/>
        <v/>
      </c>
      <c r="J644" s="80"/>
      <c r="K644" s="26"/>
      <c r="L644" s="30"/>
    </row>
    <row r="645" ht="22.5" customHeight="1">
      <c r="A645" s="25"/>
      <c r="B645" s="23"/>
      <c r="C645" s="26"/>
      <c r="D645" s="24"/>
      <c r="E645" s="24"/>
      <c r="F645" s="26"/>
      <c r="G645" s="30"/>
      <c r="H645" s="30">
        <f t="shared" si="7"/>
        <v>0</v>
      </c>
      <c r="I645" s="24" t="str">
        <f t="shared" si="3"/>
        <v/>
      </c>
      <c r="J645" s="80"/>
      <c r="K645" s="26"/>
      <c r="L645" s="30"/>
    </row>
    <row r="646" ht="22.5" customHeight="1">
      <c r="A646" s="25"/>
      <c r="B646" s="23"/>
      <c r="C646" s="26"/>
      <c r="D646" s="24"/>
      <c r="E646" s="24"/>
      <c r="F646" s="26"/>
      <c r="G646" s="30"/>
      <c r="H646" s="30">
        <f t="shared" si="7"/>
        <v>0</v>
      </c>
      <c r="I646" s="24" t="str">
        <f t="shared" si="3"/>
        <v/>
      </c>
      <c r="J646" s="80"/>
      <c r="K646" s="26"/>
      <c r="L646" s="30"/>
    </row>
    <row r="647" ht="22.5" customHeight="1">
      <c r="A647" s="25"/>
      <c r="B647" s="23"/>
      <c r="C647" s="26"/>
      <c r="D647" s="24"/>
      <c r="E647" s="24"/>
      <c r="F647" s="26"/>
      <c r="G647" s="30"/>
      <c r="H647" s="30">
        <f t="shared" si="7"/>
        <v>0</v>
      </c>
      <c r="I647" s="24" t="str">
        <f t="shared" si="3"/>
        <v/>
      </c>
      <c r="J647" s="80"/>
      <c r="K647" s="26"/>
      <c r="L647" s="30"/>
    </row>
    <row r="648" ht="22.5" customHeight="1">
      <c r="A648" s="25"/>
      <c r="B648" s="23"/>
      <c r="C648" s="26"/>
      <c r="D648" s="24"/>
      <c r="E648" s="24"/>
      <c r="F648" s="26"/>
      <c r="G648" s="30"/>
      <c r="H648" s="30">
        <f t="shared" si="7"/>
        <v>0</v>
      </c>
      <c r="I648" s="24" t="str">
        <f t="shared" si="3"/>
        <v/>
      </c>
      <c r="J648" s="80"/>
      <c r="K648" s="26"/>
      <c r="L648" s="30"/>
    </row>
    <row r="649" ht="22.5" customHeight="1">
      <c r="A649" s="25"/>
      <c r="B649" s="23"/>
      <c r="C649" s="26"/>
      <c r="D649" s="24"/>
      <c r="E649" s="24"/>
      <c r="F649" s="26"/>
      <c r="G649" s="30"/>
      <c r="H649" s="30">
        <f t="shared" si="7"/>
        <v>0</v>
      </c>
      <c r="I649" s="24" t="str">
        <f t="shared" si="3"/>
        <v/>
      </c>
      <c r="J649" s="80"/>
      <c r="K649" s="26"/>
      <c r="L649" s="30"/>
    </row>
    <row r="650" ht="22.5" customHeight="1">
      <c r="A650" s="25"/>
      <c r="B650" s="23"/>
      <c r="C650" s="26"/>
      <c r="D650" s="24"/>
      <c r="E650" s="24"/>
      <c r="F650" s="26"/>
      <c r="G650" s="30"/>
      <c r="H650" s="30">
        <f t="shared" si="7"/>
        <v>0</v>
      </c>
      <c r="I650" s="24" t="str">
        <f t="shared" si="3"/>
        <v/>
      </c>
      <c r="J650" s="80"/>
      <c r="K650" s="26"/>
      <c r="L650" s="30"/>
    </row>
    <row r="651" ht="22.5" customHeight="1">
      <c r="A651" s="25"/>
      <c r="B651" s="23"/>
      <c r="C651" s="26"/>
      <c r="D651" s="24"/>
      <c r="E651" s="24"/>
      <c r="F651" s="26"/>
      <c r="G651" s="30"/>
      <c r="H651" s="30">
        <f t="shared" si="7"/>
        <v>0</v>
      </c>
      <c r="I651" s="24" t="str">
        <f t="shared" si="3"/>
        <v/>
      </c>
      <c r="J651" s="80"/>
      <c r="K651" s="26"/>
      <c r="L651" s="30"/>
    </row>
    <row r="652" ht="22.5" customHeight="1">
      <c r="A652" s="25"/>
      <c r="B652" s="23"/>
      <c r="C652" s="26"/>
      <c r="D652" s="24"/>
      <c r="E652" s="24"/>
      <c r="F652" s="26"/>
      <c r="G652" s="30"/>
      <c r="H652" s="30">
        <f t="shared" si="7"/>
        <v>0</v>
      </c>
      <c r="I652" s="24" t="str">
        <f t="shared" si="3"/>
        <v/>
      </c>
      <c r="J652" s="80"/>
      <c r="K652" s="26"/>
      <c r="L652" s="30"/>
    </row>
    <row r="653" ht="22.5" customHeight="1">
      <c r="A653" s="25"/>
      <c r="B653" s="23"/>
      <c r="C653" s="26"/>
      <c r="D653" s="24"/>
      <c r="E653" s="24"/>
      <c r="F653" s="26"/>
      <c r="G653" s="30"/>
      <c r="H653" s="30">
        <f t="shared" si="7"/>
        <v>0</v>
      </c>
      <c r="I653" s="24" t="str">
        <f t="shared" si="3"/>
        <v/>
      </c>
      <c r="J653" s="80"/>
      <c r="K653" s="26"/>
      <c r="L653" s="30"/>
    </row>
    <row r="654" ht="22.5" customHeight="1">
      <c r="A654" s="25"/>
      <c r="B654" s="23"/>
      <c r="C654" s="26"/>
      <c r="D654" s="24"/>
      <c r="E654" s="24"/>
      <c r="F654" s="26"/>
      <c r="G654" s="30"/>
      <c r="H654" s="30">
        <f t="shared" si="7"/>
        <v>0</v>
      </c>
      <c r="I654" s="24" t="str">
        <f t="shared" si="3"/>
        <v/>
      </c>
      <c r="J654" s="80"/>
      <c r="K654" s="26"/>
      <c r="L654" s="30"/>
    </row>
    <row r="655" ht="22.5" customHeight="1">
      <c r="A655" s="25"/>
      <c r="B655" s="23"/>
      <c r="C655" s="26"/>
      <c r="D655" s="24"/>
      <c r="E655" s="24"/>
      <c r="F655" s="26"/>
      <c r="G655" s="30"/>
      <c r="H655" s="30">
        <f t="shared" si="7"/>
        <v>0</v>
      </c>
      <c r="I655" s="24" t="str">
        <f t="shared" si="3"/>
        <v/>
      </c>
      <c r="J655" s="80"/>
      <c r="K655" s="26"/>
      <c r="L655" s="30"/>
    </row>
    <row r="656" ht="22.5" customHeight="1">
      <c r="A656" s="25"/>
      <c r="B656" s="23"/>
      <c r="C656" s="26"/>
      <c r="D656" s="24"/>
      <c r="E656" s="24"/>
      <c r="F656" s="26"/>
      <c r="G656" s="30"/>
      <c r="H656" s="30">
        <f t="shared" si="7"/>
        <v>0</v>
      </c>
      <c r="I656" s="24" t="str">
        <f t="shared" si="3"/>
        <v/>
      </c>
      <c r="J656" s="80"/>
      <c r="K656" s="26"/>
      <c r="L656" s="30"/>
    </row>
    <row r="657" ht="22.5" customHeight="1">
      <c r="A657" s="25"/>
      <c r="B657" s="23"/>
      <c r="C657" s="26"/>
      <c r="D657" s="24"/>
      <c r="E657" s="24"/>
      <c r="F657" s="26"/>
      <c r="G657" s="30"/>
      <c r="H657" s="30">
        <f t="shared" si="7"/>
        <v>0</v>
      </c>
      <c r="I657" s="24" t="str">
        <f t="shared" si="3"/>
        <v/>
      </c>
      <c r="J657" s="80"/>
      <c r="K657" s="26"/>
      <c r="L657" s="30"/>
    </row>
    <row r="658" ht="22.5" customHeight="1">
      <c r="A658" s="25"/>
      <c r="B658" s="23"/>
      <c r="C658" s="26"/>
      <c r="D658" s="24"/>
      <c r="E658" s="24"/>
      <c r="F658" s="26"/>
      <c r="G658" s="30"/>
      <c r="H658" s="30">
        <f t="shared" si="7"/>
        <v>0</v>
      </c>
      <c r="I658" s="24" t="str">
        <f t="shared" si="3"/>
        <v/>
      </c>
      <c r="J658" s="80"/>
      <c r="K658" s="26"/>
      <c r="L658" s="30"/>
    </row>
    <row r="659" ht="22.5" customHeight="1">
      <c r="A659" s="25"/>
      <c r="B659" s="23"/>
      <c r="C659" s="26"/>
      <c r="D659" s="24"/>
      <c r="E659" s="24"/>
      <c r="F659" s="26"/>
      <c r="G659" s="30"/>
      <c r="H659" s="30">
        <f t="shared" si="7"/>
        <v>0</v>
      </c>
      <c r="I659" s="24" t="str">
        <f t="shared" si="3"/>
        <v/>
      </c>
      <c r="J659" s="80"/>
      <c r="K659" s="26"/>
      <c r="L659" s="30"/>
    </row>
    <row r="660" ht="22.5" customHeight="1">
      <c r="A660" s="25"/>
      <c r="B660" s="23"/>
      <c r="C660" s="26"/>
      <c r="D660" s="24"/>
      <c r="E660" s="24"/>
      <c r="F660" s="26"/>
      <c r="G660" s="30"/>
      <c r="H660" s="30">
        <f t="shared" si="7"/>
        <v>0</v>
      </c>
      <c r="I660" s="24" t="str">
        <f t="shared" si="3"/>
        <v/>
      </c>
      <c r="J660" s="80"/>
      <c r="K660" s="26"/>
      <c r="L660" s="30"/>
    </row>
    <row r="661" ht="22.5" customHeight="1">
      <c r="A661" s="25"/>
      <c r="B661" s="23"/>
      <c r="C661" s="26"/>
      <c r="D661" s="24"/>
      <c r="E661" s="24"/>
      <c r="F661" s="26"/>
      <c r="G661" s="30"/>
      <c r="H661" s="30">
        <f t="shared" si="7"/>
        <v>0</v>
      </c>
      <c r="I661" s="24" t="str">
        <f t="shared" si="3"/>
        <v/>
      </c>
      <c r="J661" s="80"/>
      <c r="K661" s="26"/>
      <c r="L661" s="30"/>
    </row>
    <row r="662" ht="22.5" customHeight="1">
      <c r="A662" s="25"/>
      <c r="B662" s="23"/>
      <c r="C662" s="26"/>
      <c r="D662" s="24"/>
      <c r="E662" s="24"/>
      <c r="F662" s="26"/>
      <c r="G662" s="30"/>
      <c r="H662" s="30">
        <f t="shared" si="7"/>
        <v>0</v>
      </c>
      <c r="I662" s="24" t="str">
        <f t="shared" si="3"/>
        <v/>
      </c>
      <c r="J662" s="80"/>
      <c r="K662" s="26"/>
      <c r="L662" s="30"/>
    </row>
    <row r="663" ht="22.5" customHeight="1">
      <c r="A663" s="25"/>
      <c r="B663" s="23"/>
      <c r="C663" s="26"/>
      <c r="D663" s="24"/>
      <c r="E663" s="24"/>
      <c r="F663" s="26"/>
      <c r="G663" s="30"/>
      <c r="H663" s="30">
        <f t="shared" si="7"/>
        <v>0</v>
      </c>
      <c r="I663" s="24" t="str">
        <f t="shared" si="3"/>
        <v/>
      </c>
      <c r="J663" s="80"/>
      <c r="K663" s="26"/>
      <c r="L663" s="30"/>
    </row>
    <row r="664" ht="22.5" customHeight="1">
      <c r="A664" s="25"/>
      <c r="B664" s="23"/>
      <c r="C664" s="26"/>
      <c r="D664" s="24"/>
      <c r="E664" s="24"/>
      <c r="F664" s="26"/>
      <c r="G664" s="30"/>
      <c r="H664" s="30">
        <f t="shared" si="7"/>
        <v>0</v>
      </c>
      <c r="I664" s="24" t="str">
        <f t="shared" si="3"/>
        <v/>
      </c>
      <c r="J664" s="80"/>
      <c r="K664" s="26"/>
      <c r="L664" s="30"/>
    </row>
    <row r="665" ht="22.5" customHeight="1">
      <c r="A665" s="25"/>
      <c r="B665" s="23"/>
      <c r="C665" s="26"/>
      <c r="D665" s="24"/>
      <c r="E665" s="24"/>
      <c r="F665" s="26"/>
      <c r="G665" s="30"/>
      <c r="H665" s="30">
        <f t="shared" si="7"/>
        <v>0</v>
      </c>
      <c r="I665" s="24" t="str">
        <f t="shared" si="3"/>
        <v/>
      </c>
      <c r="J665" s="80"/>
      <c r="K665" s="26"/>
      <c r="L665" s="30"/>
    </row>
    <row r="666" ht="22.5" customHeight="1">
      <c r="A666" s="25"/>
      <c r="B666" s="23"/>
      <c r="C666" s="26"/>
      <c r="D666" s="24"/>
      <c r="E666" s="24"/>
      <c r="F666" s="26"/>
      <c r="G666" s="30"/>
      <c r="H666" s="30">
        <f t="shared" si="7"/>
        <v>0</v>
      </c>
      <c r="I666" s="24" t="str">
        <f t="shared" si="3"/>
        <v/>
      </c>
      <c r="J666" s="80"/>
      <c r="K666" s="26"/>
      <c r="L666" s="30"/>
    </row>
    <row r="667" ht="22.5" customHeight="1">
      <c r="A667" s="25"/>
      <c r="B667" s="23"/>
      <c r="C667" s="26"/>
      <c r="D667" s="24"/>
      <c r="E667" s="24"/>
      <c r="F667" s="26"/>
      <c r="G667" s="30"/>
      <c r="H667" s="30">
        <f t="shared" si="7"/>
        <v>0</v>
      </c>
      <c r="I667" s="24" t="str">
        <f t="shared" si="3"/>
        <v/>
      </c>
      <c r="J667" s="80"/>
      <c r="K667" s="26"/>
      <c r="L667" s="30"/>
    </row>
    <row r="668" ht="22.5" customHeight="1">
      <c r="A668" s="25"/>
      <c r="B668" s="23"/>
      <c r="C668" s="26"/>
      <c r="D668" s="24"/>
      <c r="E668" s="24"/>
      <c r="F668" s="26"/>
      <c r="G668" s="30"/>
      <c r="H668" s="30">
        <f t="shared" si="7"/>
        <v>0</v>
      </c>
      <c r="I668" s="24" t="str">
        <f t="shared" si="3"/>
        <v/>
      </c>
      <c r="J668" s="80"/>
      <c r="K668" s="26"/>
      <c r="L668" s="30"/>
    </row>
    <row r="669" ht="22.5" customHeight="1">
      <c r="A669" s="25"/>
      <c r="B669" s="23"/>
      <c r="C669" s="26"/>
      <c r="D669" s="24"/>
      <c r="E669" s="24"/>
      <c r="F669" s="26"/>
      <c r="G669" s="30"/>
      <c r="H669" s="30">
        <f t="shared" si="7"/>
        <v>0</v>
      </c>
      <c r="I669" s="24" t="str">
        <f t="shared" si="3"/>
        <v/>
      </c>
      <c r="J669" s="80"/>
      <c r="K669" s="26"/>
      <c r="L669" s="30"/>
    </row>
    <row r="670" ht="22.5" customHeight="1">
      <c r="A670" s="25"/>
      <c r="B670" s="23"/>
      <c r="C670" s="26"/>
      <c r="D670" s="24"/>
      <c r="E670" s="24"/>
      <c r="F670" s="26"/>
      <c r="G670" s="30"/>
      <c r="H670" s="30">
        <f t="shared" si="7"/>
        <v>0</v>
      </c>
      <c r="I670" s="24" t="str">
        <f t="shared" si="3"/>
        <v/>
      </c>
      <c r="J670" s="80"/>
      <c r="K670" s="26"/>
      <c r="L670" s="30"/>
    </row>
    <row r="671" ht="22.5" customHeight="1">
      <c r="A671" s="25"/>
      <c r="B671" s="23"/>
      <c r="C671" s="26"/>
      <c r="D671" s="24"/>
      <c r="E671" s="24"/>
      <c r="F671" s="26"/>
      <c r="G671" s="30"/>
      <c r="H671" s="30">
        <f t="shared" si="7"/>
        <v>0</v>
      </c>
      <c r="I671" s="24" t="str">
        <f t="shared" si="3"/>
        <v/>
      </c>
      <c r="J671" s="80"/>
      <c r="K671" s="26"/>
      <c r="L671" s="30"/>
    </row>
    <row r="672" ht="22.5" customHeight="1">
      <c r="A672" s="25"/>
      <c r="B672" s="23"/>
      <c r="C672" s="26"/>
      <c r="D672" s="24"/>
      <c r="E672" s="24"/>
      <c r="F672" s="26"/>
      <c r="G672" s="30"/>
      <c r="H672" s="30">
        <f t="shared" si="7"/>
        <v>0</v>
      </c>
      <c r="I672" s="24" t="str">
        <f t="shared" si="3"/>
        <v/>
      </c>
      <c r="J672" s="80"/>
      <c r="K672" s="26"/>
      <c r="L672" s="30"/>
    </row>
    <row r="673" ht="22.5" customHeight="1">
      <c r="A673" s="25"/>
      <c r="B673" s="23"/>
      <c r="C673" s="26"/>
      <c r="D673" s="24"/>
      <c r="E673" s="24"/>
      <c r="F673" s="26"/>
      <c r="G673" s="30"/>
      <c r="H673" s="30">
        <f t="shared" si="7"/>
        <v>0</v>
      </c>
      <c r="I673" s="24" t="str">
        <f t="shared" si="3"/>
        <v/>
      </c>
      <c r="J673" s="80"/>
      <c r="K673" s="26"/>
      <c r="L673" s="30"/>
    </row>
    <row r="674" ht="22.5" customHeight="1">
      <c r="A674" s="25"/>
      <c r="B674" s="23"/>
      <c r="C674" s="26"/>
      <c r="D674" s="24"/>
      <c r="E674" s="24"/>
      <c r="F674" s="26"/>
      <c r="G674" s="30"/>
      <c r="H674" s="30">
        <f t="shared" si="7"/>
        <v>0</v>
      </c>
      <c r="I674" s="24" t="str">
        <f t="shared" si="3"/>
        <v/>
      </c>
      <c r="J674" s="80"/>
      <c r="K674" s="26"/>
      <c r="L674" s="30"/>
    </row>
    <row r="675" ht="22.5" customHeight="1">
      <c r="A675" s="25"/>
      <c r="B675" s="23"/>
      <c r="C675" s="26"/>
      <c r="D675" s="24"/>
      <c r="E675" s="24"/>
      <c r="F675" s="26"/>
      <c r="G675" s="30"/>
      <c r="H675" s="30">
        <f t="shared" si="7"/>
        <v>0</v>
      </c>
      <c r="I675" s="24" t="str">
        <f t="shared" si="3"/>
        <v/>
      </c>
      <c r="J675" s="80"/>
      <c r="K675" s="26"/>
      <c r="L675" s="30"/>
    </row>
    <row r="676" ht="22.5" customHeight="1">
      <c r="A676" s="25"/>
      <c r="B676" s="23"/>
      <c r="C676" s="26"/>
      <c r="D676" s="24"/>
      <c r="E676" s="24"/>
      <c r="F676" s="26"/>
      <c r="G676" s="30"/>
      <c r="H676" s="30">
        <f t="shared" si="7"/>
        <v>0</v>
      </c>
      <c r="I676" s="24" t="str">
        <f t="shared" si="3"/>
        <v/>
      </c>
      <c r="J676" s="80"/>
      <c r="K676" s="26"/>
      <c r="L676" s="30"/>
    </row>
    <row r="677" ht="22.5" customHeight="1">
      <c r="A677" s="25"/>
      <c r="B677" s="23"/>
      <c r="C677" s="26"/>
      <c r="D677" s="24"/>
      <c r="E677" s="24"/>
      <c r="F677" s="26"/>
      <c r="G677" s="30"/>
      <c r="H677" s="30">
        <f t="shared" si="7"/>
        <v>0</v>
      </c>
      <c r="I677" s="24" t="str">
        <f t="shared" si="3"/>
        <v/>
      </c>
      <c r="J677" s="80"/>
      <c r="K677" s="26"/>
      <c r="L677" s="30"/>
    </row>
    <row r="678" ht="22.5" customHeight="1">
      <c r="A678" s="25"/>
      <c r="B678" s="23"/>
      <c r="C678" s="26"/>
      <c r="D678" s="24"/>
      <c r="E678" s="24"/>
      <c r="F678" s="26"/>
      <c r="G678" s="30"/>
      <c r="H678" s="30">
        <f t="shared" si="7"/>
        <v>0</v>
      </c>
      <c r="I678" s="24" t="str">
        <f t="shared" si="3"/>
        <v/>
      </c>
      <c r="J678" s="80"/>
      <c r="K678" s="26"/>
      <c r="L678" s="30"/>
    </row>
    <row r="679" ht="22.5" customHeight="1">
      <c r="A679" s="25"/>
      <c r="B679" s="23"/>
      <c r="C679" s="26"/>
      <c r="D679" s="24"/>
      <c r="E679" s="24"/>
      <c r="F679" s="26"/>
      <c r="G679" s="30"/>
      <c r="H679" s="30">
        <f t="shared" si="7"/>
        <v>0</v>
      </c>
      <c r="I679" s="24" t="str">
        <f t="shared" si="3"/>
        <v/>
      </c>
      <c r="J679" s="80"/>
      <c r="K679" s="26"/>
      <c r="L679" s="30"/>
    </row>
    <row r="680" ht="22.5" customHeight="1">
      <c r="A680" s="25"/>
      <c r="B680" s="23"/>
      <c r="C680" s="26"/>
      <c r="D680" s="24"/>
      <c r="E680" s="24"/>
      <c r="F680" s="26"/>
      <c r="G680" s="30"/>
      <c r="H680" s="30">
        <f t="shared" si="7"/>
        <v>0</v>
      </c>
      <c r="I680" s="24" t="str">
        <f t="shared" si="3"/>
        <v/>
      </c>
      <c r="J680" s="80"/>
      <c r="K680" s="26"/>
      <c r="L680" s="30"/>
    </row>
    <row r="681" ht="22.5" customHeight="1">
      <c r="A681" s="25"/>
      <c r="B681" s="23"/>
      <c r="C681" s="26"/>
      <c r="D681" s="24"/>
      <c r="E681" s="24"/>
      <c r="F681" s="26"/>
      <c r="G681" s="30"/>
      <c r="H681" s="30">
        <f t="shared" si="7"/>
        <v>0</v>
      </c>
      <c r="I681" s="24" t="str">
        <f t="shared" si="3"/>
        <v/>
      </c>
      <c r="J681" s="80"/>
      <c r="K681" s="26"/>
      <c r="L681" s="30"/>
    </row>
    <row r="682" ht="22.5" customHeight="1">
      <c r="A682" s="25"/>
      <c r="B682" s="23"/>
      <c r="C682" s="26"/>
      <c r="D682" s="24"/>
      <c r="E682" s="24"/>
      <c r="F682" s="26"/>
      <c r="G682" s="30"/>
      <c r="H682" s="30">
        <f t="shared" si="7"/>
        <v>0</v>
      </c>
      <c r="I682" s="24" t="str">
        <f t="shared" si="3"/>
        <v/>
      </c>
      <c r="J682" s="80"/>
      <c r="K682" s="26"/>
      <c r="L682" s="30"/>
    </row>
    <row r="683" ht="22.5" customHeight="1">
      <c r="A683" s="25"/>
      <c r="B683" s="23"/>
      <c r="C683" s="26"/>
      <c r="D683" s="24"/>
      <c r="E683" s="24"/>
      <c r="F683" s="26"/>
      <c r="G683" s="30"/>
      <c r="H683" s="30">
        <f t="shared" si="7"/>
        <v>0</v>
      </c>
      <c r="I683" s="24" t="str">
        <f t="shared" si="3"/>
        <v/>
      </c>
      <c r="J683" s="80"/>
      <c r="K683" s="26"/>
      <c r="L683" s="30"/>
    </row>
    <row r="684" ht="22.5" customHeight="1">
      <c r="A684" s="25"/>
      <c r="B684" s="23"/>
      <c r="C684" s="26"/>
      <c r="D684" s="24"/>
      <c r="E684" s="24"/>
      <c r="F684" s="26"/>
      <c r="G684" s="30"/>
      <c r="H684" s="30">
        <f t="shared" si="7"/>
        <v>0</v>
      </c>
      <c r="I684" s="24" t="str">
        <f t="shared" si="3"/>
        <v/>
      </c>
      <c r="J684" s="80"/>
      <c r="K684" s="26"/>
      <c r="L684" s="30"/>
    </row>
    <row r="685" ht="22.5" customHeight="1">
      <c r="A685" s="25"/>
      <c r="B685" s="23"/>
      <c r="C685" s="26"/>
      <c r="D685" s="24"/>
      <c r="E685" s="24"/>
      <c r="F685" s="26"/>
      <c r="G685" s="30"/>
      <c r="H685" s="30">
        <f t="shared" si="7"/>
        <v>0</v>
      </c>
      <c r="I685" s="24" t="str">
        <f t="shared" si="3"/>
        <v/>
      </c>
      <c r="J685" s="80"/>
      <c r="K685" s="26"/>
      <c r="L685" s="30"/>
    </row>
    <row r="686" ht="22.5" customHeight="1">
      <c r="A686" s="25"/>
      <c r="B686" s="23"/>
      <c r="C686" s="26"/>
      <c r="D686" s="24"/>
      <c r="E686" s="24"/>
      <c r="F686" s="26"/>
      <c r="G686" s="30"/>
      <c r="H686" s="30">
        <f t="shared" si="7"/>
        <v>0</v>
      </c>
      <c r="I686" s="24" t="str">
        <f t="shared" si="3"/>
        <v/>
      </c>
      <c r="J686" s="80"/>
      <c r="K686" s="26"/>
      <c r="L686" s="30"/>
    </row>
    <row r="687" ht="22.5" customHeight="1">
      <c r="A687" s="25"/>
      <c r="B687" s="23"/>
      <c r="C687" s="26"/>
      <c r="D687" s="24"/>
      <c r="E687" s="24"/>
      <c r="F687" s="26"/>
      <c r="G687" s="30"/>
      <c r="H687" s="30">
        <f t="shared" si="7"/>
        <v>0</v>
      </c>
      <c r="I687" s="24" t="str">
        <f t="shared" si="3"/>
        <v/>
      </c>
      <c r="J687" s="80"/>
      <c r="K687" s="26"/>
      <c r="L687" s="30"/>
    </row>
    <row r="688" ht="22.5" customHeight="1">
      <c r="A688" s="25"/>
      <c r="B688" s="23"/>
      <c r="C688" s="26"/>
      <c r="D688" s="24"/>
      <c r="E688" s="24"/>
      <c r="F688" s="26"/>
      <c r="G688" s="30"/>
      <c r="H688" s="30">
        <f t="shared" si="7"/>
        <v>0</v>
      </c>
      <c r="I688" s="24" t="str">
        <f t="shared" si="3"/>
        <v/>
      </c>
      <c r="J688" s="80"/>
      <c r="K688" s="26"/>
      <c r="L688" s="30"/>
    </row>
    <row r="689" ht="22.5" customHeight="1">
      <c r="A689" s="25"/>
      <c r="B689" s="23"/>
      <c r="C689" s="26"/>
      <c r="D689" s="24"/>
      <c r="E689" s="24"/>
      <c r="F689" s="26"/>
      <c r="G689" s="30"/>
      <c r="H689" s="30">
        <f t="shared" si="7"/>
        <v>0</v>
      </c>
      <c r="I689" s="24" t="str">
        <f t="shared" si="3"/>
        <v/>
      </c>
      <c r="J689" s="80"/>
      <c r="K689" s="26"/>
      <c r="L689" s="30"/>
    </row>
    <row r="690" ht="22.5" customHeight="1">
      <c r="A690" s="25"/>
      <c r="B690" s="23"/>
      <c r="C690" s="26"/>
      <c r="D690" s="24"/>
      <c r="E690" s="24"/>
      <c r="F690" s="26"/>
      <c r="G690" s="30"/>
      <c r="H690" s="30">
        <f t="shared" si="7"/>
        <v>0</v>
      </c>
      <c r="I690" s="24" t="str">
        <f t="shared" si="3"/>
        <v/>
      </c>
      <c r="J690" s="80"/>
      <c r="K690" s="26"/>
      <c r="L690" s="30"/>
    </row>
    <row r="691" ht="22.5" customHeight="1">
      <c r="A691" s="25"/>
      <c r="B691" s="23"/>
      <c r="C691" s="26"/>
      <c r="D691" s="24"/>
      <c r="E691" s="24"/>
      <c r="F691" s="26"/>
      <c r="G691" s="30"/>
      <c r="H691" s="30">
        <f t="shared" si="7"/>
        <v>0</v>
      </c>
      <c r="I691" s="24" t="str">
        <f t="shared" si="3"/>
        <v/>
      </c>
      <c r="J691" s="80"/>
      <c r="K691" s="26"/>
      <c r="L691" s="30"/>
    </row>
    <row r="692" ht="22.5" customHeight="1">
      <c r="A692" s="25"/>
      <c r="B692" s="23"/>
      <c r="C692" s="26"/>
      <c r="D692" s="24"/>
      <c r="E692" s="24"/>
      <c r="F692" s="26"/>
      <c r="G692" s="30"/>
      <c r="H692" s="30">
        <f t="shared" si="7"/>
        <v>0</v>
      </c>
      <c r="I692" s="24" t="str">
        <f t="shared" si="3"/>
        <v/>
      </c>
      <c r="J692" s="80"/>
      <c r="K692" s="26"/>
      <c r="L692" s="30"/>
    </row>
    <row r="693" ht="22.5" customHeight="1">
      <c r="A693" s="25"/>
      <c r="B693" s="23"/>
      <c r="C693" s="26"/>
      <c r="D693" s="24"/>
      <c r="E693" s="24"/>
      <c r="F693" s="26"/>
      <c r="G693" s="30"/>
      <c r="H693" s="30">
        <f t="shared" si="7"/>
        <v>0</v>
      </c>
      <c r="I693" s="24" t="str">
        <f t="shared" si="3"/>
        <v/>
      </c>
      <c r="J693" s="80"/>
      <c r="K693" s="26"/>
      <c r="L693" s="30"/>
    </row>
    <row r="694" ht="22.5" customHeight="1">
      <c r="A694" s="25"/>
      <c r="B694" s="23"/>
      <c r="C694" s="26"/>
      <c r="D694" s="24"/>
      <c r="E694" s="24"/>
      <c r="F694" s="26"/>
      <c r="G694" s="30"/>
      <c r="H694" s="30">
        <f t="shared" si="7"/>
        <v>0</v>
      </c>
      <c r="I694" s="24" t="str">
        <f t="shared" si="3"/>
        <v/>
      </c>
      <c r="J694" s="80"/>
      <c r="K694" s="26"/>
      <c r="L694" s="30"/>
    </row>
    <row r="695" ht="22.5" customHeight="1">
      <c r="A695" s="25"/>
      <c r="B695" s="23"/>
      <c r="C695" s="26"/>
      <c r="D695" s="24"/>
      <c r="E695" s="24"/>
      <c r="F695" s="26"/>
      <c r="G695" s="30"/>
      <c r="H695" s="30">
        <f t="shared" si="7"/>
        <v>0</v>
      </c>
      <c r="I695" s="24" t="str">
        <f t="shared" si="3"/>
        <v/>
      </c>
      <c r="J695" s="80"/>
      <c r="K695" s="26"/>
      <c r="L695" s="30"/>
    </row>
    <row r="696" ht="22.5" customHeight="1">
      <c r="A696" s="25"/>
      <c r="B696" s="23"/>
      <c r="C696" s="26"/>
      <c r="D696" s="24"/>
      <c r="E696" s="24"/>
      <c r="F696" s="26"/>
      <c r="G696" s="30"/>
      <c r="H696" s="30">
        <f t="shared" si="7"/>
        <v>0</v>
      </c>
      <c r="I696" s="24" t="str">
        <f t="shared" si="3"/>
        <v/>
      </c>
      <c r="J696" s="80"/>
      <c r="K696" s="26"/>
      <c r="L696" s="30"/>
    </row>
    <row r="697" ht="22.5" customHeight="1">
      <c r="A697" s="25"/>
      <c r="B697" s="23"/>
      <c r="C697" s="26"/>
      <c r="D697" s="24"/>
      <c r="E697" s="24"/>
      <c r="F697" s="26"/>
      <c r="G697" s="30"/>
      <c r="H697" s="30">
        <f t="shared" si="7"/>
        <v>0</v>
      </c>
      <c r="I697" s="24" t="str">
        <f t="shared" si="3"/>
        <v/>
      </c>
      <c r="J697" s="80"/>
      <c r="K697" s="26"/>
      <c r="L697" s="30"/>
    </row>
    <row r="698" ht="22.5" customHeight="1">
      <c r="A698" s="25"/>
      <c r="B698" s="23"/>
      <c r="C698" s="26"/>
      <c r="D698" s="24"/>
      <c r="E698" s="24"/>
      <c r="F698" s="26"/>
      <c r="G698" s="30"/>
      <c r="H698" s="30">
        <f t="shared" si="7"/>
        <v>0</v>
      </c>
      <c r="I698" s="24" t="str">
        <f t="shared" si="3"/>
        <v/>
      </c>
      <c r="J698" s="80"/>
      <c r="K698" s="26"/>
      <c r="L698" s="30"/>
    </row>
    <row r="699" ht="22.5" customHeight="1">
      <c r="A699" s="25"/>
      <c r="B699" s="23"/>
      <c r="C699" s="26"/>
      <c r="D699" s="24"/>
      <c r="E699" s="24"/>
      <c r="F699" s="26"/>
      <c r="G699" s="30"/>
      <c r="H699" s="30">
        <f t="shared" si="7"/>
        <v>0</v>
      </c>
      <c r="I699" s="24" t="str">
        <f t="shared" si="3"/>
        <v/>
      </c>
      <c r="J699" s="80"/>
      <c r="K699" s="26"/>
      <c r="L699" s="30"/>
    </row>
    <row r="700" ht="22.5" customHeight="1">
      <c r="A700" s="25"/>
      <c r="B700" s="23"/>
      <c r="C700" s="26"/>
      <c r="D700" s="24"/>
      <c r="E700" s="24"/>
      <c r="F700" s="26"/>
      <c r="G700" s="30"/>
      <c r="H700" s="30">
        <f t="shared" si="7"/>
        <v>0</v>
      </c>
      <c r="I700" s="24" t="str">
        <f t="shared" si="3"/>
        <v/>
      </c>
      <c r="J700" s="80"/>
      <c r="K700" s="26"/>
      <c r="L700" s="30"/>
    </row>
    <row r="701" ht="22.5" customHeight="1">
      <c r="A701" s="25"/>
      <c r="B701" s="23"/>
      <c r="C701" s="26"/>
      <c r="D701" s="24"/>
      <c r="E701" s="24"/>
      <c r="F701" s="26"/>
      <c r="G701" s="30"/>
      <c r="H701" s="30">
        <f t="shared" si="7"/>
        <v>0</v>
      </c>
      <c r="I701" s="24" t="str">
        <f t="shared" si="3"/>
        <v/>
      </c>
      <c r="J701" s="80"/>
      <c r="K701" s="26"/>
      <c r="L701" s="30"/>
    </row>
    <row r="702" ht="22.5" customHeight="1">
      <c r="A702" s="25"/>
      <c r="B702" s="23"/>
      <c r="C702" s="26"/>
      <c r="D702" s="24"/>
      <c r="E702" s="24"/>
      <c r="F702" s="26"/>
      <c r="G702" s="30"/>
      <c r="H702" s="30">
        <f t="shared" si="7"/>
        <v>0</v>
      </c>
      <c r="I702" s="24" t="str">
        <f t="shared" si="3"/>
        <v/>
      </c>
      <c r="J702" s="80"/>
      <c r="K702" s="26"/>
      <c r="L702" s="30"/>
    </row>
    <row r="703" ht="22.5" customHeight="1">
      <c r="A703" s="25"/>
      <c r="B703" s="23"/>
      <c r="C703" s="26"/>
      <c r="D703" s="24"/>
      <c r="E703" s="24"/>
      <c r="F703" s="26"/>
      <c r="G703" s="30"/>
      <c r="H703" s="30">
        <f t="shared" si="7"/>
        <v>0</v>
      </c>
      <c r="I703" s="24" t="str">
        <f t="shared" si="3"/>
        <v/>
      </c>
      <c r="J703" s="80"/>
      <c r="K703" s="26"/>
      <c r="L703" s="30"/>
    </row>
    <row r="704" ht="22.5" customHeight="1">
      <c r="A704" s="25"/>
      <c r="B704" s="23"/>
      <c r="C704" s="26"/>
      <c r="D704" s="24"/>
      <c r="E704" s="24"/>
      <c r="F704" s="26"/>
      <c r="G704" s="30"/>
      <c r="H704" s="30">
        <f t="shared" si="7"/>
        <v>0</v>
      </c>
      <c r="I704" s="24" t="str">
        <f t="shared" si="3"/>
        <v/>
      </c>
      <c r="J704" s="80"/>
      <c r="K704" s="26"/>
      <c r="L704" s="30"/>
    </row>
    <row r="705" ht="22.5" customHeight="1">
      <c r="A705" s="25"/>
      <c r="B705" s="23"/>
      <c r="C705" s="26"/>
      <c r="D705" s="24"/>
      <c r="E705" s="24"/>
      <c r="F705" s="26"/>
      <c r="G705" s="30"/>
      <c r="H705" s="30">
        <f t="shared" si="7"/>
        <v>0</v>
      </c>
      <c r="I705" s="24" t="str">
        <f t="shared" si="3"/>
        <v/>
      </c>
      <c r="J705" s="80"/>
      <c r="K705" s="26"/>
      <c r="L705" s="30"/>
    </row>
    <row r="706" ht="22.5" customHeight="1">
      <c r="A706" s="25"/>
      <c r="B706" s="23"/>
      <c r="C706" s="26"/>
      <c r="D706" s="24"/>
      <c r="E706" s="24"/>
      <c r="F706" s="26"/>
      <c r="G706" s="30"/>
      <c r="H706" s="30">
        <f t="shared" si="7"/>
        <v>0</v>
      </c>
      <c r="I706" s="24" t="str">
        <f t="shared" si="3"/>
        <v/>
      </c>
      <c r="J706" s="80"/>
      <c r="K706" s="26"/>
      <c r="L706" s="30"/>
    </row>
    <row r="707" ht="22.5" customHeight="1">
      <c r="A707" s="25"/>
      <c r="B707" s="23"/>
      <c r="C707" s="26"/>
      <c r="D707" s="24"/>
      <c r="E707" s="24"/>
      <c r="F707" s="26"/>
      <c r="G707" s="30"/>
      <c r="H707" s="30">
        <f t="shared" si="7"/>
        <v>0</v>
      </c>
      <c r="I707" s="24" t="str">
        <f t="shared" si="3"/>
        <v/>
      </c>
      <c r="J707" s="80"/>
      <c r="K707" s="26"/>
      <c r="L707" s="30"/>
    </row>
    <row r="708" ht="22.5" customHeight="1">
      <c r="A708" s="25"/>
      <c r="B708" s="23"/>
      <c r="C708" s="26"/>
      <c r="D708" s="24"/>
      <c r="E708" s="24"/>
      <c r="F708" s="26"/>
      <c r="G708" s="30"/>
      <c r="H708" s="30">
        <f t="shared" si="7"/>
        <v>0</v>
      </c>
      <c r="I708" s="24" t="str">
        <f t="shared" si="3"/>
        <v/>
      </c>
      <c r="J708" s="80"/>
      <c r="K708" s="26"/>
      <c r="L708" s="30"/>
    </row>
    <row r="709" ht="22.5" customHeight="1">
      <c r="A709" s="25"/>
      <c r="B709" s="23"/>
      <c r="C709" s="26"/>
      <c r="D709" s="24"/>
      <c r="E709" s="24"/>
      <c r="F709" s="26"/>
      <c r="G709" s="30"/>
      <c r="H709" s="30">
        <f t="shared" si="7"/>
        <v>0</v>
      </c>
      <c r="I709" s="24" t="str">
        <f t="shared" si="3"/>
        <v/>
      </c>
      <c r="J709" s="80"/>
      <c r="K709" s="26"/>
      <c r="L709" s="30"/>
    </row>
    <row r="710" ht="22.5" customHeight="1">
      <c r="A710" s="25"/>
      <c r="B710" s="23"/>
      <c r="C710" s="26"/>
      <c r="D710" s="24"/>
      <c r="E710" s="24"/>
      <c r="F710" s="26"/>
      <c r="G710" s="30"/>
      <c r="H710" s="30">
        <f t="shared" si="7"/>
        <v>0</v>
      </c>
      <c r="I710" s="24" t="str">
        <f t="shared" si="3"/>
        <v/>
      </c>
      <c r="J710" s="80"/>
      <c r="K710" s="26"/>
      <c r="L710" s="30"/>
    </row>
    <row r="711" ht="22.5" customHeight="1">
      <c r="A711" s="25"/>
      <c r="B711" s="23"/>
      <c r="C711" s="26"/>
      <c r="D711" s="24"/>
      <c r="E711" s="24"/>
      <c r="F711" s="26"/>
      <c r="G711" s="30"/>
      <c r="H711" s="30">
        <f t="shared" si="7"/>
        <v>0</v>
      </c>
      <c r="I711" s="24" t="str">
        <f t="shared" si="3"/>
        <v/>
      </c>
      <c r="J711" s="80"/>
      <c r="K711" s="26"/>
      <c r="L711" s="30"/>
    </row>
    <row r="712" ht="22.5" customHeight="1">
      <c r="A712" s="25"/>
      <c r="B712" s="23"/>
      <c r="C712" s="26"/>
      <c r="D712" s="24"/>
      <c r="E712" s="24"/>
      <c r="F712" s="26"/>
      <c r="G712" s="30"/>
      <c r="H712" s="30">
        <f t="shared" si="7"/>
        <v>0</v>
      </c>
      <c r="I712" s="24" t="str">
        <f t="shared" si="3"/>
        <v/>
      </c>
      <c r="J712" s="80"/>
      <c r="K712" s="26"/>
      <c r="L712" s="30"/>
    </row>
    <row r="713" ht="22.5" customHeight="1">
      <c r="A713" s="25"/>
      <c r="B713" s="23"/>
      <c r="C713" s="26"/>
      <c r="D713" s="24"/>
      <c r="E713" s="24"/>
      <c r="F713" s="26"/>
      <c r="G713" s="30"/>
      <c r="H713" s="30">
        <f t="shared" si="7"/>
        <v>0</v>
      </c>
      <c r="I713" s="24" t="str">
        <f t="shared" si="3"/>
        <v/>
      </c>
      <c r="J713" s="80"/>
      <c r="K713" s="26"/>
      <c r="L713" s="30"/>
    </row>
    <row r="714" ht="22.5" customHeight="1">
      <c r="A714" s="25"/>
      <c r="B714" s="23"/>
      <c r="C714" s="26"/>
      <c r="D714" s="24"/>
      <c r="E714" s="24"/>
      <c r="F714" s="26"/>
      <c r="G714" s="30"/>
      <c r="H714" s="30">
        <f t="shared" si="7"/>
        <v>0</v>
      </c>
      <c r="I714" s="24" t="str">
        <f t="shared" si="3"/>
        <v/>
      </c>
      <c r="J714" s="80"/>
      <c r="K714" s="26"/>
      <c r="L714" s="30"/>
    </row>
    <row r="715" ht="22.5" customHeight="1">
      <c r="A715" s="25"/>
      <c r="B715" s="23"/>
      <c r="C715" s="26"/>
      <c r="D715" s="24"/>
      <c r="E715" s="24"/>
      <c r="F715" s="26"/>
      <c r="G715" s="30"/>
      <c r="H715" s="30">
        <f t="shared" si="7"/>
        <v>0</v>
      </c>
      <c r="I715" s="24" t="str">
        <f t="shared" si="3"/>
        <v/>
      </c>
      <c r="J715" s="80"/>
      <c r="K715" s="26"/>
      <c r="L715" s="30"/>
    </row>
    <row r="716" ht="22.5" customHeight="1">
      <c r="A716" s="25"/>
      <c r="B716" s="23"/>
      <c r="C716" s="26"/>
      <c r="D716" s="24"/>
      <c r="E716" s="24"/>
      <c r="F716" s="26"/>
      <c r="G716" s="30"/>
      <c r="H716" s="30">
        <f t="shared" si="7"/>
        <v>0</v>
      </c>
      <c r="I716" s="24" t="str">
        <f t="shared" si="3"/>
        <v/>
      </c>
      <c r="J716" s="80"/>
      <c r="K716" s="26"/>
      <c r="L716" s="30"/>
    </row>
    <row r="717" ht="22.5" customHeight="1">
      <c r="A717" s="25"/>
      <c r="B717" s="23"/>
      <c r="C717" s="26"/>
      <c r="D717" s="24"/>
      <c r="E717" s="24"/>
      <c r="F717" s="26"/>
      <c r="G717" s="30"/>
      <c r="H717" s="30">
        <f t="shared" si="7"/>
        <v>0</v>
      </c>
      <c r="I717" s="24" t="str">
        <f t="shared" si="3"/>
        <v/>
      </c>
      <c r="J717" s="80"/>
      <c r="K717" s="26"/>
      <c r="L717" s="30"/>
    </row>
    <row r="718" ht="22.5" customHeight="1">
      <c r="A718" s="25"/>
      <c r="B718" s="23"/>
      <c r="C718" s="26"/>
      <c r="D718" s="24"/>
      <c r="E718" s="24"/>
      <c r="F718" s="26"/>
      <c r="G718" s="30"/>
      <c r="H718" s="30">
        <f t="shared" si="7"/>
        <v>0</v>
      </c>
      <c r="I718" s="24" t="str">
        <f t="shared" si="3"/>
        <v/>
      </c>
      <c r="J718" s="80"/>
      <c r="K718" s="26"/>
      <c r="L718" s="30"/>
    </row>
    <row r="719" ht="22.5" customHeight="1">
      <c r="A719" s="25"/>
      <c r="B719" s="23"/>
      <c r="C719" s="26"/>
      <c r="D719" s="24"/>
      <c r="E719" s="24"/>
      <c r="F719" s="26"/>
      <c r="G719" s="30"/>
      <c r="H719" s="30">
        <f t="shared" si="7"/>
        <v>0</v>
      </c>
      <c r="I719" s="24" t="str">
        <f t="shared" si="3"/>
        <v/>
      </c>
      <c r="J719" s="80"/>
      <c r="K719" s="26"/>
      <c r="L719" s="30"/>
    </row>
    <row r="720" ht="22.5" customHeight="1">
      <c r="A720" s="25"/>
      <c r="B720" s="23"/>
      <c r="C720" s="26"/>
      <c r="D720" s="24"/>
      <c r="E720" s="24"/>
      <c r="F720" s="26"/>
      <c r="G720" s="30"/>
      <c r="H720" s="30">
        <f t="shared" si="7"/>
        <v>0</v>
      </c>
      <c r="I720" s="24" t="str">
        <f t="shared" si="3"/>
        <v/>
      </c>
      <c r="J720" s="80"/>
      <c r="K720" s="26"/>
      <c r="L720" s="30"/>
    </row>
    <row r="721" ht="22.5" customHeight="1">
      <c r="A721" s="25"/>
      <c r="B721" s="23"/>
      <c r="C721" s="26"/>
      <c r="D721" s="24"/>
      <c r="E721" s="24"/>
      <c r="F721" s="26"/>
      <c r="G721" s="30"/>
      <c r="H721" s="30">
        <f t="shared" si="7"/>
        <v>0</v>
      </c>
      <c r="I721" s="24" t="str">
        <f t="shared" si="3"/>
        <v/>
      </c>
      <c r="J721" s="80"/>
      <c r="K721" s="26"/>
      <c r="L721" s="30"/>
    </row>
    <row r="722" ht="22.5" customHeight="1">
      <c r="A722" s="25"/>
      <c r="B722" s="23"/>
      <c r="C722" s="26"/>
      <c r="D722" s="24"/>
      <c r="E722" s="24"/>
      <c r="F722" s="26"/>
      <c r="G722" s="30"/>
      <c r="H722" s="30">
        <f t="shared" si="7"/>
        <v>0</v>
      </c>
      <c r="I722" s="24" t="str">
        <f t="shared" si="3"/>
        <v/>
      </c>
      <c r="J722" s="80"/>
      <c r="K722" s="26"/>
      <c r="L722" s="30"/>
    </row>
    <row r="723" ht="22.5" customHeight="1">
      <c r="A723" s="25"/>
      <c r="B723" s="23"/>
      <c r="C723" s="26"/>
      <c r="D723" s="24"/>
      <c r="E723" s="24"/>
      <c r="F723" s="26"/>
      <c r="G723" s="30"/>
      <c r="H723" s="30">
        <f t="shared" si="7"/>
        <v>0</v>
      </c>
      <c r="I723" s="24" t="str">
        <f t="shared" si="3"/>
        <v/>
      </c>
      <c r="J723" s="80"/>
      <c r="K723" s="26"/>
      <c r="L723" s="30"/>
    </row>
    <row r="724" ht="22.5" customHeight="1">
      <c r="A724" s="25"/>
      <c r="B724" s="23"/>
      <c r="C724" s="26"/>
      <c r="D724" s="24"/>
      <c r="E724" s="24"/>
      <c r="F724" s="26"/>
      <c r="G724" s="30"/>
      <c r="H724" s="30">
        <f t="shared" si="7"/>
        <v>0</v>
      </c>
      <c r="I724" s="24" t="str">
        <f t="shared" si="3"/>
        <v/>
      </c>
      <c r="J724" s="80"/>
      <c r="K724" s="26"/>
      <c r="L724" s="30"/>
    </row>
    <row r="725" ht="22.5" customHeight="1">
      <c r="A725" s="25"/>
      <c r="B725" s="23"/>
      <c r="C725" s="26"/>
      <c r="D725" s="24"/>
      <c r="E725" s="24"/>
      <c r="F725" s="26"/>
      <c r="G725" s="30"/>
      <c r="H725" s="30">
        <f t="shared" si="7"/>
        <v>0</v>
      </c>
      <c r="I725" s="24" t="str">
        <f t="shared" si="3"/>
        <v/>
      </c>
      <c r="J725" s="80"/>
      <c r="K725" s="26"/>
      <c r="L725" s="30"/>
    </row>
    <row r="726" ht="22.5" customHeight="1">
      <c r="A726" s="25"/>
      <c r="B726" s="23"/>
      <c r="C726" s="26"/>
      <c r="D726" s="24"/>
      <c r="E726" s="24"/>
      <c r="F726" s="26"/>
      <c r="G726" s="30"/>
      <c r="H726" s="30">
        <f t="shared" si="7"/>
        <v>0</v>
      </c>
      <c r="I726" s="24" t="str">
        <f t="shared" si="3"/>
        <v/>
      </c>
      <c r="J726" s="80"/>
      <c r="K726" s="26"/>
      <c r="L726" s="30"/>
    </row>
    <row r="727" ht="22.5" customHeight="1">
      <c r="A727" s="25"/>
      <c r="B727" s="23"/>
      <c r="C727" s="26"/>
      <c r="D727" s="24"/>
      <c r="E727" s="24"/>
      <c r="F727" s="26"/>
      <c r="G727" s="30"/>
      <c r="H727" s="30">
        <f t="shared" si="7"/>
        <v>0</v>
      </c>
      <c r="I727" s="24" t="str">
        <f t="shared" si="3"/>
        <v/>
      </c>
      <c r="J727" s="80"/>
      <c r="K727" s="26"/>
      <c r="L727" s="30"/>
    </row>
    <row r="728" ht="22.5" customHeight="1">
      <c r="A728" s="25"/>
      <c r="B728" s="23"/>
      <c r="C728" s="26"/>
      <c r="D728" s="24"/>
      <c r="E728" s="24"/>
      <c r="F728" s="26"/>
      <c r="G728" s="30"/>
      <c r="H728" s="30">
        <f t="shared" si="7"/>
        <v>0</v>
      </c>
      <c r="I728" s="24" t="str">
        <f t="shared" si="3"/>
        <v/>
      </c>
      <c r="J728" s="80"/>
      <c r="K728" s="26"/>
      <c r="L728" s="30"/>
    </row>
    <row r="729" ht="22.5" customHeight="1">
      <c r="A729" s="25"/>
      <c r="B729" s="23"/>
      <c r="C729" s="26"/>
      <c r="D729" s="24"/>
      <c r="E729" s="24"/>
      <c r="F729" s="26"/>
      <c r="G729" s="30"/>
      <c r="H729" s="30">
        <f t="shared" si="7"/>
        <v>0</v>
      </c>
      <c r="I729" s="24" t="str">
        <f t="shared" si="3"/>
        <v/>
      </c>
      <c r="J729" s="80"/>
      <c r="K729" s="26"/>
      <c r="L729" s="30"/>
    </row>
    <row r="730" ht="22.5" customHeight="1">
      <c r="A730" s="25"/>
      <c r="B730" s="23"/>
      <c r="C730" s="26"/>
      <c r="D730" s="24"/>
      <c r="E730" s="24"/>
      <c r="F730" s="26"/>
      <c r="G730" s="30"/>
      <c r="H730" s="30">
        <f t="shared" si="7"/>
        <v>0</v>
      </c>
      <c r="I730" s="24" t="str">
        <f t="shared" si="3"/>
        <v/>
      </c>
      <c r="J730" s="80"/>
      <c r="K730" s="26"/>
      <c r="L730" s="30"/>
    </row>
    <row r="731" ht="22.5" customHeight="1">
      <c r="A731" s="25"/>
      <c r="B731" s="23"/>
      <c r="C731" s="26"/>
      <c r="D731" s="24"/>
      <c r="E731" s="24"/>
      <c r="F731" s="26"/>
      <c r="G731" s="30"/>
      <c r="H731" s="30">
        <f t="shared" si="7"/>
        <v>0</v>
      </c>
      <c r="I731" s="24" t="str">
        <f t="shared" si="3"/>
        <v/>
      </c>
      <c r="J731" s="80"/>
      <c r="K731" s="26"/>
      <c r="L731" s="30"/>
    </row>
    <row r="732" ht="22.5" customHeight="1">
      <c r="A732" s="25"/>
      <c r="B732" s="23"/>
      <c r="C732" s="26"/>
      <c r="D732" s="24"/>
      <c r="E732" s="24"/>
      <c r="F732" s="26"/>
      <c r="G732" s="30"/>
      <c r="H732" s="30">
        <f t="shared" si="7"/>
        <v>0</v>
      </c>
      <c r="I732" s="24" t="str">
        <f t="shared" si="3"/>
        <v/>
      </c>
      <c r="J732" s="80"/>
      <c r="K732" s="26"/>
      <c r="L732" s="30"/>
    </row>
    <row r="733" ht="22.5" customHeight="1">
      <c r="A733" s="25"/>
      <c r="B733" s="23"/>
      <c r="C733" s="26"/>
      <c r="D733" s="24"/>
      <c r="E733" s="24"/>
      <c r="F733" s="26"/>
      <c r="G733" s="30"/>
      <c r="H733" s="30">
        <f t="shared" si="7"/>
        <v>0</v>
      </c>
      <c r="I733" s="24" t="str">
        <f t="shared" si="3"/>
        <v/>
      </c>
      <c r="J733" s="80"/>
      <c r="K733" s="26"/>
      <c r="L733" s="30"/>
    </row>
    <row r="734" ht="22.5" customHeight="1">
      <c r="A734" s="25"/>
      <c r="B734" s="23"/>
      <c r="C734" s="26"/>
      <c r="D734" s="24"/>
      <c r="E734" s="24"/>
      <c r="F734" s="26"/>
      <c r="G734" s="30"/>
      <c r="H734" s="30">
        <f t="shared" si="7"/>
        <v>0</v>
      </c>
      <c r="I734" s="24" t="str">
        <f t="shared" si="3"/>
        <v/>
      </c>
      <c r="J734" s="80"/>
      <c r="K734" s="26"/>
      <c r="L734" s="30"/>
    </row>
    <row r="735" ht="22.5" customHeight="1">
      <c r="A735" s="25"/>
      <c r="B735" s="23"/>
      <c r="C735" s="26"/>
      <c r="D735" s="24"/>
      <c r="E735" s="24"/>
      <c r="F735" s="26"/>
      <c r="G735" s="30"/>
      <c r="H735" s="30">
        <f t="shared" si="7"/>
        <v>0</v>
      </c>
      <c r="I735" s="24" t="str">
        <f t="shared" si="3"/>
        <v/>
      </c>
      <c r="J735" s="80"/>
      <c r="K735" s="26"/>
      <c r="L735" s="30"/>
    </row>
    <row r="736" ht="22.5" customHeight="1">
      <c r="A736" s="25"/>
      <c r="B736" s="23"/>
      <c r="C736" s="26"/>
      <c r="D736" s="24"/>
      <c r="E736" s="24"/>
      <c r="F736" s="26"/>
      <c r="G736" s="30"/>
      <c r="H736" s="30">
        <f t="shared" si="7"/>
        <v>0</v>
      </c>
      <c r="I736" s="24" t="str">
        <f t="shared" si="3"/>
        <v/>
      </c>
      <c r="J736" s="80"/>
      <c r="K736" s="26"/>
      <c r="L736" s="30"/>
    </row>
    <row r="737" ht="22.5" customHeight="1">
      <c r="A737" s="25"/>
      <c r="B737" s="23"/>
      <c r="C737" s="26"/>
      <c r="D737" s="24"/>
      <c r="E737" s="24"/>
      <c r="F737" s="26"/>
      <c r="G737" s="30"/>
      <c r="H737" s="30">
        <f t="shared" si="7"/>
        <v>0</v>
      </c>
      <c r="I737" s="24" t="str">
        <f t="shared" si="3"/>
        <v/>
      </c>
      <c r="J737" s="80"/>
      <c r="K737" s="26"/>
      <c r="L737" s="30"/>
    </row>
    <row r="738" ht="22.5" customHeight="1">
      <c r="A738" s="25"/>
      <c r="B738" s="23"/>
      <c r="C738" s="26"/>
      <c r="D738" s="24"/>
      <c r="E738" s="24"/>
      <c r="F738" s="26"/>
      <c r="G738" s="30"/>
      <c r="H738" s="30">
        <f t="shared" si="7"/>
        <v>0</v>
      </c>
      <c r="I738" s="24" t="str">
        <f t="shared" si="3"/>
        <v/>
      </c>
      <c r="J738" s="80"/>
      <c r="K738" s="26"/>
      <c r="L738" s="30"/>
    </row>
    <row r="739" ht="22.5" customHeight="1">
      <c r="A739" s="25"/>
      <c r="B739" s="23"/>
      <c r="C739" s="26"/>
      <c r="D739" s="24"/>
      <c r="E739" s="24"/>
      <c r="F739" s="26"/>
      <c r="G739" s="30"/>
      <c r="H739" s="30">
        <f t="shared" si="7"/>
        <v>0</v>
      </c>
      <c r="I739" s="24" t="str">
        <f t="shared" si="3"/>
        <v/>
      </c>
      <c r="J739" s="80"/>
      <c r="K739" s="26"/>
      <c r="L739" s="30"/>
    </row>
    <row r="740" ht="22.5" customHeight="1">
      <c r="A740" s="25"/>
      <c r="B740" s="23"/>
      <c r="C740" s="26"/>
      <c r="D740" s="24"/>
      <c r="E740" s="24"/>
      <c r="F740" s="26"/>
      <c r="G740" s="30"/>
      <c r="H740" s="30">
        <f t="shared" si="7"/>
        <v>0</v>
      </c>
      <c r="I740" s="24" t="str">
        <f t="shared" si="3"/>
        <v/>
      </c>
      <c r="J740" s="80"/>
      <c r="K740" s="26"/>
      <c r="L740" s="30"/>
    </row>
    <row r="741" ht="22.5" customHeight="1">
      <c r="A741" s="25"/>
      <c r="B741" s="23"/>
      <c r="C741" s="26"/>
      <c r="D741" s="24"/>
      <c r="E741" s="24"/>
      <c r="F741" s="26"/>
      <c r="G741" s="30"/>
      <c r="H741" s="30">
        <f t="shared" si="7"/>
        <v>0</v>
      </c>
      <c r="I741" s="24" t="str">
        <f t="shared" si="3"/>
        <v/>
      </c>
      <c r="J741" s="80"/>
      <c r="K741" s="26"/>
      <c r="L741" s="30"/>
    </row>
    <row r="742" ht="22.5" customHeight="1">
      <c r="A742" s="25"/>
      <c r="B742" s="23"/>
      <c r="C742" s="26"/>
      <c r="D742" s="24"/>
      <c r="E742" s="24"/>
      <c r="F742" s="26"/>
      <c r="G742" s="30"/>
      <c r="H742" s="30">
        <f t="shared" si="7"/>
        <v>0</v>
      </c>
      <c r="I742" s="24" t="str">
        <f t="shared" si="3"/>
        <v/>
      </c>
      <c r="J742" s="80"/>
      <c r="K742" s="26"/>
      <c r="L742" s="30"/>
    </row>
    <row r="743" ht="22.5" customHeight="1">
      <c r="A743" s="25"/>
      <c r="B743" s="23"/>
      <c r="C743" s="26"/>
      <c r="D743" s="24"/>
      <c r="E743" s="24"/>
      <c r="F743" s="26"/>
      <c r="G743" s="30"/>
      <c r="H743" s="30">
        <f t="shared" si="7"/>
        <v>0</v>
      </c>
      <c r="I743" s="24" t="str">
        <f t="shared" si="3"/>
        <v/>
      </c>
      <c r="J743" s="80"/>
      <c r="K743" s="26"/>
      <c r="L743" s="30"/>
    </row>
    <row r="744" ht="22.5" customHeight="1">
      <c r="A744" s="25"/>
      <c r="B744" s="23"/>
      <c r="C744" s="26"/>
      <c r="D744" s="24"/>
      <c r="E744" s="24"/>
      <c r="F744" s="26"/>
      <c r="G744" s="30"/>
      <c r="H744" s="30">
        <f t="shared" si="7"/>
        <v>0</v>
      </c>
      <c r="I744" s="24" t="str">
        <f t="shared" si="3"/>
        <v/>
      </c>
      <c r="J744" s="80"/>
      <c r="K744" s="26"/>
      <c r="L744" s="30"/>
    </row>
    <row r="745" ht="22.5" customHeight="1">
      <c r="A745" s="25"/>
      <c r="B745" s="23"/>
      <c r="C745" s="26"/>
      <c r="D745" s="24"/>
      <c r="E745" s="24"/>
      <c r="F745" s="26"/>
      <c r="G745" s="30"/>
      <c r="H745" s="30">
        <f t="shared" si="7"/>
        <v>0</v>
      </c>
      <c r="I745" s="24" t="str">
        <f t="shared" si="3"/>
        <v/>
      </c>
      <c r="J745" s="80"/>
      <c r="K745" s="26"/>
      <c r="L745" s="30"/>
    </row>
    <row r="746" ht="22.5" customHeight="1">
      <c r="A746" s="25"/>
      <c r="B746" s="23"/>
      <c r="C746" s="26"/>
      <c r="D746" s="24"/>
      <c r="E746" s="24"/>
      <c r="F746" s="26"/>
      <c r="G746" s="30"/>
      <c r="H746" s="30">
        <f t="shared" si="7"/>
        <v>0</v>
      </c>
      <c r="I746" s="24" t="str">
        <f t="shared" si="3"/>
        <v/>
      </c>
      <c r="J746" s="80"/>
      <c r="K746" s="26"/>
      <c r="L746" s="30"/>
    </row>
    <row r="747" ht="22.5" customHeight="1">
      <c r="A747" s="25"/>
      <c r="B747" s="23"/>
      <c r="C747" s="26"/>
      <c r="D747" s="24"/>
      <c r="E747" s="24"/>
      <c r="F747" s="26"/>
      <c r="G747" s="30"/>
      <c r="H747" s="30">
        <f t="shared" si="7"/>
        <v>0</v>
      </c>
      <c r="I747" s="24" t="str">
        <f t="shared" si="3"/>
        <v/>
      </c>
      <c r="J747" s="80"/>
      <c r="K747" s="26"/>
      <c r="L747" s="30"/>
    </row>
    <row r="748" ht="22.5" customHeight="1">
      <c r="A748" s="25"/>
      <c r="B748" s="23"/>
      <c r="C748" s="26"/>
      <c r="D748" s="24"/>
      <c r="E748" s="24"/>
      <c r="F748" s="26"/>
      <c r="G748" s="30"/>
      <c r="H748" s="30">
        <f t="shared" si="7"/>
        <v>0</v>
      </c>
      <c r="I748" s="24" t="str">
        <f t="shared" si="3"/>
        <v/>
      </c>
      <c r="J748" s="80"/>
      <c r="K748" s="26"/>
      <c r="L748" s="30"/>
    </row>
    <row r="749" ht="22.5" customHeight="1">
      <c r="A749" s="25"/>
      <c r="B749" s="23"/>
      <c r="C749" s="26"/>
      <c r="D749" s="24"/>
      <c r="E749" s="24"/>
      <c r="F749" s="26"/>
      <c r="G749" s="30"/>
      <c r="H749" s="30">
        <f t="shared" si="7"/>
        <v>0</v>
      </c>
      <c r="I749" s="24" t="str">
        <f t="shared" si="3"/>
        <v/>
      </c>
      <c r="J749" s="80"/>
      <c r="K749" s="26"/>
      <c r="L749" s="30"/>
    </row>
    <row r="750" ht="22.5" customHeight="1">
      <c r="A750" s="25"/>
      <c r="B750" s="23"/>
      <c r="C750" s="26"/>
      <c r="D750" s="24"/>
      <c r="E750" s="24"/>
      <c r="F750" s="26"/>
      <c r="G750" s="30"/>
      <c r="H750" s="30">
        <f t="shared" si="7"/>
        <v>0</v>
      </c>
      <c r="I750" s="24" t="str">
        <f t="shared" si="3"/>
        <v/>
      </c>
      <c r="J750" s="80"/>
      <c r="K750" s="26"/>
      <c r="L750" s="30"/>
    </row>
    <row r="751" ht="22.5" customHeight="1">
      <c r="A751" s="25"/>
      <c r="B751" s="23"/>
      <c r="C751" s="26"/>
      <c r="D751" s="24"/>
      <c r="E751" s="24"/>
      <c r="F751" s="26"/>
      <c r="G751" s="30"/>
      <c r="H751" s="30">
        <f t="shared" si="7"/>
        <v>0</v>
      </c>
      <c r="I751" s="24" t="str">
        <f t="shared" si="3"/>
        <v/>
      </c>
      <c r="J751" s="80"/>
      <c r="K751" s="26"/>
      <c r="L751" s="30"/>
    </row>
    <row r="752" ht="22.5" customHeight="1">
      <c r="A752" s="25"/>
      <c r="B752" s="23"/>
      <c r="C752" s="26"/>
      <c r="D752" s="24"/>
      <c r="E752" s="24"/>
      <c r="F752" s="26"/>
      <c r="G752" s="30"/>
      <c r="H752" s="30">
        <f t="shared" si="7"/>
        <v>0</v>
      </c>
      <c r="I752" s="24" t="str">
        <f t="shared" si="3"/>
        <v/>
      </c>
      <c r="J752" s="80"/>
      <c r="K752" s="26"/>
      <c r="L752" s="30"/>
    </row>
    <row r="753" ht="22.5" customHeight="1">
      <c r="A753" s="25"/>
      <c r="B753" s="23"/>
      <c r="C753" s="26"/>
      <c r="D753" s="24"/>
      <c r="E753" s="24"/>
      <c r="F753" s="26"/>
      <c r="G753" s="30"/>
      <c r="H753" s="30">
        <f t="shared" si="7"/>
        <v>0</v>
      </c>
      <c r="I753" s="24" t="str">
        <f t="shared" si="3"/>
        <v/>
      </c>
      <c r="J753" s="80"/>
      <c r="K753" s="26"/>
      <c r="L753" s="30"/>
    </row>
    <row r="754" ht="22.5" customHeight="1">
      <c r="A754" s="25"/>
      <c r="B754" s="23"/>
      <c r="C754" s="26"/>
      <c r="D754" s="24"/>
      <c r="E754" s="24"/>
      <c r="F754" s="26"/>
      <c r="G754" s="30"/>
      <c r="H754" s="30">
        <f t="shared" si="7"/>
        <v>0</v>
      </c>
      <c r="I754" s="24" t="str">
        <f t="shared" si="3"/>
        <v/>
      </c>
      <c r="J754" s="80"/>
      <c r="K754" s="26"/>
      <c r="L754" s="30"/>
    </row>
    <row r="755" ht="22.5" customHeight="1">
      <c r="A755" s="25"/>
      <c r="B755" s="23"/>
      <c r="C755" s="26"/>
      <c r="D755" s="24"/>
      <c r="E755" s="24"/>
      <c r="F755" s="26"/>
      <c r="G755" s="30"/>
      <c r="H755" s="30">
        <f t="shared" si="7"/>
        <v>0</v>
      </c>
      <c r="I755" s="24" t="str">
        <f t="shared" si="3"/>
        <v/>
      </c>
      <c r="J755" s="80"/>
      <c r="K755" s="26"/>
      <c r="L755" s="30"/>
    </row>
    <row r="756" ht="22.5" customHeight="1">
      <c r="A756" s="25"/>
      <c r="B756" s="23"/>
      <c r="C756" s="26"/>
      <c r="D756" s="24"/>
      <c r="E756" s="24"/>
      <c r="F756" s="26"/>
      <c r="G756" s="30"/>
      <c r="H756" s="30">
        <f t="shared" si="7"/>
        <v>0</v>
      </c>
      <c r="I756" s="24" t="str">
        <f t="shared" si="3"/>
        <v/>
      </c>
      <c r="J756" s="80"/>
      <c r="K756" s="26"/>
      <c r="L756" s="30"/>
    </row>
    <row r="757" ht="22.5" customHeight="1">
      <c r="A757" s="25"/>
      <c r="B757" s="23"/>
      <c r="C757" s="26"/>
      <c r="D757" s="24"/>
      <c r="E757" s="24"/>
      <c r="F757" s="26"/>
      <c r="G757" s="30"/>
      <c r="H757" s="30">
        <f t="shared" si="7"/>
        <v>0</v>
      </c>
      <c r="I757" s="24" t="str">
        <f t="shared" si="3"/>
        <v/>
      </c>
      <c r="J757" s="80"/>
      <c r="K757" s="26"/>
      <c r="L757" s="30"/>
    </row>
    <row r="758" ht="22.5" customHeight="1">
      <c r="A758" s="25"/>
      <c r="B758" s="23"/>
      <c r="C758" s="26"/>
      <c r="D758" s="24"/>
      <c r="E758" s="24"/>
      <c r="F758" s="26"/>
      <c r="G758" s="30"/>
      <c r="H758" s="30">
        <f t="shared" si="7"/>
        <v>0</v>
      </c>
      <c r="I758" s="24" t="str">
        <f t="shared" si="3"/>
        <v/>
      </c>
      <c r="J758" s="80"/>
      <c r="K758" s="26"/>
      <c r="L758" s="30"/>
    </row>
    <row r="759" ht="22.5" customHeight="1">
      <c r="A759" s="25"/>
      <c r="B759" s="23"/>
      <c r="C759" s="26"/>
      <c r="D759" s="24"/>
      <c r="E759" s="24"/>
      <c r="F759" s="26"/>
      <c r="G759" s="30"/>
      <c r="H759" s="30">
        <f t="shared" si="7"/>
        <v>0</v>
      </c>
      <c r="I759" s="24" t="str">
        <f t="shared" si="3"/>
        <v/>
      </c>
      <c r="J759" s="80"/>
      <c r="K759" s="26"/>
      <c r="L759" s="30"/>
    </row>
    <row r="760" ht="22.5" customHeight="1">
      <c r="A760" s="25"/>
      <c r="B760" s="23"/>
      <c r="C760" s="26"/>
      <c r="D760" s="24"/>
      <c r="E760" s="24"/>
      <c r="F760" s="26"/>
      <c r="G760" s="30"/>
      <c r="H760" s="30">
        <f t="shared" si="7"/>
        <v>0</v>
      </c>
      <c r="I760" s="24" t="str">
        <f t="shared" si="3"/>
        <v/>
      </c>
      <c r="J760" s="80"/>
      <c r="K760" s="26"/>
      <c r="L760" s="30"/>
    </row>
    <row r="761" ht="22.5" customHeight="1">
      <c r="A761" s="25"/>
      <c r="B761" s="23"/>
      <c r="C761" s="26"/>
      <c r="D761" s="24"/>
      <c r="E761" s="24"/>
      <c r="F761" s="26"/>
      <c r="G761" s="30"/>
      <c r="H761" s="30">
        <f t="shared" si="7"/>
        <v>0</v>
      </c>
      <c r="I761" s="24" t="str">
        <f t="shared" si="3"/>
        <v/>
      </c>
      <c r="J761" s="80"/>
      <c r="K761" s="26"/>
      <c r="L761" s="30"/>
    </row>
    <row r="762" ht="22.5" customHeight="1">
      <c r="A762" s="25"/>
      <c r="B762" s="23"/>
      <c r="C762" s="26"/>
      <c r="D762" s="24"/>
      <c r="E762" s="24"/>
      <c r="F762" s="26"/>
      <c r="G762" s="30"/>
      <c r="H762" s="30">
        <f t="shared" si="7"/>
        <v>0</v>
      </c>
      <c r="I762" s="24" t="str">
        <f t="shared" si="3"/>
        <v/>
      </c>
      <c r="J762" s="80"/>
      <c r="K762" s="26"/>
      <c r="L762" s="30"/>
    </row>
    <row r="763" ht="22.5" customHeight="1">
      <c r="A763" s="25"/>
      <c r="B763" s="23"/>
      <c r="C763" s="26"/>
      <c r="D763" s="24"/>
      <c r="E763" s="24"/>
      <c r="F763" s="26"/>
      <c r="G763" s="30"/>
      <c r="H763" s="30">
        <f t="shared" si="7"/>
        <v>0</v>
      </c>
      <c r="I763" s="24" t="str">
        <f t="shared" si="3"/>
        <v/>
      </c>
      <c r="J763" s="80"/>
      <c r="K763" s="26"/>
      <c r="L763" s="30"/>
    </row>
    <row r="764" ht="22.5" customHeight="1">
      <c r="A764" s="25"/>
      <c r="B764" s="23"/>
      <c r="C764" s="26"/>
      <c r="D764" s="24"/>
      <c r="E764" s="24"/>
      <c r="F764" s="26"/>
      <c r="G764" s="30"/>
      <c r="H764" s="30">
        <f t="shared" si="7"/>
        <v>0</v>
      </c>
      <c r="I764" s="24" t="str">
        <f t="shared" si="3"/>
        <v/>
      </c>
      <c r="J764" s="80"/>
      <c r="K764" s="26"/>
      <c r="L764" s="30"/>
    </row>
    <row r="765" ht="22.5" customHeight="1">
      <c r="A765" s="25"/>
      <c r="B765" s="23"/>
      <c r="C765" s="26"/>
      <c r="D765" s="24"/>
      <c r="E765" s="24"/>
      <c r="F765" s="26"/>
      <c r="G765" s="30"/>
      <c r="H765" s="30">
        <f t="shared" si="7"/>
        <v>0</v>
      </c>
      <c r="I765" s="24" t="str">
        <f t="shared" si="3"/>
        <v/>
      </c>
      <c r="J765" s="80"/>
      <c r="K765" s="26"/>
      <c r="L765" s="30"/>
    </row>
    <row r="766" ht="22.5" customHeight="1">
      <c r="A766" s="25"/>
      <c r="B766" s="23"/>
      <c r="C766" s="26"/>
      <c r="D766" s="24"/>
      <c r="E766" s="24"/>
      <c r="F766" s="26"/>
      <c r="G766" s="30"/>
      <c r="H766" s="30">
        <f t="shared" si="7"/>
        <v>0</v>
      </c>
      <c r="I766" s="24" t="str">
        <f t="shared" si="3"/>
        <v/>
      </c>
      <c r="J766" s="80"/>
      <c r="K766" s="26"/>
      <c r="L766" s="30"/>
    </row>
    <row r="767" ht="22.5" customHeight="1">
      <c r="A767" s="25"/>
      <c r="B767" s="23"/>
      <c r="C767" s="26"/>
      <c r="D767" s="24"/>
      <c r="E767" s="24"/>
      <c r="F767" s="26"/>
      <c r="G767" s="30"/>
      <c r="H767" s="30">
        <f t="shared" si="7"/>
        <v>0</v>
      </c>
      <c r="I767" s="24" t="str">
        <f t="shared" si="3"/>
        <v/>
      </c>
      <c r="J767" s="80"/>
      <c r="K767" s="26"/>
      <c r="L767" s="30"/>
    </row>
    <row r="768" ht="22.5" customHeight="1">
      <c r="A768" s="25"/>
      <c r="B768" s="23"/>
      <c r="C768" s="26"/>
      <c r="D768" s="24"/>
      <c r="E768" s="24"/>
      <c r="F768" s="26"/>
      <c r="G768" s="30"/>
      <c r="H768" s="30">
        <f t="shared" si="7"/>
        <v>0</v>
      </c>
      <c r="I768" s="24" t="str">
        <f t="shared" si="3"/>
        <v/>
      </c>
      <c r="J768" s="80"/>
      <c r="K768" s="26"/>
      <c r="L768" s="30"/>
    </row>
    <row r="769" ht="22.5" customHeight="1">
      <c r="A769" s="25"/>
      <c r="B769" s="23"/>
      <c r="C769" s="26"/>
      <c r="D769" s="24"/>
      <c r="E769" s="24"/>
      <c r="F769" s="26"/>
      <c r="G769" s="30"/>
      <c r="H769" s="30">
        <f t="shared" si="7"/>
        <v>0</v>
      </c>
      <c r="I769" s="24" t="str">
        <f t="shared" si="3"/>
        <v/>
      </c>
      <c r="J769" s="80"/>
      <c r="K769" s="26"/>
      <c r="L769" s="30"/>
    </row>
    <row r="770" ht="22.5" customHeight="1">
      <c r="A770" s="25"/>
      <c r="B770" s="23"/>
      <c r="C770" s="26"/>
      <c r="D770" s="24"/>
      <c r="E770" s="24"/>
      <c r="F770" s="26"/>
      <c r="G770" s="30"/>
      <c r="H770" s="30">
        <f t="shared" si="7"/>
        <v>0</v>
      </c>
      <c r="I770" s="24" t="str">
        <f t="shared" si="3"/>
        <v/>
      </c>
      <c r="J770" s="80"/>
      <c r="K770" s="26"/>
      <c r="L770" s="30"/>
    </row>
    <row r="771" ht="22.5" customHeight="1">
      <c r="A771" s="25"/>
      <c r="B771" s="23"/>
      <c r="C771" s="26"/>
      <c r="D771" s="24"/>
      <c r="E771" s="24"/>
      <c r="F771" s="26"/>
      <c r="G771" s="30"/>
      <c r="H771" s="30">
        <f t="shared" si="7"/>
        <v>0</v>
      </c>
      <c r="I771" s="24" t="str">
        <f t="shared" si="3"/>
        <v/>
      </c>
      <c r="J771" s="80"/>
      <c r="K771" s="26"/>
      <c r="L771" s="30"/>
    </row>
    <row r="772" ht="22.5" customHeight="1">
      <c r="A772" s="25"/>
      <c r="B772" s="23"/>
      <c r="C772" s="26"/>
      <c r="D772" s="24"/>
      <c r="E772" s="24"/>
      <c r="F772" s="26"/>
      <c r="G772" s="30"/>
      <c r="H772" s="30">
        <f t="shared" si="7"/>
        <v>0</v>
      </c>
      <c r="I772" s="24" t="str">
        <f t="shared" si="3"/>
        <v/>
      </c>
      <c r="J772" s="80"/>
      <c r="K772" s="26"/>
      <c r="L772" s="30"/>
    </row>
    <row r="773" ht="22.5" customHeight="1">
      <c r="A773" s="25"/>
      <c r="B773" s="23"/>
      <c r="C773" s="26"/>
      <c r="D773" s="24"/>
      <c r="E773" s="24"/>
      <c r="F773" s="26"/>
      <c r="G773" s="30"/>
      <c r="H773" s="30">
        <f t="shared" si="7"/>
        <v>0</v>
      </c>
      <c r="I773" s="24" t="str">
        <f t="shared" si="3"/>
        <v/>
      </c>
      <c r="J773" s="80"/>
      <c r="K773" s="26"/>
      <c r="L773" s="30"/>
    </row>
    <row r="774" ht="22.5" customHeight="1">
      <c r="A774" s="25"/>
      <c r="B774" s="23"/>
      <c r="C774" s="26"/>
      <c r="D774" s="24"/>
      <c r="E774" s="24"/>
      <c r="F774" s="26"/>
      <c r="G774" s="30"/>
      <c r="H774" s="30">
        <f t="shared" si="7"/>
        <v>0</v>
      </c>
      <c r="I774" s="24" t="str">
        <f t="shared" si="3"/>
        <v/>
      </c>
      <c r="J774" s="80"/>
      <c r="K774" s="26"/>
      <c r="L774" s="30"/>
    </row>
    <row r="775" ht="22.5" customHeight="1">
      <c r="A775" s="25"/>
      <c r="B775" s="23"/>
      <c r="C775" s="26"/>
      <c r="D775" s="24"/>
      <c r="E775" s="24"/>
      <c r="F775" s="26"/>
      <c r="G775" s="30"/>
      <c r="H775" s="30">
        <f t="shared" si="7"/>
        <v>0</v>
      </c>
      <c r="I775" s="24" t="str">
        <f t="shared" si="3"/>
        <v/>
      </c>
      <c r="J775" s="80"/>
      <c r="K775" s="26"/>
      <c r="L775" s="30"/>
    </row>
    <row r="776" ht="22.5" customHeight="1">
      <c r="A776" s="25"/>
      <c r="B776" s="23"/>
      <c r="C776" s="26"/>
      <c r="D776" s="24"/>
      <c r="E776" s="24"/>
      <c r="F776" s="26"/>
      <c r="G776" s="30"/>
      <c r="H776" s="30">
        <f t="shared" si="7"/>
        <v>0</v>
      </c>
      <c r="I776" s="24" t="str">
        <f t="shared" si="3"/>
        <v/>
      </c>
      <c r="J776" s="80"/>
      <c r="K776" s="26"/>
      <c r="L776" s="30"/>
    </row>
    <row r="777" ht="22.5" customHeight="1">
      <c r="A777" s="25"/>
      <c r="B777" s="23"/>
      <c r="C777" s="26"/>
      <c r="D777" s="24"/>
      <c r="E777" s="24"/>
      <c r="F777" s="26"/>
      <c r="G777" s="30"/>
      <c r="H777" s="30">
        <f t="shared" si="7"/>
        <v>0</v>
      </c>
      <c r="I777" s="24" t="str">
        <f t="shared" si="3"/>
        <v/>
      </c>
      <c r="J777" s="80"/>
      <c r="K777" s="26"/>
      <c r="L777" s="30"/>
    </row>
    <row r="778" ht="22.5" customHeight="1">
      <c r="A778" s="25"/>
      <c r="B778" s="23"/>
      <c r="C778" s="26"/>
      <c r="D778" s="24"/>
      <c r="E778" s="24"/>
      <c r="F778" s="26"/>
      <c r="G778" s="30"/>
      <c r="H778" s="30">
        <f t="shared" si="7"/>
        <v>0</v>
      </c>
      <c r="I778" s="24" t="str">
        <f t="shared" si="3"/>
        <v/>
      </c>
      <c r="J778" s="80"/>
      <c r="K778" s="26"/>
      <c r="L778" s="30"/>
    </row>
    <row r="779" ht="22.5" customHeight="1">
      <c r="A779" s="25"/>
      <c r="B779" s="23"/>
      <c r="C779" s="26"/>
      <c r="D779" s="24"/>
      <c r="E779" s="24"/>
      <c r="F779" s="26"/>
      <c r="G779" s="30"/>
      <c r="H779" s="30">
        <f t="shared" si="7"/>
        <v>0</v>
      </c>
      <c r="I779" s="24" t="str">
        <f t="shared" si="3"/>
        <v/>
      </c>
      <c r="J779" s="80"/>
      <c r="K779" s="26"/>
      <c r="L779" s="30"/>
    </row>
    <row r="780" ht="22.5" customHeight="1">
      <c r="A780" s="25"/>
      <c r="B780" s="23"/>
      <c r="C780" s="26"/>
      <c r="D780" s="24"/>
      <c r="E780" s="24"/>
      <c r="F780" s="26"/>
      <c r="G780" s="30"/>
      <c r="H780" s="30">
        <f t="shared" si="7"/>
        <v>0</v>
      </c>
      <c r="I780" s="24" t="str">
        <f t="shared" si="3"/>
        <v/>
      </c>
      <c r="J780" s="80"/>
      <c r="K780" s="26"/>
      <c r="L780" s="30"/>
    </row>
    <row r="781" ht="22.5" customHeight="1">
      <c r="A781" s="25"/>
      <c r="B781" s="23"/>
      <c r="C781" s="26"/>
      <c r="D781" s="24"/>
      <c r="E781" s="24"/>
      <c r="F781" s="26"/>
      <c r="G781" s="30"/>
      <c r="H781" s="30">
        <f t="shared" si="7"/>
        <v>0</v>
      </c>
      <c r="I781" s="24" t="str">
        <f t="shared" si="3"/>
        <v/>
      </c>
      <c r="J781" s="80"/>
      <c r="K781" s="26"/>
      <c r="L781" s="30"/>
    </row>
    <row r="782" ht="22.5" customHeight="1">
      <c r="A782" s="25"/>
      <c r="B782" s="23"/>
      <c r="C782" s="26"/>
      <c r="D782" s="24"/>
      <c r="E782" s="24"/>
      <c r="F782" s="26"/>
      <c r="G782" s="30"/>
      <c r="H782" s="30">
        <f t="shared" si="7"/>
        <v>0</v>
      </c>
      <c r="I782" s="24" t="str">
        <f t="shared" si="3"/>
        <v/>
      </c>
      <c r="J782" s="80"/>
      <c r="K782" s="26"/>
      <c r="L782" s="30"/>
    </row>
    <row r="783" ht="22.5" customHeight="1">
      <c r="A783" s="25"/>
      <c r="B783" s="23"/>
      <c r="C783" s="26"/>
      <c r="D783" s="24"/>
      <c r="E783" s="24"/>
      <c r="F783" s="26"/>
      <c r="G783" s="30"/>
      <c r="H783" s="30">
        <f t="shared" si="7"/>
        <v>0</v>
      </c>
      <c r="I783" s="24" t="str">
        <f t="shared" si="3"/>
        <v/>
      </c>
      <c r="J783" s="80"/>
      <c r="K783" s="26"/>
      <c r="L783" s="30"/>
    </row>
    <row r="784" ht="22.5" customHeight="1">
      <c r="A784" s="25"/>
      <c r="B784" s="23"/>
      <c r="C784" s="26"/>
      <c r="D784" s="24"/>
      <c r="E784" s="24"/>
      <c r="F784" s="26"/>
      <c r="G784" s="30"/>
      <c r="H784" s="30">
        <f t="shared" si="7"/>
        <v>0</v>
      </c>
      <c r="I784" s="24" t="str">
        <f t="shared" si="3"/>
        <v/>
      </c>
      <c r="J784" s="80"/>
      <c r="K784" s="26"/>
      <c r="L784" s="30"/>
    </row>
    <row r="785" ht="22.5" customHeight="1">
      <c r="A785" s="25"/>
      <c r="B785" s="23"/>
      <c r="C785" s="26"/>
      <c r="D785" s="24"/>
      <c r="E785" s="24"/>
      <c r="F785" s="26"/>
      <c r="G785" s="30"/>
      <c r="H785" s="30">
        <f t="shared" si="7"/>
        <v>0</v>
      </c>
      <c r="I785" s="24" t="str">
        <f t="shared" si="3"/>
        <v/>
      </c>
      <c r="J785" s="80"/>
      <c r="K785" s="26"/>
      <c r="L785" s="30"/>
    </row>
    <row r="786" ht="22.5" customHeight="1">
      <c r="A786" s="25"/>
      <c r="B786" s="23"/>
      <c r="C786" s="26"/>
      <c r="D786" s="24"/>
      <c r="E786" s="24"/>
      <c r="F786" s="26"/>
      <c r="G786" s="30"/>
      <c r="H786" s="30">
        <f t="shared" si="7"/>
        <v>0</v>
      </c>
      <c r="I786" s="24" t="str">
        <f t="shared" si="3"/>
        <v/>
      </c>
      <c r="J786" s="80"/>
      <c r="K786" s="26"/>
      <c r="L786" s="30"/>
    </row>
    <row r="787" ht="22.5" customHeight="1">
      <c r="A787" s="25"/>
      <c r="B787" s="23"/>
      <c r="C787" s="26"/>
      <c r="D787" s="24"/>
      <c r="E787" s="24"/>
      <c r="F787" s="26"/>
      <c r="G787" s="30"/>
      <c r="H787" s="30">
        <f t="shared" si="7"/>
        <v>0</v>
      </c>
      <c r="I787" s="24" t="str">
        <f t="shared" si="3"/>
        <v/>
      </c>
      <c r="J787" s="80"/>
      <c r="K787" s="26"/>
      <c r="L787" s="30"/>
    </row>
    <row r="788" ht="22.5" customHeight="1">
      <c r="A788" s="25"/>
      <c r="B788" s="23"/>
      <c r="C788" s="26"/>
      <c r="D788" s="24"/>
      <c r="E788" s="24"/>
      <c r="F788" s="26"/>
      <c r="G788" s="30"/>
      <c r="H788" s="30">
        <f t="shared" si="7"/>
        <v>0</v>
      </c>
      <c r="I788" s="24" t="str">
        <f t="shared" si="3"/>
        <v/>
      </c>
      <c r="J788" s="80"/>
      <c r="K788" s="26"/>
      <c r="L788" s="30"/>
    </row>
    <row r="789" ht="22.5" customHeight="1">
      <c r="A789" s="25"/>
      <c r="B789" s="23"/>
      <c r="C789" s="26"/>
      <c r="D789" s="24"/>
      <c r="E789" s="24"/>
      <c r="F789" s="26"/>
      <c r="G789" s="30"/>
      <c r="H789" s="30">
        <f t="shared" si="7"/>
        <v>0</v>
      </c>
      <c r="I789" s="24" t="str">
        <f t="shared" si="3"/>
        <v/>
      </c>
      <c r="J789" s="80"/>
      <c r="K789" s="26"/>
      <c r="L789" s="30"/>
    </row>
    <row r="790" ht="22.5" customHeight="1">
      <c r="A790" s="25"/>
      <c r="B790" s="23"/>
      <c r="C790" s="26"/>
      <c r="D790" s="24"/>
      <c r="E790" s="24"/>
      <c r="F790" s="26"/>
      <c r="G790" s="30"/>
      <c r="H790" s="30">
        <f t="shared" si="7"/>
        <v>0</v>
      </c>
      <c r="I790" s="24" t="str">
        <f t="shared" si="3"/>
        <v/>
      </c>
      <c r="J790" s="80"/>
      <c r="K790" s="26"/>
      <c r="L790" s="30"/>
    </row>
    <row r="791" ht="22.5" customHeight="1">
      <c r="A791" s="25"/>
      <c r="B791" s="23"/>
      <c r="C791" s="26"/>
      <c r="D791" s="24"/>
      <c r="E791" s="24"/>
      <c r="F791" s="26"/>
      <c r="G791" s="30"/>
      <c r="H791" s="30">
        <f t="shared" si="7"/>
        <v>0</v>
      </c>
      <c r="I791" s="24" t="str">
        <f t="shared" si="3"/>
        <v/>
      </c>
      <c r="J791" s="80"/>
      <c r="K791" s="26"/>
      <c r="L791" s="30"/>
    </row>
    <row r="792" ht="22.5" customHeight="1">
      <c r="A792" s="25"/>
      <c r="B792" s="23"/>
      <c r="C792" s="26"/>
      <c r="D792" s="24"/>
      <c r="E792" s="24"/>
      <c r="F792" s="26"/>
      <c r="G792" s="30"/>
      <c r="H792" s="30">
        <f t="shared" si="7"/>
        <v>0</v>
      </c>
      <c r="I792" s="24" t="str">
        <f t="shared" si="3"/>
        <v/>
      </c>
      <c r="J792" s="80"/>
      <c r="K792" s="26"/>
      <c r="L792" s="30"/>
    </row>
    <row r="793" ht="22.5" customHeight="1">
      <c r="A793" s="25"/>
      <c r="B793" s="23"/>
      <c r="C793" s="26"/>
      <c r="D793" s="24"/>
      <c r="E793" s="24"/>
      <c r="F793" s="26"/>
      <c r="G793" s="30"/>
      <c r="H793" s="30">
        <f t="shared" si="7"/>
        <v>0</v>
      </c>
      <c r="I793" s="24" t="str">
        <f t="shared" si="3"/>
        <v/>
      </c>
      <c r="J793" s="80"/>
      <c r="K793" s="26"/>
      <c r="L793" s="30"/>
    </row>
    <row r="794" ht="22.5" customHeight="1">
      <c r="A794" s="25"/>
      <c r="B794" s="23"/>
      <c r="C794" s="26"/>
      <c r="D794" s="24"/>
      <c r="E794" s="24"/>
      <c r="F794" s="26"/>
      <c r="G794" s="30"/>
      <c r="H794" s="30">
        <f t="shared" si="7"/>
        <v>0</v>
      </c>
      <c r="I794" s="24" t="str">
        <f t="shared" si="3"/>
        <v/>
      </c>
      <c r="J794" s="80"/>
      <c r="K794" s="26"/>
      <c r="L794" s="30"/>
    </row>
    <row r="795" ht="22.5" customHeight="1">
      <c r="A795" s="25"/>
      <c r="B795" s="23"/>
      <c r="C795" s="26"/>
      <c r="D795" s="24"/>
      <c r="E795" s="24"/>
      <c r="F795" s="26"/>
      <c r="G795" s="30"/>
      <c r="H795" s="30">
        <f t="shared" si="7"/>
        <v>0</v>
      </c>
      <c r="I795" s="24" t="str">
        <f t="shared" si="3"/>
        <v/>
      </c>
      <c r="J795" s="80"/>
      <c r="K795" s="26"/>
      <c r="L795" s="30"/>
    </row>
    <row r="796" ht="22.5" customHeight="1">
      <c r="A796" s="25"/>
      <c r="B796" s="23"/>
      <c r="C796" s="26"/>
      <c r="D796" s="24"/>
      <c r="E796" s="24"/>
      <c r="F796" s="26"/>
      <c r="G796" s="30"/>
      <c r="H796" s="30">
        <f t="shared" si="7"/>
        <v>0</v>
      </c>
      <c r="I796" s="24" t="str">
        <f t="shared" si="3"/>
        <v/>
      </c>
      <c r="J796" s="80"/>
      <c r="K796" s="26"/>
      <c r="L796" s="30"/>
    </row>
    <row r="797" ht="22.5" customHeight="1">
      <c r="A797" s="25"/>
      <c r="B797" s="23"/>
      <c r="C797" s="26"/>
      <c r="D797" s="24"/>
      <c r="E797" s="24"/>
      <c r="F797" s="26"/>
      <c r="G797" s="30"/>
      <c r="H797" s="30">
        <f t="shared" si="7"/>
        <v>0</v>
      </c>
      <c r="I797" s="24" t="str">
        <f t="shared" si="3"/>
        <v/>
      </c>
      <c r="J797" s="80"/>
      <c r="K797" s="26"/>
      <c r="L797" s="30"/>
    </row>
    <row r="798" ht="22.5" customHeight="1">
      <c r="A798" s="25"/>
      <c r="B798" s="23"/>
      <c r="C798" s="26"/>
      <c r="D798" s="24"/>
      <c r="E798" s="24"/>
      <c r="F798" s="26"/>
      <c r="G798" s="30"/>
      <c r="H798" s="30">
        <f t="shared" si="7"/>
        <v>0</v>
      </c>
      <c r="I798" s="24" t="str">
        <f t="shared" si="3"/>
        <v/>
      </c>
      <c r="J798" s="80"/>
      <c r="K798" s="26"/>
      <c r="L798" s="30"/>
    </row>
    <row r="799" ht="22.5" customHeight="1">
      <c r="A799" s="25"/>
      <c r="B799" s="23"/>
      <c r="C799" s="26"/>
      <c r="D799" s="24"/>
      <c r="E799" s="24"/>
      <c r="F799" s="26"/>
      <c r="G799" s="30"/>
      <c r="H799" s="30">
        <f t="shared" si="7"/>
        <v>0</v>
      </c>
      <c r="I799" s="24" t="str">
        <f t="shared" si="3"/>
        <v/>
      </c>
      <c r="J799" s="80"/>
      <c r="K799" s="26"/>
      <c r="L799" s="30"/>
    </row>
    <row r="800" ht="22.5" customHeight="1">
      <c r="A800" s="25"/>
      <c r="B800" s="23"/>
      <c r="C800" s="26"/>
      <c r="D800" s="24"/>
      <c r="E800" s="24"/>
      <c r="F800" s="26"/>
      <c r="G800" s="30"/>
      <c r="H800" s="30">
        <f t="shared" si="7"/>
        <v>0</v>
      </c>
      <c r="I800" s="24" t="str">
        <f t="shared" si="3"/>
        <v/>
      </c>
      <c r="J800" s="80"/>
      <c r="K800" s="26"/>
      <c r="L800" s="30"/>
    </row>
    <row r="801" ht="22.5" customHeight="1">
      <c r="A801" s="25"/>
      <c r="B801" s="23"/>
      <c r="C801" s="26"/>
      <c r="D801" s="24"/>
      <c r="E801" s="24"/>
      <c r="F801" s="26"/>
      <c r="G801" s="30"/>
      <c r="H801" s="30">
        <f t="shared" si="7"/>
        <v>0</v>
      </c>
      <c r="I801" s="24" t="str">
        <f t="shared" si="3"/>
        <v/>
      </c>
      <c r="J801" s="80"/>
      <c r="K801" s="26"/>
      <c r="L801" s="30"/>
    </row>
    <row r="802" ht="22.5" customHeight="1">
      <c r="A802" s="25"/>
      <c r="B802" s="23"/>
      <c r="C802" s="26"/>
      <c r="D802" s="24"/>
      <c r="E802" s="24"/>
      <c r="F802" s="26"/>
      <c r="G802" s="30"/>
      <c r="H802" s="30">
        <f t="shared" si="7"/>
        <v>0</v>
      </c>
      <c r="I802" s="24" t="str">
        <f t="shared" si="3"/>
        <v/>
      </c>
      <c r="J802" s="80"/>
      <c r="K802" s="26"/>
      <c r="L802" s="30"/>
    </row>
    <row r="803" ht="22.5" customHeight="1">
      <c r="A803" s="25"/>
      <c r="B803" s="23"/>
      <c r="C803" s="26"/>
      <c r="D803" s="24"/>
      <c r="E803" s="24"/>
      <c r="F803" s="26"/>
      <c r="G803" s="30"/>
      <c r="H803" s="30">
        <f t="shared" si="7"/>
        <v>0</v>
      </c>
      <c r="I803" s="24" t="str">
        <f t="shared" si="3"/>
        <v/>
      </c>
      <c r="J803" s="80"/>
      <c r="K803" s="26"/>
      <c r="L803" s="30"/>
    </row>
    <row r="804" ht="22.5" customHeight="1">
      <c r="A804" s="25"/>
      <c r="B804" s="23"/>
      <c r="C804" s="26"/>
      <c r="D804" s="24"/>
      <c r="E804" s="24"/>
      <c r="F804" s="26"/>
      <c r="G804" s="30"/>
      <c r="H804" s="30">
        <f t="shared" si="7"/>
        <v>0</v>
      </c>
      <c r="I804" s="24" t="str">
        <f t="shared" si="3"/>
        <v/>
      </c>
      <c r="J804" s="80"/>
      <c r="K804" s="26"/>
      <c r="L804" s="30"/>
    </row>
    <row r="805" ht="22.5" customHeight="1">
      <c r="A805" s="25"/>
      <c r="B805" s="23"/>
      <c r="C805" s="26"/>
      <c r="D805" s="24"/>
      <c r="E805" s="24"/>
      <c r="F805" s="26"/>
      <c r="G805" s="30"/>
      <c r="H805" s="30">
        <f t="shared" si="7"/>
        <v>0</v>
      </c>
      <c r="I805" s="24" t="str">
        <f t="shared" si="3"/>
        <v/>
      </c>
      <c r="J805" s="80"/>
      <c r="K805" s="26"/>
      <c r="L805" s="30"/>
    </row>
    <row r="806" ht="22.5" customHeight="1">
      <c r="A806" s="25"/>
      <c r="B806" s="23"/>
      <c r="C806" s="26"/>
      <c r="D806" s="24"/>
      <c r="E806" s="24"/>
      <c r="F806" s="26"/>
      <c r="G806" s="30"/>
      <c r="H806" s="30">
        <f t="shared" si="7"/>
        <v>0</v>
      </c>
      <c r="I806" s="24" t="str">
        <f t="shared" si="3"/>
        <v/>
      </c>
      <c r="J806" s="80"/>
      <c r="K806" s="26"/>
      <c r="L806" s="30"/>
    </row>
    <row r="807" ht="22.5" customHeight="1">
      <c r="A807" s="25"/>
      <c r="B807" s="23"/>
      <c r="C807" s="26"/>
      <c r="D807" s="24"/>
      <c r="E807" s="24"/>
      <c r="F807" s="26"/>
      <c r="G807" s="30"/>
      <c r="H807" s="30">
        <f t="shared" si="7"/>
        <v>0</v>
      </c>
      <c r="I807" s="24" t="str">
        <f t="shared" si="3"/>
        <v/>
      </c>
      <c r="J807" s="80"/>
      <c r="K807" s="26"/>
      <c r="L807" s="30"/>
    </row>
    <row r="808" ht="22.5" customHeight="1">
      <c r="A808" s="25"/>
      <c r="B808" s="23"/>
      <c r="C808" s="26"/>
      <c r="D808" s="24"/>
      <c r="E808" s="24"/>
      <c r="F808" s="26"/>
      <c r="G808" s="30"/>
      <c r="H808" s="30">
        <f t="shared" si="7"/>
        <v>0</v>
      </c>
      <c r="I808" s="24" t="str">
        <f t="shared" si="3"/>
        <v/>
      </c>
      <c r="J808" s="80"/>
      <c r="K808" s="26"/>
      <c r="L808" s="30"/>
    </row>
    <row r="809" ht="22.5" customHeight="1">
      <c r="A809" s="25"/>
      <c r="B809" s="23"/>
      <c r="C809" s="26"/>
      <c r="D809" s="24"/>
      <c r="E809" s="24"/>
      <c r="F809" s="26"/>
      <c r="G809" s="30"/>
      <c r="H809" s="30">
        <f t="shared" si="7"/>
        <v>0</v>
      </c>
      <c r="I809" s="24" t="str">
        <f t="shared" si="3"/>
        <v/>
      </c>
      <c r="J809" s="80"/>
      <c r="K809" s="26"/>
      <c r="L809" s="30"/>
    </row>
    <row r="810" ht="22.5" customHeight="1">
      <c r="A810" s="25"/>
      <c r="B810" s="23"/>
      <c r="C810" s="26"/>
      <c r="D810" s="24"/>
      <c r="E810" s="24"/>
      <c r="F810" s="26"/>
      <c r="G810" s="30"/>
      <c r="H810" s="30">
        <f t="shared" si="7"/>
        <v>0</v>
      </c>
      <c r="I810" s="24" t="str">
        <f t="shared" si="3"/>
        <v/>
      </c>
      <c r="J810" s="80"/>
      <c r="K810" s="26"/>
      <c r="L810" s="30"/>
    </row>
    <row r="811" ht="22.5" customHeight="1">
      <c r="A811" s="25"/>
      <c r="B811" s="23"/>
      <c r="C811" s="26"/>
      <c r="D811" s="24"/>
      <c r="E811" s="24"/>
      <c r="F811" s="26"/>
      <c r="G811" s="30"/>
      <c r="H811" s="30">
        <f t="shared" si="7"/>
        <v>0</v>
      </c>
      <c r="I811" s="24" t="str">
        <f t="shared" si="3"/>
        <v/>
      </c>
      <c r="J811" s="80"/>
      <c r="K811" s="26"/>
      <c r="L811" s="30"/>
    </row>
    <row r="812" ht="22.5" customHeight="1">
      <c r="A812" s="25"/>
      <c r="B812" s="23"/>
      <c r="C812" s="26"/>
      <c r="D812" s="24"/>
      <c r="E812" s="24"/>
      <c r="F812" s="26"/>
      <c r="G812" s="30"/>
      <c r="H812" s="30">
        <f t="shared" si="7"/>
        <v>0</v>
      </c>
      <c r="I812" s="24" t="str">
        <f t="shared" si="3"/>
        <v/>
      </c>
      <c r="J812" s="80"/>
      <c r="K812" s="26"/>
      <c r="L812" s="30"/>
    </row>
    <row r="813" ht="22.5" customHeight="1">
      <c r="A813" s="25"/>
      <c r="B813" s="23"/>
      <c r="C813" s="26"/>
      <c r="D813" s="24"/>
      <c r="E813" s="24"/>
      <c r="F813" s="26"/>
      <c r="G813" s="30"/>
      <c r="H813" s="30">
        <f t="shared" si="7"/>
        <v>0</v>
      </c>
      <c r="I813" s="24" t="str">
        <f t="shared" si="3"/>
        <v/>
      </c>
      <c r="J813" s="80"/>
      <c r="K813" s="26"/>
      <c r="L813" s="30"/>
    </row>
    <row r="814" ht="22.5" customHeight="1">
      <c r="A814" s="25"/>
      <c r="B814" s="23"/>
      <c r="C814" s="26"/>
      <c r="D814" s="24"/>
      <c r="E814" s="24"/>
      <c r="F814" s="26"/>
      <c r="G814" s="30"/>
      <c r="H814" s="30">
        <f t="shared" si="7"/>
        <v>0</v>
      </c>
      <c r="I814" s="24" t="str">
        <f t="shared" si="3"/>
        <v/>
      </c>
      <c r="J814" s="80"/>
      <c r="K814" s="26"/>
      <c r="L814" s="30"/>
    </row>
    <row r="815" ht="22.5" customHeight="1">
      <c r="A815" s="25"/>
      <c r="B815" s="23"/>
      <c r="C815" s="26"/>
      <c r="D815" s="24"/>
      <c r="E815" s="24"/>
      <c r="F815" s="26"/>
      <c r="G815" s="30"/>
      <c r="H815" s="30">
        <f t="shared" si="7"/>
        <v>0</v>
      </c>
      <c r="I815" s="24" t="str">
        <f t="shared" si="3"/>
        <v/>
      </c>
      <c r="J815" s="80"/>
      <c r="K815" s="26"/>
      <c r="L815" s="30"/>
    </row>
    <row r="816" ht="22.5" customHeight="1">
      <c r="A816" s="25"/>
      <c r="B816" s="23"/>
      <c r="C816" s="26"/>
      <c r="D816" s="24"/>
      <c r="E816" s="24"/>
      <c r="F816" s="26"/>
      <c r="G816" s="30"/>
      <c r="H816" s="30">
        <f t="shared" si="7"/>
        <v>0</v>
      </c>
      <c r="I816" s="24" t="str">
        <f t="shared" si="3"/>
        <v/>
      </c>
      <c r="J816" s="80"/>
      <c r="K816" s="26"/>
      <c r="L816" s="30"/>
    </row>
    <row r="817" ht="22.5" customHeight="1">
      <c r="A817" s="25"/>
      <c r="B817" s="23"/>
      <c r="C817" s="26"/>
      <c r="D817" s="24"/>
      <c r="E817" s="24"/>
      <c r="F817" s="26"/>
      <c r="G817" s="30"/>
      <c r="H817" s="30">
        <f t="shared" si="7"/>
        <v>0</v>
      </c>
      <c r="I817" s="24" t="str">
        <f t="shared" si="3"/>
        <v/>
      </c>
      <c r="J817" s="80"/>
      <c r="K817" s="26"/>
      <c r="L817" s="30"/>
    </row>
    <row r="818" ht="22.5" customHeight="1">
      <c r="A818" s="25"/>
      <c r="B818" s="23"/>
      <c r="C818" s="26"/>
      <c r="D818" s="24"/>
      <c r="E818" s="24"/>
      <c r="F818" s="26"/>
      <c r="G818" s="30"/>
      <c r="H818" s="30">
        <f t="shared" si="7"/>
        <v>0</v>
      </c>
      <c r="I818" s="24" t="str">
        <f t="shared" si="3"/>
        <v/>
      </c>
      <c r="J818" s="80"/>
      <c r="K818" s="26"/>
      <c r="L818" s="30"/>
    </row>
    <row r="819" ht="22.5" customHeight="1">
      <c r="A819" s="25"/>
      <c r="B819" s="23"/>
      <c r="C819" s="26"/>
      <c r="D819" s="24"/>
      <c r="E819" s="24"/>
      <c r="F819" s="26"/>
      <c r="G819" s="30"/>
      <c r="H819" s="30">
        <f t="shared" si="7"/>
        <v>0</v>
      </c>
      <c r="I819" s="24" t="str">
        <f t="shared" si="3"/>
        <v/>
      </c>
      <c r="J819" s="80"/>
      <c r="K819" s="26"/>
      <c r="L819" s="30"/>
    </row>
    <row r="820" ht="22.5" customHeight="1">
      <c r="A820" s="25"/>
      <c r="B820" s="23"/>
      <c r="C820" s="26"/>
      <c r="D820" s="24"/>
      <c r="E820" s="24"/>
      <c r="F820" s="26"/>
      <c r="G820" s="30"/>
      <c r="H820" s="30">
        <f t="shared" si="7"/>
        <v>0</v>
      </c>
      <c r="I820" s="24" t="str">
        <f t="shared" si="3"/>
        <v/>
      </c>
      <c r="J820" s="80"/>
      <c r="K820" s="26"/>
      <c r="L820" s="30"/>
    </row>
    <row r="821" ht="22.5" customHeight="1">
      <c r="A821" s="25"/>
      <c r="B821" s="23"/>
      <c r="C821" s="26"/>
      <c r="D821" s="24"/>
      <c r="E821" s="24"/>
      <c r="F821" s="26"/>
      <c r="G821" s="30"/>
      <c r="H821" s="30">
        <f t="shared" si="7"/>
        <v>0</v>
      </c>
      <c r="I821" s="24" t="str">
        <f t="shared" si="3"/>
        <v/>
      </c>
      <c r="J821" s="80"/>
      <c r="K821" s="26"/>
      <c r="L821" s="30"/>
    </row>
    <row r="822" ht="22.5" customHeight="1">
      <c r="A822" s="25"/>
      <c r="B822" s="23"/>
      <c r="C822" s="26"/>
      <c r="D822" s="24"/>
      <c r="E822" s="24"/>
      <c r="F822" s="26"/>
      <c r="G822" s="30"/>
      <c r="H822" s="30">
        <f t="shared" si="7"/>
        <v>0</v>
      </c>
      <c r="I822" s="24" t="str">
        <f t="shared" si="3"/>
        <v/>
      </c>
      <c r="J822" s="80"/>
      <c r="K822" s="26"/>
      <c r="L822" s="30"/>
    </row>
    <row r="823" ht="22.5" customHeight="1">
      <c r="A823" s="25"/>
      <c r="B823" s="23"/>
      <c r="C823" s="26"/>
      <c r="D823" s="24"/>
      <c r="E823" s="24"/>
      <c r="F823" s="26"/>
      <c r="G823" s="30"/>
      <c r="H823" s="30">
        <f t="shared" si="7"/>
        <v>0</v>
      </c>
      <c r="I823" s="24" t="str">
        <f t="shared" si="3"/>
        <v/>
      </c>
      <c r="J823" s="80"/>
      <c r="K823" s="26"/>
      <c r="L823" s="30"/>
    </row>
    <row r="824" ht="22.5" customHeight="1">
      <c r="A824" s="25"/>
      <c r="B824" s="23"/>
      <c r="C824" s="26"/>
      <c r="D824" s="24"/>
      <c r="E824" s="24"/>
      <c r="F824" s="26"/>
      <c r="G824" s="30"/>
      <c r="H824" s="30">
        <f t="shared" si="7"/>
        <v>0</v>
      </c>
      <c r="I824" s="24" t="str">
        <f t="shared" si="3"/>
        <v/>
      </c>
      <c r="J824" s="80"/>
      <c r="K824" s="26"/>
      <c r="L824" s="30"/>
    </row>
    <row r="825" ht="22.5" customHeight="1">
      <c r="A825" s="25"/>
      <c r="B825" s="23"/>
      <c r="C825" s="26"/>
      <c r="D825" s="24"/>
      <c r="E825" s="24"/>
      <c r="F825" s="26"/>
      <c r="G825" s="30"/>
      <c r="H825" s="30">
        <f t="shared" si="7"/>
        <v>0</v>
      </c>
      <c r="I825" s="24" t="str">
        <f t="shared" si="3"/>
        <v/>
      </c>
      <c r="J825" s="80"/>
      <c r="K825" s="26"/>
      <c r="L825" s="30"/>
    </row>
    <row r="826" ht="22.5" customHeight="1">
      <c r="A826" s="25"/>
      <c r="B826" s="23"/>
      <c r="C826" s="26"/>
      <c r="D826" s="24"/>
      <c r="E826" s="24"/>
      <c r="F826" s="26"/>
      <c r="G826" s="30"/>
      <c r="H826" s="30">
        <f t="shared" si="7"/>
        <v>0</v>
      </c>
      <c r="I826" s="24" t="str">
        <f t="shared" si="3"/>
        <v/>
      </c>
      <c r="J826" s="80"/>
      <c r="K826" s="26"/>
      <c r="L826" s="30"/>
    </row>
    <row r="827" ht="22.5" customHeight="1">
      <c r="A827" s="25"/>
      <c r="B827" s="23"/>
      <c r="C827" s="26"/>
      <c r="D827" s="24"/>
      <c r="E827" s="24"/>
      <c r="F827" s="26"/>
      <c r="G827" s="30"/>
      <c r="H827" s="30">
        <f t="shared" si="7"/>
        <v>0</v>
      </c>
      <c r="I827" s="24" t="str">
        <f t="shared" si="3"/>
        <v/>
      </c>
      <c r="J827" s="80"/>
      <c r="K827" s="26"/>
      <c r="L827" s="30"/>
    </row>
    <row r="828" ht="22.5" customHeight="1">
      <c r="A828" s="25"/>
      <c r="B828" s="23"/>
      <c r="C828" s="26"/>
      <c r="D828" s="24"/>
      <c r="E828" s="24"/>
      <c r="F828" s="26"/>
      <c r="G828" s="30"/>
      <c r="H828" s="30">
        <f t="shared" si="7"/>
        <v>0</v>
      </c>
      <c r="I828" s="24" t="str">
        <f t="shared" si="3"/>
        <v/>
      </c>
      <c r="J828" s="80"/>
      <c r="K828" s="26"/>
      <c r="L828" s="30"/>
    </row>
    <row r="829" ht="22.5" customHeight="1">
      <c r="A829" s="25"/>
      <c r="B829" s="23"/>
      <c r="C829" s="26"/>
      <c r="D829" s="24"/>
      <c r="E829" s="24"/>
      <c r="F829" s="26"/>
      <c r="G829" s="30"/>
      <c r="H829" s="30">
        <f t="shared" si="7"/>
        <v>0</v>
      </c>
      <c r="I829" s="24" t="str">
        <f t="shared" si="3"/>
        <v/>
      </c>
      <c r="J829" s="80"/>
      <c r="K829" s="26"/>
      <c r="L829" s="30"/>
    </row>
    <row r="830" ht="22.5" customHeight="1">
      <c r="A830" s="25"/>
      <c r="B830" s="23"/>
      <c r="C830" s="26"/>
      <c r="D830" s="24"/>
      <c r="E830" s="24"/>
      <c r="F830" s="26"/>
      <c r="G830" s="30"/>
      <c r="H830" s="30">
        <f t="shared" si="7"/>
        <v>0</v>
      </c>
      <c r="I830" s="24" t="str">
        <f t="shared" si="3"/>
        <v/>
      </c>
      <c r="J830" s="80"/>
      <c r="K830" s="26"/>
      <c r="L830" s="30"/>
    </row>
    <row r="831" ht="22.5" customHeight="1">
      <c r="A831" s="25"/>
      <c r="B831" s="23"/>
      <c r="C831" s="26"/>
      <c r="D831" s="24"/>
      <c r="E831" s="24"/>
      <c r="F831" s="26"/>
      <c r="G831" s="30"/>
      <c r="H831" s="30">
        <f t="shared" si="7"/>
        <v>0</v>
      </c>
      <c r="I831" s="24" t="str">
        <f t="shared" si="3"/>
        <v/>
      </c>
      <c r="J831" s="80"/>
      <c r="K831" s="26"/>
      <c r="L831" s="30"/>
    </row>
    <row r="832" ht="22.5" customHeight="1">
      <c r="A832" s="25"/>
      <c r="B832" s="23"/>
      <c r="C832" s="26"/>
      <c r="D832" s="24"/>
      <c r="E832" s="24"/>
      <c r="F832" s="26"/>
      <c r="G832" s="30"/>
      <c r="H832" s="30">
        <f t="shared" si="7"/>
        <v>0</v>
      </c>
      <c r="I832" s="24" t="str">
        <f t="shared" si="3"/>
        <v/>
      </c>
      <c r="J832" s="80"/>
      <c r="K832" s="26"/>
      <c r="L832" s="30"/>
    </row>
    <row r="833" ht="22.5" customHeight="1">
      <c r="A833" s="25"/>
      <c r="B833" s="23"/>
      <c r="C833" s="26"/>
      <c r="D833" s="24"/>
      <c r="E833" s="24"/>
      <c r="F833" s="26"/>
      <c r="G833" s="30"/>
      <c r="H833" s="30">
        <f t="shared" si="7"/>
        <v>0</v>
      </c>
      <c r="I833" s="24" t="str">
        <f t="shared" si="3"/>
        <v/>
      </c>
      <c r="J833" s="80"/>
      <c r="K833" s="26"/>
      <c r="L833" s="30"/>
    </row>
    <row r="834" ht="22.5" customHeight="1">
      <c r="A834" s="25"/>
      <c r="B834" s="23"/>
      <c r="C834" s="26"/>
      <c r="D834" s="24"/>
      <c r="E834" s="24"/>
      <c r="F834" s="26"/>
      <c r="G834" s="30"/>
      <c r="H834" s="30">
        <f t="shared" si="7"/>
        <v>0</v>
      </c>
      <c r="I834" s="24" t="str">
        <f t="shared" si="3"/>
        <v/>
      </c>
      <c r="J834" s="80"/>
      <c r="K834" s="26"/>
      <c r="L834" s="30"/>
    </row>
    <row r="835" ht="22.5" customHeight="1">
      <c r="A835" s="25"/>
      <c r="B835" s="23"/>
      <c r="C835" s="26"/>
      <c r="D835" s="24"/>
      <c r="E835" s="24"/>
      <c r="F835" s="26"/>
      <c r="G835" s="30"/>
      <c r="H835" s="30">
        <f t="shared" si="7"/>
        <v>0</v>
      </c>
      <c r="I835" s="24" t="str">
        <f t="shared" si="3"/>
        <v/>
      </c>
      <c r="J835" s="80"/>
      <c r="K835" s="26"/>
      <c r="L835" s="30"/>
    </row>
    <row r="836" ht="22.5" customHeight="1">
      <c r="A836" s="25"/>
      <c r="B836" s="23"/>
      <c r="C836" s="26"/>
      <c r="D836" s="24"/>
      <c r="E836" s="24"/>
      <c r="F836" s="26"/>
      <c r="G836" s="30"/>
      <c r="H836" s="30">
        <f t="shared" si="7"/>
        <v>0</v>
      </c>
      <c r="I836" s="24" t="str">
        <f t="shared" si="3"/>
        <v/>
      </c>
      <c r="J836" s="80"/>
      <c r="K836" s="26"/>
      <c r="L836" s="30"/>
    </row>
    <row r="837" ht="22.5" customHeight="1">
      <c r="A837" s="25"/>
      <c r="B837" s="23"/>
      <c r="C837" s="26"/>
      <c r="D837" s="24"/>
      <c r="E837" s="24"/>
      <c r="F837" s="26"/>
      <c r="G837" s="30"/>
      <c r="H837" s="30">
        <f t="shared" si="7"/>
        <v>0</v>
      </c>
      <c r="I837" s="24" t="str">
        <f t="shared" si="3"/>
        <v/>
      </c>
      <c r="J837" s="80"/>
      <c r="K837" s="26"/>
      <c r="L837" s="30"/>
    </row>
    <row r="838" ht="22.5" customHeight="1">
      <c r="A838" s="25"/>
      <c r="B838" s="23"/>
      <c r="C838" s="26"/>
      <c r="D838" s="24"/>
      <c r="E838" s="24"/>
      <c r="F838" s="26"/>
      <c r="G838" s="30"/>
      <c r="H838" s="30">
        <f t="shared" si="7"/>
        <v>0</v>
      </c>
      <c r="I838" s="24" t="str">
        <f t="shared" si="3"/>
        <v/>
      </c>
      <c r="J838" s="80"/>
      <c r="K838" s="26"/>
      <c r="L838" s="30"/>
    </row>
    <row r="839" ht="22.5" customHeight="1">
      <c r="A839" s="25"/>
      <c r="B839" s="23"/>
      <c r="C839" s="26"/>
      <c r="D839" s="24"/>
      <c r="E839" s="24"/>
      <c r="F839" s="26"/>
      <c r="G839" s="30"/>
      <c r="H839" s="30">
        <f t="shared" si="7"/>
        <v>0</v>
      </c>
      <c r="I839" s="24" t="str">
        <f t="shared" si="3"/>
        <v/>
      </c>
      <c r="J839" s="80"/>
      <c r="K839" s="26"/>
      <c r="L839" s="30"/>
    </row>
    <row r="840" ht="22.5" customHeight="1">
      <c r="A840" s="25"/>
      <c r="B840" s="23"/>
      <c r="C840" s="26"/>
      <c r="D840" s="24"/>
      <c r="E840" s="24"/>
      <c r="F840" s="26"/>
      <c r="G840" s="30"/>
      <c r="H840" s="30">
        <f t="shared" si="7"/>
        <v>0</v>
      </c>
      <c r="I840" s="24" t="str">
        <f t="shared" si="3"/>
        <v/>
      </c>
      <c r="J840" s="80"/>
      <c r="K840" s="26"/>
      <c r="L840" s="30"/>
    </row>
    <row r="841" ht="22.5" customHeight="1">
      <c r="A841" s="25"/>
      <c r="B841" s="23"/>
      <c r="C841" s="26"/>
      <c r="D841" s="24"/>
      <c r="E841" s="24"/>
      <c r="F841" s="26"/>
      <c r="G841" s="30"/>
      <c r="H841" s="30">
        <f t="shared" si="7"/>
        <v>0</v>
      </c>
      <c r="I841" s="24" t="str">
        <f t="shared" si="3"/>
        <v/>
      </c>
      <c r="J841" s="80"/>
      <c r="K841" s="26"/>
      <c r="L841" s="30"/>
    </row>
    <row r="842" ht="22.5" customHeight="1">
      <c r="A842" s="25"/>
      <c r="B842" s="23"/>
      <c r="C842" s="26"/>
      <c r="D842" s="24"/>
      <c r="E842" s="24"/>
      <c r="F842" s="26"/>
      <c r="G842" s="30"/>
      <c r="H842" s="30">
        <f t="shared" si="7"/>
        <v>0</v>
      </c>
      <c r="I842" s="24" t="str">
        <f t="shared" si="3"/>
        <v/>
      </c>
      <c r="J842" s="80"/>
      <c r="K842" s="26"/>
      <c r="L842" s="30"/>
    </row>
    <row r="843" ht="22.5" customHeight="1">
      <c r="A843" s="25"/>
      <c r="B843" s="23"/>
      <c r="C843" s="26"/>
      <c r="D843" s="24"/>
      <c r="E843" s="24"/>
      <c r="F843" s="26"/>
      <c r="G843" s="30"/>
      <c r="H843" s="30">
        <f t="shared" si="7"/>
        <v>0</v>
      </c>
      <c r="I843" s="24" t="str">
        <f t="shared" si="3"/>
        <v/>
      </c>
      <c r="J843" s="80"/>
      <c r="K843" s="26"/>
      <c r="L843" s="30"/>
    </row>
    <row r="844" ht="22.5" customHeight="1">
      <c r="A844" s="25"/>
      <c r="B844" s="23"/>
      <c r="C844" s="26"/>
      <c r="D844" s="24"/>
      <c r="E844" s="24"/>
      <c r="F844" s="26"/>
      <c r="G844" s="30"/>
      <c r="H844" s="30">
        <f t="shared" si="7"/>
        <v>0</v>
      </c>
      <c r="I844" s="24" t="str">
        <f t="shared" si="3"/>
        <v/>
      </c>
      <c r="J844" s="80"/>
      <c r="K844" s="26"/>
      <c r="L844" s="30"/>
    </row>
    <row r="845" ht="22.5" customHeight="1">
      <c r="A845" s="25"/>
      <c r="B845" s="23"/>
      <c r="C845" s="26"/>
      <c r="D845" s="24"/>
      <c r="E845" s="24"/>
      <c r="F845" s="26"/>
      <c r="G845" s="30"/>
      <c r="H845" s="30">
        <f t="shared" si="7"/>
        <v>0</v>
      </c>
      <c r="I845" s="24" t="str">
        <f t="shared" si="3"/>
        <v/>
      </c>
      <c r="J845" s="80"/>
      <c r="K845" s="26"/>
      <c r="L845" s="30"/>
    </row>
    <row r="846" ht="22.5" customHeight="1">
      <c r="A846" s="25"/>
      <c r="B846" s="23"/>
      <c r="C846" s="26"/>
      <c r="D846" s="24"/>
      <c r="E846" s="24"/>
      <c r="F846" s="26"/>
      <c r="G846" s="30"/>
      <c r="H846" s="30">
        <f t="shared" si="7"/>
        <v>0</v>
      </c>
      <c r="I846" s="24" t="str">
        <f t="shared" si="3"/>
        <v/>
      </c>
      <c r="J846" s="80"/>
      <c r="K846" s="26"/>
      <c r="L846" s="30"/>
    </row>
    <row r="847" ht="22.5" customHeight="1">
      <c r="A847" s="25"/>
      <c r="B847" s="23"/>
      <c r="C847" s="26"/>
      <c r="D847" s="24"/>
      <c r="E847" s="24"/>
      <c r="F847" s="26"/>
      <c r="G847" s="30"/>
      <c r="H847" s="30">
        <f t="shared" si="7"/>
        <v>0</v>
      </c>
      <c r="I847" s="24" t="str">
        <f t="shared" si="3"/>
        <v/>
      </c>
      <c r="J847" s="80"/>
      <c r="K847" s="26"/>
      <c r="L847" s="30"/>
    </row>
    <row r="848" ht="22.5" customHeight="1">
      <c r="A848" s="25"/>
      <c r="B848" s="23"/>
      <c r="C848" s="26"/>
      <c r="D848" s="24"/>
      <c r="E848" s="24"/>
      <c r="F848" s="26"/>
      <c r="G848" s="30"/>
      <c r="H848" s="30">
        <f t="shared" si="7"/>
        <v>0</v>
      </c>
      <c r="I848" s="24" t="str">
        <f t="shared" si="3"/>
        <v/>
      </c>
      <c r="J848" s="80"/>
      <c r="K848" s="26"/>
      <c r="L848" s="30"/>
    </row>
    <row r="849" ht="22.5" customHeight="1">
      <c r="A849" s="25"/>
      <c r="B849" s="23"/>
      <c r="C849" s="26"/>
      <c r="D849" s="24"/>
      <c r="E849" s="24"/>
      <c r="F849" s="26"/>
      <c r="G849" s="30"/>
      <c r="H849" s="30">
        <f t="shared" si="7"/>
        <v>0</v>
      </c>
      <c r="I849" s="24" t="str">
        <f t="shared" si="3"/>
        <v/>
      </c>
      <c r="J849" s="80"/>
      <c r="K849" s="26"/>
      <c r="L849" s="30"/>
    </row>
    <row r="850" ht="22.5" customHeight="1">
      <c r="A850" s="25"/>
      <c r="B850" s="23"/>
      <c r="C850" s="26"/>
      <c r="D850" s="24"/>
      <c r="E850" s="24"/>
      <c r="F850" s="26"/>
      <c r="G850" s="30"/>
      <c r="H850" s="30">
        <f t="shared" si="7"/>
        <v>0</v>
      </c>
      <c r="I850" s="24" t="str">
        <f t="shared" si="3"/>
        <v/>
      </c>
      <c r="J850" s="80"/>
      <c r="K850" s="26"/>
      <c r="L850" s="30"/>
    </row>
    <row r="851" ht="22.5" customHeight="1">
      <c r="A851" s="25"/>
      <c r="B851" s="23"/>
      <c r="C851" s="26"/>
      <c r="D851" s="24"/>
      <c r="E851" s="24"/>
      <c r="F851" s="26"/>
      <c r="G851" s="30"/>
      <c r="H851" s="30">
        <f t="shared" si="7"/>
        <v>0</v>
      </c>
      <c r="I851" s="24" t="str">
        <f t="shared" si="3"/>
        <v/>
      </c>
      <c r="J851" s="80"/>
      <c r="K851" s="26"/>
      <c r="L851" s="30"/>
    </row>
    <row r="852" ht="22.5" customHeight="1">
      <c r="A852" s="25"/>
      <c r="B852" s="23"/>
      <c r="C852" s="26"/>
      <c r="D852" s="24"/>
      <c r="E852" s="24"/>
      <c r="F852" s="26"/>
      <c r="G852" s="30"/>
      <c r="H852" s="30">
        <f t="shared" si="7"/>
        <v>0</v>
      </c>
      <c r="I852" s="24" t="str">
        <f t="shared" si="3"/>
        <v/>
      </c>
      <c r="J852" s="80"/>
      <c r="K852" s="26"/>
      <c r="L852" s="30"/>
    </row>
    <row r="853" ht="22.5" customHeight="1">
      <c r="A853" s="25"/>
      <c r="B853" s="23"/>
      <c r="C853" s="26"/>
      <c r="D853" s="24"/>
      <c r="E853" s="24"/>
      <c r="F853" s="26"/>
      <c r="G853" s="30"/>
      <c r="H853" s="30">
        <f t="shared" si="7"/>
        <v>0</v>
      </c>
      <c r="I853" s="24" t="str">
        <f t="shared" si="3"/>
        <v/>
      </c>
      <c r="J853" s="80"/>
      <c r="K853" s="26"/>
      <c r="L853" s="30"/>
    </row>
    <row r="854" ht="22.5" customHeight="1">
      <c r="A854" s="25"/>
      <c r="B854" s="23"/>
      <c r="C854" s="26"/>
      <c r="D854" s="24"/>
      <c r="E854" s="24"/>
      <c r="F854" s="26"/>
      <c r="G854" s="30"/>
      <c r="H854" s="30">
        <f t="shared" si="7"/>
        <v>0</v>
      </c>
      <c r="I854" s="24" t="str">
        <f t="shared" si="3"/>
        <v/>
      </c>
      <c r="J854" s="80"/>
      <c r="K854" s="26"/>
      <c r="L854" s="30"/>
    </row>
    <row r="855" ht="22.5" customHeight="1">
      <c r="A855" s="25"/>
      <c r="B855" s="23"/>
      <c r="C855" s="26"/>
      <c r="D855" s="24"/>
      <c r="E855" s="24"/>
      <c r="F855" s="26"/>
      <c r="G855" s="30"/>
      <c r="H855" s="30">
        <f t="shared" si="7"/>
        <v>0</v>
      </c>
      <c r="I855" s="24" t="str">
        <f t="shared" si="3"/>
        <v/>
      </c>
      <c r="J855" s="80"/>
      <c r="K855" s="26"/>
      <c r="L855" s="30"/>
    </row>
    <row r="856" ht="22.5" customHeight="1">
      <c r="A856" s="25"/>
      <c r="B856" s="23"/>
      <c r="C856" s="26"/>
      <c r="D856" s="24"/>
      <c r="E856" s="24"/>
      <c r="F856" s="26"/>
      <c r="G856" s="30"/>
      <c r="H856" s="30">
        <f t="shared" si="7"/>
        <v>0</v>
      </c>
      <c r="I856" s="24" t="str">
        <f t="shared" si="3"/>
        <v/>
      </c>
      <c r="J856" s="80"/>
      <c r="K856" s="26"/>
      <c r="L856" s="30"/>
    </row>
    <row r="857" ht="22.5" customHeight="1">
      <c r="A857" s="25"/>
      <c r="B857" s="23"/>
      <c r="C857" s="26"/>
      <c r="D857" s="24"/>
      <c r="E857" s="24"/>
      <c r="F857" s="26"/>
      <c r="G857" s="30"/>
      <c r="H857" s="30">
        <f t="shared" si="7"/>
        <v>0</v>
      </c>
      <c r="I857" s="24" t="str">
        <f t="shared" si="3"/>
        <v/>
      </c>
      <c r="J857" s="80"/>
      <c r="K857" s="26"/>
      <c r="L857" s="30"/>
    </row>
    <row r="858" ht="22.5" customHeight="1">
      <c r="A858" s="25"/>
      <c r="B858" s="23"/>
      <c r="C858" s="26"/>
      <c r="D858" s="24"/>
      <c r="E858" s="24"/>
      <c r="F858" s="26"/>
      <c r="G858" s="30"/>
      <c r="H858" s="30">
        <f t="shared" si="7"/>
        <v>0</v>
      </c>
      <c r="I858" s="24" t="str">
        <f t="shared" si="3"/>
        <v/>
      </c>
      <c r="J858" s="80"/>
      <c r="K858" s="26"/>
      <c r="L858" s="30"/>
    </row>
    <row r="859" ht="22.5" customHeight="1">
      <c r="A859" s="25"/>
      <c r="B859" s="23"/>
      <c r="C859" s="26"/>
      <c r="D859" s="24"/>
      <c r="E859" s="24"/>
      <c r="F859" s="26"/>
      <c r="G859" s="30"/>
      <c r="H859" s="30">
        <f t="shared" si="7"/>
        <v>0</v>
      </c>
      <c r="I859" s="24" t="str">
        <f t="shared" si="3"/>
        <v/>
      </c>
      <c r="J859" s="80"/>
      <c r="K859" s="26"/>
      <c r="L859" s="30"/>
    </row>
    <row r="860" ht="22.5" customHeight="1">
      <c r="A860" s="25"/>
      <c r="B860" s="23"/>
      <c r="C860" s="26"/>
      <c r="D860" s="24"/>
      <c r="E860" s="24"/>
      <c r="F860" s="26"/>
      <c r="G860" s="30"/>
      <c r="H860" s="30">
        <f t="shared" si="7"/>
        <v>0</v>
      </c>
      <c r="I860" s="24" t="str">
        <f t="shared" si="3"/>
        <v/>
      </c>
      <c r="J860" s="80"/>
      <c r="K860" s="26"/>
      <c r="L860" s="30"/>
    </row>
    <row r="861" ht="22.5" customHeight="1">
      <c r="A861" s="25"/>
      <c r="B861" s="23"/>
      <c r="C861" s="26"/>
      <c r="D861" s="24"/>
      <c r="E861" s="24"/>
      <c r="F861" s="26"/>
      <c r="G861" s="30"/>
      <c r="H861" s="30">
        <f t="shared" si="7"/>
        <v>0</v>
      </c>
      <c r="I861" s="24" t="str">
        <f t="shared" si="3"/>
        <v/>
      </c>
      <c r="J861" s="80"/>
      <c r="K861" s="26"/>
      <c r="L861" s="30"/>
    </row>
    <row r="862" ht="22.5" customHeight="1">
      <c r="A862" s="25"/>
      <c r="B862" s="23"/>
      <c r="C862" s="26"/>
      <c r="D862" s="24"/>
      <c r="E862" s="24"/>
      <c r="F862" s="26"/>
      <c r="G862" s="30"/>
      <c r="H862" s="30">
        <f t="shared" si="7"/>
        <v>0</v>
      </c>
      <c r="I862" s="24" t="str">
        <f t="shared" si="3"/>
        <v/>
      </c>
      <c r="J862" s="80"/>
      <c r="K862" s="26"/>
      <c r="L862" s="30"/>
    </row>
    <row r="863" ht="22.5" customHeight="1">
      <c r="A863" s="25"/>
      <c r="B863" s="23"/>
      <c r="C863" s="26"/>
      <c r="D863" s="24"/>
      <c r="E863" s="24"/>
      <c r="F863" s="26"/>
      <c r="G863" s="30"/>
      <c r="H863" s="30">
        <f t="shared" si="7"/>
        <v>0</v>
      </c>
      <c r="I863" s="24" t="str">
        <f t="shared" si="3"/>
        <v/>
      </c>
      <c r="J863" s="80"/>
      <c r="K863" s="26"/>
      <c r="L863" s="30"/>
    </row>
    <row r="864" ht="22.5" customHeight="1">
      <c r="A864" s="25"/>
      <c r="B864" s="23"/>
      <c r="C864" s="26"/>
      <c r="D864" s="24"/>
      <c r="E864" s="24"/>
      <c r="F864" s="26"/>
      <c r="G864" s="30"/>
      <c r="H864" s="30">
        <f t="shared" si="7"/>
        <v>0</v>
      </c>
      <c r="I864" s="24" t="str">
        <f t="shared" si="3"/>
        <v/>
      </c>
      <c r="J864" s="80"/>
      <c r="K864" s="26"/>
      <c r="L864" s="30"/>
    </row>
    <row r="865" ht="22.5" customHeight="1">
      <c r="A865" s="25"/>
      <c r="B865" s="23"/>
      <c r="C865" s="26"/>
      <c r="D865" s="24"/>
      <c r="E865" s="24"/>
      <c r="F865" s="26"/>
      <c r="G865" s="30"/>
      <c r="H865" s="30">
        <f t="shared" si="7"/>
        <v>0</v>
      </c>
      <c r="I865" s="24" t="str">
        <f t="shared" si="3"/>
        <v/>
      </c>
      <c r="J865" s="80"/>
      <c r="K865" s="26"/>
      <c r="L865" s="30"/>
    </row>
    <row r="866" ht="22.5" customHeight="1">
      <c r="A866" s="25"/>
      <c r="B866" s="23"/>
      <c r="C866" s="26"/>
      <c r="D866" s="24"/>
      <c r="E866" s="24"/>
      <c r="F866" s="26"/>
      <c r="G866" s="30"/>
      <c r="H866" s="30">
        <f t="shared" si="7"/>
        <v>0</v>
      </c>
      <c r="I866" s="24" t="str">
        <f t="shared" si="3"/>
        <v/>
      </c>
      <c r="J866" s="80"/>
      <c r="K866" s="26"/>
      <c r="L866" s="30"/>
    </row>
    <row r="867" ht="22.5" customHeight="1">
      <c r="A867" s="25"/>
      <c r="B867" s="23"/>
      <c r="C867" s="26"/>
      <c r="D867" s="24"/>
      <c r="E867" s="24"/>
      <c r="F867" s="26"/>
      <c r="G867" s="30"/>
      <c r="H867" s="30">
        <f t="shared" si="7"/>
        <v>0</v>
      </c>
      <c r="I867" s="24" t="str">
        <f t="shared" si="3"/>
        <v/>
      </c>
      <c r="J867" s="80"/>
      <c r="K867" s="26"/>
      <c r="L867" s="30"/>
    </row>
    <row r="868" ht="22.5" customHeight="1">
      <c r="A868" s="25"/>
      <c r="B868" s="23"/>
      <c r="C868" s="26"/>
      <c r="D868" s="24"/>
      <c r="E868" s="24"/>
      <c r="F868" s="26"/>
      <c r="G868" s="30"/>
      <c r="H868" s="30">
        <f t="shared" si="7"/>
        <v>0</v>
      </c>
      <c r="I868" s="24" t="str">
        <f t="shared" si="3"/>
        <v/>
      </c>
      <c r="J868" s="80"/>
      <c r="K868" s="26"/>
      <c r="L868" s="30"/>
    </row>
    <row r="869" ht="22.5" customHeight="1">
      <c r="A869" s="25"/>
      <c r="B869" s="23"/>
      <c r="C869" s="26"/>
      <c r="D869" s="24"/>
      <c r="E869" s="24"/>
      <c r="F869" s="26"/>
      <c r="G869" s="30"/>
      <c r="H869" s="30">
        <f t="shared" si="7"/>
        <v>0</v>
      </c>
      <c r="I869" s="24" t="str">
        <f t="shared" si="3"/>
        <v/>
      </c>
      <c r="J869" s="80"/>
      <c r="K869" s="26"/>
      <c r="L869" s="30"/>
    </row>
    <row r="870" ht="22.5" customHeight="1">
      <c r="A870" s="25"/>
      <c r="B870" s="23"/>
      <c r="C870" s="26"/>
      <c r="D870" s="24"/>
      <c r="E870" s="24"/>
      <c r="F870" s="26"/>
      <c r="G870" s="30"/>
      <c r="H870" s="30">
        <f t="shared" si="7"/>
        <v>0</v>
      </c>
      <c r="I870" s="24" t="str">
        <f t="shared" si="3"/>
        <v/>
      </c>
      <c r="J870" s="80"/>
      <c r="K870" s="26"/>
      <c r="L870" s="30"/>
    </row>
    <row r="871" ht="22.5" customHeight="1">
      <c r="A871" s="25"/>
      <c r="B871" s="23"/>
      <c r="C871" s="26"/>
      <c r="D871" s="24"/>
      <c r="E871" s="24"/>
      <c r="F871" s="26"/>
      <c r="G871" s="30"/>
      <c r="H871" s="30">
        <f t="shared" si="7"/>
        <v>0</v>
      </c>
      <c r="I871" s="24" t="str">
        <f t="shared" si="3"/>
        <v/>
      </c>
      <c r="J871" s="80"/>
      <c r="K871" s="26"/>
      <c r="L871" s="30"/>
    </row>
    <row r="872" ht="22.5" customHeight="1">
      <c r="A872" s="25"/>
      <c r="B872" s="23"/>
      <c r="C872" s="26"/>
      <c r="D872" s="24"/>
      <c r="E872" s="24"/>
      <c r="F872" s="26"/>
      <c r="G872" s="30"/>
      <c r="H872" s="30">
        <f t="shared" si="7"/>
        <v>0</v>
      </c>
      <c r="I872" s="24" t="str">
        <f t="shared" si="3"/>
        <v/>
      </c>
      <c r="J872" s="80"/>
      <c r="K872" s="26"/>
      <c r="L872" s="30"/>
    </row>
    <row r="873" ht="22.5" customHeight="1">
      <c r="A873" s="25"/>
      <c r="B873" s="23"/>
      <c r="C873" s="26"/>
      <c r="D873" s="24"/>
      <c r="E873" s="24"/>
      <c r="F873" s="26"/>
      <c r="G873" s="30"/>
      <c r="H873" s="30">
        <f t="shared" si="7"/>
        <v>0</v>
      </c>
      <c r="I873" s="24" t="str">
        <f t="shared" si="3"/>
        <v/>
      </c>
      <c r="J873" s="80"/>
      <c r="K873" s="26"/>
      <c r="L873" s="30"/>
    </row>
    <row r="874" ht="22.5" customHeight="1">
      <c r="A874" s="25"/>
      <c r="B874" s="23"/>
      <c r="C874" s="26"/>
      <c r="D874" s="24"/>
      <c r="E874" s="24"/>
      <c r="F874" s="26"/>
      <c r="G874" s="30"/>
      <c r="H874" s="30">
        <f t="shared" si="7"/>
        <v>0</v>
      </c>
      <c r="I874" s="24" t="str">
        <f t="shared" si="3"/>
        <v/>
      </c>
      <c r="J874" s="80"/>
      <c r="K874" s="26"/>
      <c r="L874" s="30"/>
    </row>
    <row r="875" ht="22.5" customHeight="1">
      <c r="A875" s="25"/>
      <c r="B875" s="23"/>
      <c r="C875" s="26"/>
      <c r="D875" s="24"/>
      <c r="E875" s="24"/>
      <c r="F875" s="26"/>
      <c r="G875" s="30"/>
      <c r="H875" s="30">
        <f t="shared" si="7"/>
        <v>0</v>
      </c>
      <c r="I875" s="24" t="str">
        <f t="shared" si="3"/>
        <v/>
      </c>
      <c r="J875" s="80"/>
      <c r="K875" s="26"/>
      <c r="L875" s="30"/>
    </row>
    <row r="876" ht="22.5" customHeight="1">
      <c r="A876" s="25"/>
      <c r="B876" s="23"/>
      <c r="C876" s="26"/>
      <c r="D876" s="24"/>
      <c r="E876" s="24"/>
      <c r="F876" s="26"/>
      <c r="G876" s="30"/>
      <c r="H876" s="30">
        <f t="shared" si="7"/>
        <v>0</v>
      </c>
      <c r="I876" s="24" t="str">
        <f t="shared" si="3"/>
        <v/>
      </c>
      <c r="J876" s="80"/>
      <c r="K876" s="26"/>
      <c r="L876" s="30"/>
    </row>
    <row r="877" ht="22.5" customHeight="1">
      <c r="A877" s="25"/>
      <c r="B877" s="23"/>
      <c r="C877" s="26"/>
      <c r="D877" s="24"/>
      <c r="E877" s="24"/>
      <c r="F877" s="26"/>
      <c r="G877" s="30"/>
      <c r="H877" s="30">
        <f t="shared" si="7"/>
        <v>0</v>
      </c>
      <c r="I877" s="24" t="str">
        <f t="shared" si="3"/>
        <v/>
      </c>
      <c r="J877" s="80"/>
      <c r="K877" s="26"/>
      <c r="L877" s="30"/>
    </row>
    <row r="878" ht="22.5" customHeight="1">
      <c r="A878" s="25"/>
      <c r="B878" s="23"/>
      <c r="C878" s="26"/>
      <c r="D878" s="24"/>
      <c r="E878" s="24"/>
      <c r="F878" s="26"/>
      <c r="G878" s="30"/>
      <c r="H878" s="30">
        <f t="shared" si="7"/>
        <v>0</v>
      </c>
      <c r="I878" s="24" t="str">
        <f t="shared" si="3"/>
        <v/>
      </c>
      <c r="J878" s="80"/>
      <c r="K878" s="26"/>
      <c r="L878" s="30"/>
    </row>
    <row r="879" ht="22.5" customHeight="1">
      <c r="A879" s="25"/>
      <c r="B879" s="23"/>
      <c r="C879" s="26"/>
      <c r="D879" s="24"/>
      <c r="E879" s="24"/>
      <c r="F879" s="26"/>
      <c r="G879" s="30"/>
      <c r="H879" s="30">
        <f t="shared" si="7"/>
        <v>0</v>
      </c>
      <c r="I879" s="24" t="str">
        <f t="shared" si="3"/>
        <v/>
      </c>
      <c r="J879" s="80"/>
      <c r="K879" s="26"/>
      <c r="L879" s="30"/>
    </row>
    <row r="880" ht="22.5" customHeight="1">
      <c r="A880" s="25"/>
      <c r="B880" s="23"/>
      <c r="C880" s="26"/>
      <c r="D880" s="24"/>
      <c r="E880" s="24"/>
      <c r="F880" s="26"/>
      <c r="G880" s="30"/>
      <c r="H880" s="30">
        <f t="shared" si="7"/>
        <v>0</v>
      </c>
      <c r="I880" s="24" t="str">
        <f t="shared" si="3"/>
        <v/>
      </c>
      <c r="J880" s="80"/>
      <c r="K880" s="26"/>
      <c r="L880" s="30"/>
    </row>
    <row r="881" ht="22.5" customHeight="1">
      <c r="A881" s="25"/>
      <c r="B881" s="23"/>
      <c r="C881" s="26"/>
      <c r="D881" s="24"/>
      <c r="E881" s="24"/>
      <c r="F881" s="26"/>
      <c r="G881" s="30"/>
      <c r="H881" s="30">
        <f t="shared" si="7"/>
        <v>0</v>
      </c>
      <c r="I881" s="24" t="str">
        <f t="shared" si="3"/>
        <v/>
      </c>
      <c r="J881" s="80"/>
      <c r="K881" s="26"/>
      <c r="L881" s="30"/>
    </row>
    <row r="882" ht="22.5" customHeight="1">
      <c r="A882" s="25"/>
      <c r="B882" s="23"/>
      <c r="C882" s="26"/>
      <c r="D882" s="24"/>
      <c r="E882" s="24"/>
      <c r="F882" s="26"/>
      <c r="G882" s="30"/>
      <c r="H882" s="30">
        <f t="shared" si="7"/>
        <v>0</v>
      </c>
      <c r="I882" s="24" t="str">
        <f t="shared" si="3"/>
        <v/>
      </c>
      <c r="J882" s="80"/>
      <c r="K882" s="26"/>
      <c r="L882" s="30"/>
    </row>
    <row r="883" ht="22.5" customHeight="1">
      <c r="A883" s="25"/>
      <c r="B883" s="23"/>
      <c r="C883" s="26"/>
      <c r="D883" s="24"/>
      <c r="E883" s="24"/>
      <c r="F883" s="26"/>
      <c r="G883" s="30"/>
      <c r="H883" s="30">
        <f t="shared" si="7"/>
        <v>0</v>
      </c>
      <c r="I883" s="24" t="str">
        <f t="shared" si="3"/>
        <v/>
      </c>
      <c r="J883" s="80"/>
      <c r="K883" s="26"/>
      <c r="L883" s="30"/>
    </row>
    <row r="884" ht="22.5" customHeight="1">
      <c r="A884" s="25"/>
      <c r="B884" s="23"/>
      <c r="C884" s="26"/>
      <c r="D884" s="24"/>
      <c r="E884" s="24"/>
      <c r="F884" s="26"/>
      <c r="G884" s="30"/>
      <c r="H884" s="30">
        <f t="shared" si="7"/>
        <v>0</v>
      </c>
      <c r="I884" s="24" t="str">
        <f t="shared" si="3"/>
        <v/>
      </c>
      <c r="J884" s="80"/>
      <c r="K884" s="26"/>
      <c r="L884" s="30"/>
    </row>
    <row r="885" ht="22.5" customHeight="1">
      <c r="A885" s="25"/>
      <c r="B885" s="23"/>
      <c r="C885" s="26"/>
      <c r="D885" s="24"/>
      <c r="E885" s="24"/>
      <c r="F885" s="26"/>
      <c r="G885" s="30"/>
      <c r="H885" s="30">
        <f t="shared" si="7"/>
        <v>0</v>
      </c>
      <c r="I885" s="24" t="str">
        <f t="shared" si="3"/>
        <v/>
      </c>
      <c r="J885" s="80"/>
      <c r="K885" s="26"/>
      <c r="L885" s="30"/>
    </row>
    <row r="886" ht="22.5" customHeight="1">
      <c r="A886" s="25"/>
      <c r="B886" s="23"/>
      <c r="C886" s="26"/>
      <c r="D886" s="24"/>
      <c r="E886" s="24"/>
      <c r="F886" s="26"/>
      <c r="G886" s="30"/>
      <c r="H886" s="30">
        <f t="shared" si="7"/>
        <v>0</v>
      </c>
      <c r="I886" s="24" t="str">
        <f t="shared" si="3"/>
        <v/>
      </c>
      <c r="J886" s="80"/>
      <c r="K886" s="26"/>
      <c r="L886" s="30"/>
    </row>
    <row r="887" ht="22.5" customHeight="1">
      <c r="A887" s="25"/>
      <c r="B887" s="23"/>
      <c r="C887" s="26"/>
      <c r="D887" s="24"/>
      <c r="E887" s="24"/>
      <c r="F887" s="26"/>
      <c r="G887" s="30"/>
      <c r="H887" s="30">
        <f t="shared" si="7"/>
        <v>0</v>
      </c>
      <c r="I887" s="24" t="str">
        <f t="shared" si="3"/>
        <v/>
      </c>
      <c r="J887" s="80"/>
      <c r="K887" s="26"/>
      <c r="L887" s="30"/>
    </row>
    <row r="888" ht="22.5" customHeight="1">
      <c r="A888" s="25"/>
      <c r="B888" s="23"/>
      <c r="C888" s="26"/>
      <c r="D888" s="24"/>
      <c r="E888" s="24"/>
      <c r="F888" s="26"/>
      <c r="G888" s="30"/>
      <c r="H888" s="30">
        <f t="shared" si="7"/>
        <v>0</v>
      </c>
      <c r="I888" s="24" t="str">
        <f t="shared" si="3"/>
        <v/>
      </c>
      <c r="J888" s="80"/>
      <c r="K888" s="26"/>
      <c r="L888" s="30"/>
    </row>
    <row r="889" ht="22.5" customHeight="1">
      <c r="A889" s="25"/>
      <c r="B889" s="23"/>
      <c r="C889" s="26"/>
      <c r="D889" s="24"/>
      <c r="E889" s="24"/>
      <c r="F889" s="26"/>
      <c r="G889" s="30"/>
      <c r="H889" s="30">
        <f t="shared" si="7"/>
        <v>0</v>
      </c>
      <c r="I889" s="24" t="str">
        <f t="shared" si="3"/>
        <v/>
      </c>
      <c r="J889" s="80"/>
      <c r="K889" s="26"/>
      <c r="L889" s="30"/>
    </row>
    <row r="890" ht="22.5" customHeight="1">
      <c r="A890" s="25"/>
      <c r="B890" s="23"/>
      <c r="C890" s="26"/>
      <c r="D890" s="24"/>
      <c r="E890" s="24"/>
      <c r="F890" s="26"/>
      <c r="G890" s="30"/>
      <c r="H890" s="30">
        <f t="shared" si="7"/>
        <v>0</v>
      </c>
      <c r="I890" s="24" t="str">
        <f t="shared" si="3"/>
        <v/>
      </c>
      <c r="J890" s="80"/>
      <c r="K890" s="26"/>
      <c r="L890" s="30"/>
    </row>
    <row r="891" ht="22.5" customHeight="1">
      <c r="A891" s="25"/>
      <c r="B891" s="23"/>
      <c r="C891" s="26"/>
      <c r="D891" s="24"/>
      <c r="E891" s="24"/>
      <c r="F891" s="26"/>
      <c r="G891" s="30"/>
      <c r="H891" s="30">
        <f t="shared" si="7"/>
        <v>0</v>
      </c>
      <c r="I891" s="24" t="str">
        <f t="shared" si="3"/>
        <v/>
      </c>
      <c r="J891" s="80"/>
      <c r="K891" s="26"/>
      <c r="L891" s="30"/>
    </row>
    <row r="892" ht="22.5" customHeight="1">
      <c r="A892" s="25"/>
      <c r="B892" s="23"/>
      <c r="C892" s="26"/>
      <c r="D892" s="24"/>
      <c r="E892" s="24"/>
      <c r="F892" s="26"/>
      <c r="G892" s="30"/>
      <c r="H892" s="30">
        <f t="shared" si="7"/>
        <v>0</v>
      </c>
      <c r="I892" s="24" t="str">
        <f t="shared" si="3"/>
        <v/>
      </c>
      <c r="J892" s="80"/>
      <c r="K892" s="26"/>
      <c r="L892" s="30"/>
    </row>
    <row r="893" ht="22.5" customHeight="1">
      <c r="A893" s="25"/>
      <c r="B893" s="23"/>
      <c r="C893" s="26"/>
      <c r="D893" s="24"/>
      <c r="E893" s="24"/>
      <c r="F893" s="26"/>
      <c r="G893" s="30"/>
      <c r="H893" s="30">
        <f t="shared" si="7"/>
        <v>0</v>
      </c>
      <c r="I893" s="24" t="str">
        <f t="shared" si="3"/>
        <v/>
      </c>
      <c r="J893" s="80"/>
      <c r="K893" s="26"/>
      <c r="L893" s="30"/>
    </row>
    <row r="894" ht="22.5" customHeight="1">
      <c r="A894" s="25"/>
      <c r="B894" s="23"/>
      <c r="C894" s="26"/>
      <c r="D894" s="24"/>
      <c r="E894" s="24"/>
      <c r="F894" s="26"/>
      <c r="G894" s="30"/>
      <c r="H894" s="30">
        <f t="shared" si="7"/>
        <v>0</v>
      </c>
      <c r="I894" s="24" t="str">
        <f t="shared" si="3"/>
        <v/>
      </c>
      <c r="J894" s="80"/>
      <c r="K894" s="26"/>
      <c r="L894" s="30"/>
    </row>
    <row r="895" ht="22.5" customHeight="1">
      <c r="A895" s="25"/>
      <c r="B895" s="23"/>
      <c r="C895" s="26"/>
      <c r="D895" s="24"/>
      <c r="E895" s="24"/>
      <c r="F895" s="26"/>
      <c r="G895" s="30"/>
      <c r="H895" s="30">
        <f t="shared" si="7"/>
        <v>0</v>
      </c>
      <c r="I895" s="24" t="str">
        <f t="shared" si="3"/>
        <v/>
      </c>
      <c r="J895" s="80"/>
      <c r="K895" s="26"/>
      <c r="L895" s="30"/>
    </row>
    <row r="896" ht="22.5" customHeight="1">
      <c r="A896" s="25"/>
      <c r="B896" s="23"/>
      <c r="C896" s="26"/>
      <c r="D896" s="24"/>
      <c r="E896" s="24"/>
      <c r="F896" s="26"/>
      <c r="G896" s="30"/>
      <c r="H896" s="30">
        <f t="shared" si="7"/>
        <v>0</v>
      </c>
      <c r="I896" s="24" t="str">
        <f t="shared" si="3"/>
        <v/>
      </c>
      <c r="J896" s="80"/>
      <c r="K896" s="26"/>
      <c r="L896" s="30"/>
    </row>
    <row r="897" ht="22.5" customHeight="1">
      <c r="A897" s="25"/>
      <c r="B897" s="23"/>
      <c r="C897" s="26"/>
      <c r="D897" s="24"/>
      <c r="E897" s="24"/>
      <c r="F897" s="26"/>
      <c r="G897" s="30"/>
      <c r="H897" s="30">
        <f t="shared" si="7"/>
        <v>0</v>
      </c>
      <c r="I897" s="24" t="str">
        <f t="shared" si="3"/>
        <v/>
      </c>
      <c r="J897" s="80"/>
      <c r="K897" s="26"/>
      <c r="L897" s="30"/>
    </row>
    <row r="898" ht="22.5" customHeight="1">
      <c r="A898" s="25"/>
      <c r="B898" s="23"/>
      <c r="C898" s="26"/>
      <c r="D898" s="24"/>
      <c r="E898" s="24"/>
      <c r="F898" s="26"/>
      <c r="G898" s="30"/>
      <c r="H898" s="30">
        <f t="shared" si="7"/>
        <v>0</v>
      </c>
      <c r="I898" s="24" t="str">
        <f t="shared" si="3"/>
        <v/>
      </c>
      <c r="J898" s="80"/>
      <c r="K898" s="26"/>
      <c r="L898" s="30"/>
    </row>
    <row r="899" ht="22.5" customHeight="1">
      <c r="A899" s="25"/>
      <c r="B899" s="23"/>
      <c r="C899" s="26"/>
      <c r="D899" s="24"/>
      <c r="E899" s="24"/>
      <c r="F899" s="26"/>
      <c r="G899" s="30"/>
      <c r="H899" s="30">
        <f t="shared" si="7"/>
        <v>0</v>
      </c>
      <c r="I899" s="24" t="str">
        <f t="shared" si="3"/>
        <v/>
      </c>
      <c r="J899" s="80"/>
      <c r="K899" s="26"/>
      <c r="L899" s="30"/>
    </row>
    <row r="900" ht="22.5" customHeight="1">
      <c r="A900" s="25"/>
      <c r="B900" s="23"/>
      <c r="C900" s="26"/>
      <c r="D900" s="24"/>
      <c r="E900" s="24"/>
      <c r="F900" s="26"/>
      <c r="G900" s="30"/>
      <c r="H900" s="30">
        <f t="shared" si="7"/>
        <v>0</v>
      </c>
      <c r="I900" s="24" t="str">
        <f t="shared" si="3"/>
        <v/>
      </c>
      <c r="J900" s="80"/>
      <c r="K900" s="26"/>
      <c r="L900" s="30"/>
    </row>
    <row r="901" ht="22.5" customHeight="1">
      <c r="A901" s="25"/>
      <c r="B901" s="23"/>
      <c r="C901" s="26"/>
      <c r="D901" s="24"/>
      <c r="E901" s="24"/>
      <c r="F901" s="26"/>
      <c r="G901" s="30"/>
      <c r="H901" s="30">
        <f t="shared" si="7"/>
        <v>0</v>
      </c>
      <c r="I901" s="24" t="str">
        <f t="shared" si="3"/>
        <v/>
      </c>
      <c r="J901" s="80"/>
      <c r="K901" s="26"/>
      <c r="L901" s="30"/>
    </row>
    <row r="902" ht="22.5" customHeight="1">
      <c r="A902" s="25"/>
      <c r="B902" s="23"/>
      <c r="C902" s="26"/>
      <c r="D902" s="24"/>
      <c r="E902" s="24"/>
      <c r="F902" s="26"/>
      <c r="G902" s="30"/>
      <c r="H902" s="30">
        <f t="shared" si="7"/>
        <v>0</v>
      </c>
      <c r="I902" s="24" t="str">
        <f t="shared" si="3"/>
        <v/>
      </c>
      <c r="J902" s="80"/>
      <c r="K902" s="26"/>
      <c r="L902" s="30"/>
    </row>
    <row r="903" ht="22.5" customHeight="1">
      <c r="A903" s="25"/>
      <c r="B903" s="23"/>
      <c r="C903" s="26"/>
      <c r="D903" s="24"/>
      <c r="E903" s="24"/>
      <c r="F903" s="26"/>
      <c r="G903" s="30"/>
      <c r="H903" s="30">
        <f t="shared" si="7"/>
        <v>0</v>
      </c>
      <c r="I903" s="24" t="str">
        <f t="shared" si="3"/>
        <v/>
      </c>
      <c r="J903" s="80"/>
      <c r="K903" s="26"/>
      <c r="L903" s="30"/>
    </row>
    <row r="904" ht="22.5" customHeight="1">
      <c r="A904" s="25"/>
      <c r="B904" s="23"/>
      <c r="C904" s="26"/>
      <c r="D904" s="24"/>
      <c r="E904" s="24"/>
      <c r="F904" s="26"/>
      <c r="G904" s="30"/>
      <c r="H904" s="30">
        <f t="shared" si="7"/>
        <v>0</v>
      </c>
      <c r="I904" s="24" t="str">
        <f t="shared" si="3"/>
        <v/>
      </c>
      <c r="J904" s="80"/>
      <c r="K904" s="26"/>
      <c r="L904" s="30"/>
    </row>
    <row r="905" ht="22.5" customHeight="1">
      <c r="A905" s="25"/>
      <c r="B905" s="23"/>
      <c r="C905" s="26"/>
      <c r="D905" s="24"/>
      <c r="E905" s="24"/>
      <c r="F905" s="26"/>
      <c r="G905" s="30"/>
      <c r="H905" s="30">
        <f t="shared" si="7"/>
        <v>0</v>
      </c>
      <c r="I905" s="24" t="str">
        <f t="shared" si="3"/>
        <v/>
      </c>
      <c r="J905" s="80"/>
      <c r="K905" s="26"/>
      <c r="L905" s="30"/>
    </row>
    <row r="906" ht="22.5" customHeight="1">
      <c r="A906" s="25"/>
      <c r="B906" s="23"/>
      <c r="C906" s="26"/>
      <c r="D906" s="24"/>
      <c r="E906" s="24"/>
      <c r="F906" s="26"/>
      <c r="G906" s="30"/>
      <c r="H906" s="30">
        <f t="shared" si="7"/>
        <v>0</v>
      </c>
      <c r="I906" s="24" t="str">
        <f t="shared" si="3"/>
        <v/>
      </c>
      <c r="J906" s="80"/>
      <c r="K906" s="26"/>
      <c r="L906" s="30"/>
    </row>
    <row r="907" ht="22.5" customHeight="1">
      <c r="A907" s="25"/>
      <c r="B907" s="23"/>
      <c r="C907" s="26"/>
      <c r="D907" s="24"/>
      <c r="E907" s="24"/>
      <c r="F907" s="26"/>
      <c r="G907" s="30"/>
      <c r="H907" s="30">
        <f t="shared" si="7"/>
        <v>0</v>
      </c>
      <c r="I907" s="24" t="str">
        <f t="shared" si="3"/>
        <v/>
      </c>
      <c r="J907" s="80"/>
      <c r="K907" s="26"/>
      <c r="L907" s="30"/>
    </row>
    <row r="908" ht="22.5" customHeight="1">
      <c r="A908" s="25"/>
      <c r="B908" s="23"/>
      <c r="C908" s="26"/>
      <c r="D908" s="24"/>
      <c r="E908" s="24"/>
      <c r="F908" s="26"/>
      <c r="G908" s="30"/>
      <c r="H908" s="30">
        <f t="shared" si="7"/>
        <v>0</v>
      </c>
      <c r="I908" s="24" t="str">
        <f t="shared" si="3"/>
        <v/>
      </c>
      <c r="J908" s="80"/>
      <c r="K908" s="26"/>
      <c r="L908" s="30"/>
    </row>
    <row r="909" ht="22.5" customHeight="1">
      <c r="A909" s="25"/>
      <c r="B909" s="23"/>
      <c r="C909" s="26"/>
      <c r="D909" s="24"/>
      <c r="E909" s="24"/>
      <c r="F909" s="26"/>
      <c r="G909" s="30"/>
      <c r="H909" s="30">
        <f t="shared" si="7"/>
        <v>0</v>
      </c>
      <c r="I909" s="24" t="str">
        <f t="shared" si="3"/>
        <v/>
      </c>
      <c r="J909" s="80"/>
      <c r="K909" s="26"/>
      <c r="L909" s="30"/>
    </row>
    <row r="910" ht="22.5" customHeight="1">
      <c r="A910" s="25"/>
      <c r="B910" s="23"/>
      <c r="C910" s="26"/>
      <c r="D910" s="24"/>
      <c r="E910" s="24"/>
      <c r="F910" s="26"/>
      <c r="G910" s="30"/>
      <c r="H910" s="30">
        <f t="shared" si="7"/>
        <v>0</v>
      </c>
      <c r="I910" s="24" t="str">
        <f t="shared" si="3"/>
        <v/>
      </c>
      <c r="J910" s="80"/>
      <c r="K910" s="26"/>
      <c r="L910" s="30"/>
    </row>
    <row r="911" ht="22.5" customHeight="1">
      <c r="A911" s="25"/>
      <c r="B911" s="23"/>
      <c r="C911" s="26"/>
      <c r="D911" s="24"/>
      <c r="E911" s="24"/>
      <c r="F911" s="26"/>
      <c r="G911" s="30"/>
      <c r="H911" s="30">
        <f t="shared" si="7"/>
        <v>0</v>
      </c>
      <c r="I911" s="24" t="str">
        <f t="shared" si="3"/>
        <v/>
      </c>
      <c r="J911" s="80"/>
      <c r="K911" s="26"/>
      <c r="L911" s="30"/>
    </row>
    <row r="912" ht="22.5" customHeight="1">
      <c r="A912" s="25"/>
      <c r="B912" s="23"/>
      <c r="C912" s="26"/>
      <c r="D912" s="24"/>
      <c r="E912" s="24"/>
      <c r="F912" s="26"/>
      <c r="G912" s="30"/>
      <c r="H912" s="30">
        <f t="shared" si="7"/>
        <v>0</v>
      </c>
      <c r="I912" s="24" t="str">
        <f t="shared" si="3"/>
        <v/>
      </c>
      <c r="J912" s="80"/>
      <c r="K912" s="26"/>
      <c r="L912" s="30"/>
    </row>
    <row r="913" ht="22.5" customHeight="1">
      <c r="A913" s="25"/>
      <c r="B913" s="23"/>
      <c r="C913" s="26"/>
      <c r="D913" s="24"/>
      <c r="E913" s="24"/>
      <c r="F913" s="26"/>
      <c r="G913" s="30"/>
      <c r="H913" s="30">
        <f t="shared" si="7"/>
        <v>0</v>
      </c>
      <c r="I913" s="24" t="str">
        <f t="shared" si="3"/>
        <v/>
      </c>
      <c r="J913" s="80"/>
      <c r="K913" s="26"/>
      <c r="L913" s="30"/>
    </row>
    <row r="914" ht="22.5" customHeight="1">
      <c r="A914" s="25"/>
      <c r="B914" s="23"/>
      <c r="C914" s="26"/>
      <c r="D914" s="24"/>
      <c r="E914" s="24"/>
      <c r="F914" s="26"/>
      <c r="G914" s="30"/>
      <c r="H914" s="30">
        <f t="shared" si="7"/>
        <v>0</v>
      </c>
      <c r="I914" s="24" t="str">
        <f t="shared" si="3"/>
        <v/>
      </c>
      <c r="J914" s="80"/>
      <c r="K914" s="26"/>
      <c r="L914" s="30"/>
    </row>
    <row r="915" ht="22.5" customHeight="1">
      <c r="A915" s="25"/>
      <c r="B915" s="23"/>
      <c r="C915" s="26"/>
      <c r="D915" s="24"/>
      <c r="E915" s="24"/>
      <c r="F915" s="26"/>
      <c r="G915" s="30"/>
      <c r="H915" s="30">
        <f t="shared" si="7"/>
        <v>0</v>
      </c>
      <c r="I915" s="24" t="str">
        <f t="shared" si="3"/>
        <v/>
      </c>
      <c r="J915" s="80"/>
      <c r="K915" s="26"/>
      <c r="L915" s="30"/>
    </row>
    <row r="916" ht="22.5" customHeight="1">
      <c r="A916" s="25"/>
      <c r="B916" s="23"/>
      <c r="C916" s="26"/>
      <c r="D916" s="24"/>
      <c r="E916" s="24"/>
      <c r="F916" s="26"/>
      <c r="G916" s="30"/>
      <c r="H916" s="30">
        <f t="shared" si="7"/>
        <v>0</v>
      </c>
      <c r="I916" s="24" t="str">
        <f t="shared" si="3"/>
        <v/>
      </c>
      <c r="J916" s="80"/>
      <c r="K916" s="26"/>
      <c r="L916" s="30"/>
    </row>
    <row r="917" ht="22.5" customHeight="1">
      <c r="A917" s="25"/>
      <c r="B917" s="23"/>
      <c r="C917" s="26"/>
      <c r="D917" s="24"/>
      <c r="E917" s="24"/>
      <c r="F917" s="26"/>
      <c r="G917" s="30"/>
      <c r="H917" s="30">
        <f t="shared" si="7"/>
        <v>0</v>
      </c>
      <c r="I917" s="24" t="str">
        <f t="shared" si="3"/>
        <v/>
      </c>
      <c r="J917" s="80"/>
      <c r="K917" s="26"/>
      <c r="L917" s="30"/>
    </row>
    <row r="918" ht="22.5" customHeight="1">
      <c r="A918" s="25"/>
      <c r="B918" s="23"/>
      <c r="C918" s="26"/>
      <c r="D918" s="24"/>
      <c r="E918" s="24"/>
      <c r="F918" s="26"/>
      <c r="G918" s="30"/>
      <c r="H918" s="30">
        <f t="shared" si="7"/>
        <v>0</v>
      </c>
      <c r="I918" s="24" t="str">
        <f t="shared" si="3"/>
        <v/>
      </c>
      <c r="J918" s="80"/>
      <c r="K918" s="26"/>
      <c r="L918" s="30"/>
    </row>
    <row r="919" ht="22.5" customHeight="1">
      <c r="A919" s="25"/>
      <c r="B919" s="23"/>
      <c r="C919" s="26"/>
      <c r="D919" s="24"/>
      <c r="E919" s="24"/>
      <c r="F919" s="26"/>
      <c r="G919" s="30"/>
      <c r="H919" s="30">
        <f t="shared" si="7"/>
        <v>0</v>
      </c>
      <c r="I919" s="24" t="str">
        <f t="shared" si="3"/>
        <v/>
      </c>
      <c r="J919" s="80"/>
      <c r="K919" s="26"/>
      <c r="L919" s="30"/>
    </row>
    <row r="920" ht="22.5" customHeight="1">
      <c r="A920" s="25"/>
      <c r="B920" s="23"/>
      <c r="C920" s="26"/>
      <c r="D920" s="24"/>
      <c r="E920" s="24"/>
      <c r="F920" s="26"/>
      <c r="G920" s="30"/>
      <c r="H920" s="30">
        <f t="shared" si="7"/>
        <v>0</v>
      </c>
      <c r="I920" s="24" t="str">
        <f t="shared" si="3"/>
        <v/>
      </c>
      <c r="J920" s="80"/>
      <c r="K920" s="26"/>
      <c r="L920" s="30"/>
    </row>
    <row r="921" ht="22.5" customHeight="1">
      <c r="A921" s="25"/>
      <c r="B921" s="23"/>
      <c r="C921" s="26"/>
      <c r="D921" s="24"/>
      <c r="E921" s="24"/>
      <c r="F921" s="26"/>
      <c r="G921" s="30"/>
      <c r="H921" s="30">
        <f t="shared" si="7"/>
        <v>0</v>
      </c>
      <c r="I921" s="24" t="str">
        <f t="shared" si="3"/>
        <v/>
      </c>
      <c r="J921" s="80"/>
      <c r="K921" s="26"/>
      <c r="L921" s="30"/>
    </row>
    <row r="922" ht="22.5" customHeight="1">
      <c r="A922" s="25"/>
      <c r="B922" s="23"/>
      <c r="C922" s="26"/>
      <c r="D922" s="24"/>
      <c r="E922" s="24"/>
      <c r="F922" s="26"/>
      <c r="G922" s="30"/>
      <c r="H922" s="30">
        <f t="shared" si="7"/>
        <v>0</v>
      </c>
      <c r="I922" s="24" t="str">
        <f t="shared" si="3"/>
        <v/>
      </c>
      <c r="J922" s="80"/>
      <c r="K922" s="26"/>
      <c r="L922" s="30"/>
    </row>
    <row r="923" ht="22.5" customHeight="1">
      <c r="A923" s="25"/>
      <c r="B923" s="23"/>
      <c r="C923" s="26"/>
      <c r="D923" s="24"/>
      <c r="E923" s="24"/>
      <c r="F923" s="26"/>
      <c r="G923" s="30"/>
      <c r="H923" s="30">
        <f t="shared" si="7"/>
        <v>0</v>
      </c>
      <c r="I923" s="24" t="str">
        <f t="shared" si="3"/>
        <v/>
      </c>
      <c r="J923" s="80"/>
      <c r="K923" s="26"/>
      <c r="L923" s="30"/>
    </row>
    <row r="924" ht="22.5" customHeight="1">
      <c r="A924" s="25"/>
      <c r="B924" s="23"/>
      <c r="C924" s="26"/>
      <c r="D924" s="24"/>
      <c r="E924" s="24"/>
      <c r="F924" s="26"/>
      <c r="G924" s="30"/>
      <c r="H924" s="30">
        <f t="shared" si="7"/>
        <v>0</v>
      </c>
      <c r="I924" s="24" t="str">
        <f t="shared" si="3"/>
        <v/>
      </c>
      <c r="J924" s="80"/>
      <c r="K924" s="26"/>
      <c r="L924" s="30"/>
    </row>
    <row r="925" ht="22.5" customHeight="1">
      <c r="A925" s="25"/>
      <c r="B925" s="23"/>
      <c r="C925" s="26"/>
      <c r="D925" s="24"/>
      <c r="E925" s="24"/>
      <c r="F925" s="26"/>
      <c r="G925" s="30"/>
      <c r="H925" s="30">
        <f t="shared" si="7"/>
        <v>0</v>
      </c>
      <c r="I925" s="24" t="str">
        <f t="shared" si="3"/>
        <v/>
      </c>
      <c r="J925" s="80"/>
      <c r="K925" s="26"/>
      <c r="L925" s="30"/>
    </row>
    <row r="926" ht="22.5" customHeight="1">
      <c r="A926" s="25"/>
      <c r="B926" s="23"/>
      <c r="C926" s="26"/>
      <c r="D926" s="24"/>
      <c r="E926" s="24"/>
      <c r="F926" s="26"/>
      <c r="G926" s="30"/>
      <c r="H926" s="30">
        <f t="shared" si="7"/>
        <v>0</v>
      </c>
      <c r="I926" s="24" t="str">
        <f t="shared" si="3"/>
        <v/>
      </c>
      <c r="J926" s="80"/>
      <c r="K926" s="26"/>
      <c r="L926" s="30"/>
    </row>
    <row r="927" ht="22.5" customHeight="1">
      <c r="A927" s="25"/>
      <c r="B927" s="23"/>
      <c r="C927" s="26"/>
      <c r="D927" s="24"/>
      <c r="E927" s="24"/>
      <c r="F927" s="26"/>
      <c r="G927" s="30"/>
      <c r="H927" s="30">
        <f t="shared" si="7"/>
        <v>0</v>
      </c>
      <c r="I927" s="24" t="str">
        <f t="shared" si="3"/>
        <v/>
      </c>
      <c r="J927" s="80"/>
      <c r="K927" s="26"/>
      <c r="L927" s="30"/>
    </row>
    <row r="928" ht="22.5" customHeight="1">
      <c r="A928" s="25"/>
      <c r="B928" s="23"/>
      <c r="C928" s="26"/>
      <c r="D928" s="24"/>
      <c r="E928" s="24"/>
      <c r="F928" s="26"/>
      <c r="G928" s="30"/>
      <c r="H928" s="30">
        <f t="shared" si="7"/>
        <v>0</v>
      </c>
      <c r="I928" s="24" t="str">
        <f t="shared" si="3"/>
        <v/>
      </c>
      <c r="J928" s="80"/>
      <c r="K928" s="26"/>
      <c r="L928" s="30"/>
    </row>
    <row r="929" ht="22.5" customHeight="1">
      <c r="A929" s="25"/>
      <c r="B929" s="23"/>
      <c r="C929" s="26"/>
      <c r="D929" s="24"/>
      <c r="E929" s="24"/>
      <c r="F929" s="26"/>
      <c r="G929" s="30"/>
      <c r="H929" s="30">
        <f t="shared" si="7"/>
        <v>0</v>
      </c>
      <c r="I929" s="24" t="str">
        <f t="shared" si="3"/>
        <v/>
      </c>
      <c r="J929" s="80"/>
      <c r="K929" s="26"/>
      <c r="L929" s="30"/>
    </row>
    <row r="930" ht="22.5" customHeight="1">
      <c r="A930" s="25"/>
      <c r="B930" s="23"/>
      <c r="C930" s="26"/>
      <c r="D930" s="24"/>
      <c r="E930" s="24"/>
      <c r="F930" s="26"/>
      <c r="G930" s="30"/>
      <c r="H930" s="30">
        <f t="shared" si="7"/>
        <v>0</v>
      </c>
      <c r="I930" s="24" t="str">
        <f t="shared" si="3"/>
        <v/>
      </c>
      <c r="J930" s="80"/>
      <c r="K930" s="26"/>
      <c r="L930" s="30"/>
    </row>
    <row r="931" ht="22.5" customHeight="1">
      <c r="A931" s="25"/>
      <c r="B931" s="23"/>
      <c r="C931" s="26"/>
      <c r="D931" s="24"/>
      <c r="E931" s="24"/>
      <c r="F931" s="26"/>
      <c r="G931" s="30"/>
      <c r="H931" s="30">
        <f t="shared" si="7"/>
        <v>0</v>
      </c>
      <c r="I931" s="24" t="str">
        <f t="shared" si="3"/>
        <v/>
      </c>
      <c r="J931" s="80"/>
      <c r="K931" s="26"/>
      <c r="L931" s="30"/>
    </row>
    <row r="932" ht="22.5" customHeight="1">
      <c r="A932" s="25"/>
      <c r="B932" s="23"/>
      <c r="C932" s="26"/>
      <c r="D932" s="24"/>
      <c r="E932" s="24"/>
      <c r="F932" s="26"/>
      <c r="G932" s="30"/>
      <c r="H932" s="30">
        <f t="shared" si="7"/>
        <v>0</v>
      </c>
      <c r="I932" s="24" t="str">
        <f t="shared" si="3"/>
        <v/>
      </c>
      <c r="J932" s="80"/>
      <c r="K932" s="26"/>
      <c r="L932" s="30"/>
    </row>
    <row r="933" ht="22.5" customHeight="1">
      <c r="A933" s="25"/>
      <c r="B933" s="23"/>
      <c r="C933" s="26"/>
      <c r="D933" s="24"/>
      <c r="E933" s="24"/>
      <c r="F933" s="26"/>
      <c r="G933" s="30"/>
      <c r="H933" s="30">
        <f t="shared" si="7"/>
        <v>0</v>
      </c>
      <c r="I933" s="24" t="str">
        <f t="shared" si="3"/>
        <v/>
      </c>
      <c r="J933" s="80"/>
      <c r="K933" s="26"/>
      <c r="L933" s="30"/>
    </row>
    <row r="934" ht="22.5" customHeight="1">
      <c r="A934" s="25"/>
      <c r="B934" s="23"/>
      <c r="C934" s="26"/>
      <c r="D934" s="24"/>
      <c r="E934" s="24"/>
      <c r="F934" s="26"/>
      <c r="G934" s="30"/>
      <c r="H934" s="30">
        <f t="shared" si="7"/>
        <v>0</v>
      </c>
      <c r="I934" s="24" t="str">
        <f t="shared" si="3"/>
        <v/>
      </c>
      <c r="J934" s="80"/>
      <c r="K934" s="26"/>
      <c r="L934" s="30"/>
    </row>
    <row r="935" ht="22.5" customHeight="1">
      <c r="A935" s="25"/>
      <c r="B935" s="23"/>
      <c r="C935" s="26"/>
      <c r="D935" s="24"/>
      <c r="E935" s="24"/>
      <c r="F935" s="26"/>
      <c r="G935" s="30"/>
      <c r="H935" s="30">
        <f t="shared" si="7"/>
        <v>0</v>
      </c>
      <c r="I935" s="24" t="str">
        <f t="shared" si="3"/>
        <v/>
      </c>
      <c r="J935" s="80"/>
      <c r="K935" s="26"/>
      <c r="L935" s="30"/>
    </row>
    <row r="936" ht="22.5" customHeight="1">
      <c r="A936" s="25"/>
      <c r="B936" s="23"/>
      <c r="C936" s="26"/>
      <c r="D936" s="24"/>
      <c r="E936" s="24"/>
      <c r="F936" s="26"/>
      <c r="G936" s="30"/>
      <c r="H936" s="30">
        <f t="shared" si="7"/>
        <v>0</v>
      </c>
      <c r="I936" s="24" t="str">
        <f t="shared" si="3"/>
        <v/>
      </c>
      <c r="J936" s="80"/>
      <c r="K936" s="26"/>
      <c r="L936" s="30"/>
    </row>
    <row r="937" ht="22.5" customHeight="1">
      <c r="A937" s="25"/>
      <c r="B937" s="23"/>
      <c r="C937" s="26"/>
      <c r="D937" s="24"/>
      <c r="E937" s="24"/>
      <c r="F937" s="26"/>
      <c r="G937" s="30"/>
      <c r="H937" s="30">
        <f t="shared" si="7"/>
        <v>0</v>
      </c>
      <c r="I937" s="24" t="str">
        <f t="shared" si="3"/>
        <v/>
      </c>
      <c r="J937" s="80"/>
      <c r="K937" s="26"/>
      <c r="L937" s="30"/>
    </row>
    <row r="938" ht="22.5" customHeight="1">
      <c r="A938" s="25"/>
      <c r="B938" s="23"/>
      <c r="C938" s="26"/>
      <c r="D938" s="24"/>
      <c r="E938" s="24"/>
      <c r="F938" s="26"/>
      <c r="G938" s="30"/>
      <c r="H938" s="30">
        <f t="shared" si="7"/>
        <v>0</v>
      </c>
      <c r="I938" s="24" t="str">
        <f t="shared" si="3"/>
        <v/>
      </c>
      <c r="J938" s="80"/>
      <c r="K938" s="26"/>
      <c r="L938" s="30"/>
    </row>
    <row r="939" ht="22.5" customHeight="1">
      <c r="A939" s="25"/>
      <c r="B939" s="23"/>
      <c r="C939" s="26"/>
      <c r="D939" s="24"/>
      <c r="E939" s="24"/>
      <c r="F939" s="26"/>
      <c r="G939" s="30"/>
      <c r="H939" s="30">
        <f t="shared" si="7"/>
        <v>0</v>
      </c>
      <c r="I939" s="24" t="str">
        <f t="shared" si="3"/>
        <v/>
      </c>
      <c r="J939" s="80"/>
      <c r="K939" s="26"/>
      <c r="L939" s="30"/>
    </row>
    <row r="940" ht="22.5" customHeight="1">
      <c r="A940" s="25"/>
      <c r="B940" s="23"/>
      <c r="C940" s="26"/>
      <c r="D940" s="24"/>
      <c r="E940" s="24"/>
      <c r="F940" s="26"/>
      <c r="G940" s="30"/>
      <c r="H940" s="30">
        <f t="shared" si="7"/>
        <v>0</v>
      </c>
      <c r="I940" s="24" t="str">
        <f t="shared" si="3"/>
        <v/>
      </c>
      <c r="J940" s="80"/>
      <c r="K940" s="26"/>
      <c r="L940" s="30"/>
    </row>
    <row r="941" ht="22.5" customHeight="1">
      <c r="A941" s="25"/>
      <c r="B941" s="23"/>
      <c r="C941" s="26"/>
      <c r="D941" s="24"/>
      <c r="E941" s="24"/>
      <c r="F941" s="26"/>
      <c r="G941" s="30"/>
      <c r="H941" s="30">
        <f t="shared" si="7"/>
        <v>0</v>
      </c>
      <c r="I941" s="24" t="str">
        <f t="shared" si="3"/>
        <v/>
      </c>
      <c r="J941" s="80"/>
      <c r="K941" s="26"/>
      <c r="L941" s="30"/>
    </row>
    <row r="942" ht="22.5" customHeight="1">
      <c r="A942" s="25"/>
      <c r="B942" s="23"/>
      <c r="C942" s="26"/>
      <c r="D942" s="24"/>
      <c r="E942" s="24"/>
      <c r="F942" s="26"/>
      <c r="G942" s="30"/>
      <c r="H942" s="30">
        <f t="shared" si="7"/>
        <v>0</v>
      </c>
      <c r="I942" s="24" t="str">
        <f t="shared" si="3"/>
        <v/>
      </c>
      <c r="J942" s="80"/>
      <c r="K942" s="26"/>
      <c r="L942" s="30"/>
    </row>
    <row r="943" ht="22.5" customHeight="1">
      <c r="A943" s="25"/>
      <c r="B943" s="23"/>
      <c r="C943" s="26"/>
      <c r="D943" s="24"/>
      <c r="E943" s="24"/>
      <c r="F943" s="26"/>
      <c r="G943" s="30"/>
      <c r="H943" s="30">
        <f t="shared" si="7"/>
        <v>0</v>
      </c>
      <c r="I943" s="24" t="str">
        <f t="shared" si="3"/>
        <v/>
      </c>
      <c r="J943" s="80"/>
      <c r="K943" s="26"/>
      <c r="L943" s="30"/>
    </row>
    <row r="944" ht="22.5" customHeight="1">
      <c r="A944" s="25"/>
      <c r="B944" s="23"/>
      <c r="C944" s="26"/>
      <c r="D944" s="24"/>
      <c r="E944" s="24"/>
      <c r="F944" s="26"/>
      <c r="G944" s="30"/>
      <c r="H944" s="30">
        <f t="shared" si="7"/>
        <v>0</v>
      </c>
      <c r="I944" s="24" t="str">
        <f t="shared" si="3"/>
        <v/>
      </c>
      <c r="J944" s="80"/>
      <c r="K944" s="26"/>
      <c r="L944" s="30"/>
    </row>
    <row r="945" ht="22.5" customHeight="1">
      <c r="A945" s="25"/>
      <c r="B945" s="23"/>
      <c r="C945" s="26"/>
      <c r="D945" s="24"/>
      <c r="E945" s="24"/>
      <c r="F945" s="26"/>
      <c r="G945" s="30"/>
      <c r="H945" s="30">
        <f t="shared" si="7"/>
        <v>0</v>
      </c>
      <c r="I945" s="24" t="str">
        <f t="shared" si="3"/>
        <v/>
      </c>
      <c r="J945" s="80"/>
      <c r="K945" s="26"/>
      <c r="L945" s="30"/>
    </row>
    <row r="946" ht="22.5" customHeight="1">
      <c r="A946" s="25"/>
      <c r="B946" s="23"/>
      <c r="C946" s="26"/>
      <c r="D946" s="24"/>
      <c r="E946" s="24"/>
      <c r="F946" s="26"/>
      <c r="G946" s="30"/>
      <c r="H946" s="30">
        <f t="shared" si="7"/>
        <v>0</v>
      </c>
      <c r="I946" s="24" t="str">
        <f t="shared" si="3"/>
        <v/>
      </c>
      <c r="J946" s="80"/>
      <c r="K946" s="26"/>
      <c r="L946" s="30"/>
    </row>
    <row r="947" ht="22.5" customHeight="1">
      <c r="A947" s="25"/>
      <c r="B947" s="23"/>
      <c r="C947" s="26"/>
      <c r="D947" s="24"/>
      <c r="E947" s="24"/>
      <c r="F947" s="26"/>
      <c r="G947" s="30"/>
      <c r="H947" s="30">
        <f t="shared" si="7"/>
        <v>0</v>
      </c>
      <c r="I947" s="24" t="str">
        <f t="shared" si="3"/>
        <v/>
      </c>
      <c r="J947" s="80"/>
      <c r="K947" s="26"/>
      <c r="L947" s="30"/>
    </row>
    <row r="948" ht="22.5" customHeight="1">
      <c r="A948" s="25"/>
      <c r="B948" s="23"/>
      <c r="C948" s="26"/>
      <c r="D948" s="24"/>
      <c r="E948" s="24"/>
      <c r="F948" s="26"/>
      <c r="G948" s="30"/>
      <c r="H948" s="30">
        <f t="shared" si="7"/>
        <v>0</v>
      </c>
      <c r="I948" s="24" t="str">
        <f t="shared" si="3"/>
        <v/>
      </c>
      <c r="J948" s="80"/>
      <c r="K948" s="26"/>
      <c r="L948" s="30"/>
    </row>
    <row r="949" ht="22.5" customHeight="1">
      <c r="A949" s="25"/>
      <c r="B949" s="23"/>
      <c r="C949" s="26"/>
      <c r="D949" s="24"/>
      <c r="E949" s="24"/>
      <c r="F949" s="26"/>
      <c r="G949" s="30"/>
      <c r="H949" s="30">
        <f t="shared" si="7"/>
        <v>0</v>
      </c>
      <c r="I949" s="24" t="str">
        <f t="shared" si="3"/>
        <v/>
      </c>
      <c r="J949" s="80"/>
      <c r="K949" s="26"/>
      <c r="L949" s="30"/>
    </row>
    <row r="950" ht="22.5" customHeight="1">
      <c r="A950" s="25"/>
      <c r="B950" s="23"/>
      <c r="C950" s="26"/>
      <c r="D950" s="24"/>
      <c r="E950" s="24"/>
      <c r="F950" s="26"/>
      <c r="G950" s="30"/>
      <c r="H950" s="30">
        <f t="shared" si="7"/>
        <v>0</v>
      </c>
      <c r="I950" s="24" t="str">
        <f t="shared" si="3"/>
        <v/>
      </c>
      <c r="J950" s="80"/>
      <c r="K950" s="26"/>
      <c r="L950" s="30"/>
    </row>
    <row r="951" ht="22.5" customHeight="1">
      <c r="A951" s="25"/>
      <c r="B951" s="23"/>
      <c r="C951" s="26"/>
      <c r="D951" s="24"/>
      <c r="E951" s="24"/>
      <c r="F951" s="26"/>
      <c r="G951" s="30"/>
      <c r="H951" s="30">
        <f t="shared" si="7"/>
        <v>0</v>
      </c>
      <c r="I951" s="24" t="str">
        <f t="shared" si="3"/>
        <v/>
      </c>
      <c r="J951" s="80"/>
      <c r="K951" s="26"/>
      <c r="L951" s="30"/>
    </row>
    <row r="952" ht="22.5" customHeight="1">
      <c r="A952" s="25"/>
      <c r="B952" s="23"/>
      <c r="C952" s="26"/>
      <c r="D952" s="24"/>
      <c r="E952" s="24"/>
      <c r="F952" s="26"/>
      <c r="G952" s="30"/>
      <c r="H952" s="30">
        <f t="shared" si="7"/>
        <v>0</v>
      </c>
      <c r="I952" s="24" t="str">
        <f t="shared" si="3"/>
        <v/>
      </c>
      <c r="J952" s="80"/>
      <c r="K952" s="26"/>
      <c r="L952" s="30"/>
    </row>
    <row r="953" ht="22.5" customHeight="1">
      <c r="A953" s="25"/>
      <c r="B953" s="23"/>
      <c r="C953" s="26"/>
      <c r="D953" s="24"/>
      <c r="E953" s="24"/>
      <c r="F953" s="26"/>
      <c r="G953" s="30"/>
      <c r="H953" s="30">
        <f t="shared" si="7"/>
        <v>0</v>
      </c>
      <c r="I953" s="24" t="str">
        <f t="shared" si="3"/>
        <v/>
      </c>
      <c r="J953" s="80"/>
      <c r="K953" s="26"/>
      <c r="L953" s="30"/>
    </row>
    <row r="954" ht="22.5" customHeight="1">
      <c r="A954" s="25"/>
      <c r="B954" s="23"/>
      <c r="C954" s="26"/>
      <c r="D954" s="24"/>
      <c r="E954" s="24"/>
      <c r="F954" s="26"/>
      <c r="G954" s="30"/>
      <c r="H954" s="30">
        <f t="shared" si="7"/>
        <v>0</v>
      </c>
      <c r="I954" s="24" t="str">
        <f t="shared" si="3"/>
        <v/>
      </c>
      <c r="J954" s="80"/>
      <c r="K954" s="26"/>
      <c r="L954" s="30"/>
    </row>
    <row r="955" ht="22.5" customHeight="1">
      <c r="A955" s="25"/>
      <c r="B955" s="23"/>
      <c r="C955" s="26"/>
      <c r="D955" s="24"/>
      <c r="E955" s="24"/>
      <c r="F955" s="26"/>
      <c r="G955" s="30"/>
      <c r="H955" s="30">
        <f t="shared" si="7"/>
        <v>0</v>
      </c>
      <c r="I955" s="24" t="str">
        <f t="shared" si="3"/>
        <v/>
      </c>
      <c r="J955" s="80"/>
      <c r="K955" s="26"/>
      <c r="L955" s="30"/>
    </row>
    <row r="956" ht="22.5" customHeight="1">
      <c r="A956" s="25"/>
      <c r="B956" s="23"/>
      <c r="C956" s="26"/>
      <c r="D956" s="24"/>
      <c r="E956" s="24"/>
      <c r="F956" s="26"/>
      <c r="G956" s="30"/>
      <c r="H956" s="30">
        <f t="shared" si="7"/>
        <v>0</v>
      </c>
      <c r="I956" s="24" t="str">
        <f t="shared" si="3"/>
        <v/>
      </c>
      <c r="J956" s="80"/>
      <c r="K956" s="26"/>
      <c r="L956" s="30"/>
    </row>
    <row r="957" ht="22.5" customHeight="1">
      <c r="A957" s="25"/>
      <c r="B957" s="23"/>
      <c r="C957" s="26"/>
      <c r="D957" s="24"/>
      <c r="E957" s="24"/>
      <c r="F957" s="26"/>
      <c r="G957" s="30"/>
      <c r="H957" s="30">
        <f t="shared" si="7"/>
        <v>0</v>
      </c>
      <c r="I957" s="24" t="str">
        <f t="shared" si="3"/>
        <v/>
      </c>
      <c r="J957" s="80"/>
      <c r="K957" s="26"/>
      <c r="L957" s="30"/>
    </row>
    <row r="958" ht="22.5" customHeight="1">
      <c r="A958" s="25"/>
      <c r="B958" s="23"/>
      <c r="C958" s="26"/>
      <c r="D958" s="24"/>
      <c r="E958" s="24"/>
      <c r="F958" s="26"/>
      <c r="G958" s="30"/>
      <c r="H958" s="30">
        <f t="shared" si="7"/>
        <v>0</v>
      </c>
      <c r="I958" s="24" t="str">
        <f t="shared" si="3"/>
        <v/>
      </c>
      <c r="J958" s="80"/>
      <c r="K958" s="26"/>
      <c r="L958" s="30"/>
    </row>
    <row r="959" ht="22.5" customHeight="1">
      <c r="A959" s="25"/>
      <c r="B959" s="23"/>
      <c r="C959" s="26"/>
      <c r="D959" s="24"/>
      <c r="E959" s="24"/>
      <c r="F959" s="26"/>
      <c r="G959" s="30"/>
      <c r="H959" s="30">
        <f t="shared" si="7"/>
        <v>0</v>
      </c>
      <c r="I959" s="24" t="str">
        <f t="shared" si="3"/>
        <v/>
      </c>
      <c r="J959" s="80"/>
      <c r="K959" s="26"/>
      <c r="L959" s="30"/>
    </row>
    <row r="960" ht="22.5" customHeight="1">
      <c r="A960" s="25"/>
      <c r="B960" s="23"/>
      <c r="C960" s="26"/>
      <c r="D960" s="24"/>
      <c r="E960" s="24"/>
      <c r="F960" s="26"/>
      <c r="G960" s="30"/>
      <c r="H960" s="30">
        <f t="shared" si="7"/>
        <v>0</v>
      </c>
      <c r="I960" s="24" t="str">
        <f t="shared" si="3"/>
        <v/>
      </c>
      <c r="J960" s="80"/>
      <c r="K960" s="26"/>
      <c r="L960" s="30"/>
    </row>
    <row r="961" ht="22.5" customHeight="1">
      <c r="A961" s="25"/>
      <c r="B961" s="23"/>
      <c r="C961" s="26"/>
      <c r="D961" s="24"/>
      <c r="E961" s="24"/>
      <c r="F961" s="26"/>
      <c r="G961" s="30"/>
      <c r="H961" s="30">
        <f t="shared" si="7"/>
        <v>0</v>
      </c>
      <c r="I961" s="24" t="str">
        <f t="shared" si="3"/>
        <v/>
      </c>
      <c r="J961" s="80"/>
      <c r="K961" s="26"/>
      <c r="L961" s="30"/>
    </row>
    <row r="962" ht="22.5" customHeight="1">
      <c r="A962" s="25"/>
      <c r="B962" s="23"/>
      <c r="C962" s="26"/>
      <c r="D962" s="24"/>
      <c r="E962" s="24"/>
      <c r="F962" s="26"/>
      <c r="G962" s="30"/>
      <c r="H962" s="30">
        <f t="shared" si="7"/>
        <v>0</v>
      </c>
      <c r="I962" s="24" t="str">
        <f t="shared" si="3"/>
        <v/>
      </c>
      <c r="J962" s="80"/>
      <c r="K962" s="26"/>
      <c r="L962" s="30"/>
    </row>
    <row r="963" ht="22.5" customHeight="1">
      <c r="A963" s="25"/>
      <c r="B963" s="23"/>
      <c r="C963" s="26"/>
      <c r="D963" s="24"/>
      <c r="E963" s="24"/>
      <c r="F963" s="26"/>
      <c r="G963" s="30"/>
      <c r="H963" s="30">
        <f t="shared" si="7"/>
        <v>0</v>
      </c>
      <c r="I963" s="24" t="str">
        <f t="shared" si="3"/>
        <v/>
      </c>
      <c r="J963" s="80"/>
      <c r="K963" s="26"/>
      <c r="L963" s="30"/>
    </row>
    <row r="964" ht="22.5" customHeight="1">
      <c r="A964" s="25"/>
      <c r="B964" s="23"/>
      <c r="C964" s="26"/>
      <c r="D964" s="24"/>
      <c r="E964" s="24"/>
      <c r="F964" s="26"/>
      <c r="G964" s="30"/>
      <c r="H964" s="30">
        <f t="shared" si="7"/>
        <v>0</v>
      </c>
      <c r="I964" s="24" t="str">
        <f t="shared" si="3"/>
        <v/>
      </c>
      <c r="J964" s="80"/>
      <c r="K964" s="26"/>
      <c r="L964" s="30"/>
    </row>
    <row r="965" ht="22.5" customHeight="1">
      <c r="A965" s="25"/>
      <c r="B965" s="23"/>
      <c r="C965" s="26"/>
      <c r="D965" s="24"/>
      <c r="E965" s="24"/>
      <c r="F965" s="26"/>
      <c r="G965" s="30"/>
      <c r="H965" s="30">
        <f t="shared" si="7"/>
        <v>0</v>
      </c>
      <c r="I965" s="24" t="str">
        <f t="shared" si="3"/>
        <v/>
      </c>
      <c r="J965" s="80"/>
      <c r="K965" s="26"/>
      <c r="L965" s="30"/>
    </row>
    <row r="966" ht="22.5" customHeight="1">
      <c r="A966" s="25"/>
      <c r="B966" s="23"/>
      <c r="C966" s="26"/>
      <c r="D966" s="24"/>
      <c r="E966" s="24"/>
      <c r="F966" s="26"/>
      <c r="G966" s="30"/>
      <c r="H966" s="30">
        <f t="shared" si="7"/>
        <v>0</v>
      </c>
      <c r="I966" s="24" t="str">
        <f t="shared" si="3"/>
        <v/>
      </c>
      <c r="J966" s="80"/>
      <c r="K966" s="26"/>
      <c r="L966" s="30"/>
    </row>
    <row r="967" ht="22.5" customHeight="1">
      <c r="A967" s="25"/>
      <c r="B967" s="23"/>
      <c r="C967" s="26"/>
      <c r="D967" s="24"/>
      <c r="E967" s="24"/>
      <c r="F967" s="26"/>
      <c r="G967" s="30"/>
      <c r="H967" s="30">
        <f t="shared" si="7"/>
        <v>0</v>
      </c>
      <c r="I967" s="24" t="str">
        <f t="shared" si="3"/>
        <v/>
      </c>
      <c r="J967" s="80"/>
      <c r="K967" s="26"/>
      <c r="L967" s="30"/>
    </row>
    <row r="968" ht="22.5" customHeight="1">
      <c r="A968" s="25"/>
      <c r="B968" s="23"/>
      <c r="C968" s="26"/>
      <c r="D968" s="24"/>
      <c r="E968" s="24"/>
      <c r="F968" s="26"/>
      <c r="G968" s="30"/>
      <c r="H968" s="30">
        <f t="shared" si="7"/>
        <v>0</v>
      </c>
      <c r="I968" s="24" t="str">
        <f t="shared" si="3"/>
        <v/>
      </c>
      <c r="J968" s="80"/>
      <c r="K968" s="26"/>
      <c r="L968" s="30"/>
    </row>
    <row r="969" ht="22.5" customHeight="1">
      <c r="A969" s="25"/>
      <c r="B969" s="23"/>
      <c r="C969" s="26"/>
      <c r="D969" s="24"/>
      <c r="E969" s="24"/>
      <c r="F969" s="26"/>
      <c r="G969" s="30"/>
      <c r="H969" s="30">
        <f t="shared" si="7"/>
        <v>0</v>
      </c>
      <c r="I969" s="24" t="str">
        <f t="shared" si="3"/>
        <v/>
      </c>
      <c r="J969" s="80"/>
      <c r="K969" s="26"/>
      <c r="L969" s="30"/>
    </row>
    <row r="970" ht="22.5" customHeight="1">
      <c r="A970" s="25"/>
      <c r="B970" s="23"/>
      <c r="C970" s="26"/>
      <c r="D970" s="24"/>
      <c r="E970" s="24"/>
      <c r="F970" s="26"/>
      <c r="G970" s="30"/>
      <c r="H970" s="30">
        <f t="shared" si="7"/>
        <v>0</v>
      </c>
      <c r="I970" s="24" t="str">
        <f t="shared" si="3"/>
        <v/>
      </c>
      <c r="J970" s="80"/>
      <c r="K970" s="26"/>
      <c r="L970" s="30"/>
    </row>
    <row r="971" ht="22.5" customHeight="1">
      <c r="A971" s="25"/>
      <c r="B971" s="23"/>
      <c r="C971" s="26"/>
      <c r="D971" s="24"/>
      <c r="E971" s="24"/>
      <c r="F971" s="26"/>
      <c r="G971" s="30"/>
      <c r="H971" s="30">
        <f t="shared" si="7"/>
        <v>0</v>
      </c>
      <c r="I971" s="24" t="str">
        <f t="shared" si="3"/>
        <v/>
      </c>
      <c r="J971" s="80"/>
      <c r="K971" s="26"/>
      <c r="L971" s="30"/>
    </row>
    <row r="972" ht="22.5" customHeight="1">
      <c r="A972" s="25"/>
      <c r="B972" s="23"/>
      <c r="C972" s="26"/>
      <c r="D972" s="24"/>
      <c r="E972" s="24"/>
      <c r="F972" s="26"/>
      <c r="G972" s="30"/>
      <c r="H972" s="30">
        <f t="shared" si="7"/>
        <v>0</v>
      </c>
      <c r="I972" s="24" t="str">
        <f t="shared" si="3"/>
        <v/>
      </c>
      <c r="J972" s="80"/>
      <c r="K972" s="26"/>
      <c r="L972" s="30"/>
    </row>
    <row r="973" ht="22.5" customHeight="1">
      <c r="A973" s="25"/>
      <c r="B973" s="23"/>
      <c r="C973" s="26"/>
      <c r="D973" s="24"/>
      <c r="E973" s="24"/>
      <c r="F973" s="26"/>
      <c r="G973" s="30"/>
      <c r="H973" s="30">
        <f t="shared" si="7"/>
        <v>0</v>
      </c>
      <c r="I973" s="24" t="str">
        <f t="shared" si="3"/>
        <v/>
      </c>
      <c r="J973" s="80"/>
      <c r="K973" s="26"/>
      <c r="L973" s="30"/>
    </row>
    <row r="974" ht="22.5" customHeight="1">
      <c r="A974" s="25"/>
      <c r="B974" s="23"/>
      <c r="C974" s="26"/>
      <c r="D974" s="24"/>
      <c r="E974" s="24"/>
      <c r="F974" s="26"/>
      <c r="G974" s="30"/>
      <c r="H974" s="30">
        <f t="shared" si="7"/>
        <v>0</v>
      </c>
      <c r="I974" s="24" t="str">
        <f t="shared" si="3"/>
        <v/>
      </c>
      <c r="J974" s="80"/>
      <c r="K974" s="26"/>
      <c r="L974" s="30"/>
    </row>
    <row r="975" ht="22.5" customHeight="1">
      <c r="A975" s="25"/>
      <c r="B975" s="23"/>
      <c r="C975" s="26"/>
      <c r="D975" s="24"/>
      <c r="E975" s="24"/>
      <c r="F975" s="26"/>
      <c r="G975" s="30"/>
      <c r="H975" s="30">
        <f t="shared" si="7"/>
        <v>0</v>
      </c>
      <c r="I975" s="24" t="str">
        <f t="shared" si="3"/>
        <v/>
      </c>
      <c r="J975" s="80"/>
      <c r="K975" s="26"/>
      <c r="L975" s="30"/>
    </row>
    <row r="976" ht="22.5" customHeight="1">
      <c r="A976" s="25"/>
      <c r="B976" s="23"/>
      <c r="C976" s="26"/>
      <c r="D976" s="24"/>
      <c r="E976" s="24"/>
      <c r="F976" s="26"/>
      <c r="G976" s="30"/>
      <c r="H976" s="30">
        <f t="shared" si="7"/>
        <v>0</v>
      </c>
      <c r="I976" s="24" t="str">
        <f t="shared" si="3"/>
        <v/>
      </c>
      <c r="J976" s="80"/>
      <c r="K976" s="26"/>
      <c r="L976" s="30"/>
    </row>
    <row r="977" ht="22.5" customHeight="1">
      <c r="A977" s="25"/>
      <c r="B977" s="23"/>
      <c r="C977" s="26"/>
      <c r="D977" s="24"/>
      <c r="E977" s="24"/>
      <c r="F977" s="26"/>
      <c r="G977" s="30"/>
      <c r="H977" s="30">
        <f t="shared" si="7"/>
        <v>0</v>
      </c>
      <c r="I977" s="24" t="str">
        <f t="shared" si="3"/>
        <v/>
      </c>
      <c r="J977" s="80"/>
      <c r="K977" s="26"/>
      <c r="L977" s="30"/>
    </row>
    <row r="978" ht="22.5" customHeight="1">
      <c r="A978" s="25"/>
      <c r="B978" s="23"/>
      <c r="C978" s="26"/>
      <c r="D978" s="24"/>
      <c r="E978" s="24"/>
      <c r="F978" s="26"/>
      <c r="G978" s="30"/>
      <c r="H978" s="30">
        <f t="shared" si="7"/>
        <v>0</v>
      </c>
      <c r="I978" s="24" t="str">
        <f t="shared" si="3"/>
        <v/>
      </c>
      <c r="J978" s="80"/>
      <c r="K978" s="26"/>
      <c r="L978" s="30"/>
    </row>
    <row r="979" ht="22.5" customHeight="1">
      <c r="A979" s="25"/>
      <c r="B979" s="23"/>
      <c r="C979" s="26"/>
      <c r="D979" s="24"/>
      <c r="E979" s="24"/>
      <c r="F979" s="26"/>
      <c r="G979" s="30"/>
      <c r="H979" s="30">
        <f t="shared" si="7"/>
        <v>0</v>
      </c>
      <c r="I979" s="24" t="str">
        <f t="shared" si="3"/>
        <v/>
      </c>
      <c r="J979" s="80"/>
      <c r="K979" s="26"/>
      <c r="L979" s="30"/>
    </row>
    <row r="980" ht="22.5" customHeight="1">
      <c r="A980" s="25"/>
      <c r="B980" s="23"/>
      <c r="C980" s="26"/>
      <c r="D980" s="24"/>
      <c r="E980" s="24"/>
      <c r="F980" s="26"/>
      <c r="G980" s="30"/>
      <c r="H980" s="30">
        <f t="shared" si="7"/>
        <v>0</v>
      </c>
      <c r="I980" s="24" t="str">
        <f t="shared" si="3"/>
        <v/>
      </c>
      <c r="J980" s="80"/>
      <c r="K980" s="26"/>
      <c r="L980" s="30"/>
    </row>
    <row r="981" ht="22.5" customHeight="1">
      <c r="A981" s="25"/>
      <c r="B981" s="23"/>
      <c r="C981" s="26"/>
      <c r="D981" s="24"/>
      <c r="E981" s="24"/>
      <c r="F981" s="26"/>
      <c r="G981" s="30"/>
      <c r="H981" s="30">
        <f t="shared" si="7"/>
        <v>0</v>
      </c>
      <c r="I981" s="24" t="str">
        <f t="shared" si="3"/>
        <v/>
      </c>
      <c r="J981" s="80"/>
      <c r="K981" s="26"/>
      <c r="L981" s="30"/>
    </row>
    <row r="982" ht="22.5" customHeight="1">
      <c r="A982" s="25"/>
      <c r="B982" s="23"/>
      <c r="C982" s="26"/>
      <c r="D982" s="24"/>
      <c r="E982" s="24"/>
      <c r="F982" s="26"/>
      <c r="G982" s="30"/>
      <c r="H982" s="30">
        <f t="shared" si="7"/>
        <v>0</v>
      </c>
      <c r="I982" s="24" t="str">
        <f t="shared" si="3"/>
        <v/>
      </c>
      <c r="J982" s="80"/>
      <c r="K982" s="26"/>
      <c r="L982" s="30"/>
    </row>
    <row r="983" ht="22.5" customHeight="1">
      <c r="A983" s="25"/>
      <c r="B983" s="23"/>
      <c r="C983" s="26"/>
      <c r="D983" s="24"/>
      <c r="E983" s="24"/>
      <c r="F983" s="26"/>
      <c r="G983" s="30"/>
      <c r="H983" s="30">
        <f t="shared" si="7"/>
        <v>0</v>
      </c>
      <c r="I983" s="24" t="str">
        <f t="shared" si="3"/>
        <v/>
      </c>
      <c r="J983" s="80"/>
      <c r="K983" s="26"/>
      <c r="L983" s="30"/>
    </row>
    <row r="984" ht="22.5" customHeight="1">
      <c r="A984" s="25"/>
      <c r="B984" s="23"/>
      <c r="C984" s="26"/>
      <c r="D984" s="24"/>
      <c r="E984" s="24"/>
      <c r="F984" s="26"/>
      <c r="G984" s="30"/>
      <c r="H984" s="30">
        <f t="shared" si="7"/>
        <v>0</v>
      </c>
      <c r="I984" s="24" t="str">
        <f t="shared" si="3"/>
        <v/>
      </c>
      <c r="J984" s="80"/>
      <c r="K984" s="26"/>
      <c r="L984" s="30"/>
    </row>
    <row r="985" ht="22.5" customHeight="1">
      <c r="A985" s="25"/>
      <c r="B985" s="23"/>
      <c r="C985" s="26"/>
      <c r="D985" s="24"/>
      <c r="E985" s="24"/>
      <c r="F985" s="26"/>
      <c r="G985" s="30"/>
      <c r="H985" s="30">
        <f t="shared" si="7"/>
        <v>0</v>
      </c>
      <c r="I985" s="24" t="str">
        <f t="shared" si="3"/>
        <v/>
      </c>
      <c r="J985" s="80"/>
      <c r="K985" s="26"/>
      <c r="L985" s="30"/>
    </row>
    <row r="986" ht="22.5" customHeight="1">
      <c r="A986" s="25"/>
      <c r="B986" s="23"/>
      <c r="C986" s="26"/>
      <c r="D986" s="24"/>
      <c r="E986" s="24"/>
      <c r="F986" s="26"/>
      <c r="G986" s="30"/>
      <c r="H986" s="30">
        <f t="shared" si="7"/>
        <v>0</v>
      </c>
      <c r="I986" s="24" t="str">
        <f t="shared" si="3"/>
        <v/>
      </c>
      <c r="J986" s="80"/>
      <c r="K986" s="26"/>
      <c r="L986" s="30"/>
    </row>
    <row r="987" ht="22.5" customHeight="1">
      <c r="A987" s="25"/>
      <c r="B987" s="23"/>
      <c r="C987" s="26"/>
      <c r="D987" s="24"/>
      <c r="E987" s="24"/>
      <c r="F987" s="26"/>
      <c r="G987" s="30"/>
      <c r="H987" s="30">
        <f t="shared" si="7"/>
        <v>0</v>
      </c>
      <c r="I987" s="24" t="str">
        <f t="shared" si="3"/>
        <v/>
      </c>
      <c r="J987" s="80"/>
      <c r="K987" s="26"/>
      <c r="L987" s="30"/>
    </row>
    <row r="988" ht="22.5" customHeight="1">
      <c r="A988" s="25"/>
      <c r="B988" s="23"/>
      <c r="C988" s="26"/>
      <c r="D988" s="24"/>
      <c r="E988" s="24"/>
      <c r="F988" s="26"/>
      <c r="G988" s="30"/>
      <c r="H988" s="30">
        <f t="shared" si="7"/>
        <v>0</v>
      </c>
      <c r="I988" s="24" t="str">
        <f t="shared" si="3"/>
        <v/>
      </c>
      <c r="J988" s="80"/>
      <c r="K988" s="26"/>
      <c r="L988" s="30"/>
    </row>
    <row r="989" ht="22.5" customHeight="1">
      <c r="A989" s="25"/>
      <c r="B989" s="23"/>
      <c r="C989" s="26"/>
      <c r="D989" s="24"/>
      <c r="E989" s="24"/>
      <c r="F989" s="26"/>
      <c r="G989" s="30"/>
      <c r="H989" s="30">
        <f t="shared" si="7"/>
        <v>0</v>
      </c>
      <c r="I989" s="24" t="str">
        <f t="shared" si="3"/>
        <v/>
      </c>
      <c r="J989" s="80"/>
      <c r="K989" s="26"/>
      <c r="L989" s="30"/>
    </row>
    <row r="990" ht="22.5" customHeight="1">
      <c r="A990" s="25"/>
      <c r="B990" s="23"/>
      <c r="C990" s="26"/>
      <c r="D990" s="24"/>
      <c r="E990" s="24"/>
      <c r="F990" s="26"/>
      <c r="G990" s="30"/>
      <c r="H990" s="30">
        <f t="shared" si="7"/>
        <v>0</v>
      </c>
      <c r="I990" s="24" t="str">
        <f t="shared" si="3"/>
        <v/>
      </c>
      <c r="J990" s="80"/>
      <c r="K990" s="26"/>
      <c r="L990" s="30"/>
    </row>
    <row r="991" ht="22.5" customHeight="1">
      <c r="A991" s="25"/>
      <c r="B991" s="23"/>
      <c r="C991" s="26"/>
      <c r="D991" s="24"/>
      <c r="E991" s="24"/>
      <c r="F991" s="26"/>
      <c r="G991" s="30"/>
      <c r="H991" s="30">
        <f t="shared" si="7"/>
        <v>0</v>
      </c>
      <c r="I991" s="24" t="str">
        <f t="shared" si="3"/>
        <v/>
      </c>
      <c r="J991" s="80"/>
      <c r="K991" s="26"/>
      <c r="L991" s="30"/>
    </row>
    <row r="992" ht="22.5" customHeight="1">
      <c r="A992" s="25"/>
      <c r="B992" s="23"/>
      <c r="C992" s="26"/>
      <c r="D992" s="24"/>
      <c r="E992" s="24"/>
      <c r="F992" s="26"/>
      <c r="G992" s="30"/>
      <c r="H992" s="30">
        <f t="shared" si="7"/>
        <v>0</v>
      </c>
      <c r="I992" s="24" t="str">
        <f t="shared" si="3"/>
        <v/>
      </c>
      <c r="J992" s="80"/>
      <c r="K992" s="26"/>
      <c r="L992" s="30"/>
    </row>
    <row r="993" ht="22.5" customHeight="1">
      <c r="A993" s="25"/>
      <c r="B993" s="23"/>
      <c r="C993" s="26"/>
      <c r="D993" s="24"/>
      <c r="E993" s="24"/>
      <c r="F993" s="26"/>
      <c r="G993" s="30"/>
      <c r="H993" s="30">
        <f t="shared" si="7"/>
        <v>0</v>
      </c>
      <c r="I993" s="24" t="str">
        <f t="shared" si="3"/>
        <v/>
      </c>
      <c r="J993" s="80"/>
      <c r="K993" s="26"/>
      <c r="L993" s="30"/>
    </row>
    <row r="994" ht="22.5" customHeight="1">
      <c r="A994" s="25"/>
      <c r="B994" s="23"/>
      <c r="C994" s="26"/>
      <c r="D994" s="24"/>
      <c r="E994" s="24"/>
      <c r="F994" s="26"/>
      <c r="G994" s="30"/>
      <c r="H994" s="30">
        <f t="shared" si="7"/>
        <v>0</v>
      </c>
      <c r="I994" s="24" t="str">
        <f t="shared" si="3"/>
        <v/>
      </c>
      <c r="J994" s="80"/>
      <c r="K994" s="26"/>
      <c r="L994" s="30"/>
    </row>
    <row r="995" ht="22.5" customHeight="1">
      <c r="A995" s="25"/>
      <c r="B995" s="23"/>
      <c r="C995" s="26"/>
      <c r="D995" s="24"/>
      <c r="E995" s="24"/>
      <c r="F995" s="26"/>
      <c r="G995" s="30"/>
      <c r="H995" s="30">
        <f t="shared" si="7"/>
        <v>0</v>
      </c>
      <c r="I995" s="24" t="str">
        <f t="shared" si="3"/>
        <v/>
      </c>
      <c r="J995" s="80"/>
      <c r="K995" s="26"/>
      <c r="L995" s="30"/>
    </row>
    <row r="996" ht="22.5" customHeight="1">
      <c r="A996" s="25"/>
      <c r="B996" s="23"/>
      <c r="C996" s="26"/>
      <c r="D996" s="24"/>
      <c r="E996" s="24"/>
      <c r="F996" s="26"/>
      <c r="G996" s="30"/>
      <c r="H996" s="30">
        <f t="shared" si="7"/>
        <v>0</v>
      </c>
      <c r="I996" s="24" t="str">
        <f t="shared" si="3"/>
        <v/>
      </c>
      <c r="J996" s="80"/>
      <c r="K996" s="26"/>
      <c r="L996" s="30"/>
    </row>
    <row r="997" ht="22.5" customHeight="1">
      <c r="A997" s="25"/>
      <c r="B997" s="23"/>
      <c r="C997" s="26"/>
      <c r="D997" s="24"/>
      <c r="E997" s="24"/>
      <c r="F997" s="26"/>
      <c r="G997" s="30"/>
      <c r="H997" s="30">
        <f t="shared" si="7"/>
        <v>0</v>
      </c>
      <c r="I997" s="24" t="str">
        <f t="shared" si="3"/>
        <v/>
      </c>
      <c r="J997" s="80"/>
      <c r="K997" s="26"/>
      <c r="L997" s="30"/>
    </row>
    <row r="998" ht="22.5" customHeight="1">
      <c r="A998" s="25"/>
      <c r="B998" s="23"/>
      <c r="C998" s="26"/>
      <c r="D998" s="24"/>
      <c r="E998" s="24"/>
      <c r="F998" s="26"/>
      <c r="G998" s="30"/>
      <c r="H998" s="30">
        <f t="shared" si="7"/>
        <v>0</v>
      </c>
      <c r="I998" s="24" t="str">
        <f t="shared" si="3"/>
        <v/>
      </c>
      <c r="J998" s="80"/>
      <c r="K998" s="26"/>
      <c r="L998" s="30"/>
    </row>
    <row r="999" ht="22.5" customHeight="1">
      <c r="A999" s="25"/>
      <c r="B999" s="23"/>
      <c r="C999" s="26"/>
      <c r="D999" s="24"/>
      <c r="E999" s="24"/>
      <c r="F999" s="26"/>
      <c r="G999" s="30"/>
      <c r="H999" s="30">
        <f t="shared" si="7"/>
        <v>0</v>
      </c>
      <c r="I999" s="24" t="str">
        <f t="shared" si="3"/>
        <v/>
      </c>
      <c r="J999" s="80"/>
      <c r="K999" s="26"/>
      <c r="L999" s="30"/>
    </row>
    <row r="1000" ht="22.5" customHeight="1">
      <c r="A1000" s="25"/>
      <c r="B1000" s="23"/>
      <c r="C1000" s="26"/>
      <c r="D1000" s="24"/>
      <c r="E1000" s="24"/>
      <c r="F1000" s="26"/>
      <c r="G1000" s="30"/>
      <c r="H1000" s="30">
        <f t="shared" si="7"/>
        <v>0</v>
      </c>
      <c r="I1000" s="24" t="str">
        <f t="shared" si="3"/>
        <v/>
      </c>
      <c r="J1000" s="80"/>
      <c r="K1000" s="26"/>
      <c r="L1000" s="30"/>
    </row>
    <row r="1001" ht="22.5" customHeight="1">
      <c r="A1001" s="25"/>
      <c r="B1001" s="23"/>
      <c r="C1001" s="26"/>
      <c r="D1001" s="24"/>
      <c r="E1001" s="24"/>
      <c r="F1001" s="26"/>
      <c r="G1001" s="30"/>
      <c r="H1001" s="30">
        <f t="shared" si="7"/>
        <v>0</v>
      </c>
      <c r="I1001" s="24" t="str">
        <f t="shared" si="3"/>
        <v/>
      </c>
      <c r="J1001" s="80"/>
      <c r="K1001" s="26"/>
      <c r="L1001" s="30"/>
    </row>
    <row r="1002" ht="22.5" customHeight="1">
      <c r="A1002" s="25"/>
      <c r="B1002" s="23"/>
      <c r="C1002" s="26"/>
      <c r="D1002" s="24"/>
      <c r="E1002" s="24"/>
      <c r="F1002" s="26"/>
      <c r="G1002" s="30"/>
      <c r="H1002" s="30">
        <f t="shared" si="7"/>
        <v>0</v>
      </c>
      <c r="I1002" s="24" t="str">
        <f t="shared" si="3"/>
        <v/>
      </c>
      <c r="J1002" s="80"/>
      <c r="K1002" s="26"/>
      <c r="L1002" s="30"/>
    </row>
    <row r="1003" ht="22.5" customHeight="1">
      <c r="A1003" s="25"/>
      <c r="B1003" s="23"/>
      <c r="C1003" s="26"/>
      <c r="D1003" s="24"/>
      <c r="E1003" s="24"/>
      <c r="F1003" s="26"/>
      <c r="G1003" s="30"/>
      <c r="H1003" s="30">
        <f t="shared" si="7"/>
        <v>0</v>
      </c>
      <c r="I1003" s="24" t="str">
        <f t="shared" si="3"/>
        <v/>
      </c>
      <c r="J1003" s="80"/>
      <c r="K1003" s="26"/>
      <c r="L1003" s="30"/>
    </row>
    <row r="1004" ht="22.5" customHeight="1">
      <c r="A1004" s="25"/>
      <c r="B1004" s="23"/>
      <c r="C1004" s="26"/>
      <c r="D1004" s="24"/>
      <c r="E1004" s="24"/>
      <c r="F1004" s="26"/>
      <c r="G1004" s="30"/>
      <c r="H1004" s="30">
        <f t="shared" si="7"/>
        <v>0</v>
      </c>
      <c r="I1004" s="24" t="str">
        <f t="shared" si="3"/>
        <v/>
      </c>
      <c r="J1004" s="80"/>
      <c r="K1004" s="26"/>
      <c r="L1004" s="30"/>
    </row>
    <row r="1005" ht="22.5" customHeight="1">
      <c r="A1005" s="25"/>
      <c r="B1005" s="23"/>
      <c r="C1005" s="26"/>
      <c r="D1005" s="24"/>
      <c r="E1005" s="24"/>
      <c r="F1005" s="26"/>
      <c r="G1005" s="30"/>
      <c r="H1005" s="30">
        <f t="shared" si="7"/>
        <v>0</v>
      </c>
      <c r="I1005" s="24" t="str">
        <f t="shared" si="3"/>
        <v/>
      </c>
      <c r="J1005" s="80"/>
      <c r="K1005" s="26"/>
      <c r="L1005" s="30"/>
    </row>
    <row r="1006" ht="22.5" customHeight="1">
      <c r="A1006" s="25"/>
      <c r="B1006" s="23"/>
      <c r="C1006" s="26"/>
      <c r="D1006" s="24"/>
      <c r="E1006" s="24"/>
      <c r="F1006" s="26"/>
      <c r="G1006" s="30"/>
      <c r="H1006" s="30">
        <f t="shared" si="7"/>
        <v>0</v>
      </c>
      <c r="I1006" s="24" t="str">
        <f t="shared" si="3"/>
        <v/>
      </c>
      <c r="J1006" s="80"/>
      <c r="K1006" s="26"/>
      <c r="L1006" s="30"/>
    </row>
    <row r="1007" ht="22.5" customHeight="1">
      <c r="A1007" s="25"/>
      <c r="B1007" s="23"/>
      <c r="C1007" s="26"/>
      <c r="D1007" s="24"/>
      <c r="E1007" s="24"/>
      <c r="F1007" s="26"/>
      <c r="G1007" s="30"/>
      <c r="H1007" s="30">
        <f t="shared" si="7"/>
        <v>0</v>
      </c>
      <c r="I1007" s="24" t="str">
        <f t="shared" si="3"/>
        <v/>
      </c>
      <c r="J1007" s="80"/>
      <c r="K1007" s="26"/>
      <c r="L1007" s="30"/>
    </row>
    <row r="1008" ht="22.5" customHeight="1">
      <c r="A1008" s="25"/>
      <c r="B1008" s="23"/>
      <c r="C1008" s="26"/>
      <c r="D1008" s="24"/>
      <c r="E1008" s="24"/>
      <c r="F1008" s="26"/>
      <c r="G1008" s="30"/>
      <c r="H1008" s="30">
        <f t="shared" si="7"/>
        <v>0</v>
      </c>
      <c r="I1008" s="24" t="str">
        <f t="shared" si="3"/>
        <v/>
      </c>
      <c r="J1008" s="80"/>
      <c r="K1008" s="26"/>
      <c r="L1008" s="30"/>
    </row>
    <row r="1009" ht="22.5" customHeight="1">
      <c r="A1009" s="25"/>
      <c r="B1009" s="23"/>
      <c r="C1009" s="26"/>
      <c r="D1009" s="24"/>
      <c r="E1009" s="24"/>
      <c r="F1009" s="26"/>
      <c r="G1009" s="30"/>
      <c r="H1009" s="30">
        <f t="shared" si="7"/>
        <v>0</v>
      </c>
      <c r="I1009" s="24" t="str">
        <f t="shared" si="3"/>
        <v/>
      </c>
      <c r="J1009" s="80"/>
      <c r="K1009" s="26"/>
      <c r="L1009" s="30"/>
    </row>
    <row r="1010" ht="22.5" customHeight="1">
      <c r="A1010" s="25"/>
      <c r="B1010" s="23"/>
      <c r="C1010" s="26"/>
      <c r="D1010" s="24"/>
      <c r="E1010" s="24"/>
      <c r="F1010" s="26"/>
      <c r="G1010" s="30"/>
      <c r="H1010" s="30">
        <f t="shared" si="7"/>
        <v>0</v>
      </c>
      <c r="I1010" s="24" t="str">
        <f t="shared" si="3"/>
        <v/>
      </c>
      <c r="J1010" s="80"/>
      <c r="K1010" s="26"/>
      <c r="L1010" s="30"/>
    </row>
    <row r="1011" ht="22.5" customHeight="1">
      <c r="A1011" s="25"/>
      <c r="B1011" s="23"/>
      <c r="C1011" s="26"/>
      <c r="D1011" s="24"/>
      <c r="E1011" s="24"/>
      <c r="F1011" s="26"/>
      <c r="G1011" s="30"/>
      <c r="H1011" s="30">
        <f t="shared" si="7"/>
        <v>0</v>
      </c>
      <c r="I1011" s="24" t="str">
        <f t="shared" si="3"/>
        <v/>
      </c>
      <c r="J1011" s="80"/>
      <c r="K1011" s="26"/>
      <c r="L1011" s="30"/>
    </row>
    <row r="1012" ht="22.5" customHeight="1">
      <c r="A1012" s="25"/>
      <c r="B1012" s="23"/>
      <c r="C1012" s="26"/>
      <c r="D1012" s="24"/>
      <c r="E1012" s="24"/>
      <c r="F1012" s="26"/>
      <c r="G1012" s="30"/>
      <c r="H1012" s="30">
        <f t="shared" si="7"/>
        <v>0</v>
      </c>
      <c r="I1012" s="24" t="str">
        <f t="shared" si="3"/>
        <v/>
      </c>
      <c r="J1012" s="80"/>
      <c r="K1012" s="26"/>
      <c r="L1012" s="30"/>
    </row>
    <row r="1013" ht="22.5" customHeight="1">
      <c r="A1013" s="25"/>
      <c r="B1013" s="23"/>
      <c r="C1013" s="26"/>
      <c r="D1013" s="24"/>
      <c r="E1013" s="24"/>
      <c r="F1013" s="26"/>
      <c r="G1013" s="30"/>
      <c r="H1013" s="30">
        <f t="shared" si="7"/>
        <v>0</v>
      </c>
      <c r="I1013" s="24" t="str">
        <f t="shared" si="3"/>
        <v/>
      </c>
      <c r="J1013" s="80"/>
      <c r="K1013" s="26"/>
      <c r="L1013" s="30"/>
    </row>
    <row r="1014" ht="22.5" customHeight="1">
      <c r="A1014" s="25"/>
      <c r="B1014" s="23"/>
      <c r="C1014" s="26"/>
      <c r="D1014" s="24"/>
      <c r="E1014" s="24"/>
      <c r="F1014" s="26"/>
      <c r="G1014" s="30"/>
      <c r="H1014" s="30">
        <f t="shared" si="7"/>
        <v>0</v>
      </c>
      <c r="I1014" s="24" t="str">
        <f t="shared" si="3"/>
        <v/>
      </c>
      <c r="J1014" s="80"/>
      <c r="K1014" s="26"/>
      <c r="L1014" s="30"/>
    </row>
    <row r="1015" ht="22.5" customHeight="1">
      <c r="A1015" s="25"/>
      <c r="B1015" s="23"/>
      <c r="C1015" s="26"/>
      <c r="D1015" s="24"/>
      <c r="E1015" s="24"/>
      <c r="F1015" s="26"/>
      <c r="G1015" s="30"/>
      <c r="H1015" s="30">
        <f t="shared" si="7"/>
        <v>0</v>
      </c>
      <c r="I1015" s="24" t="str">
        <f t="shared" si="3"/>
        <v/>
      </c>
      <c r="J1015" s="80"/>
      <c r="K1015" s="26"/>
      <c r="L1015" s="30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custom" allowBlank="1" showDropDown="1" sqref="C2:L10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7.63"/>
    <col customWidth="1" min="3" max="5" width="15.13"/>
    <col customWidth="1" min="6" max="6" width="20.13"/>
    <col customWidth="1" min="7" max="7" width="19.63"/>
    <col customWidth="1" min="8" max="8" width="15.13"/>
    <col customWidth="1" min="11" max="11" width="15.63"/>
    <col customWidth="1" min="12" max="12" width="13.13"/>
  </cols>
  <sheetData>
    <row r="1" ht="22.5" customHeight="1">
      <c r="A1" s="10" t="s">
        <v>27</v>
      </c>
      <c r="B1" s="10" t="s">
        <v>28</v>
      </c>
      <c r="C1" s="10" t="s">
        <v>29</v>
      </c>
      <c r="D1" s="10" t="s">
        <v>22</v>
      </c>
      <c r="E1" s="10" t="s">
        <v>30</v>
      </c>
      <c r="F1" s="10" t="s">
        <v>31</v>
      </c>
      <c r="G1" s="10" t="s">
        <v>8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14</v>
      </c>
      <c r="N1" s="32" t="str">
        <f>OBR_Feb_2025!B19</f>
        <v/>
      </c>
      <c r="O1" s="1" t="str">
        <f>OBR_Feb_2025!A19</f>
        <v/>
      </c>
    </row>
    <row r="2" ht="22.5" customHeight="1">
      <c r="A2" s="25" t="str">
        <f>IFERROR(__xludf.DUMMYFUNCTION("QUERY(IMPORTRANGE(""https://docs.google.com/spreadsheets/d/1sOBA95jI3gUTkNtq3pD8Ob7Zb_EY63WYXvHKt7aiQk8/edit?gid=2092145476#gid=2092145476"",""Daily Record - Raw Material Purchases!B4:T500""),""SELECT Col13 WHERE Col6 = 12018"",0)"),"#REF!")</f>
        <v>#REF!</v>
      </c>
      <c r="B2" s="23" t="str">
        <f>IFERROR(__xludf.DUMMYFUNCTION("QUERY(IMPORTRANGE(""https://docs.google.com/spreadsheets/d/1sOBA95jI3gUTkNtq3pD8Ob7Zb_EY63WYXvHKt7aiQk8/edit?gid=2092145476#gid=2092145476"",""Daily Record - Raw Material Purchases!B4:T500""),""SELECT Col4 WHERE Col6 = 12018"",0)"),"#REF!")</f>
        <v>#REF!</v>
      </c>
      <c r="C2" s="78">
        <f>OBR_Feb_2025!D19</f>
        <v>0</v>
      </c>
      <c r="D2" s="30" t="str">
        <f>IFERROR(__xludf.DUMMYFUNCTION("QUERY(IMPORTRANGE(""https://docs.google.com/spreadsheets/d/1sOBA95jI3gUTkNtq3pD8Ob7Zb_EY63WYXvHKt7aiQk8/edit?gid=2092145476#gid=2092145476"",""Daily Record - Raw Material Purchases!B4:T500""),""SELECT Col8 WHERE Col6 = 12018"",0)"),"#REF!")</f>
        <v>#REF!</v>
      </c>
      <c r="E2" s="30" t="str">
        <f>IFERROR(__xludf.DUMMYFUNCTION("QUERY(IMPORTRANGE(""https://docs.google.com/spreadsheets/d/1sOBA95jI3gUTkNtq3pD8Ob7Zb_EY63WYXvHKt7aiQk8/edit?gid=2092145476#gid=2092145476"",""Daily Record - Raw Material Purchases!B4:T500""),""SELECT Col12 WHERE Col6 = 12018"",0)"),"#REF!")</f>
        <v>#REF!</v>
      </c>
      <c r="F2" s="26" t="str">
        <f t="shared" ref="F2:F18" si="1">D2*E2</f>
        <v>#REF!</v>
      </c>
      <c r="G2" s="30" t="str">
        <f t="shared" ref="G2:G18" si="2">C2+D2</f>
        <v>#REF!</v>
      </c>
      <c r="H2" s="82" t="str">
        <f>IF(G2=0,0,((C2*OBR_Feb_2025!E19)+(D2*E2))/G2)</f>
        <v>#REF!</v>
      </c>
      <c r="I2" s="26" t="str">
        <f t="shared" ref="I2:I1015" si="3">IF(ISBLANK(J2),"",G2-J2)</f>
        <v/>
      </c>
      <c r="J2" s="85"/>
      <c r="K2" s="26" t="str">
        <f t="shared" ref="K2:K9" si="4">J2*H2</f>
        <v>#REF!</v>
      </c>
      <c r="L2" s="30" t="str">
        <f t="shared" ref="L2:L9" si="5">IF(ISBLANK(J2),"",I2*H2)</f>
        <v/>
      </c>
    </row>
    <row r="3" ht="22.5" customHeight="1">
      <c r="A3" s="25"/>
      <c r="B3" s="23"/>
      <c r="C3" s="30" t="str">
        <f t="shared" ref="C3:C18" si="6">G2-I2</f>
        <v>#REF!</v>
      </c>
      <c r="D3" s="30"/>
      <c r="E3" s="30"/>
      <c r="F3" s="26">
        <f t="shared" si="1"/>
        <v>0</v>
      </c>
      <c r="G3" s="30" t="str">
        <f t="shared" si="2"/>
        <v>#REF!</v>
      </c>
      <c r="H3" s="82" t="str">
        <f t="shared" ref="H3:H1015" si="7">IF(G3=0,0,((C3*H2)+(D3*E3))/G3)</f>
        <v>#REF!</v>
      </c>
      <c r="I3" s="26" t="str">
        <f t="shared" si="3"/>
        <v>#REF!</v>
      </c>
      <c r="J3" s="85">
        <f>OBR_Mar_2025!D21</f>
        <v>3.5</v>
      </c>
      <c r="K3" s="26" t="str">
        <f t="shared" si="4"/>
        <v>#REF!</v>
      </c>
      <c r="L3" s="30" t="str">
        <f t="shared" si="5"/>
        <v>#REF!</v>
      </c>
    </row>
    <row r="4" ht="22.5" customHeight="1">
      <c r="A4" s="25"/>
      <c r="B4" s="23"/>
      <c r="C4" s="30" t="str">
        <f t="shared" si="6"/>
        <v>#REF!</v>
      </c>
      <c r="D4" s="30"/>
      <c r="E4" s="30"/>
      <c r="F4" s="26">
        <f t="shared" si="1"/>
        <v>0</v>
      </c>
      <c r="G4" s="30" t="str">
        <f t="shared" si="2"/>
        <v>#REF!</v>
      </c>
      <c r="H4" s="82" t="str">
        <f t="shared" si="7"/>
        <v>#REF!</v>
      </c>
      <c r="I4" s="26" t="str">
        <f t="shared" si="3"/>
        <v>#REF!</v>
      </c>
      <c r="J4" s="85">
        <f>10.69/30</f>
        <v>0.3563333333</v>
      </c>
      <c r="K4" s="26" t="str">
        <f t="shared" si="4"/>
        <v>#REF!</v>
      </c>
      <c r="L4" s="30" t="str">
        <f t="shared" si="5"/>
        <v>#REF!</v>
      </c>
    </row>
    <row r="5" ht="22.5" customHeight="1">
      <c r="A5" s="25"/>
      <c r="B5" s="23"/>
      <c r="C5" s="30" t="str">
        <f t="shared" si="6"/>
        <v>#REF!</v>
      </c>
      <c r="D5" s="30"/>
      <c r="E5" s="30"/>
      <c r="F5" s="26">
        <f t="shared" si="1"/>
        <v>0</v>
      </c>
      <c r="G5" s="30" t="str">
        <f t="shared" si="2"/>
        <v>#REF!</v>
      </c>
      <c r="H5" s="82" t="str">
        <f t="shared" si="7"/>
        <v>#REF!</v>
      </c>
      <c r="I5" s="26" t="str">
        <f t="shared" si="3"/>
        <v/>
      </c>
      <c r="J5" s="85"/>
      <c r="K5" s="26" t="str">
        <f t="shared" si="4"/>
        <v>#REF!</v>
      </c>
      <c r="L5" s="30" t="str">
        <f t="shared" si="5"/>
        <v/>
      </c>
    </row>
    <row r="6" ht="22.5" customHeight="1">
      <c r="A6" s="25"/>
      <c r="B6" s="23"/>
      <c r="C6" s="30" t="str">
        <f t="shared" si="6"/>
        <v>#REF!</v>
      </c>
      <c r="D6" s="30"/>
      <c r="E6" s="30"/>
      <c r="F6" s="26">
        <f t="shared" si="1"/>
        <v>0</v>
      </c>
      <c r="G6" s="30" t="str">
        <f t="shared" si="2"/>
        <v>#REF!</v>
      </c>
      <c r="H6" s="82" t="str">
        <f t="shared" si="7"/>
        <v>#REF!</v>
      </c>
      <c r="I6" s="26" t="str">
        <f t="shared" si="3"/>
        <v>#REF!</v>
      </c>
      <c r="J6" s="85">
        <v>2.0</v>
      </c>
      <c r="K6" s="26" t="str">
        <f t="shared" si="4"/>
        <v>#REF!</v>
      </c>
      <c r="L6" s="30" t="str">
        <f t="shared" si="5"/>
        <v>#REF!</v>
      </c>
    </row>
    <row r="7" ht="22.5" customHeight="1">
      <c r="A7" s="25"/>
      <c r="B7" s="23"/>
      <c r="C7" s="30" t="str">
        <f t="shared" si="6"/>
        <v>#REF!</v>
      </c>
      <c r="D7" s="30"/>
      <c r="E7" s="30"/>
      <c r="F7" s="26">
        <f t="shared" si="1"/>
        <v>0</v>
      </c>
      <c r="G7" s="30" t="str">
        <f t="shared" si="2"/>
        <v>#REF!</v>
      </c>
      <c r="H7" s="82" t="str">
        <f t="shared" si="7"/>
        <v>#REF!</v>
      </c>
      <c r="I7" s="26" t="str">
        <f t="shared" si="3"/>
        <v/>
      </c>
      <c r="J7" s="85"/>
      <c r="K7" s="26" t="str">
        <f t="shared" si="4"/>
        <v>#REF!</v>
      </c>
      <c r="L7" s="30" t="str">
        <f t="shared" si="5"/>
        <v/>
      </c>
    </row>
    <row r="8" ht="22.5" customHeight="1">
      <c r="A8" s="25"/>
      <c r="B8" s="23"/>
      <c r="C8" s="30" t="str">
        <f t="shared" si="6"/>
        <v>#REF!</v>
      </c>
      <c r="D8" s="30"/>
      <c r="E8" s="30"/>
      <c r="F8" s="26">
        <f t="shared" si="1"/>
        <v>0</v>
      </c>
      <c r="G8" s="30" t="str">
        <f t="shared" si="2"/>
        <v>#REF!</v>
      </c>
      <c r="H8" s="82" t="str">
        <f t="shared" si="7"/>
        <v>#REF!</v>
      </c>
      <c r="I8" s="26" t="str">
        <f t="shared" si="3"/>
        <v/>
      </c>
      <c r="J8" s="85"/>
      <c r="K8" s="26" t="str">
        <f t="shared" si="4"/>
        <v>#REF!</v>
      </c>
      <c r="L8" s="30" t="str">
        <f t="shared" si="5"/>
        <v/>
      </c>
    </row>
    <row r="9" ht="22.5" customHeight="1">
      <c r="A9" s="25"/>
      <c r="B9" s="23"/>
      <c r="C9" s="30" t="str">
        <f t="shared" si="6"/>
        <v>#REF!</v>
      </c>
      <c r="D9" s="30"/>
      <c r="E9" s="30"/>
      <c r="F9" s="26">
        <f t="shared" si="1"/>
        <v>0</v>
      </c>
      <c r="G9" s="30" t="str">
        <f t="shared" si="2"/>
        <v>#REF!</v>
      </c>
      <c r="H9" s="82" t="str">
        <f t="shared" si="7"/>
        <v>#REF!</v>
      </c>
      <c r="I9" s="26" t="str">
        <f t="shared" si="3"/>
        <v>#REF!</v>
      </c>
      <c r="J9" s="85">
        <v>1.0</v>
      </c>
      <c r="K9" s="26" t="str">
        <f t="shared" si="4"/>
        <v>#REF!</v>
      </c>
      <c r="L9" s="30" t="str">
        <f t="shared" si="5"/>
        <v>#REF!</v>
      </c>
    </row>
    <row r="10" ht="22.5" customHeight="1">
      <c r="A10" s="25"/>
      <c r="B10" s="23"/>
      <c r="C10" s="30" t="str">
        <f t="shared" si="6"/>
        <v>#REF!</v>
      </c>
      <c r="D10" s="30"/>
      <c r="E10" s="30"/>
      <c r="F10" s="26">
        <f t="shared" si="1"/>
        <v>0</v>
      </c>
      <c r="G10" s="30" t="str">
        <f t="shared" si="2"/>
        <v>#REF!</v>
      </c>
      <c r="H10" s="82" t="str">
        <f t="shared" si="7"/>
        <v>#REF!</v>
      </c>
      <c r="I10" s="26" t="str">
        <f t="shared" si="3"/>
        <v/>
      </c>
      <c r="J10" s="85"/>
      <c r="K10" s="26"/>
      <c r="L10" s="30"/>
    </row>
    <row r="11" ht="22.5" customHeight="1">
      <c r="A11" s="25"/>
      <c r="B11" s="23"/>
      <c r="C11" s="30" t="str">
        <f t="shared" si="6"/>
        <v>#REF!</v>
      </c>
      <c r="D11" s="30"/>
      <c r="E11" s="30"/>
      <c r="F11" s="26">
        <f t="shared" si="1"/>
        <v>0</v>
      </c>
      <c r="G11" s="30" t="str">
        <f t="shared" si="2"/>
        <v>#REF!</v>
      </c>
      <c r="H11" s="82" t="str">
        <f t="shared" si="7"/>
        <v>#REF!</v>
      </c>
      <c r="I11" s="26" t="str">
        <f t="shared" si="3"/>
        <v/>
      </c>
      <c r="J11" s="85"/>
      <c r="K11" s="26"/>
      <c r="L11" s="30"/>
    </row>
    <row r="12" ht="22.5" customHeight="1">
      <c r="A12" s="25"/>
      <c r="B12" s="23"/>
      <c r="C12" s="30" t="str">
        <f t="shared" si="6"/>
        <v>#REF!</v>
      </c>
      <c r="D12" s="30"/>
      <c r="E12" s="30"/>
      <c r="F12" s="26">
        <f t="shared" si="1"/>
        <v>0</v>
      </c>
      <c r="G12" s="30" t="str">
        <f t="shared" si="2"/>
        <v>#REF!</v>
      </c>
      <c r="H12" s="82" t="str">
        <f t="shared" si="7"/>
        <v>#REF!</v>
      </c>
      <c r="I12" s="26" t="str">
        <f t="shared" si="3"/>
        <v>#REF!</v>
      </c>
      <c r="J12" s="85">
        <v>1.5</v>
      </c>
      <c r="K12" s="26" t="str">
        <f t="shared" ref="K12:K18" si="8">J12*H12</f>
        <v>#REF!</v>
      </c>
      <c r="L12" s="30" t="str">
        <f t="shared" ref="L12:L18" si="9">IF(ISBLANK(J12),"",I12*H12)</f>
        <v>#REF!</v>
      </c>
    </row>
    <row r="13" ht="22.5" customHeight="1">
      <c r="A13" s="25"/>
      <c r="B13" s="23"/>
      <c r="C13" s="30" t="str">
        <f t="shared" si="6"/>
        <v>#REF!</v>
      </c>
      <c r="D13" s="30"/>
      <c r="E13" s="30"/>
      <c r="F13" s="26">
        <f t="shared" si="1"/>
        <v>0</v>
      </c>
      <c r="G13" s="30" t="str">
        <f t="shared" si="2"/>
        <v>#REF!</v>
      </c>
      <c r="H13" s="82" t="str">
        <f t="shared" si="7"/>
        <v>#REF!</v>
      </c>
      <c r="I13" s="26" t="str">
        <f t="shared" si="3"/>
        <v>#REF!</v>
      </c>
      <c r="J13" s="85">
        <v>0.0</v>
      </c>
      <c r="K13" s="26" t="str">
        <f t="shared" si="8"/>
        <v>#REF!</v>
      </c>
      <c r="L13" s="30" t="str">
        <f t="shared" si="9"/>
        <v>#REF!</v>
      </c>
    </row>
    <row r="14" ht="22.5" customHeight="1">
      <c r="A14" s="25"/>
      <c r="B14" s="23"/>
      <c r="C14" s="30" t="str">
        <f t="shared" si="6"/>
        <v>#REF!</v>
      </c>
      <c r="D14" s="30"/>
      <c r="E14" s="30"/>
      <c r="F14" s="26">
        <f t="shared" si="1"/>
        <v>0</v>
      </c>
      <c r="G14" s="30" t="str">
        <f t="shared" si="2"/>
        <v>#REF!</v>
      </c>
      <c r="H14" s="82" t="str">
        <f t="shared" si="7"/>
        <v>#REF!</v>
      </c>
      <c r="I14" s="26" t="str">
        <f t="shared" si="3"/>
        <v/>
      </c>
      <c r="J14" s="85"/>
      <c r="K14" s="26" t="str">
        <f t="shared" si="8"/>
        <v>#REF!</v>
      </c>
      <c r="L14" s="30" t="str">
        <f t="shared" si="9"/>
        <v/>
      </c>
    </row>
    <row r="15" ht="22.5" customHeight="1">
      <c r="A15" s="25"/>
      <c r="B15" s="23"/>
      <c r="C15" s="30" t="str">
        <f t="shared" si="6"/>
        <v>#REF!</v>
      </c>
      <c r="D15" s="30"/>
      <c r="E15" s="30"/>
      <c r="F15" s="26">
        <f t="shared" si="1"/>
        <v>0</v>
      </c>
      <c r="G15" s="30" t="str">
        <f t="shared" si="2"/>
        <v>#REF!</v>
      </c>
      <c r="H15" s="82" t="str">
        <f t="shared" si="7"/>
        <v>#REF!</v>
      </c>
      <c r="I15" s="26" t="str">
        <f t="shared" si="3"/>
        <v>#REF!</v>
      </c>
      <c r="J15" s="85">
        <v>0.0</v>
      </c>
      <c r="K15" s="26" t="str">
        <f t="shared" si="8"/>
        <v>#REF!</v>
      </c>
      <c r="L15" s="30" t="str">
        <f t="shared" si="9"/>
        <v>#REF!</v>
      </c>
    </row>
    <row r="16" ht="22.5" customHeight="1">
      <c r="A16" s="25"/>
      <c r="B16" s="23"/>
      <c r="C16" s="30" t="str">
        <f t="shared" si="6"/>
        <v>#REF!</v>
      </c>
      <c r="D16" s="30"/>
      <c r="E16" s="30"/>
      <c r="F16" s="26">
        <f t="shared" si="1"/>
        <v>0</v>
      </c>
      <c r="G16" s="30" t="str">
        <f t="shared" si="2"/>
        <v>#REF!</v>
      </c>
      <c r="H16" s="30" t="str">
        <f t="shared" si="7"/>
        <v>#REF!</v>
      </c>
      <c r="I16" s="26" t="str">
        <f t="shared" si="3"/>
        <v>#REF!</v>
      </c>
      <c r="J16" s="85">
        <v>1.006</v>
      </c>
      <c r="K16" s="26" t="str">
        <f t="shared" si="8"/>
        <v>#REF!</v>
      </c>
      <c r="L16" s="30" t="str">
        <f t="shared" si="9"/>
        <v>#REF!</v>
      </c>
    </row>
    <row r="17" ht="22.5" customHeight="1">
      <c r="A17" s="25"/>
      <c r="B17" s="23"/>
      <c r="C17" s="30" t="str">
        <f t="shared" si="6"/>
        <v>#REF!</v>
      </c>
      <c r="D17" s="30"/>
      <c r="E17" s="30"/>
      <c r="F17" s="26">
        <f t="shared" si="1"/>
        <v>0</v>
      </c>
      <c r="G17" s="30" t="str">
        <f t="shared" si="2"/>
        <v>#REF!</v>
      </c>
      <c r="H17" s="30" t="str">
        <f t="shared" si="7"/>
        <v>#REF!</v>
      </c>
      <c r="I17" s="26" t="str">
        <f t="shared" si="3"/>
        <v/>
      </c>
      <c r="J17" s="85"/>
      <c r="K17" s="26" t="str">
        <f t="shared" si="8"/>
        <v>#REF!</v>
      </c>
      <c r="L17" s="30" t="str">
        <f t="shared" si="9"/>
        <v/>
      </c>
    </row>
    <row r="18" ht="22.5" customHeight="1">
      <c r="A18" s="25"/>
      <c r="B18" s="23"/>
      <c r="C18" s="30" t="str">
        <f t="shared" si="6"/>
        <v>#REF!</v>
      </c>
      <c r="D18" s="30"/>
      <c r="E18" s="30"/>
      <c r="F18" s="26">
        <f t="shared" si="1"/>
        <v>0</v>
      </c>
      <c r="G18" s="30" t="str">
        <f t="shared" si="2"/>
        <v>#REF!</v>
      </c>
      <c r="H18" s="30" t="str">
        <f t="shared" si="7"/>
        <v>#REF!</v>
      </c>
      <c r="I18" s="26" t="str">
        <f t="shared" si="3"/>
        <v>#REF!</v>
      </c>
      <c r="J18" s="85">
        <v>1.06</v>
      </c>
      <c r="K18" s="26" t="str">
        <f t="shared" si="8"/>
        <v>#REF!</v>
      </c>
      <c r="L18" s="30" t="str">
        <f t="shared" si="9"/>
        <v>#REF!</v>
      </c>
    </row>
    <row r="19" ht="22.5" customHeight="1">
      <c r="A19" s="25"/>
      <c r="B19" s="23"/>
      <c r="C19" s="24"/>
      <c r="D19" s="24"/>
      <c r="E19" s="24"/>
      <c r="F19" s="26"/>
      <c r="G19" s="30"/>
      <c r="H19" s="30">
        <f t="shared" si="7"/>
        <v>0</v>
      </c>
      <c r="I19" s="26" t="str">
        <f t="shared" si="3"/>
        <v/>
      </c>
      <c r="J19" s="85"/>
      <c r="K19" s="26"/>
      <c r="L19" s="30"/>
    </row>
    <row r="20" ht="22.5" customHeight="1">
      <c r="A20" s="25"/>
      <c r="B20" s="23"/>
      <c r="C20" s="24"/>
      <c r="D20" s="24"/>
      <c r="E20" s="24"/>
      <c r="F20" s="26"/>
      <c r="G20" s="30"/>
      <c r="H20" s="30">
        <f t="shared" si="7"/>
        <v>0</v>
      </c>
      <c r="I20" s="26" t="str">
        <f t="shared" si="3"/>
        <v/>
      </c>
      <c r="J20" s="85"/>
      <c r="K20" s="26"/>
      <c r="L20" s="30"/>
    </row>
    <row r="21" ht="22.5" customHeight="1">
      <c r="A21" s="25"/>
      <c r="B21" s="23"/>
      <c r="C21" s="24"/>
      <c r="D21" s="24"/>
      <c r="E21" s="24"/>
      <c r="F21" s="26"/>
      <c r="G21" s="30"/>
      <c r="H21" s="30">
        <f t="shared" si="7"/>
        <v>0</v>
      </c>
      <c r="I21" s="26" t="str">
        <f t="shared" si="3"/>
        <v/>
      </c>
      <c r="J21" s="85"/>
      <c r="K21" s="26"/>
      <c r="L21" s="30"/>
    </row>
    <row r="22" ht="22.5" customHeight="1">
      <c r="A22" s="25"/>
      <c r="B22" s="23"/>
      <c r="C22" s="24"/>
      <c r="D22" s="24"/>
      <c r="E22" s="24"/>
      <c r="F22" s="26"/>
      <c r="G22" s="30"/>
      <c r="H22" s="30">
        <f t="shared" si="7"/>
        <v>0</v>
      </c>
      <c r="I22" s="26" t="str">
        <f t="shared" si="3"/>
        <v/>
      </c>
      <c r="J22" s="85"/>
      <c r="K22" s="26"/>
      <c r="L22" s="30"/>
    </row>
    <row r="23" ht="22.5" customHeight="1">
      <c r="A23" s="25"/>
      <c r="B23" s="23"/>
      <c r="C23" s="24"/>
      <c r="D23" s="24"/>
      <c r="E23" s="24"/>
      <c r="F23" s="26"/>
      <c r="G23" s="30"/>
      <c r="H23" s="30">
        <f t="shared" si="7"/>
        <v>0</v>
      </c>
      <c r="I23" s="26" t="str">
        <f t="shared" si="3"/>
        <v/>
      </c>
      <c r="J23" s="85"/>
      <c r="K23" s="26"/>
      <c r="L23" s="30"/>
    </row>
    <row r="24" ht="22.5" customHeight="1">
      <c r="A24" s="25"/>
      <c r="B24" s="23"/>
      <c r="C24" s="24"/>
      <c r="D24" s="24"/>
      <c r="E24" s="24"/>
      <c r="F24" s="26"/>
      <c r="G24" s="30"/>
      <c r="H24" s="30">
        <f t="shared" si="7"/>
        <v>0</v>
      </c>
      <c r="I24" s="26" t="str">
        <f t="shared" si="3"/>
        <v/>
      </c>
      <c r="J24" s="85"/>
      <c r="K24" s="26"/>
      <c r="L24" s="30"/>
    </row>
    <row r="25" ht="22.5" customHeight="1">
      <c r="A25" s="25"/>
      <c r="B25" s="23"/>
      <c r="C25" s="24"/>
      <c r="D25" s="24"/>
      <c r="E25" s="24"/>
      <c r="F25" s="26"/>
      <c r="G25" s="30"/>
      <c r="H25" s="30">
        <f t="shared" si="7"/>
        <v>0</v>
      </c>
      <c r="I25" s="26" t="str">
        <f t="shared" si="3"/>
        <v/>
      </c>
      <c r="J25" s="85"/>
      <c r="K25" s="26"/>
      <c r="L25" s="30"/>
    </row>
    <row r="26" ht="22.5" customHeight="1">
      <c r="A26" s="25"/>
      <c r="B26" s="23"/>
      <c r="C26" s="24"/>
      <c r="D26" s="24"/>
      <c r="E26" s="24"/>
      <c r="F26" s="26"/>
      <c r="G26" s="30"/>
      <c r="H26" s="30">
        <f t="shared" si="7"/>
        <v>0</v>
      </c>
      <c r="I26" s="26" t="str">
        <f t="shared" si="3"/>
        <v/>
      </c>
      <c r="J26" s="85"/>
      <c r="K26" s="26"/>
      <c r="L26" s="30"/>
    </row>
    <row r="27" ht="22.5" customHeight="1">
      <c r="A27" s="25"/>
      <c r="B27" s="23"/>
      <c r="C27" s="24"/>
      <c r="D27" s="24"/>
      <c r="E27" s="24"/>
      <c r="F27" s="26"/>
      <c r="G27" s="30"/>
      <c r="H27" s="30">
        <f t="shared" si="7"/>
        <v>0</v>
      </c>
      <c r="I27" s="26" t="str">
        <f t="shared" si="3"/>
        <v/>
      </c>
      <c r="J27" s="85"/>
      <c r="K27" s="26"/>
      <c r="L27" s="30"/>
    </row>
    <row r="28" ht="22.5" customHeight="1">
      <c r="A28" s="25"/>
      <c r="B28" s="23"/>
      <c r="C28" s="24"/>
      <c r="D28" s="24"/>
      <c r="E28" s="24"/>
      <c r="F28" s="26"/>
      <c r="G28" s="30"/>
      <c r="H28" s="30">
        <f t="shared" si="7"/>
        <v>0</v>
      </c>
      <c r="I28" s="26" t="str">
        <f t="shared" si="3"/>
        <v/>
      </c>
      <c r="J28" s="85"/>
      <c r="K28" s="26"/>
      <c r="L28" s="30"/>
    </row>
    <row r="29" ht="22.5" customHeight="1">
      <c r="A29" s="25"/>
      <c r="B29" s="23"/>
      <c r="C29" s="24"/>
      <c r="D29" s="24"/>
      <c r="E29" s="24"/>
      <c r="F29" s="26"/>
      <c r="G29" s="30"/>
      <c r="H29" s="30">
        <f t="shared" si="7"/>
        <v>0</v>
      </c>
      <c r="I29" s="26" t="str">
        <f t="shared" si="3"/>
        <v/>
      </c>
      <c r="J29" s="85"/>
      <c r="K29" s="26"/>
      <c r="L29" s="30"/>
    </row>
    <row r="30" ht="22.5" customHeight="1">
      <c r="A30" s="25"/>
      <c r="B30" s="23"/>
      <c r="C30" s="24"/>
      <c r="D30" s="24"/>
      <c r="E30" s="24"/>
      <c r="F30" s="26"/>
      <c r="G30" s="30"/>
      <c r="H30" s="30">
        <f t="shared" si="7"/>
        <v>0</v>
      </c>
      <c r="I30" s="26" t="str">
        <f t="shared" si="3"/>
        <v/>
      </c>
      <c r="J30" s="85"/>
      <c r="K30" s="26"/>
      <c r="L30" s="30"/>
    </row>
    <row r="31" ht="22.5" customHeight="1">
      <c r="A31" s="25"/>
      <c r="B31" s="23"/>
      <c r="C31" s="24"/>
      <c r="D31" s="24"/>
      <c r="E31" s="24"/>
      <c r="F31" s="26"/>
      <c r="G31" s="30"/>
      <c r="H31" s="30">
        <f t="shared" si="7"/>
        <v>0</v>
      </c>
      <c r="I31" s="26" t="str">
        <f t="shared" si="3"/>
        <v/>
      </c>
      <c r="J31" s="85"/>
      <c r="K31" s="26"/>
      <c r="L31" s="30"/>
    </row>
    <row r="32" ht="22.5" customHeight="1">
      <c r="A32" s="25"/>
      <c r="B32" s="23"/>
      <c r="C32" s="24"/>
      <c r="D32" s="24"/>
      <c r="E32" s="24"/>
      <c r="F32" s="26"/>
      <c r="G32" s="30"/>
      <c r="H32" s="30">
        <f t="shared" si="7"/>
        <v>0</v>
      </c>
      <c r="I32" s="26" t="str">
        <f t="shared" si="3"/>
        <v/>
      </c>
      <c r="J32" s="85"/>
      <c r="K32" s="26"/>
      <c r="L32" s="30"/>
    </row>
    <row r="33" ht="22.5" customHeight="1">
      <c r="A33" s="25"/>
      <c r="B33" s="23"/>
      <c r="C33" s="24"/>
      <c r="D33" s="24"/>
      <c r="E33" s="24"/>
      <c r="F33" s="26"/>
      <c r="G33" s="30"/>
      <c r="H33" s="30">
        <f t="shared" si="7"/>
        <v>0</v>
      </c>
      <c r="I33" s="26" t="str">
        <f t="shared" si="3"/>
        <v/>
      </c>
      <c r="J33" s="85"/>
      <c r="K33" s="26"/>
      <c r="L33" s="30"/>
    </row>
    <row r="34" ht="22.5" customHeight="1">
      <c r="A34" s="25"/>
      <c r="B34" s="23"/>
      <c r="C34" s="24"/>
      <c r="D34" s="24"/>
      <c r="E34" s="24"/>
      <c r="F34" s="26"/>
      <c r="G34" s="30"/>
      <c r="H34" s="30">
        <f t="shared" si="7"/>
        <v>0</v>
      </c>
      <c r="I34" s="26" t="str">
        <f t="shared" si="3"/>
        <v/>
      </c>
      <c r="J34" s="85"/>
      <c r="K34" s="26"/>
      <c r="L34" s="30"/>
    </row>
    <row r="35" ht="22.5" customHeight="1">
      <c r="A35" s="25"/>
      <c r="B35" s="23"/>
      <c r="C35" s="24"/>
      <c r="D35" s="24"/>
      <c r="E35" s="24"/>
      <c r="F35" s="26"/>
      <c r="G35" s="30"/>
      <c r="H35" s="30">
        <f t="shared" si="7"/>
        <v>0</v>
      </c>
      <c r="I35" s="26" t="str">
        <f t="shared" si="3"/>
        <v/>
      </c>
      <c r="J35" s="85"/>
      <c r="K35" s="26"/>
      <c r="L35" s="30"/>
    </row>
    <row r="36" ht="22.5" customHeight="1">
      <c r="A36" s="25"/>
      <c r="B36" s="23"/>
      <c r="C36" s="24"/>
      <c r="D36" s="24"/>
      <c r="E36" s="24"/>
      <c r="F36" s="26"/>
      <c r="G36" s="30"/>
      <c r="H36" s="30">
        <f t="shared" si="7"/>
        <v>0</v>
      </c>
      <c r="I36" s="26" t="str">
        <f t="shared" si="3"/>
        <v/>
      </c>
      <c r="J36" s="85"/>
      <c r="K36" s="26"/>
      <c r="L36" s="30"/>
    </row>
    <row r="37" ht="22.5" customHeight="1">
      <c r="A37" s="25"/>
      <c r="B37" s="23"/>
      <c r="C37" s="24"/>
      <c r="D37" s="24"/>
      <c r="E37" s="24"/>
      <c r="F37" s="26"/>
      <c r="G37" s="30"/>
      <c r="H37" s="30">
        <f t="shared" si="7"/>
        <v>0</v>
      </c>
      <c r="I37" s="26" t="str">
        <f t="shared" si="3"/>
        <v/>
      </c>
      <c r="J37" s="85"/>
      <c r="K37" s="26"/>
      <c r="L37" s="30"/>
    </row>
    <row r="38" ht="22.5" customHeight="1">
      <c r="A38" s="25"/>
      <c r="B38" s="23"/>
      <c r="C38" s="24"/>
      <c r="D38" s="24"/>
      <c r="E38" s="24"/>
      <c r="F38" s="26"/>
      <c r="G38" s="30"/>
      <c r="H38" s="30">
        <f t="shared" si="7"/>
        <v>0</v>
      </c>
      <c r="I38" s="26" t="str">
        <f t="shared" si="3"/>
        <v/>
      </c>
      <c r="J38" s="85"/>
      <c r="K38" s="26"/>
      <c r="L38" s="30"/>
    </row>
    <row r="39" ht="22.5" customHeight="1">
      <c r="A39" s="25"/>
      <c r="B39" s="23"/>
      <c r="C39" s="24"/>
      <c r="D39" s="24"/>
      <c r="E39" s="24"/>
      <c r="F39" s="26"/>
      <c r="G39" s="30"/>
      <c r="H39" s="30">
        <f t="shared" si="7"/>
        <v>0</v>
      </c>
      <c r="I39" s="26" t="str">
        <f t="shared" si="3"/>
        <v/>
      </c>
      <c r="J39" s="85"/>
      <c r="K39" s="26"/>
      <c r="L39" s="30"/>
    </row>
    <row r="40" ht="22.5" customHeight="1">
      <c r="A40" s="25"/>
      <c r="B40" s="23"/>
      <c r="C40" s="24"/>
      <c r="D40" s="24"/>
      <c r="E40" s="24"/>
      <c r="F40" s="26"/>
      <c r="G40" s="30"/>
      <c r="H40" s="30">
        <f t="shared" si="7"/>
        <v>0</v>
      </c>
      <c r="I40" s="26" t="str">
        <f t="shared" si="3"/>
        <v/>
      </c>
      <c r="J40" s="85"/>
      <c r="K40" s="26"/>
      <c r="L40" s="30"/>
    </row>
    <row r="41" ht="22.5" customHeight="1">
      <c r="A41" s="25"/>
      <c r="B41" s="23"/>
      <c r="C41" s="24"/>
      <c r="D41" s="24"/>
      <c r="E41" s="24"/>
      <c r="F41" s="26"/>
      <c r="G41" s="30"/>
      <c r="H41" s="30">
        <f t="shared" si="7"/>
        <v>0</v>
      </c>
      <c r="I41" s="26" t="str">
        <f t="shared" si="3"/>
        <v/>
      </c>
      <c r="J41" s="85"/>
      <c r="K41" s="26"/>
      <c r="L41" s="30"/>
    </row>
    <row r="42" ht="22.5" customHeight="1">
      <c r="A42" s="25"/>
      <c r="B42" s="23"/>
      <c r="C42" s="24"/>
      <c r="D42" s="24"/>
      <c r="E42" s="24"/>
      <c r="F42" s="26"/>
      <c r="G42" s="30"/>
      <c r="H42" s="30">
        <f t="shared" si="7"/>
        <v>0</v>
      </c>
      <c r="I42" s="26" t="str">
        <f t="shared" si="3"/>
        <v/>
      </c>
      <c r="J42" s="85"/>
      <c r="K42" s="26"/>
      <c r="L42" s="30"/>
    </row>
    <row r="43" ht="22.5" customHeight="1">
      <c r="A43" s="25"/>
      <c r="B43" s="23"/>
      <c r="C43" s="24"/>
      <c r="D43" s="24"/>
      <c r="E43" s="24"/>
      <c r="F43" s="26"/>
      <c r="G43" s="30"/>
      <c r="H43" s="30">
        <f t="shared" si="7"/>
        <v>0</v>
      </c>
      <c r="I43" s="26" t="str">
        <f t="shared" si="3"/>
        <v/>
      </c>
      <c r="J43" s="85"/>
      <c r="K43" s="26"/>
      <c r="L43" s="30"/>
    </row>
    <row r="44" ht="22.5" customHeight="1">
      <c r="A44" s="25"/>
      <c r="B44" s="23"/>
      <c r="C44" s="24"/>
      <c r="D44" s="24"/>
      <c r="E44" s="24"/>
      <c r="F44" s="26"/>
      <c r="G44" s="30"/>
      <c r="H44" s="30">
        <f t="shared" si="7"/>
        <v>0</v>
      </c>
      <c r="I44" s="26" t="str">
        <f t="shared" si="3"/>
        <v/>
      </c>
      <c r="J44" s="85"/>
      <c r="K44" s="26"/>
      <c r="L44" s="30"/>
    </row>
    <row r="45" ht="22.5" customHeight="1">
      <c r="A45" s="25"/>
      <c r="B45" s="23"/>
      <c r="C45" s="24"/>
      <c r="D45" s="24"/>
      <c r="E45" s="24"/>
      <c r="F45" s="26"/>
      <c r="G45" s="30"/>
      <c r="H45" s="30">
        <f t="shared" si="7"/>
        <v>0</v>
      </c>
      <c r="I45" s="26" t="str">
        <f t="shared" si="3"/>
        <v/>
      </c>
      <c r="J45" s="85"/>
      <c r="K45" s="26"/>
      <c r="L45" s="30"/>
    </row>
    <row r="46" ht="22.5" customHeight="1">
      <c r="A46" s="25"/>
      <c r="B46" s="23"/>
      <c r="C46" s="24"/>
      <c r="D46" s="24"/>
      <c r="E46" s="24"/>
      <c r="F46" s="26"/>
      <c r="G46" s="30"/>
      <c r="H46" s="30">
        <f t="shared" si="7"/>
        <v>0</v>
      </c>
      <c r="I46" s="26" t="str">
        <f t="shared" si="3"/>
        <v/>
      </c>
      <c r="J46" s="85"/>
      <c r="K46" s="26"/>
      <c r="L46" s="30"/>
    </row>
    <row r="47" ht="22.5" customHeight="1">
      <c r="A47" s="25"/>
      <c r="B47" s="23"/>
      <c r="C47" s="24"/>
      <c r="D47" s="24"/>
      <c r="E47" s="24"/>
      <c r="F47" s="26"/>
      <c r="G47" s="30"/>
      <c r="H47" s="30">
        <f t="shared" si="7"/>
        <v>0</v>
      </c>
      <c r="I47" s="26" t="str">
        <f t="shared" si="3"/>
        <v/>
      </c>
      <c r="J47" s="85"/>
      <c r="K47" s="26"/>
      <c r="L47" s="30"/>
    </row>
    <row r="48" ht="22.5" customHeight="1">
      <c r="A48" s="25"/>
      <c r="B48" s="23"/>
      <c r="C48" s="24"/>
      <c r="D48" s="24"/>
      <c r="E48" s="24"/>
      <c r="F48" s="26"/>
      <c r="G48" s="30"/>
      <c r="H48" s="30">
        <f t="shared" si="7"/>
        <v>0</v>
      </c>
      <c r="I48" s="26" t="str">
        <f t="shared" si="3"/>
        <v/>
      </c>
      <c r="J48" s="85"/>
      <c r="K48" s="26"/>
      <c r="L48" s="30"/>
    </row>
    <row r="49" ht="22.5" customHeight="1">
      <c r="A49" s="25"/>
      <c r="B49" s="23"/>
      <c r="C49" s="24"/>
      <c r="D49" s="24"/>
      <c r="E49" s="24"/>
      <c r="F49" s="26"/>
      <c r="G49" s="30"/>
      <c r="H49" s="30">
        <f t="shared" si="7"/>
        <v>0</v>
      </c>
      <c r="I49" s="26" t="str">
        <f t="shared" si="3"/>
        <v/>
      </c>
      <c r="J49" s="85"/>
      <c r="K49" s="26"/>
      <c r="L49" s="30"/>
    </row>
    <row r="50" ht="22.5" customHeight="1">
      <c r="A50" s="25"/>
      <c r="B50" s="23"/>
      <c r="C50" s="24"/>
      <c r="D50" s="24"/>
      <c r="E50" s="24"/>
      <c r="F50" s="26"/>
      <c r="G50" s="30"/>
      <c r="H50" s="30">
        <f t="shared" si="7"/>
        <v>0</v>
      </c>
      <c r="I50" s="26" t="str">
        <f t="shared" si="3"/>
        <v/>
      </c>
      <c r="J50" s="85"/>
      <c r="K50" s="26"/>
      <c r="L50" s="30"/>
    </row>
    <row r="51" ht="22.5" customHeight="1">
      <c r="A51" s="25"/>
      <c r="B51" s="23"/>
      <c r="C51" s="24"/>
      <c r="D51" s="24"/>
      <c r="E51" s="24"/>
      <c r="F51" s="26"/>
      <c r="G51" s="30"/>
      <c r="H51" s="30">
        <f t="shared" si="7"/>
        <v>0</v>
      </c>
      <c r="I51" s="26" t="str">
        <f t="shared" si="3"/>
        <v/>
      </c>
      <c r="J51" s="85"/>
      <c r="K51" s="26"/>
      <c r="L51" s="30"/>
    </row>
    <row r="52" ht="22.5" customHeight="1">
      <c r="A52" s="25"/>
      <c r="B52" s="23"/>
      <c r="C52" s="24"/>
      <c r="D52" s="24"/>
      <c r="E52" s="24"/>
      <c r="F52" s="26"/>
      <c r="G52" s="30"/>
      <c r="H52" s="30">
        <f t="shared" si="7"/>
        <v>0</v>
      </c>
      <c r="I52" s="26" t="str">
        <f t="shared" si="3"/>
        <v/>
      </c>
      <c r="J52" s="85"/>
      <c r="K52" s="26"/>
      <c r="L52" s="30"/>
    </row>
    <row r="53" ht="22.5" customHeight="1">
      <c r="A53" s="25"/>
      <c r="B53" s="23"/>
      <c r="C53" s="24"/>
      <c r="D53" s="24"/>
      <c r="E53" s="24"/>
      <c r="F53" s="26"/>
      <c r="G53" s="30"/>
      <c r="H53" s="30">
        <f t="shared" si="7"/>
        <v>0</v>
      </c>
      <c r="I53" s="26" t="str">
        <f t="shared" si="3"/>
        <v/>
      </c>
      <c r="J53" s="85"/>
      <c r="K53" s="26"/>
      <c r="L53" s="30"/>
    </row>
    <row r="54" ht="22.5" customHeight="1">
      <c r="A54" s="25"/>
      <c r="B54" s="23"/>
      <c r="C54" s="24"/>
      <c r="D54" s="24"/>
      <c r="E54" s="24"/>
      <c r="F54" s="26"/>
      <c r="G54" s="30"/>
      <c r="H54" s="30">
        <f t="shared" si="7"/>
        <v>0</v>
      </c>
      <c r="I54" s="26" t="str">
        <f t="shared" si="3"/>
        <v/>
      </c>
      <c r="J54" s="85"/>
      <c r="K54" s="26"/>
      <c r="L54" s="30"/>
    </row>
    <row r="55" ht="22.5" customHeight="1">
      <c r="A55" s="25"/>
      <c r="B55" s="23"/>
      <c r="C55" s="24"/>
      <c r="D55" s="24"/>
      <c r="E55" s="24"/>
      <c r="F55" s="26"/>
      <c r="G55" s="30"/>
      <c r="H55" s="30">
        <f t="shared" si="7"/>
        <v>0</v>
      </c>
      <c r="I55" s="26" t="str">
        <f t="shared" si="3"/>
        <v/>
      </c>
      <c r="J55" s="85"/>
      <c r="K55" s="26"/>
      <c r="L55" s="30"/>
    </row>
    <row r="56" ht="22.5" customHeight="1">
      <c r="A56" s="25"/>
      <c r="B56" s="23"/>
      <c r="C56" s="24"/>
      <c r="D56" s="24"/>
      <c r="E56" s="24"/>
      <c r="F56" s="26"/>
      <c r="G56" s="30"/>
      <c r="H56" s="30">
        <f t="shared" si="7"/>
        <v>0</v>
      </c>
      <c r="I56" s="26" t="str">
        <f t="shared" si="3"/>
        <v/>
      </c>
      <c r="J56" s="85"/>
      <c r="K56" s="26"/>
      <c r="L56" s="30"/>
    </row>
    <row r="57" ht="22.5" customHeight="1">
      <c r="A57" s="25"/>
      <c r="B57" s="23"/>
      <c r="C57" s="24"/>
      <c r="D57" s="24"/>
      <c r="E57" s="24"/>
      <c r="F57" s="26"/>
      <c r="G57" s="30"/>
      <c r="H57" s="30">
        <f t="shared" si="7"/>
        <v>0</v>
      </c>
      <c r="I57" s="26" t="str">
        <f t="shared" si="3"/>
        <v/>
      </c>
      <c r="J57" s="85"/>
      <c r="K57" s="26"/>
      <c r="L57" s="30"/>
    </row>
    <row r="58" ht="22.5" customHeight="1">
      <c r="A58" s="25"/>
      <c r="B58" s="23"/>
      <c r="C58" s="24"/>
      <c r="D58" s="24"/>
      <c r="E58" s="24"/>
      <c r="F58" s="26"/>
      <c r="G58" s="30"/>
      <c r="H58" s="30">
        <f t="shared" si="7"/>
        <v>0</v>
      </c>
      <c r="I58" s="26" t="str">
        <f t="shared" si="3"/>
        <v/>
      </c>
      <c r="J58" s="85"/>
      <c r="K58" s="26"/>
      <c r="L58" s="30"/>
    </row>
    <row r="59" ht="22.5" customHeight="1">
      <c r="A59" s="25"/>
      <c r="B59" s="23"/>
      <c r="C59" s="24"/>
      <c r="D59" s="24"/>
      <c r="E59" s="24"/>
      <c r="F59" s="26"/>
      <c r="G59" s="30"/>
      <c r="H59" s="30">
        <f t="shared" si="7"/>
        <v>0</v>
      </c>
      <c r="I59" s="26" t="str">
        <f t="shared" si="3"/>
        <v/>
      </c>
      <c r="J59" s="85"/>
      <c r="K59" s="26"/>
      <c r="L59" s="30"/>
    </row>
    <row r="60" ht="22.5" customHeight="1">
      <c r="A60" s="25"/>
      <c r="B60" s="23"/>
      <c r="C60" s="24"/>
      <c r="D60" s="24"/>
      <c r="E60" s="24"/>
      <c r="F60" s="26"/>
      <c r="G60" s="30"/>
      <c r="H60" s="30">
        <f t="shared" si="7"/>
        <v>0</v>
      </c>
      <c r="I60" s="26" t="str">
        <f t="shared" si="3"/>
        <v/>
      </c>
      <c r="J60" s="85"/>
      <c r="K60" s="26"/>
      <c r="L60" s="30"/>
    </row>
    <row r="61" ht="22.5" customHeight="1">
      <c r="A61" s="25"/>
      <c r="B61" s="23"/>
      <c r="C61" s="24"/>
      <c r="D61" s="24"/>
      <c r="E61" s="24"/>
      <c r="F61" s="26"/>
      <c r="G61" s="30"/>
      <c r="H61" s="30">
        <f t="shared" si="7"/>
        <v>0</v>
      </c>
      <c r="I61" s="26" t="str">
        <f t="shared" si="3"/>
        <v/>
      </c>
      <c r="J61" s="85"/>
      <c r="K61" s="26"/>
      <c r="L61" s="30"/>
    </row>
    <row r="62" ht="22.5" customHeight="1">
      <c r="A62" s="25"/>
      <c r="B62" s="23"/>
      <c r="C62" s="24"/>
      <c r="D62" s="24"/>
      <c r="E62" s="24"/>
      <c r="F62" s="26"/>
      <c r="G62" s="30"/>
      <c r="H62" s="30">
        <f t="shared" si="7"/>
        <v>0</v>
      </c>
      <c r="I62" s="26" t="str">
        <f t="shared" si="3"/>
        <v/>
      </c>
      <c r="J62" s="85"/>
      <c r="K62" s="26"/>
      <c r="L62" s="30"/>
    </row>
    <row r="63" ht="22.5" customHeight="1">
      <c r="A63" s="25"/>
      <c r="B63" s="23"/>
      <c r="C63" s="24"/>
      <c r="D63" s="24"/>
      <c r="E63" s="24"/>
      <c r="F63" s="26"/>
      <c r="G63" s="30"/>
      <c r="H63" s="30">
        <f t="shared" si="7"/>
        <v>0</v>
      </c>
      <c r="I63" s="26" t="str">
        <f t="shared" si="3"/>
        <v/>
      </c>
      <c r="J63" s="85"/>
      <c r="K63" s="26"/>
      <c r="L63" s="30"/>
    </row>
    <row r="64" ht="22.5" customHeight="1">
      <c r="A64" s="25"/>
      <c r="B64" s="23"/>
      <c r="C64" s="24"/>
      <c r="D64" s="24"/>
      <c r="E64" s="24"/>
      <c r="F64" s="26"/>
      <c r="G64" s="30"/>
      <c r="H64" s="30">
        <f t="shared" si="7"/>
        <v>0</v>
      </c>
      <c r="I64" s="26" t="str">
        <f t="shared" si="3"/>
        <v/>
      </c>
      <c r="J64" s="85"/>
      <c r="K64" s="26"/>
      <c r="L64" s="30"/>
    </row>
    <row r="65" ht="22.5" customHeight="1">
      <c r="A65" s="25"/>
      <c r="B65" s="23"/>
      <c r="C65" s="24"/>
      <c r="D65" s="24"/>
      <c r="E65" s="24"/>
      <c r="F65" s="26"/>
      <c r="G65" s="30"/>
      <c r="H65" s="30">
        <f t="shared" si="7"/>
        <v>0</v>
      </c>
      <c r="I65" s="26" t="str">
        <f t="shared" si="3"/>
        <v/>
      </c>
      <c r="J65" s="85"/>
      <c r="K65" s="26"/>
      <c r="L65" s="30"/>
    </row>
    <row r="66" ht="22.5" customHeight="1">
      <c r="A66" s="25"/>
      <c r="B66" s="23"/>
      <c r="C66" s="24"/>
      <c r="D66" s="24"/>
      <c r="E66" s="24"/>
      <c r="F66" s="26"/>
      <c r="G66" s="30"/>
      <c r="H66" s="30">
        <f t="shared" si="7"/>
        <v>0</v>
      </c>
      <c r="I66" s="26" t="str">
        <f t="shared" si="3"/>
        <v/>
      </c>
      <c r="J66" s="85"/>
      <c r="K66" s="26"/>
      <c r="L66" s="30"/>
    </row>
    <row r="67" ht="22.5" customHeight="1">
      <c r="A67" s="25"/>
      <c r="B67" s="23"/>
      <c r="C67" s="24"/>
      <c r="D67" s="24"/>
      <c r="E67" s="24"/>
      <c r="F67" s="26"/>
      <c r="G67" s="30"/>
      <c r="H67" s="30">
        <f t="shared" si="7"/>
        <v>0</v>
      </c>
      <c r="I67" s="26" t="str">
        <f t="shared" si="3"/>
        <v/>
      </c>
      <c r="J67" s="85"/>
      <c r="K67" s="26"/>
      <c r="L67" s="30"/>
    </row>
    <row r="68" ht="22.5" customHeight="1">
      <c r="A68" s="25"/>
      <c r="B68" s="23"/>
      <c r="C68" s="24"/>
      <c r="D68" s="24"/>
      <c r="E68" s="24"/>
      <c r="F68" s="26"/>
      <c r="G68" s="30"/>
      <c r="H68" s="30">
        <f t="shared" si="7"/>
        <v>0</v>
      </c>
      <c r="I68" s="26" t="str">
        <f t="shared" si="3"/>
        <v/>
      </c>
      <c r="J68" s="85"/>
      <c r="K68" s="26"/>
      <c r="L68" s="30"/>
    </row>
    <row r="69" ht="22.5" customHeight="1">
      <c r="A69" s="25"/>
      <c r="B69" s="23"/>
      <c r="C69" s="24"/>
      <c r="D69" s="24"/>
      <c r="E69" s="24"/>
      <c r="F69" s="26"/>
      <c r="G69" s="30"/>
      <c r="H69" s="30">
        <f t="shared" si="7"/>
        <v>0</v>
      </c>
      <c r="I69" s="26" t="str">
        <f t="shared" si="3"/>
        <v/>
      </c>
      <c r="J69" s="85"/>
      <c r="K69" s="26"/>
      <c r="L69" s="30"/>
    </row>
    <row r="70" ht="22.5" customHeight="1">
      <c r="A70" s="25"/>
      <c r="B70" s="23"/>
      <c r="C70" s="24"/>
      <c r="D70" s="24"/>
      <c r="E70" s="24"/>
      <c r="F70" s="26"/>
      <c r="G70" s="30"/>
      <c r="H70" s="30">
        <f t="shared" si="7"/>
        <v>0</v>
      </c>
      <c r="I70" s="26" t="str">
        <f t="shared" si="3"/>
        <v/>
      </c>
      <c r="J70" s="85"/>
      <c r="K70" s="26"/>
      <c r="L70" s="30"/>
    </row>
    <row r="71" ht="22.5" customHeight="1">
      <c r="A71" s="25"/>
      <c r="B71" s="23"/>
      <c r="C71" s="24"/>
      <c r="D71" s="24"/>
      <c r="E71" s="24"/>
      <c r="F71" s="26"/>
      <c r="G71" s="30"/>
      <c r="H71" s="30">
        <f t="shared" si="7"/>
        <v>0</v>
      </c>
      <c r="I71" s="26" t="str">
        <f t="shared" si="3"/>
        <v/>
      </c>
      <c r="J71" s="85"/>
      <c r="K71" s="26"/>
      <c r="L71" s="30"/>
    </row>
    <row r="72" ht="22.5" customHeight="1">
      <c r="A72" s="25"/>
      <c r="B72" s="23"/>
      <c r="C72" s="24"/>
      <c r="D72" s="24"/>
      <c r="E72" s="24"/>
      <c r="F72" s="26"/>
      <c r="G72" s="30"/>
      <c r="H72" s="30">
        <f t="shared" si="7"/>
        <v>0</v>
      </c>
      <c r="I72" s="26" t="str">
        <f t="shared" si="3"/>
        <v/>
      </c>
      <c r="J72" s="85"/>
      <c r="K72" s="26"/>
      <c r="L72" s="30"/>
    </row>
    <row r="73" ht="22.5" customHeight="1">
      <c r="A73" s="25"/>
      <c r="B73" s="23"/>
      <c r="C73" s="24"/>
      <c r="D73" s="24"/>
      <c r="E73" s="24"/>
      <c r="F73" s="26"/>
      <c r="G73" s="30"/>
      <c r="H73" s="30">
        <f t="shared" si="7"/>
        <v>0</v>
      </c>
      <c r="I73" s="26" t="str">
        <f t="shared" si="3"/>
        <v/>
      </c>
      <c r="J73" s="85"/>
      <c r="K73" s="26"/>
      <c r="L73" s="30"/>
    </row>
    <row r="74" ht="22.5" customHeight="1">
      <c r="A74" s="25"/>
      <c r="B74" s="23"/>
      <c r="C74" s="24"/>
      <c r="D74" s="24"/>
      <c r="E74" s="24"/>
      <c r="F74" s="26"/>
      <c r="G74" s="30"/>
      <c r="H74" s="30">
        <f t="shared" si="7"/>
        <v>0</v>
      </c>
      <c r="I74" s="26" t="str">
        <f t="shared" si="3"/>
        <v/>
      </c>
      <c r="J74" s="85"/>
      <c r="K74" s="26"/>
      <c r="L74" s="30"/>
    </row>
    <row r="75" ht="22.5" customHeight="1">
      <c r="A75" s="25"/>
      <c r="B75" s="23"/>
      <c r="C75" s="24"/>
      <c r="D75" s="24"/>
      <c r="E75" s="24"/>
      <c r="F75" s="26"/>
      <c r="G75" s="30"/>
      <c r="H75" s="30">
        <f t="shared" si="7"/>
        <v>0</v>
      </c>
      <c r="I75" s="26" t="str">
        <f t="shared" si="3"/>
        <v/>
      </c>
      <c r="J75" s="85"/>
      <c r="K75" s="26"/>
      <c r="L75" s="30"/>
    </row>
    <row r="76" ht="22.5" customHeight="1">
      <c r="A76" s="25"/>
      <c r="B76" s="23"/>
      <c r="C76" s="24"/>
      <c r="D76" s="24"/>
      <c r="E76" s="24"/>
      <c r="F76" s="26"/>
      <c r="G76" s="30"/>
      <c r="H76" s="30">
        <f t="shared" si="7"/>
        <v>0</v>
      </c>
      <c r="I76" s="26" t="str">
        <f t="shared" si="3"/>
        <v/>
      </c>
      <c r="J76" s="85"/>
      <c r="K76" s="26"/>
      <c r="L76" s="30"/>
    </row>
    <row r="77" ht="22.5" customHeight="1">
      <c r="A77" s="25"/>
      <c r="B77" s="23"/>
      <c r="C77" s="24"/>
      <c r="D77" s="24"/>
      <c r="E77" s="24"/>
      <c r="F77" s="26"/>
      <c r="G77" s="30"/>
      <c r="H77" s="30">
        <f t="shared" si="7"/>
        <v>0</v>
      </c>
      <c r="I77" s="26" t="str">
        <f t="shared" si="3"/>
        <v/>
      </c>
      <c r="J77" s="85"/>
      <c r="K77" s="26"/>
      <c r="L77" s="30"/>
    </row>
    <row r="78" ht="22.5" customHeight="1">
      <c r="A78" s="25"/>
      <c r="B78" s="23"/>
      <c r="C78" s="24"/>
      <c r="D78" s="24"/>
      <c r="E78" s="24"/>
      <c r="F78" s="26"/>
      <c r="G78" s="30"/>
      <c r="H78" s="30">
        <f t="shared" si="7"/>
        <v>0</v>
      </c>
      <c r="I78" s="26" t="str">
        <f t="shared" si="3"/>
        <v/>
      </c>
      <c r="J78" s="85"/>
      <c r="K78" s="26"/>
      <c r="L78" s="30"/>
    </row>
    <row r="79" ht="22.5" customHeight="1">
      <c r="A79" s="25"/>
      <c r="B79" s="23"/>
      <c r="C79" s="24"/>
      <c r="D79" s="24"/>
      <c r="E79" s="24"/>
      <c r="F79" s="26"/>
      <c r="G79" s="30"/>
      <c r="H79" s="30">
        <f t="shared" si="7"/>
        <v>0</v>
      </c>
      <c r="I79" s="26" t="str">
        <f t="shared" si="3"/>
        <v/>
      </c>
      <c r="J79" s="85"/>
      <c r="K79" s="26"/>
      <c r="L79" s="30"/>
    </row>
    <row r="80" ht="22.5" customHeight="1">
      <c r="A80" s="25"/>
      <c r="B80" s="23"/>
      <c r="C80" s="24"/>
      <c r="D80" s="24"/>
      <c r="E80" s="24"/>
      <c r="F80" s="26"/>
      <c r="G80" s="30"/>
      <c r="H80" s="30">
        <f t="shared" si="7"/>
        <v>0</v>
      </c>
      <c r="I80" s="26" t="str">
        <f t="shared" si="3"/>
        <v/>
      </c>
      <c r="J80" s="85"/>
      <c r="K80" s="26"/>
      <c r="L80" s="30"/>
    </row>
    <row r="81" ht="22.5" customHeight="1">
      <c r="A81" s="25"/>
      <c r="B81" s="23"/>
      <c r="C81" s="24"/>
      <c r="D81" s="24"/>
      <c r="E81" s="24"/>
      <c r="F81" s="26"/>
      <c r="G81" s="30"/>
      <c r="H81" s="30">
        <f t="shared" si="7"/>
        <v>0</v>
      </c>
      <c r="I81" s="26" t="str">
        <f t="shared" si="3"/>
        <v/>
      </c>
      <c r="J81" s="85"/>
      <c r="K81" s="26"/>
      <c r="L81" s="30"/>
    </row>
    <row r="82" ht="22.5" customHeight="1">
      <c r="A82" s="25"/>
      <c r="B82" s="23"/>
      <c r="C82" s="24"/>
      <c r="D82" s="24"/>
      <c r="E82" s="24"/>
      <c r="F82" s="26"/>
      <c r="G82" s="30"/>
      <c r="H82" s="30">
        <f t="shared" si="7"/>
        <v>0</v>
      </c>
      <c r="I82" s="26" t="str">
        <f t="shared" si="3"/>
        <v/>
      </c>
      <c r="J82" s="85"/>
      <c r="K82" s="26"/>
      <c r="L82" s="30"/>
    </row>
    <row r="83" ht="22.5" customHeight="1">
      <c r="A83" s="25"/>
      <c r="B83" s="23"/>
      <c r="C83" s="24"/>
      <c r="D83" s="24"/>
      <c r="E83" s="24"/>
      <c r="F83" s="26"/>
      <c r="G83" s="30"/>
      <c r="H83" s="30">
        <f t="shared" si="7"/>
        <v>0</v>
      </c>
      <c r="I83" s="26" t="str">
        <f t="shared" si="3"/>
        <v/>
      </c>
      <c r="J83" s="85"/>
      <c r="K83" s="26"/>
      <c r="L83" s="30"/>
    </row>
    <row r="84" ht="22.5" customHeight="1">
      <c r="A84" s="25"/>
      <c r="B84" s="23"/>
      <c r="C84" s="24"/>
      <c r="D84" s="24"/>
      <c r="E84" s="24"/>
      <c r="F84" s="26"/>
      <c r="G84" s="30"/>
      <c r="H84" s="30">
        <f t="shared" si="7"/>
        <v>0</v>
      </c>
      <c r="I84" s="26" t="str">
        <f t="shared" si="3"/>
        <v/>
      </c>
      <c r="J84" s="85"/>
      <c r="K84" s="26"/>
      <c r="L84" s="30"/>
    </row>
    <row r="85" ht="22.5" customHeight="1">
      <c r="A85" s="25"/>
      <c r="B85" s="23"/>
      <c r="C85" s="24"/>
      <c r="D85" s="24"/>
      <c r="E85" s="24"/>
      <c r="F85" s="26"/>
      <c r="G85" s="30"/>
      <c r="H85" s="30">
        <f t="shared" si="7"/>
        <v>0</v>
      </c>
      <c r="I85" s="26" t="str">
        <f t="shared" si="3"/>
        <v/>
      </c>
      <c r="J85" s="85"/>
      <c r="K85" s="26"/>
      <c r="L85" s="30"/>
    </row>
    <row r="86" ht="22.5" customHeight="1">
      <c r="A86" s="25"/>
      <c r="B86" s="23"/>
      <c r="C86" s="24"/>
      <c r="D86" s="24"/>
      <c r="E86" s="24"/>
      <c r="F86" s="26"/>
      <c r="G86" s="30"/>
      <c r="H86" s="30">
        <f t="shared" si="7"/>
        <v>0</v>
      </c>
      <c r="I86" s="26" t="str">
        <f t="shared" si="3"/>
        <v/>
      </c>
      <c r="J86" s="85"/>
      <c r="K86" s="26"/>
      <c r="L86" s="30"/>
    </row>
    <row r="87" ht="22.5" customHeight="1">
      <c r="A87" s="25"/>
      <c r="B87" s="23"/>
      <c r="C87" s="24"/>
      <c r="D87" s="24"/>
      <c r="E87" s="24"/>
      <c r="F87" s="26"/>
      <c r="G87" s="30"/>
      <c r="H87" s="30">
        <f t="shared" si="7"/>
        <v>0</v>
      </c>
      <c r="I87" s="26" t="str">
        <f t="shared" si="3"/>
        <v/>
      </c>
      <c r="J87" s="85"/>
      <c r="K87" s="26"/>
      <c r="L87" s="30"/>
    </row>
    <row r="88" ht="22.5" customHeight="1">
      <c r="A88" s="25"/>
      <c r="B88" s="23"/>
      <c r="C88" s="24"/>
      <c r="D88" s="24"/>
      <c r="E88" s="24"/>
      <c r="F88" s="26"/>
      <c r="G88" s="30"/>
      <c r="H88" s="30">
        <f t="shared" si="7"/>
        <v>0</v>
      </c>
      <c r="I88" s="26" t="str">
        <f t="shared" si="3"/>
        <v/>
      </c>
      <c r="J88" s="85"/>
      <c r="K88" s="26"/>
      <c r="L88" s="30"/>
    </row>
    <row r="89" ht="22.5" customHeight="1">
      <c r="A89" s="25"/>
      <c r="B89" s="23"/>
      <c r="C89" s="24"/>
      <c r="D89" s="24"/>
      <c r="E89" s="24"/>
      <c r="F89" s="26"/>
      <c r="G89" s="30"/>
      <c r="H89" s="30">
        <f t="shared" si="7"/>
        <v>0</v>
      </c>
      <c r="I89" s="26" t="str">
        <f t="shared" si="3"/>
        <v/>
      </c>
      <c r="J89" s="85"/>
      <c r="K89" s="26"/>
      <c r="L89" s="30"/>
    </row>
    <row r="90" ht="22.5" customHeight="1">
      <c r="A90" s="25"/>
      <c r="B90" s="23"/>
      <c r="C90" s="24"/>
      <c r="D90" s="24"/>
      <c r="E90" s="24"/>
      <c r="F90" s="26"/>
      <c r="G90" s="30"/>
      <c r="H90" s="30">
        <f t="shared" si="7"/>
        <v>0</v>
      </c>
      <c r="I90" s="26" t="str">
        <f t="shared" si="3"/>
        <v/>
      </c>
      <c r="J90" s="85"/>
      <c r="K90" s="26"/>
      <c r="L90" s="30"/>
    </row>
    <row r="91" ht="22.5" customHeight="1">
      <c r="A91" s="25"/>
      <c r="B91" s="23"/>
      <c r="C91" s="24"/>
      <c r="D91" s="24"/>
      <c r="E91" s="24"/>
      <c r="F91" s="26"/>
      <c r="G91" s="30"/>
      <c r="H91" s="30">
        <f t="shared" si="7"/>
        <v>0</v>
      </c>
      <c r="I91" s="26" t="str">
        <f t="shared" si="3"/>
        <v/>
      </c>
      <c r="J91" s="85"/>
      <c r="K91" s="26"/>
      <c r="L91" s="30"/>
    </row>
    <row r="92" ht="22.5" customHeight="1">
      <c r="A92" s="25"/>
      <c r="B92" s="23"/>
      <c r="C92" s="24"/>
      <c r="D92" s="24"/>
      <c r="E92" s="24"/>
      <c r="F92" s="26"/>
      <c r="G92" s="30"/>
      <c r="H92" s="30">
        <f t="shared" si="7"/>
        <v>0</v>
      </c>
      <c r="I92" s="26" t="str">
        <f t="shared" si="3"/>
        <v/>
      </c>
      <c r="J92" s="85"/>
      <c r="K92" s="26"/>
      <c r="L92" s="30"/>
    </row>
    <row r="93" ht="22.5" customHeight="1">
      <c r="A93" s="25"/>
      <c r="B93" s="23"/>
      <c r="C93" s="24"/>
      <c r="D93" s="24"/>
      <c r="E93" s="24"/>
      <c r="F93" s="26"/>
      <c r="G93" s="30"/>
      <c r="H93" s="30">
        <f t="shared" si="7"/>
        <v>0</v>
      </c>
      <c r="I93" s="26" t="str">
        <f t="shared" si="3"/>
        <v/>
      </c>
      <c r="J93" s="85"/>
      <c r="K93" s="26"/>
      <c r="L93" s="30"/>
    </row>
    <row r="94" ht="22.5" customHeight="1">
      <c r="A94" s="25"/>
      <c r="B94" s="23"/>
      <c r="C94" s="24"/>
      <c r="D94" s="24"/>
      <c r="E94" s="24"/>
      <c r="F94" s="26"/>
      <c r="G94" s="30"/>
      <c r="H94" s="30">
        <f t="shared" si="7"/>
        <v>0</v>
      </c>
      <c r="I94" s="26" t="str">
        <f t="shared" si="3"/>
        <v/>
      </c>
      <c r="J94" s="85"/>
      <c r="K94" s="26"/>
      <c r="L94" s="30"/>
    </row>
    <row r="95" ht="22.5" customHeight="1">
      <c r="A95" s="25"/>
      <c r="B95" s="23"/>
      <c r="C95" s="24"/>
      <c r="D95" s="24"/>
      <c r="E95" s="24"/>
      <c r="F95" s="26"/>
      <c r="G95" s="30"/>
      <c r="H95" s="30">
        <f t="shared" si="7"/>
        <v>0</v>
      </c>
      <c r="I95" s="26" t="str">
        <f t="shared" si="3"/>
        <v/>
      </c>
      <c r="J95" s="85"/>
      <c r="K95" s="26"/>
      <c r="L95" s="30"/>
    </row>
    <row r="96" ht="22.5" customHeight="1">
      <c r="A96" s="25"/>
      <c r="B96" s="23"/>
      <c r="C96" s="24"/>
      <c r="D96" s="24"/>
      <c r="E96" s="24"/>
      <c r="F96" s="26"/>
      <c r="G96" s="30"/>
      <c r="H96" s="30">
        <f t="shared" si="7"/>
        <v>0</v>
      </c>
      <c r="I96" s="26" t="str">
        <f t="shared" si="3"/>
        <v/>
      </c>
      <c r="J96" s="85"/>
      <c r="K96" s="26"/>
      <c r="L96" s="30"/>
    </row>
    <row r="97" ht="22.5" customHeight="1">
      <c r="A97" s="25"/>
      <c r="B97" s="23"/>
      <c r="C97" s="24"/>
      <c r="D97" s="24"/>
      <c r="E97" s="24"/>
      <c r="F97" s="26"/>
      <c r="G97" s="30"/>
      <c r="H97" s="30">
        <f t="shared" si="7"/>
        <v>0</v>
      </c>
      <c r="I97" s="26" t="str">
        <f t="shared" si="3"/>
        <v/>
      </c>
      <c r="J97" s="85"/>
      <c r="K97" s="26"/>
      <c r="L97" s="30"/>
    </row>
    <row r="98" ht="22.5" customHeight="1">
      <c r="A98" s="25"/>
      <c r="B98" s="23"/>
      <c r="C98" s="24"/>
      <c r="D98" s="24"/>
      <c r="E98" s="24"/>
      <c r="F98" s="26"/>
      <c r="G98" s="30"/>
      <c r="H98" s="30">
        <f t="shared" si="7"/>
        <v>0</v>
      </c>
      <c r="I98" s="26" t="str">
        <f t="shared" si="3"/>
        <v/>
      </c>
      <c r="J98" s="85"/>
      <c r="K98" s="26"/>
      <c r="L98" s="30"/>
    </row>
    <row r="99" ht="22.5" customHeight="1">
      <c r="A99" s="25"/>
      <c r="B99" s="23"/>
      <c r="C99" s="24"/>
      <c r="D99" s="24"/>
      <c r="E99" s="24"/>
      <c r="F99" s="26"/>
      <c r="G99" s="30"/>
      <c r="H99" s="30">
        <f t="shared" si="7"/>
        <v>0</v>
      </c>
      <c r="I99" s="26" t="str">
        <f t="shared" si="3"/>
        <v/>
      </c>
      <c r="J99" s="85"/>
      <c r="K99" s="26"/>
      <c r="L99" s="30"/>
    </row>
    <row r="100" ht="22.5" customHeight="1">
      <c r="A100" s="25"/>
      <c r="B100" s="23"/>
      <c r="C100" s="24"/>
      <c r="D100" s="24"/>
      <c r="E100" s="24"/>
      <c r="F100" s="26"/>
      <c r="G100" s="30"/>
      <c r="H100" s="30">
        <f t="shared" si="7"/>
        <v>0</v>
      </c>
      <c r="I100" s="26" t="str">
        <f t="shared" si="3"/>
        <v/>
      </c>
      <c r="J100" s="85"/>
      <c r="K100" s="26"/>
      <c r="L100" s="30"/>
    </row>
    <row r="101" ht="22.5" customHeight="1">
      <c r="A101" s="25"/>
      <c r="B101" s="23"/>
      <c r="C101" s="24"/>
      <c r="D101" s="24"/>
      <c r="E101" s="24"/>
      <c r="F101" s="26"/>
      <c r="G101" s="30"/>
      <c r="H101" s="30">
        <f t="shared" si="7"/>
        <v>0</v>
      </c>
      <c r="I101" s="26" t="str">
        <f t="shared" si="3"/>
        <v/>
      </c>
      <c r="J101" s="85"/>
      <c r="K101" s="26"/>
      <c r="L101" s="30"/>
    </row>
    <row r="102" ht="22.5" customHeight="1">
      <c r="A102" s="25"/>
      <c r="B102" s="23"/>
      <c r="C102" s="24"/>
      <c r="D102" s="24"/>
      <c r="E102" s="24"/>
      <c r="F102" s="26"/>
      <c r="G102" s="30"/>
      <c r="H102" s="30">
        <f t="shared" si="7"/>
        <v>0</v>
      </c>
      <c r="I102" s="26" t="str">
        <f t="shared" si="3"/>
        <v/>
      </c>
      <c r="J102" s="85"/>
      <c r="K102" s="26"/>
      <c r="L102" s="30"/>
    </row>
    <row r="103" ht="22.5" customHeight="1">
      <c r="A103" s="25"/>
      <c r="B103" s="23"/>
      <c r="C103" s="24"/>
      <c r="D103" s="24"/>
      <c r="E103" s="24"/>
      <c r="F103" s="26"/>
      <c r="G103" s="30"/>
      <c r="H103" s="30">
        <f t="shared" si="7"/>
        <v>0</v>
      </c>
      <c r="I103" s="26" t="str">
        <f t="shared" si="3"/>
        <v/>
      </c>
      <c r="J103" s="85"/>
      <c r="K103" s="26"/>
      <c r="L103" s="30"/>
    </row>
    <row r="104" ht="22.5" customHeight="1">
      <c r="A104" s="25"/>
      <c r="B104" s="23"/>
      <c r="C104" s="24"/>
      <c r="D104" s="24"/>
      <c r="E104" s="24"/>
      <c r="F104" s="26"/>
      <c r="G104" s="30"/>
      <c r="H104" s="30">
        <f t="shared" si="7"/>
        <v>0</v>
      </c>
      <c r="I104" s="26" t="str">
        <f t="shared" si="3"/>
        <v/>
      </c>
      <c r="J104" s="85"/>
      <c r="K104" s="26"/>
      <c r="L104" s="30"/>
    </row>
    <row r="105" ht="22.5" customHeight="1">
      <c r="A105" s="25"/>
      <c r="B105" s="23"/>
      <c r="C105" s="24"/>
      <c r="D105" s="24"/>
      <c r="E105" s="24"/>
      <c r="F105" s="26"/>
      <c r="G105" s="30"/>
      <c r="H105" s="30">
        <f t="shared" si="7"/>
        <v>0</v>
      </c>
      <c r="I105" s="26" t="str">
        <f t="shared" si="3"/>
        <v/>
      </c>
      <c r="J105" s="85"/>
      <c r="K105" s="26"/>
      <c r="L105" s="30"/>
    </row>
    <row r="106" ht="22.5" customHeight="1">
      <c r="A106" s="25"/>
      <c r="B106" s="23"/>
      <c r="C106" s="24"/>
      <c r="D106" s="24"/>
      <c r="E106" s="24"/>
      <c r="F106" s="26"/>
      <c r="G106" s="30"/>
      <c r="H106" s="30">
        <f t="shared" si="7"/>
        <v>0</v>
      </c>
      <c r="I106" s="26" t="str">
        <f t="shared" si="3"/>
        <v/>
      </c>
      <c r="J106" s="85"/>
      <c r="K106" s="26"/>
      <c r="L106" s="30"/>
    </row>
    <row r="107" ht="22.5" customHeight="1">
      <c r="A107" s="25"/>
      <c r="B107" s="23"/>
      <c r="C107" s="24"/>
      <c r="D107" s="24"/>
      <c r="E107" s="24"/>
      <c r="F107" s="26"/>
      <c r="G107" s="30"/>
      <c r="H107" s="30">
        <f t="shared" si="7"/>
        <v>0</v>
      </c>
      <c r="I107" s="26" t="str">
        <f t="shared" si="3"/>
        <v/>
      </c>
      <c r="J107" s="85"/>
      <c r="K107" s="26"/>
      <c r="L107" s="30"/>
    </row>
    <row r="108" ht="22.5" customHeight="1">
      <c r="A108" s="25"/>
      <c r="B108" s="23"/>
      <c r="C108" s="24"/>
      <c r="D108" s="24"/>
      <c r="E108" s="24"/>
      <c r="F108" s="26"/>
      <c r="G108" s="30"/>
      <c r="H108" s="30">
        <f t="shared" si="7"/>
        <v>0</v>
      </c>
      <c r="I108" s="26" t="str">
        <f t="shared" si="3"/>
        <v/>
      </c>
      <c r="J108" s="85"/>
      <c r="K108" s="26"/>
      <c r="L108" s="30"/>
    </row>
    <row r="109" ht="22.5" customHeight="1">
      <c r="A109" s="25"/>
      <c r="B109" s="23"/>
      <c r="C109" s="24"/>
      <c r="D109" s="24"/>
      <c r="E109" s="24"/>
      <c r="F109" s="26"/>
      <c r="G109" s="30"/>
      <c r="H109" s="30">
        <f t="shared" si="7"/>
        <v>0</v>
      </c>
      <c r="I109" s="26" t="str">
        <f t="shared" si="3"/>
        <v/>
      </c>
      <c r="J109" s="85"/>
      <c r="K109" s="26"/>
      <c r="L109" s="30"/>
    </row>
    <row r="110" ht="22.5" customHeight="1">
      <c r="A110" s="25"/>
      <c r="B110" s="23"/>
      <c r="C110" s="24"/>
      <c r="D110" s="24"/>
      <c r="E110" s="24"/>
      <c r="F110" s="26"/>
      <c r="G110" s="30"/>
      <c r="H110" s="30">
        <f t="shared" si="7"/>
        <v>0</v>
      </c>
      <c r="I110" s="26" t="str">
        <f t="shared" si="3"/>
        <v/>
      </c>
      <c r="J110" s="85"/>
      <c r="K110" s="26"/>
      <c r="L110" s="30"/>
    </row>
    <row r="111" ht="22.5" customHeight="1">
      <c r="A111" s="25"/>
      <c r="B111" s="23"/>
      <c r="C111" s="24"/>
      <c r="D111" s="24"/>
      <c r="E111" s="24"/>
      <c r="F111" s="26"/>
      <c r="G111" s="30"/>
      <c r="H111" s="30">
        <f t="shared" si="7"/>
        <v>0</v>
      </c>
      <c r="I111" s="26" t="str">
        <f t="shared" si="3"/>
        <v/>
      </c>
      <c r="J111" s="85"/>
      <c r="K111" s="26"/>
      <c r="L111" s="30"/>
    </row>
    <row r="112" ht="22.5" customHeight="1">
      <c r="A112" s="25"/>
      <c r="B112" s="23"/>
      <c r="C112" s="24"/>
      <c r="D112" s="24"/>
      <c r="E112" s="24"/>
      <c r="F112" s="26"/>
      <c r="G112" s="30"/>
      <c r="H112" s="30">
        <f t="shared" si="7"/>
        <v>0</v>
      </c>
      <c r="I112" s="26" t="str">
        <f t="shared" si="3"/>
        <v/>
      </c>
      <c r="J112" s="85"/>
      <c r="K112" s="26"/>
      <c r="L112" s="30"/>
    </row>
    <row r="113" ht="22.5" customHeight="1">
      <c r="A113" s="25"/>
      <c r="B113" s="23"/>
      <c r="C113" s="24"/>
      <c r="D113" s="24"/>
      <c r="E113" s="24"/>
      <c r="F113" s="26"/>
      <c r="G113" s="30"/>
      <c r="H113" s="30">
        <f t="shared" si="7"/>
        <v>0</v>
      </c>
      <c r="I113" s="26" t="str">
        <f t="shared" si="3"/>
        <v/>
      </c>
      <c r="J113" s="85"/>
      <c r="K113" s="26"/>
      <c r="L113" s="30"/>
    </row>
    <row r="114" ht="22.5" customHeight="1">
      <c r="A114" s="25"/>
      <c r="B114" s="23"/>
      <c r="C114" s="24"/>
      <c r="D114" s="24"/>
      <c r="E114" s="24"/>
      <c r="F114" s="26"/>
      <c r="G114" s="30"/>
      <c r="H114" s="30">
        <f t="shared" si="7"/>
        <v>0</v>
      </c>
      <c r="I114" s="26" t="str">
        <f t="shared" si="3"/>
        <v/>
      </c>
      <c r="J114" s="85"/>
      <c r="K114" s="26"/>
      <c r="L114" s="30"/>
    </row>
    <row r="115" ht="22.5" customHeight="1">
      <c r="A115" s="25"/>
      <c r="B115" s="23"/>
      <c r="C115" s="24"/>
      <c r="D115" s="24"/>
      <c r="E115" s="24"/>
      <c r="F115" s="26"/>
      <c r="G115" s="30"/>
      <c r="H115" s="30">
        <f t="shared" si="7"/>
        <v>0</v>
      </c>
      <c r="I115" s="26" t="str">
        <f t="shared" si="3"/>
        <v/>
      </c>
      <c r="J115" s="85"/>
      <c r="K115" s="26"/>
      <c r="L115" s="30"/>
    </row>
    <row r="116" ht="22.5" customHeight="1">
      <c r="A116" s="25"/>
      <c r="B116" s="23"/>
      <c r="C116" s="24"/>
      <c r="D116" s="24"/>
      <c r="E116" s="24"/>
      <c r="F116" s="26"/>
      <c r="G116" s="30"/>
      <c r="H116" s="30">
        <f t="shared" si="7"/>
        <v>0</v>
      </c>
      <c r="I116" s="26" t="str">
        <f t="shared" si="3"/>
        <v/>
      </c>
      <c r="J116" s="85"/>
      <c r="K116" s="26"/>
      <c r="L116" s="30"/>
    </row>
    <row r="117" ht="22.5" customHeight="1">
      <c r="A117" s="25"/>
      <c r="B117" s="23"/>
      <c r="C117" s="24"/>
      <c r="D117" s="24"/>
      <c r="E117" s="24"/>
      <c r="F117" s="26"/>
      <c r="G117" s="30"/>
      <c r="H117" s="30">
        <f t="shared" si="7"/>
        <v>0</v>
      </c>
      <c r="I117" s="26" t="str">
        <f t="shared" si="3"/>
        <v/>
      </c>
      <c r="J117" s="85"/>
      <c r="K117" s="26"/>
      <c r="L117" s="30"/>
    </row>
    <row r="118" ht="22.5" customHeight="1">
      <c r="A118" s="25"/>
      <c r="B118" s="23"/>
      <c r="C118" s="24"/>
      <c r="D118" s="24"/>
      <c r="E118" s="24"/>
      <c r="F118" s="26"/>
      <c r="G118" s="30"/>
      <c r="H118" s="30">
        <f t="shared" si="7"/>
        <v>0</v>
      </c>
      <c r="I118" s="26" t="str">
        <f t="shared" si="3"/>
        <v/>
      </c>
      <c r="J118" s="85"/>
      <c r="K118" s="26"/>
      <c r="L118" s="30"/>
    </row>
    <row r="119" ht="22.5" customHeight="1">
      <c r="A119" s="25"/>
      <c r="B119" s="23"/>
      <c r="C119" s="24"/>
      <c r="D119" s="24"/>
      <c r="E119" s="24"/>
      <c r="F119" s="26"/>
      <c r="G119" s="30"/>
      <c r="H119" s="30">
        <f t="shared" si="7"/>
        <v>0</v>
      </c>
      <c r="I119" s="26" t="str">
        <f t="shared" si="3"/>
        <v/>
      </c>
      <c r="J119" s="85"/>
      <c r="K119" s="26"/>
      <c r="L119" s="30"/>
    </row>
    <row r="120" ht="22.5" customHeight="1">
      <c r="A120" s="25"/>
      <c r="B120" s="23"/>
      <c r="C120" s="24"/>
      <c r="D120" s="24"/>
      <c r="E120" s="24"/>
      <c r="F120" s="26"/>
      <c r="G120" s="30"/>
      <c r="H120" s="30">
        <f t="shared" si="7"/>
        <v>0</v>
      </c>
      <c r="I120" s="26" t="str">
        <f t="shared" si="3"/>
        <v/>
      </c>
      <c r="J120" s="85"/>
      <c r="K120" s="26"/>
      <c r="L120" s="30"/>
    </row>
    <row r="121" ht="22.5" customHeight="1">
      <c r="A121" s="25"/>
      <c r="B121" s="23"/>
      <c r="C121" s="24"/>
      <c r="D121" s="24"/>
      <c r="E121" s="24"/>
      <c r="F121" s="26"/>
      <c r="G121" s="30"/>
      <c r="H121" s="30">
        <f t="shared" si="7"/>
        <v>0</v>
      </c>
      <c r="I121" s="26" t="str">
        <f t="shared" si="3"/>
        <v/>
      </c>
      <c r="J121" s="85"/>
      <c r="K121" s="26"/>
      <c r="L121" s="30"/>
    </row>
    <row r="122" ht="22.5" customHeight="1">
      <c r="A122" s="25"/>
      <c r="B122" s="23"/>
      <c r="C122" s="24"/>
      <c r="D122" s="24"/>
      <c r="E122" s="24"/>
      <c r="F122" s="26"/>
      <c r="G122" s="30"/>
      <c r="H122" s="30">
        <f t="shared" si="7"/>
        <v>0</v>
      </c>
      <c r="I122" s="26" t="str">
        <f t="shared" si="3"/>
        <v/>
      </c>
      <c r="J122" s="85"/>
      <c r="K122" s="26"/>
      <c r="L122" s="30"/>
    </row>
    <row r="123" ht="22.5" customHeight="1">
      <c r="A123" s="25"/>
      <c r="B123" s="23"/>
      <c r="C123" s="24"/>
      <c r="D123" s="24"/>
      <c r="E123" s="24"/>
      <c r="F123" s="26"/>
      <c r="G123" s="30"/>
      <c r="H123" s="30">
        <f t="shared" si="7"/>
        <v>0</v>
      </c>
      <c r="I123" s="26" t="str">
        <f t="shared" si="3"/>
        <v/>
      </c>
      <c r="J123" s="85"/>
      <c r="K123" s="26"/>
      <c r="L123" s="30"/>
    </row>
    <row r="124" ht="22.5" customHeight="1">
      <c r="A124" s="25"/>
      <c r="B124" s="23"/>
      <c r="C124" s="24"/>
      <c r="D124" s="24"/>
      <c r="E124" s="24"/>
      <c r="F124" s="26"/>
      <c r="G124" s="30"/>
      <c r="H124" s="30">
        <f t="shared" si="7"/>
        <v>0</v>
      </c>
      <c r="I124" s="26" t="str">
        <f t="shared" si="3"/>
        <v/>
      </c>
      <c r="J124" s="85"/>
      <c r="K124" s="26"/>
      <c r="L124" s="30"/>
    </row>
    <row r="125" ht="22.5" customHeight="1">
      <c r="A125" s="25"/>
      <c r="B125" s="23"/>
      <c r="C125" s="24"/>
      <c r="D125" s="24"/>
      <c r="E125" s="24"/>
      <c r="F125" s="26"/>
      <c r="G125" s="30"/>
      <c r="H125" s="30">
        <f t="shared" si="7"/>
        <v>0</v>
      </c>
      <c r="I125" s="26" t="str">
        <f t="shared" si="3"/>
        <v/>
      </c>
      <c r="J125" s="85"/>
      <c r="K125" s="26"/>
      <c r="L125" s="30"/>
    </row>
    <row r="126" ht="22.5" customHeight="1">
      <c r="A126" s="25"/>
      <c r="B126" s="23"/>
      <c r="C126" s="24"/>
      <c r="D126" s="24"/>
      <c r="E126" s="24"/>
      <c r="F126" s="26"/>
      <c r="G126" s="30"/>
      <c r="H126" s="30">
        <f t="shared" si="7"/>
        <v>0</v>
      </c>
      <c r="I126" s="26" t="str">
        <f t="shared" si="3"/>
        <v/>
      </c>
      <c r="J126" s="85"/>
      <c r="K126" s="26"/>
      <c r="L126" s="30"/>
    </row>
    <row r="127" ht="22.5" customHeight="1">
      <c r="A127" s="25"/>
      <c r="B127" s="23"/>
      <c r="C127" s="24"/>
      <c r="D127" s="24"/>
      <c r="E127" s="24"/>
      <c r="F127" s="26"/>
      <c r="G127" s="30"/>
      <c r="H127" s="30">
        <f t="shared" si="7"/>
        <v>0</v>
      </c>
      <c r="I127" s="26" t="str">
        <f t="shared" si="3"/>
        <v/>
      </c>
      <c r="J127" s="85"/>
      <c r="K127" s="26"/>
      <c r="L127" s="30"/>
    </row>
    <row r="128" ht="22.5" customHeight="1">
      <c r="A128" s="25"/>
      <c r="B128" s="23"/>
      <c r="C128" s="24"/>
      <c r="D128" s="24"/>
      <c r="E128" s="24"/>
      <c r="F128" s="26"/>
      <c r="G128" s="30"/>
      <c r="H128" s="30">
        <f t="shared" si="7"/>
        <v>0</v>
      </c>
      <c r="I128" s="26" t="str">
        <f t="shared" si="3"/>
        <v/>
      </c>
      <c r="J128" s="85"/>
      <c r="K128" s="26"/>
      <c r="L128" s="30"/>
    </row>
    <row r="129" ht="22.5" customHeight="1">
      <c r="A129" s="25"/>
      <c r="B129" s="23"/>
      <c r="C129" s="24"/>
      <c r="D129" s="24"/>
      <c r="E129" s="24"/>
      <c r="F129" s="26"/>
      <c r="G129" s="30"/>
      <c r="H129" s="30">
        <f t="shared" si="7"/>
        <v>0</v>
      </c>
      <c r="I129" s="26" t="str">
        <f t="shared" si="3"/>
        <v/>
      </c>
      <c r="J129" s="85"/>
      <c r="K129" s="26"/>
      <c r="L129" s="30"/>
    </row>
    <row r="130" ht="22.5" customHeight="1">
      <c r="A130" s="25"/>
      <c r="B130" s="23"/>
      <c r="C130" s="24"/>
      <c r="D130" s="24"/>
      <c r="E130" s="24"/>
      <c r="F130" s="26"/>
      <c r="G130" s="30"/>
      <c r="H130" s="30">
        <f t="shared" si="7"/>
        <v>0</v>
      </c>
      <c r="I130" s="26" t="str">
        <f t="shared" si="3"/>
        <v/>
      </c>
      <c r="J130" s="85"/>
      <c r="K130" s="26"/>
      <c r="L130" s="30"/>
    </row>
    <row r="131" ht="22.5" customHeight="1">
      <c r="A131" s="25"/>
      <c r="B131" s="23"/>
      <c r="C131" s="24"/>
      <c r="D131" s="24"/>
      <c r="E131" s="24"/>
      <c r="F131" s="26"/>
      <c r="G131" s="30"/>
      <c r="H131" s="30">
        <f t="shared" si="7"/>
        <v>0</v>
      </c>
      <c r="I131" s="26" t="str">
        <f t="shared" si="3"/>
        <v/>
      </c>
      <c r="J131" s="85"/>
      <c r="K131" s="26"/>
      <c r="L131" s="30"/>
    </row>
    <row r="132" ht="22.5" customHeight="1">
      <c r="A132" s="25"/>
      <c r="B132" s="23"/>
      <c r="C132" s="24"/>
      <c r="D132" s="24"/>
      <c r="E132" s="24"/>
      <c r="F132" s="26"/>
      <c r="G132" s="30"/>
      <c r="H132" s="30">
        <f t="shared" si="7"/>
        <v>0</v>
      </c>
      <c r="I132" s="26" t="str">
        <f t="shared" si="3"/>
        <v/>
      </c>
      <c r="J132" s="85"/>
      <c r="K132" s="26"/>
      <c r="L132" s="30"/>
    </row>
    <row r="133" ht="22.5" customHeight="1">
      <c r="A133" s="25"/>
      <c r="B133" s="23"/>
      <c r="C133" s="24"/>
      <c r="D133" s="24"/>
      <c r="E133" s="24"/>
      <c r="F133" s="26"/>
      <c r="G133" s="30"/>
      <c r="H133" s="30">
        <f t="shared" si="7"/>
        <v>0</v>
      </c>
      <c r="I133" s="26" t="str">
        <f t="shared" si="3"/>
        <v/>
      </c>
      <c r="J133" s="85"/>
      <c r="K133" s="26"/>
      <c r="L133" s="30"/>
    </row>
    <row r="134" ht="22.5" customHeight="1">
      <c r="A134" s="25"/>
      <c r="B134" s="23"/>
      <c r="C134" s="24"/>
      <c r="D134" s="24"/>
      <c r="E134" s="24"/>
      <c r="F134" s="26"/>
      <c r="G134" s="30"/>
      <c r="H134" s="30">
        <f t="shared" si="7"/>
        <v>0</v>
      </c>
      <c r="I134" s="26" t="str">
        <f t="shared" si="3"/>
        <v/>
      </c>
      <c r="J134" s="85"/>
      <c r="K134" s="26"/>
      <c r="L134" s="30"/>
    </row>
    <row r="135" ht="22.5" customHeight="1">
      <c r="A135" s="25"/>
      <c r="B135" s="23"/>
      <c r="C135" s="24"/>
      <c r="D135" s="24"/>
      <c r="E135" s="24"/>
      <c r="F135" s="26"/>
      <c r="G135" s="30"/>
      <c r="H135" s="30">
        <f t="shared" si="7"/>
        <v>0</v>
      </c>
      <c r="I135" s="26" t="str">
        <f t="shared" si="3"/>
        <v/>
      </c>
      <c r="J135" s="85"/>
      <c r="K135" s="26"/>
      <c r="L135" s="30"/>
    </row>
    <row r="136" ht="22.5" customHeight="1">
      <c r="A136" s="25"/>
      <c r="B136" s="23"/>
      <c r="C136" s="24"/>
      <c r="D136" s="24"/>
      <c r="E136" s="24"/>
      <c r="F136" s="26"/>
      <c r="G136" s="30"/>
      <c r="H136" s="30">
        <f t="shared" si="7"/>
        <v>0</v>
      </c>
      <c r="I136" s="26" t="str">
        <f t="shared" si="3"/>
        <v/>
      </c>
      <c r="J136" s="85"/>
      <c r="K136" s="26"/>
      <c r="L136" s="30"/>
    </row>
    <row r="137" ht="22.5" customHeight="1">
      <c r="A137" s="25"/>
      <c r="B137" s="23"/>
      <c r="C137" s="24"/>
      <c r="D137" s="24"/>
      <c r="E137" s="24"/>
      <c r="F137" s="26"/>
      <c r="G137" s="30"/>
      <c r="H137" s="30">
        <f t="shared" si="7"/>
        <v>0</v>
      </c>
      <c r="I137" s="26" t="str">
        <f t="shared" si="3"/>
        <v/>
      </c>
      <c r="J137" s="85"/>
      <c r="K137" s="26"/>
      <c r="L137" s="30"/>
    </row>
    <row r="138" ht="22.5" customHeight="1">
      <c r="A138" s="25"/>
      <c r="B138" s="23"/>
      <c r="C138" s="24"/>
      <c r="D138" s="24"/>
      <c r="E138" s="24"/>
      <c r="F138" s="26"/>
      <c r="G138" s="30"/>
      <c r="H138" s="30">
        <f t="shared" si="7"/>
        <v>0</v>
      </c>
      <c r="I138" s="26" t="str">
        <f t="shared" si="3"/>
        <v/>
      </c>
      <c r="J138" s="85"/>
      <c r="K138" s="26"/>
      <c r="L138" s="30"/>
    </row>
    <row r="139" ht="22.5" customHeight="1">
      <c r="A139" s="25"/>
      <c r="B139" s="23"/>
      <c r="C139" s="24"/>
      <c r="D139" s="24"/>
      <c r="E139" s="24"/>
      <c r="F139" s="26"/>
      <c r="G139" s="30"/>
      <c r="H139" s="30">
        <f t="shared" si="7"/>
        <v>0</v>
      </c>
      <c r="I139" s="26" t="str">
        <f t="shared" si="3"/>
        <v/>
      </c>
      <c r="J139" s="85"/>
      <c r="K139" s="26"/>
      <c r="L139" s="30"/>
    </row>
    <row r="140" ht="22.5" customHeight="1">
      <c r="A140" s="25"/>
      <c r="B140" s="23"/>
      <c r="C140" s="24"/>
      <c r="D140" s="24"/>
      <c r="E140" s="24"/>
      <c r="F140" s="26"/>
      <c r="G140" s="30"/>
      <c r="H140" s="30">
        <f t="shared" si="7"/>
        <v>0</v>
      </c>
      <c r="I140" s="26" t="str">
        <f t="shared" si="3"/>
        <v/>
      </c>
      <c r="J140" s="85"/>
      <c r="K140" s="26"/>
      <c r="L140" s="30"/>
    </row>
    <row r="141" ht="22.5" customHeight="1">
      <c r="A141" s="25"/>
      <c r="B141" s="23"/>
      <c r="C141" s="24"/>
      <c r="D141" s="24"/>
      <c r="E141" s="24"/>
      <c r="F141" s="26"/>
      <c r="G141" s="30"/>
      <c r="H141" s="30">
        <f t="shared" si="7"/>
        <v>0</v>
      </c>
      <c r="I141" s="26" t="str">
        <f t="shared" si="3"/>
        <v/>
      </c>
      <c r="J141" s="85"/>
      <c r="K141" s="26"/>
      <c r="L141" s="30"/>
    </row>
    <row r="142" ht="22.5" customHeight="1">
      <c r="A142" s="25"/>
      <c r="B142" s="23"/>
      <c r="C142" s="24"/>
      <c r="D142" s="24"/>
      <c r="E142" s="24"/>
      <c r="F142" s="26"/>
      <c r="G142" s="30"/>
      <c r="H142" s="30">
        <f t="shared" si="7"/>
        <v>0</v>
      </c>
      <c r="I142" s="26" t="str">
        <f t="shared" si="3"/>
        <v/>
      </c>
      <c r="J142" s="85"/>
      <c r="K142" s="26"/>
      <c r="L142" s="30"/>
    </row>
    <row r="143" ht="22.5" customHeight="1">
      <c r="A143" s="25"/>
      <c r="B143" s="23"/>
      <c r="C143" s="24"/>
      <c r="D143" s="24"/>
      <c r="E143" s="24"/>
      <c r="F143" s="26"/>
      <c r="G143" s="30"/>
      <c r="H143" s="30">
        <f t="shared" si="7"/>
        <v>0</v>
      </c>
      <c r="I143" s="26" t="str">
        <f t="shared" si="3"/>
        <v/>
      </c>
      <c r="J143" s="85"/>
      <c r="K143" s="26"/>
      <c r="L143" s="30"/>
    </row>
    <row r="144" ht="22.5" customHeight="1">
      <c r="A144" s="25"/>
      <c r="B144" s="23"/>
      <c r="C144" s="24"/>
      <c r="D144" s="24"/>
      <c r="E144" s="24"/>
      <c r="F144" s="26"/>
      <c r="G144" s="30"/>
      <c r="H144" s="30">
        <f t="shared" si="7"/>
        <v>0</v>
      </c>
      <c r="I144" s="26" t="str">
        <f t="shared" si="3"/>
        <v/>
      </c>
      <c r="J144" s="85"/>
      <c r="K144" s="26"/>
      <c r="L144" s="30"/>
    </row>
    <row r="145" ht="22.5" customHeight="1">
      <c r="A145" s="25"/>
      <c r="B145" s="23"/>
      <c r="C145" s="24"/>
      <c r="D145" s="24"/>
      <c r="E145" s="24"/>
      <c r="F145" s="26"/>
      <c r="G145" s="30"/>
      <c r="H145" s="30">
        <f t="shared" si="7"/>
        <v>0</v>
      </c>
      <c r="I145" s="26" t="str">
        <f t="shared" si="3"/>
        <v/>
      </c>
      <c r="J145" s="85"/>
      <c r="K145" s="26"/>
      <c r="L145" s="30"/>
    </row>
    <row r="146" ht="22.5" customHeight="1">
      <c r="A146" s="25"/>
      <c r="B146" s="23"/>
      <c r="C146" s="24"/>
      <c r="D146" s="24"/>
      <c r="E146" s="24"/>
      <c r="F146" s="26"/>
      <c r="G146" s="30"/>
      <c r="H146" s="30">
        <f t="shared" si="7"/>
        <v>0</v>
      </c>
      <c r="I146" s="26" t="str">
        <f t="shared" si="3"/>
        <v/>
      </c>
      <c r="J146" s="85"/>
      <c r="K146" s="26"/>
      <c r="L146" s="30"/>
    </row>
    <row r="147" ht="22.5" customHeight="1">
      <c r="A147" s="25"/>
      <c r="B147" s="23"/>
      <c r="C147" s="24"/>
      <c r="D147" s="24"/>
      <c r="E147" s="24"/>
      <c r="F147" s="26"/>
      <c r="G147" s="30"/>
      <c r="H147" s="30">
        <f t="shared" si="7"/>
        <v>0</v>
      </c>
      <c r="I147" s="26" t="str">
        <f t="shared" si="3"/>
        <v/>
      </c>
      <c r="J147" s="85"/>
      <c r="K147" s="26"/>
      <c r="L147" s="30"/>
    </row>
    <row r="148" ht="22.5" customHeight="1">
      <c r="A148" s="25"/>
      <c r="B148" s="23"/>
      <c r="C148" s="24"/>
      <c r="D148" s="24"/>
      <c r="E148" s="24"/>
      <c r="F148" s="26"/>
      <c r="G148" s="30"/>
      <c r="H148" s="30">
        <f t="shared" si="7"/>
        <v>0</v>
      </c>
      <c r="I148" s="26" t="str">
        <f t="shared" si="3"/>
        <v/>
      </c>
      <c r="J148" s="85"/>
      <c r="K148" s="26"/>
      <c r="L148" s="30"/>
    </row>
    <row r="149" ht="22.5" customHeight="1">
      <c r="A149" s="25"/>
      <c r="B149" s="23"/>
      <c r="C149" s="24"/>
      <c r="D149" s="24"/>
      <c r="E149" s="24"/>
      <c r="F149" s="26"/>
      <c r="G149" s="30"/>
      <c r="H149" s="30">
        <f t="shared" si="7"/>
        <v>0</v>
      </c>
      <c r="I149" s="26" t="str">
        <f t="shared" si="3"/>
        <v/>
      </c>
      <c r="J149" s="85"/>
      <c r="K149" s="26"/>
      <c r="L149" s="30"/>
    </row>
    <row r="150" ht="22.5" customHeight="1">
      <c r="A150" s="25"/>
      <c r="B150" s="23"/>
      <c r="C150" s="24"/>
      <c r="D150" s="24"/>
      <c r="E150" s="24"/>
      <c r="F150" s="26"/>
      <c r="G150" s="30"/>
      <c r="H150" s="30">
        <f t="shared" si="7"/>
        <v>0</v>
      </c>
      <c r="I150" s="26" t="str">
        <f t="shared" si="3"/>
        <v/>
      </c>
      <c r="J150" s="85"/>
      <c r="K150" s="26"/>
      <c r="L150" s="30"/>
    </row>
    <row r="151" ht="22.5" customHeight="1">
      <c r="A151" s="25"/>
      <c r="B151" s="23"/>
      <c r="C151" s="24"/>
      <c r="D151" s="24"/>
      <c r="E151" s="24"/>
      <c r="F151" s="26"/>
      <c r="G151" s="30"/>
      <c r="H151" s="30">
        <f t="shared" si="7"/>
        <v>0</v>
      </c>
      <c r="I151" s="26" t="str">
        <f t="shared" si="3"/>
        <v/>
      </c>
      <c r="J151" s="85"/>
      <c r="K151" s="26"/>
      <c r="L151" s="30"/>
    </row>
    <row r="152" ht="22.5" customHeight="1">
      <c r="A152" s="25"/>
      <c r="B152" s="23"/>
      <c r="C152" s="24"/>
      <c r="D152" s="24"/>
      <c r="E152" s="24"/>
      <c r="F152" s="26"/>
      <c r="G152" s="30"/>
      <c r="H152" s="30">
        <f t="shared" si="7"/>
        <v>0</v>
      </c>
      <c r="I152" s="26" t="str">
        <f t="shared" si="3"/>
        <v/>
      </c>
      <c r="J152" s="85"/>
      <c r="K152" s="26"/>
      <c r="L152" s="30"/>
    </row>
    <row r="153" ht="22.5" customHeight="1">
      <c r="A153" s="25"/>
      <c r="B153" s="23"/>
      <c r="C153" s="24"/>
      <c r="D153" s="24"/>
      <c r="E153" s="24"/>
      <c r="F153" s="26"/>
      <c r="G153" s="30"/>
      <c r="H153" s="30">
        <f t="shared" si="7"/>
        <v>0</v>
      </c>
      <c r="I153" s="26" t="str">
        <f t="shared" si="3"/>
        <v/>
      </c>
      <c r="J153" s="85"/>
      <c r="K153" s="26"/>
      <c r="L153" s="30"/>
    </row>
    <row r="154" ht="22.5" customHeight="1">
      <c r="A154" s="25"/>
      <c r="B154" s="23"/>
      <c r="C154" s="24"/>
      <c r="D154" s="24"/>
      <c r="E154" s="24"/>
      <c r="F154" s="26"/>
      <c r="G154" s="30"/>
      <c r="H154" s="30">
        <f t="shared" si="7"/>
        <v>0</v>
      </c>
      <c r="I154" s="26" t="str">
        <f t="shared" si="3"/>
        <v/>
      </c>
      <c r="J154" s="85"/>
      <c r="K154" s="26"/>
      <c r="L154" s="30"/>
    </row>
    <row r="155" ht="22.5" customHeight="1">
      <c r="A155" s="25"/>
      <c r="B155" s="23"/>
      <c r="C155" s="24"/>
      <c r="D155" s="24"/>
      <c r="E155" s="24"/>
      <c r="F155" s="26"/>
      <c r="G155" s="30"/>
      <c r="H155" s="30">
        <f t="shared" si="7"/>
        <v>0</v>
      </c>
      <c r="I155" s="26" t="str">
        <f t="shared" si="3"/>
        <v/>
      </c>
      <c r="J155" s="85"/>
      <c r="K155" s="26"/>
      <c r="L155" s="30"/>
    </row>
    <row r="156" ht="22.5" customHeight="1">
      <c r="A156" s="25"/>
      <c r="B156" s="23"/>
      <c r="C156" s="24"/>
      <c r="D156" s="24"/>
      <c r="E156" s="24"/>
      <c r="F156" s="26"/>
      <c r="G156" s="30"/>
      <c r="H156" s="30">
        <f t="shared" si="7"/>
        <v>0</v>
      </c>
      <c r="I156" s="26" t="str">
        <f t="shared" si="3"/>
        <v/>
      </c>
      <c r="J156" s="85"/>
      <c r="K156" s="26"/>
      <c r="L156" s="30"/>
    </row>
    <row r="157" ht="22.5" customHeight="1">
      <c r="A157" s="25"/>
      <c r="B157" s="23"/>
      <c r="C157" s="24"/>
      <c r="D157" s="24"/>
      <c r="E157" s="24"/>
      <c r="F157" s="26"/>
      <c r="G157" s="30"/>
      <c r="H157" s="30">
        <f t="shared" si="7"/>
        <v>0</v>
      </c>
      <c r="I157" s="26" t="str">
        <f t="shared" si="3"/>
        <v/>
      </c>
      <c r="J157" s="85"/>
      <c r="K157" s="26"/>
      <c r="L157" s="30"/>
    </row>
    <row r="158" ht="22.5" customHeight="1">
      <c r="A158" s="25"/>
      <c r="B158" s="23"/>
      <c r="C158" s="24"/>
      <c r="D158" s="24"/>
      <c r="E158" s="24"/>
      <c r="F158" s="26"/>
      <c r="G158" s="30"/>
      <c r="H158" s="30">
        <f t="shared" si="7"/>
        <v>0</v>
      </c>
      <c r="I158" s="26" t="str">
        <f t="shared" si="3"/>
        <v/>
      </c>
      <c r="J158" s="85"/>
      <c r="K158" s="26"/>
      <c r="L158" s="30"/>
    </row>
    <row r="159" ht="22.5" customHeight="1">
      <c r="A159" s="25"/>
      <c r="B159" s="23"/>
      <c r="C159" s="24"/>
      <c r="D159" s="24"/>
      <c r="E159" s="24"/>
      <c r="F159" s="26"/>
      <c r="G159" s="30"/>
      <c r="H159" s="30">
        <f t="shared" si="7"/>
        <v>0</v>
      </c>
      <c r="I159" s="26" t="str">
        <f t="shared" si="3"/>
        <v/>
      </c>
      <c r="J159" s="85"/>
      <c r="K159" s="26"/>
      <c r="L159" s="30"/>
    </row>
    <row r="160" ht="22.5" customHeight="1">
      <c r="A160" s="25"/>
      <c r="B160" s="23"/>
      <c r="C160" s="24"/>
      <c r="D160" s="24"/>
      <c r="E160" s="24"/>
      <c r="F160" s="26"/>
      <c r="G160" s="30"/>
      <c r="H160" s="30">
        <f t="shared" si="7"/>
        <v>0</v>
      </c>
      <c r="I160" s="26" t="str">
        <f t="shared" si="3"/>
        <v/>
      </c>
      <c r="J160" s="85"/>
      <c r="K160" s="26"/>
      <c r="L160" s="30"/>
    </row>
    <row r="161" ht="22.5" customHeight="1">
      <c r="A161" s="25"/>
      <c r="B161" s="23"/>
      <c r="C161" s="24"/>
      <c r="D161" s="24"/>
      <c r="E161" s="24"/>
      <c r="F161" s="26"/>
      <c r="G161" s="30"/>
      <c r="H161" s="30">
        <f t="shared" si="7"/>
        <v>0</v>
      </c>
      <c r="I161" s="26" t="str">
        <f t="shared" si="3"/>
        <v/>
      </c>
      <c r="J161" s="85"/>
      <c r="K161" s="26"/>
      <c r="L161" s="30"/>
    </row>
    <row r="162" ht="22.5" customHeight="1">
      <c r="A162" s="25"/>
      <c r="B162" s="23"/>
      <c r="C162" s="24"/>
      <c r="D162" s="24"/>
      <c r="E162" s="24"/>
      <c r="F162" s="26"/>
      <c r="G162" s="30"/>
      <c r="H162" s="30">
        <f t="shared" si="7"/>
        <v>0</v>
      </c>
      <c r="I162" s="26" t="str">
        <f t="shared" si="3"/>
        <v/>
      </c>
      <c r="J162" s="85"/>
      <c r="K162" s="26"/>
      <c r="L162" s="30"/>
    </row>
    <row r="163" ht="22.5" customHeight="1">
      <c r="A163" s="25"/>
      <c r="B163" s="23"/>
      <c r="C163" s="24"/>
      <c r="D163" s="24"/>
      <c r="E163" s="24"/>
      <c r="F163" s="26"/>
      <c r="G163" s="30"/>
      <c r="H163" s="30">
        <f t="shared" si="7"/>
        <v>0</v>
      </c>
      <c r="I163" s="26" t="str">
        <f t="shared" si="3"/>
        <v/>
      </c>
      <c r="J163" s="85"/>
      <c r="K163" s="26"/>
      <c r="L163" s="30"/>
    </row>
    <row r="164" ht="22.5" customHeight="1">
      <c r="A164" s="25"/>
      <c r="B164" s="23"/>
      <c r="C164" s="24"/>
      <c r="D164" s="24"/>
      <c r="E164" s="24"/>
      <c r="F164" s="26"/>
      <c r="G164" s="30"/>
      <c r="H164" s="30">
        <f t="shared" si="7"/>
        <v>0</v>
      </c>
      <c r="I164" s="26" t="str">
        <f t="shared" si="3"/>
        <v/>
      </c>
      <c r="J164" s="85"/>
      <c r="K164" s="26"/>
      <c r="L164" s="30"/>
    </row>
    <row r="165" ht="22.5" customHeight="1">
      <c r="A165" s="25"/>
      <c r="B165" s="23"/>
      <c r="C165" s="24"/>
      <c r="D165" s="24"/>
      <c r="E165" s="24"/>
      <c r="F165" s="26"/>
      <c r="G165" s="30"/>
      <c r="H165" s="30">
        <f t="shared" si="7"/>
        <v>0</v>
      </c>
      <c r="I165" s="26" t="str">
        <f t="shared" si="3"/>
        <v/>
      </c>
      <c r="J165" s="85"/>
      <c r="K165" s="26"/>
      <c r="L165" s="30"/>
    </row>
    <row r="166" ht="22.5" customHeight="1">
      <c r="A166" s="25"/>
      <c r="B166" s="23"/>
      <c r="C166" s="24"/>
      <c r="D166" s="24"/>
      <c r="E166" s="24"/>
      <c r="F166" s="26"/>
      <c r="G166" s="30"/>
      <c r="H166" s="30">
        <f t="shared" si="7"/>
        <v>0</v>
      </c>
      <c r="I166" s="26" t="str">
        <f t="shared" si="3"/>
        <v/>
      </c>
      <c r="J166" s="85"/>
      <c r="K166" s="26"/>
      <c r="L166" s="30"/>
    </row>
    <row r="167" ht="22.5" customHeight="1">
      <c r="A167" s="25"/>
      <c r="B167" s="23"/>
      <c r="C167" s="24"/>
      <c r="D167" s="24"/>
      <c r="E167" s="24"/>
      <c r="F167" s="26"/>
      <c r="G167" s="30"/>
      <c r="H167" s="30">
        <f t="shared" si="7"/>
        <v>0</v>
      </c>
      <c r="I167" s="26" t="str">
        <f t="shared" si="3"/>
        <v/>
      </c>
      <c r="J167" s="85"/>
      <c r="K167" s="26"/>
      <c r="L167" s="30"/>
    </row>
    <row r="168" ht="22.5" customHeight="1">
      <c r="A168" s="25"/>
      <c r="B168" s="23"/>
      <c r="C168" s="24"/>
      <c r="D168" s="24"/>
      <c r="E168" s="24"/>
      <c r="F168" s="26"/>
      <c r="G168" s="30"/>
      <c r="H168" s="30">
        <f t="shared" si="7"/>
        <v>0</v>
      </c>
      <c r="I168" s="26" t="str">
        <f t="shared" si="3"/>
        <v/>
      </c>
      <c r="J168" s="85"/>
      <c r="K168" s="26"/>
      <c r="L168" s="30"/>
    </row>
    <row r="169" ht="22.5" customHeight="1">
      <c r="A169" s="25"/>
      <c r="B169" s="23"/>
      <c r="C169" s="24"/>
      <c r="D169" s="24"/>
      <c r="E169" s="24"/>
      <c r="F169" s="26"/>
      <c r="G169" s="30"/>
      <c r="H169" s="30">
        <f t="shared" si="7"/>
        <v>0</v>
      </c>
      <c r="I169" s="26" t="str">
        <f t="shared" si="3"/>
        <v/>
      </c>
      <c r="J169" s="85"/>
      <c r="K169" s="26"/>
      <c r="L169" s="30"/>
    </row>
    <row r="170" ht="22.5" customHeight="1">
      <c r="A170" s="25"/>
      <c r="B170" s="23"/>
      <c r="C170" s="24"/>
      <c r="D170" s="24"/>
      <c r="E170" s="24"/>
      <c r="F170" s="26"/>
      <c r="G170" s="30"/>
      <c r="H170" s="30">
        <f t="shared" si="7"/>
        <v>0</v>
      </c>
      <c r="I170" s="26" t="str">
        <f t="shared" si="3"/>
        <v/>
      </c>
      <c r="J170" s="85"/>
      <c r="K170" s="26"/>
      <c r="L170" s="30"/>
    </row>
    <row r="171" ht="22.5" customHeight="1">
      <c r="A171" s="25"/>
      <c r="B171" s="23"/>
      <c r="C171" s="24"/>
      <c r="D171" s="24"/>
      <c r="E171" s="24"/>
      <c r="F171" s="26"/>
      <c r="G171" s="30"/>
      <c r="H171" s="30">
        <f t="shared" si="7"/>
        <v>0</v>
      </c>
      <c r="I171" s="26" t="str">
        <f t="shared" si="3"/>
        <v/>
      </c>
      <c r="J171" s="85"/>
      <c r="K171" s="26"/>
      <c r="L171" s="30"/>
    </row>
    <row r="172" ht="22.5" customHeight="1">
      <c r="A172" s="25"/>
      <c r="B172" s="23"/>
      <c r="C172" s="24"/>
      <c r="D172" s="24"/>
      <c r="E172" s="24"/>
      <c r="F172" s="26"/>
      <c r="G172" s="30"/>
      <c r="H172" s="30">
        <f t="shared" si="7"/>
        <v>0</v>
      </c>
      <c r="I172" s="26" t="str">
        <f t="shared" si="3"/>
        <v/>
      </c>
      <c r="J172" s="85"/>
      <c r="K172" s="26"/>
      <c r="L172" s="30"/>
    </row>
    <row r="173" ht="22.5" customHeight="1">
      <c r="A173" s="25"/>
      <c r="B173" s="23"/>
      <c r="C173" s="24"/>
      <c r="D173" s="24"/>
      <c r="E173" s="24"/>
      <c r="F173" s="26"/>
      <c r="G173" s="30"/>
      <c r="H173" s="30">
        <f t="shared" si="7"/>
        <v>0</v>
      </c>
      <c r="I173" s="26" t="str">
        <f t="shared" si="3"/>
        <v/>
      </c>
      <c r="J173" s="85"/>
      <c r="K173" s="26"/>
      <c r="L173" s="30"/>
    </row>
    <row r="174" ht="22.5" customHeight="1">
      <c r="A174" s="25"/>
      <c r="B174" s="23"/>
      <c r="C174" s="24"/>
      <c r="D174" s="24"/>
      <c r="E174" s="24"/>
      <c r="F174" s="26"/>
      <c r="G174" s="30"/>
      <c r="H174" s="30">
        <f t="shared" si="7"/>
        <v>0</v>
      </c>
      <c r="I174" s="26" t="str">
        <f t="shared" si="3"/>
        <v/>
      </c>
      <c r="J174" s="85"/>
      <c r="K174" s="26"/>
      <c r="L174" s="30"/>
    </row>
    <row r="175" ht="22.5" customHeight="1">
      <c r="A175" s="25"/>
      <c r="B175" s="23"/>
      <c r="C175" s="24"/>
      <c r="D175" s="24"/>
      <c r="E175" s="24"/>
      <c r="F175" s="26"/>
      <c r="G175" s="30"/>
      <c r="H175" s="30">
        <f t="shared" si="7"/>
        <v>0</v>
      </c>
      <c r="I175" s="26" t="str">
        <f t="shared" si="3"/>
        <v/>
      </c>
      <c r="J175" s="85"/>
      <c r="K175" s="26"/>
      <c r="L175" s="30"/>
    </row>
    <row r="176" ht="22.5" customHeight="1">
      <c r="A176" s="25"/>
      <c r="B176" s="23"/>
      <c r="C176" s="24"/>
      <c r="D176" s="24"/>
      <c r="E176" s="24"/>
      <c r="F176" s="26"/>
      <c r="G176" s="30"/>
      <c r="H176" s="30">
        <f t="shared" si="7"/>
        <v>0</v>
      </c>
      <c r="I176" s="26" t="str">
        <f t="shared" si="3"/>
        <v/>
      </c>
      <c r="J176" s="85"/>
      <c r="K176" s="26"/>
      <c r="L176" s="30"/>
    </row>
    <row r="177" ht="22.5" customHeight="1">
      <c r="A177" s="25"/>
      <c r="B177" s="23"/>
      <c r="C177" s="24"/>
      <c r="D177" s="24"/>
      <c r="E177" s="24"/>
      <c r="F177" s="26"/>
      <c r="G177" s="30"/>
      <c r="H177" s="30">
        <f t="shared" si="7"/>
        <v>0</v>
      </c>
      <c r="I177" s="26" t="str">
        <f t="shared" si="3"/>
        <v/>
      </c>
      <c r="J177" s="85"/>
      <c r="K177" s="26"/>
      <c r="L177" s="30"/>
    </row>
    <row r="178" ht="22.5" customHeight="1">
      <c r="A178" s="25"/>
      <c r="B178" s="23"/>
      <c r="C178" s="24"/>
      <c r="D178" s="24"/>
      <c r="E178" s="24"/>
      <c r="F178" s="26"/>
      <c r="G178" s="30"/>
      <c r="H178" s="30">
        <f t="shared" si="7"/>
        <v>0</v>
      </c>
      <c r="I178" s="26" t="str">
        <f t="shared" si="3"/>
        <v/>
      </c>
      <c r="J178" s="85"/>
      <c r="K178" s="26"/>
      <c r="L178" s="30"/>
    </row>
    <row r="179" ht="22.5" customHeight="1">
      <c r="A179" s="25"/>
      <c r="B179" s="23"/>
      <c r="C179" s="24"/>
      <c r="D179" s="24"/>
      <c r="E179" s="24"/>
      <c r="F179" s="26"/>
      <c r="G179" s="30"/>
      <c r="H179" s="30">
        <f t="shared" si="7"/>
        <v>0</v>
      </c>
      <c r="I179" s="26" t="str">
        <f t="shared" si="3"/>
        <v/>
      </c>
      <c r="J179" s="85"/>
      <c r="K179" s="26"/>
      <c r="L179" s="30"/>
    </row>
    <row r="180" ht="22.5" customHeight="1">
      <c r="A180" s="25"/>
      <c r="B180" s="23"/>
      <c r="C180" s="24"/>
      <c r="D180" s="24"/>
      <c r="E180" s="24"/>
      <c r="F180" s="26"/>
      <c r="G180" s="30"/>
      <c r="H180" s="30">
        <f t="shared" si="7"/>
        <v>0</v>
      </c>
      <c r="I180" s="26" t="str">
        <f t="shared" si="3"/>
        <v/>
      </c>
      <c r="J180" s="85"/>
      <c r="K180" s="26"/>
      <c r="L180" s="30"/>
    </row>
    <row r="181" ht="22.5" customHeight="1">
      <c r="A181" s="25"/>
      <c r="B181" s="23"/>
      <c r="C181" s="24"/>
      <c r="D181" s="24"/>
      <c r="E181" s="24"/>
      <c r="F181" s="26"/>
      <c r="G181" s="30"/>
      <c r="H181" s="30">
        <f t="shared" si="7"/>
        <v>0</v>
      </c>
      <c r="I181" s="26" t="str">
        <f t="shared" si="3"/>
        <v/>
      </c>
      <c r="J181" s="85"/>
      <c r="K181" s="26"/>
      <c r="L181" s="30"/>
    </row>
    <row r="182" ht="22.5" customHeight="1">
      <c r="A182" s="25"/>
      <c r="B182" s="23"/>
      <c r="C182" s="24"/>
      <c r="D182" s="24"/>
      <c r="E182" s="24"/>
      <c r="F182" s="26"/>
      <c r="G182" s="30"/>
      <c r="H182" s="30">
        <f t="shared" si="7"/>
        <v>0</v>
      </c>
      <c r="I182" s="26" t="str">
        <f t="shared" si="3"/>
        <v/>
      </c>
      <c r="J182" s="85"/>
      <c r="K182" s="26"/>
      <c r="L182" s="30"/>
    </row>
    <row r="183" ht="22.5" customHeight="1">
      <c r="A183" s="25"/>
      <c r="B183" s="23"/>
      <c r="C183" s="24"/>
      <c r="D183" s="24"/>
      <c r="E183" s="24"/>
      <c r="F183" s="26"/>
      <c r="G183" s="30"/>
      <c r="H183" s="30">
        <f t="shared" si="7"/>
        <v>0</v>
      </c>
      <c r="I183" s="26" t="str">
        <f t="shared" si="3"/>
        <v/>
      </c>
      <c r="J183" s="85"/>
      <c r="K183" s="26"/>
      <c r="L183" s="30"/>
    </row>
    <row r="184" ht="22.5" customHeight="1">
      <c r="A184" s="25"/>
      <c r="B184" s="23"/>
      <c r="C184" s="24"/>
      <c r="D184" s="24"/>
      <c r="E184" s="24"/>
      <c r="F184" s="26"/>
      <c r="G184" s="30"/>
      <c r="H184" s="30">
        <f t="shared" si="7"/>
        <v>0</v>
      </c>
      <c r="I184" s="26" t="str">
        <f t="shared" si="3"/>
        <v/>
      </c>
      <c r="J184" s="85"/>
      <c r="K184" s="26"/>
      <c r="L184" s="30"/>
    </row>
    <row r="185" ht="22.5" customHeight="1">
      <c r="A185" s="25"/>
      <c r="B185" s="23"/>
      <c r="C185" s="24"/>
      <c r="D185" s="24"/>
      <c r="E185" s="24"/>
      <c r="F185" s="26"/>
      <c r="G185" s="30"/>
      <c r="H185" s="30">
        <f t="shared" si="7"/>
        <v>0</v>
      </c>
      <c r="I185" s="26" t="str">
        <f t="shared" si="3"/>
        <v/>
      </c>
      <c r="J185" s="85"/>
      <c r="K185" s="26"/>
      <c r="L185" s="30"/>
    </row>
    <row r="186" ht="22.5" customHeight="1">
      <c r="A186" s="25"/>
      <c r="B186" s="23"/>
      <c r="C186" s="24"/>
      <c r="D186" s="24"/>
      <c r="E186" s="24"/>
      <c r="F186" s="26"/>
      <c r="G186" s="30"/>
      <c r="H186" s="30">
        <f t="shared" si="7"/>
        <v>0</v>
      </c>
      <c r="I186" s="26" t="str">
        <f t="shared" si="3"/>
        <v/>
      </c>
      <c r="J186" s="85"/>
      <c r="K186" s="26"/>
      <c r="L186" s="30"/>
    </row>
    <row r="187" ht="22.5" customHeight="1">
      <c r="A187" s="25"/>
      <c r="B187" s="23"/>
      <c r="C187" s="24"/>
      <c r="D187" s="24"/>
      <c r="E187" s="24"/>
      <c r="F187" s="26"/>
      <c r="G187" s="30"/>
      <c r="H187" s="30">
        <f t="shared" si="7"/>
        <v>0</v>
      </c>
      <c r="I187" s="26" t="str">
        <f t="shared" si="3"/>
        <v/>
      </c>
      <c r="J187" s="85"/>
      <c r="K187" s="26"/>
      <c r="L187" s="30"/>
    </row>
    <row r="188" ht="22.5" customHeight="1">
      <c r="A188" s="25"/>
      <c r="B188" s="23"/>
      <c r="C188" s="24"/>
      <c r="D188" s="24"/>
      <c r="E188" s="24"/>
      <c r="F188" s="26"/>
      <c r="G188" s="30"/>
      <c r="H188" s="30">
        <f t="shared" si="7"/>
        <v>0</v>
      </c>
      <c r="I188" s="26" t="str">
        <f t="shared" si="3"/>
        <v/>
      </c>
      <c r="J188" s="85"/>
      <c r="K188" s="26"/>
      <c r="L188" s="30"/>
    </row>
    <row r="189" ht="22.5" customHeight="1">
      <c r="A189" s="25"/>
      <c r="B189" s="23"/>
      <c r="C189" s="24"/>
      <c r="D189" s="24"/>
      <c r="E189" s="24"/>
      <c r="F189" s="26"/>
      <c r="G189" s="30"/>
      <c r="H189" s="30">
        <f t="shared" si="7"/>
        <v>0</v>
      </c>
      <c r="I189" s="26" t="str">
        <f t="shared" si="3"/>
        <v/>
      </c>
      <c r="J189" s="85"/>
      <c r="K189" s="26"/>
      <c r="L189" s="30"/>
    </row>
    <row r="190" ht="22.5" customHeight="1">
      <c r="A190" s="25"/>
      <c r="B190" s="23"/>
      <c r="C190" s="24"/>
      <c r="D190" s="24"/>
      <c r="E190" s="24"/>
      <c r="F190" s="26"/>
      <c r="G190" s="30"/>
      <c r="H190" s="30">
        <f t="shared" si="7"/>
        <v>0</v>
      </c>
      <c r="I190" s="26" t="str">
        <f t="shared" si="3"/>
        <v/>
      </c>
      <c r="J190" s="85"/>
      <c r="K190" s="26"/>
      <c r="L190" s="30"/>
    </row>
    <row r="191" ht="22.5" customHeight="1">
      <c r="A191" s="25"/>
      <c r="B191" s="23"/>
      <c r="C191" s="24"/>
      <c r="D191" s="24"/>
      <c r="E191" s="24"/>
      <c r="F191" s="26"/>
      <c r="G191" s="30"/>
      <c r="H191" s="30">
        <f t="shared" si="7"/>
        <v>0</v>
      </c>
      <c r="I191" s="26" t="str">
        <f t="shared" si="3"/>
        <v/>
      </c>
      <c r="J191" s="85"/>
      <c r="K191" s="26"/>
      <c r="L191" s="30"/>
    </row>
    <row r="192" ht="22.5" customHeight="1">
      <c r="A192" s="25"/>
      <c r="B192" s="23"/>
      <c r="C192" s="24"/>
      <c r="D192" s="24"/>
      <c r="E192" s="24"/>
      <c r="F192" s="26"/>
      <c r="G192" s="30"/>
      <c r="H192" s="30">
        <f t="shared" si="7"/>
        <v>0</v>
      </c>
      <c r="I192" s="26" t="str">
        <f t="shared" si="3"/>
        <v/>
      </c>
      <c r="J192" s="85"/>
      <c r="K192" s="26"/>
      <c r="L192" s="30"/>
    </row>
    <row r="193" ht="22.5" customHeight="1">
      <c r="A193" s="25"/>
      <c r="B193" s="23"/>
      <c r="C193" s="24"/>
      <c r="D193" s="24"/>
      <c r="E193" s="24"/>
      <c r="F193" s="26"/>
      <c r="G193" s="30"/>
      <c r="H193" s="30">
        <f t="shared" si="7"/>
        <v>0</v>
      </c>
      <c r="I193" s="26" t="str">
        <f t="shared" si="3"/>
        <v/>
      </c>
      <c r="J193" s="85"/>
      <c r="K193" s="26"/>
      <c r="L193" s="30"/>
    </row>
    <row r="194" ht="22.5" customHeight="1">
      <c r="A194" s="25"/>
      <c r="B194" s="23"/>
      <c r="C194" s="24"/>
      <c r="D194" s="24"/>
      <c r="E194" s="24"/>
      <c r="F194" s="26"/>
      <c r="G194" s="30"/>
      <c r="H194" s="30">
        <f t="shared" si="7"/>
        <v>0</v>
      </c>
      <c r="I194" s="26" t="str">
        <f t="shared" si="3"/>
        <v/>
      </c>
      <c r="J194" s="85"/>
      <c r="K194" s="26"/>
      <c r="L194" s="30"/>
    </row>
    <row r="195" ht="22.5" customHeight="1">
      <c r="A195" s="25"/>
      <c r="B195" s="23"/>
      <c r="C195" s="24"/>
      <c r="D195" s="24"/>
      <c r="E195" s="24"/>
      <c r="F195" s="26"/>
      <c r="G195" s="30"/>
      <c r="H195" s="30">
        <f t="shared" si="7"/>
        <v>0</v>
      </c>
      <c r="I195" s="26" t="str">
        <f t="shared" si="3"/>
        <v/>
      </c>
      <c r="J195" s="85"/>
      <c r="K195" s="26"/>
      <c r="L195" s="30"/>
    </row>
    <row r="196" ht="22.5" customHeight="1">
      <c r="A196" s="25"/>
      <c r="B196" s="23"/>
      <c r="C196" s="24"/>
      <c r="D196" s="24"/>
      <c r="E196" s="24"/>
      <c r="F196" s="26"/>
      <c r="G196" s="30"/>
      <c r="H196" s="30">
        <f t="shared" si="7"/>
        <v>0</v>
      </c>
      <c r="I196" s="26" t="str">
        <f t="shared" si="3"/>
        <v/>
      </c>
      <c r="J196" s="85"/>
      <c r="K196" s="26"/>
      <c r="L196" s="30"/>
    </row>
    <row r="197" ht="22.5" customHeight="1">
      <c r="A197" s="25"/>
      <c r="B197" s="23"/>
      <c r="C197" s="24"/>
      <c r="D197" s="24"/>
      <c r="E197" s="24"/>
      <c r="F197" s="26"/>
      <c r="G197" s="30"/>
      <c r="H197" s="30">
        <f t="shared" si="7"/>
        <v>0</v>
      </c>
      <c r="I197" s="26" t="str">
        <f t="shared" si="3"/>
        <v/>
      </c>
      <c r="J197" s="85"/>
      <c r="K197" s="26"/>
      <c r="L197" s="30"/>
    </row>
    <row r="198" ht="22.5" customHeight="1">
      <c r="A198" s="25"/>
      <c r="B198" s="23"/>
      <c r="C198" s="24"/>
      <c r="D198" s="24"/>
      <c r="E198" s="24"/>
      <c r="F198" s="26"/>
      <c r="G198" s="30"/>
      <c r="H198" s="30">
        <f t="shared" si="7"/>
        <v>0</v>
      </c>
      <c r="I198" s="26" t="str">
        <f t="shared" si="3"/>
        <v/>
      </c>
      <c r="J198" s="85"/>
      <c r="K198" s="26"/>
      <c r="L198" s="30"/>
    </row>
    <row r="199" ht="22.5" customHeight="1">
      <c r="A199" s="25"/>
      <c r="B199" s="23"/>
      <c r="C199" s="24"/>
      <c r="D199" s="24"/>
      <c r="E199" s="24"/>
      <c r="F199" s="26"/>
      <c r="G199" s="30"/>
      <c r="H199" s="30">
        <f t="shared" si="7"/>
        <v>0</v>
      </c>
      <c r="I199" s="26" t="str">
        <f t="shared" si="3"/>
        <v/>
      </c>
      <c r="J199" s="85"/>
      <c r="K199" s="26"/>
      <c r="L199" s="30"/>
    </row>
    <row r="200" ht="22.5" customHeight="1">
      <c r="A200" s="25"/>
      <c r="B200" s="23"/>
      <c r="C200" s="24"/>
      <c r="D200" s="24"/>
      <c r="E200" s="24"/>
      <c r="F200" s="26"/>
      <c r="G200" s="30"/>
      <c r="H200" s="30">
        <f t="shared" si="7"/>
        <v>0</v>
      </c>
      <c r="I200" s="26" t="str">
        <f t="shared" si="3"/>
        <v/>
      </c>
      <c r="J200" s="85"/>
      <c r="K200" s="26"/>
      <c r="L200" s="30"/>
    </row>
    <row r="201" ht="22.5" customHeight="1">
      <c r="A201" s="25"/>
      <c r="B201" s="23"/>
      <c r="C201" s="24"/>
      <c r="D201" s="24"/>
      <c r="E201" s="24"/>
      <c r="F201" s="26"/>
      <c r="G201" s="30"/>
      <c r="H201" s="30">
        <f t="shared" si="7"/>
        <v>0</v>
      </c>
      <c r="I201" s="26" t="str">
        <f t="shared" si="3"/>
        <v/>
      </c>
      <c r="J201" s="85"/>
      <c r="K201" s="26"/>
      <c r="L201" s="30"/>
    </row>
    <row r="202" ht="22.5" customHeight="1">
      <c r="A202" s="25"/>
      <c r="B202" s="23"/>
      <c r="C202" s="24"/>
      <c r="D202" s="24"/>
      <c r="E202" s="24"/>
      <c r="F202" s="26"/>
      <c r="G202" s="30"/>
      <c r="H202" s="30">
        <f t="shared" si="7"/>
        <v>0</v>
      </c>
      <c r="I202" s="26" t="str">
        <f t="shared" si="3"/>
        <v/>
      </c>
      <c r="J202" s="85"/>
      <c r="K202" s="26"/>
      <c r="L202" s="30"/>
    </row>
    <row r="203" ht="22.5" customHeight="1">
      <c r="A203" s="25"/>
      <c r="B203" s="23"/>
      <c r="C203" s="24"/>
      <c r="D203" s="24"/>
      <c r="E203" s="24"/>
      <c r="F203" s="26"/>
      <c r="G203" s="30"/>
      <c r="H203" s="30">
        <f t="shared" si="7"/>
        <v>0</v>
      </c>
      <c r="I203" s="26" t="str">
        <f t="shared" si="3"/>
        <v/>
      </c>
      <c r="J203" s="85"/>
      <c r="K203" s="26"/>
      <c r="L203" s="30"/>
    </row>
    <row r="204" ht="22.5" customHeight="1">
      <c r="A204" s="25"/>
      <c r="B204" s="23"/>
      <c r="C204" s="24"/>
      <c r="D204" s="24"/>
      <c r="E204" s="24"/>
      <c r="F204" s="26"/>
      <c r="G204" s="30"/>
      <c r="H204" s="30">
        <f t="shared" si="7"/>
        <v>0</v>
      </c>
      <c r="I204" s="26" t="str">
        <f t="shared" si="3"/>
        <v/>
      </c>
      <c r="J204" s="85"/>
      <c r="K204" s="26"/>
      <c r="L204" s="30"/>
    </row>
    <row r="205" ht="22.5" customHeight="1">
      <c r="A205" s="25"/>
      <c r="B205" s="23"/>
      <c r="C205" s="24"/>
      <c r="D205" s="24"/>
      <c r="E205" s="24"/>
      <c r="F205" s="26"/>
      <c r="G205" s="30"/>
      <c r="H205" s="30">
        <f t="shared" si="7"/>
        <v>0</v>
      </c>
      <c r="I205" s="26" t="str">
        <f t="shared" si="3"/>
        <v/>
      </c>
      <c r="J205" s="85"/>
      <c r="K205" s="26"/>
      <c r="L205" s="30"/>
    </row>
    <row r="206" ht="22.5" customHeight="1">
      <c r="A206" s="25"/>
      <c r="B206" s="23"/>
      <c r="C206" s="24"/>
      <c r="D206" s="24"/>
      <c r="E206" s="24"/>
      <c r="F206" s="26"/>
      <c r="G206" s="30"/>
      <c r="H206" s="30">
        <f t="shared" si="7"/>
        <v>0</v>
      </c>
      <c r="I206" s="26" t="str">
        <f t="shared" si="3"/>
        <v/>
      </c>
      <c r="J206" s="85"/>
      <c r="K206" s="26"/>
      <c r="L206" s="30"/>
    </row>
    <row r="207" ht="22.5" customHeight="1">
      <c r="A207" s="25"/>
      <c r="B207" s="23"/>
      <c r="C207" s="24"/>
      <c r="D207" s="24"/>
      <c r="E207" s="24"/>
      <c r="F207" s="26"/>
      <c r="G207" s="30"/>
      <c r="H207" s="30">
        <f t="shared" si="7"/>
        <v>0</v>
      </c>
      <c r="I207" s="26" t="str">
        <f t="shared" si="3"/>
        <v/>
      </c>
      <c r="J207" s="85"/>
      <c r="K207" s="26"/>
      <c r="L207" s="30"/>
    </row>
    <row r="208" ht="22.5" customHeight="1">
      <c r="A208" s="25"/>
      <c r="B208" s="23"/>
      <c r="C208" s="24"/>
      <c r="D208" s="24"/>
      <c r="E208" s="24"/>
      <c r="F208" s="26"/>
      <c r="G208" s="30"/>
      <c r="H208" s="30">
        <f t="shared" si="7"/>
        <v>0</v>
      </c>
      <c r="I208" s="26" t="str">
        <f t="shared" si="3"/>
        <v/>
      </c>
      <c r="J208" s="85"/>
      <c r="K208" s="26"/>
      <c r="L208" s="30"/>
    </row>
    <row r="209" ht="22.5" customHeight="1">
      <c r="A209" s="25"/>
      <c r="B209" s="23"/>
      <c r="C209" s="24"/>
      <c r="D209" s="24"/>
      <c r="E209" s="24"/>
      <c r="F209" s="26"/>
      <c r="G209" s="30"/>
      <c r="H209" s="30">
        <f t="shared" si="7"/>
        <v>0</v>
      </c>
      <c r="I209" s="26" t="str">
        <f t="shared" si="3"/>
        <v/>
      </c>
      <c r="J209" s="85"/>
      <c r="K209" s="26"/>
      <c r="L209" s="30"/>
    </row>
    <row r="210" ht="22.5" customHeight="1">
      <c r="A210" s="25"/>
      <c r="B210" s="23"/>
      <c r="C210" s="24"/>
      <c r="D210" s="24"/>
      <c r="E210" s="24"/>
      <c r="F210" s="26"/>
      <c r="G210" s="30"/>
      <c r="H210" s="30">
        <f t="shared" si="7"/>
        <v>0</v>
      </c>
      <c r="I210" s="26" t="str">
        <f t="shared" si="3"/>
        <v/>
      </c>
      <c r="J210" s="85"/>
      <c r="K210" s="26"/>
      <c r="L210" s="30"/>
    </row>
    <row r="211" ht="22.5" customHeight="1">
      <c r="A211" s="25"/>
      <c r="B211" s="23"/>
      <c r="C211" s="24"/>
      <c r="D211" s="24"/>
      <c r="E211" s="24"/>
      <c r="F211" s="26"/>
      <c r="G211" s="30"/>
      <c r="H211" s="30">
        <f t="shared" si="7"/>
        <v>0</v>
      </c>
      <c r="I211" s="26" t="str">
        <f t="shared" si="3"/>
        <v/>
      </c>
      <c r="J211" s="85"/>
      <c r="K211" s="26"/>
      <c r="L211" s="30"/>
    </row>
    <row r="212" ht="22.5" customHeight="1">
      <c r="A212" s="25"/>
      <c r="B212" s="23"/>
      <c r="C212" s="24"/>
      <c r="D212" s="24"/>
      <c r="E212" s="24"/>
      <c r="F212" s="26"/>
      <c r="G212" s="30"/>
      <c r="H212" s="30">
        <f t="shared" si="7"/>
        <v>0</v>
      </c>
      <c r="I212" s="26" t="str">
        <f t="shared" si="3"/>
        <v/>
      </c>
      <c r="J212" s="85"/>
      <c r="K212" s="26"/>
      <c r="L212" s="30"/>
    </row>
    <row r="213" ht="22.5" customHeight="1">
      <c r="A213" s="25"/>
      <c r="B213" s="23"/>
      <c r="C213" s="24"/>
      <c r="D213" s="24"/>
      <c r="E213" s="24"/>
      <c r="F213" s="26"/>
      <c r="G213" s="30"/>
      <c r="H213" s="30">
        <f t="shared" si="7"/>
        <v>0</v>
      </c>
      <c r="I213" s="26" t="str">
        <f t="shared" si="3"/>
        <v/>
      </c>
      <c r="J213" s="85"/>
      <c r="K213" s="26"/>
      <c r="L213" s="30"/>
    </row>
    <row r="214" ht="22.5" customHeight="1">
      <c r="A214" s="25"/>
      <c r="B214" s="23"/>
      <c r="C214" s="24"/>
      <c r="D214" s="24"/>
      <c r="E214" s="24"/>
      <c r="F214" s="26"/>
      <c r="G214" s="30"/>
      <c r="H214" s="30">
        <f t="shared" si="7"/>
        <v>0</v>
      </c>
      <c r="I214" s="26" t="str">
        <f t="shared" si="3"/>
        <v/>
      </c>
      <c r="J214" s="85"/>
      <c r="K214" s="26"/>
      <c r="L214" s="30"/>
    </row>
    <row r="215" ht="22.5" customHeight="1">
      <c r="A215" s="25"/>
      <c r="B215" s="23"/>
      <c r="C215" s="24"/>
      <c r="D215" s="24"/>
      <c r="E215" s="24"/>
      <c r="F215" s="26"/>
      <c r="G215" s="30"/>
      <c r="H215" s="30">
        <f t="shared" si="7"/>
        <v>0</v>
      </c>
      <c r="I215" s="26" t="str">
        <f t="shared" si="3"/>
        <v/>
      </c>
      <c r="J215" s="85"/>
      <c r="K215" s="26"/>
      <c r="L215" s="30"/>
    </row>
    <row r="216" ht="22.5" customHeight="1">
      <c r="A216" s="25"/>
      <c r="B216" s="23"/>
      <c r="C216" s="24"/>
      <c r="D216" s="24"/>
      <c r="E216" s="24"/>
      <c r="F216" s="26"/>
      <c r="G216" s="30"/>
      <c r="H216" s="30">
        <f t="shared" si="7"/>
        <v>0</v>
      </c>
      <c r="I216" s="26" t="str">
        <f t="shared" si="3"/>
        <v/>
      </c>
      <c r="J216" s="85"/>
      <c r="K216" s="26"/>
      <c r="L216" s="30"/>
    </row>
    <row r="217" ht="22.5" customHeight="1">
      <c r="A217" s="25"/>
      <c r="B217" s="23"/>
      <c r="C217" s="24"/>
      <c r="D217" s="24"/>
      <c r="E217" s="24"/>
      <c r="F217" s="26"/>
      <c r="G217" s="30"/>
      <c r="H217" s="30">
        <f t="shared" si="7"/>
        <v>0</v>
      </c>
      <c r="I217" s="26" t="str">
        <f t="shared" si="3"/>
        <v/>
      </c>
      <c r="J217" s="85"/>
      <c r="K217" s="26"/>
      <c r="L217" s="30"/>
    </row>
    <row r="218" ht="22.5" customHeight="1">
      <c r="A218" s="25"/>
      <c r="B218" s="23"/>
      <c r="C218" s="24"/>
      <c r="D218" s="24"/>
      <c r="E218" s="24"/>
      <c r="F218" s="26"/>
      <c r="G218" s="30"/>
      <c r="H218" s="30">
        <f t="shared" si="7"/>
        <v>0</v>
      </c>
      <c r="I218" s="26" t="str">
        <f t="shared" si="3"/>
        <v/>
      </c>
      <c r="J218" s="85"/>
      <c r="K218" s="26"/>
      <c r="L218" s="30"/>
    </row>
    <row r="219" ht="22.5" customHeight="1">
      <c r="A219" s="25"/>
      <c r="B219" s="23"/>
      <c r="C219" s="24"/>
      <c r="D219" s="24"/>
      <c r="E219" s="24"/>
      <c r="F219" s="26"/>
      <c r="G219" s="30"/>
      <c r="H219" s="30">
        <f t="shared" si="7"/>
        <v>0</v>
      </c>
      <c r="I219" s="26" t="str">
        <f t="shared" si="3"/>
        <v/>
      </c>
      <c r="J219" s="85"/>
      <c r="K219" s="26"/>
      <c r="L219" s="30"/>
    </row>
    <row r="220" ht="22.5" customHeight="1">
      <c r="A220" s="25"/>
      <c r="B220" s="23"/>
      <c r="C220" s="24"/>
      <c r="D220" s="24"/>
      <c r="E220" s="24"/>
      <c r="F220" s="26"/>
      <c r="G220" s="30"/>
      <c r="H220" s="30">
        <f t="shared" si="7"/>
        <v>0</v>
      </c>
      <c r="I220" s="26" t="str">
        <f t="shared" si="3"/>
        <v/>
      </c>
      <c r="J220" s="85"/>
      <c r="K220" s="26"/>
      <c r="L220" s="30"/>
    </row>
    <row r="221" ht="22.5" customHeight="1">
      <c r="A221" s="25"/>
      <c r="B221" s="23"/>
      <c r="C221" s="24"/>
      <c r="D221" s="24"/>
      <c r="E221" s="24"/>
      <c r="F221" s="26"/>
      <c r="G221" s="30"/>
      <c r="H221" s="30">
        <f t="shared" si="7"/>
        <v>0</v>
      </c>
      <c r="I221" s="26" t="str">
        <f t="shared" si="3"/>
        <v/>
      </c>
      <c r="J221" s="85"/>
      <c r="K221" s="26"/>
      <c r="L221" s="30"/>
    </row>
    <row r="222" ht="22.5" customHeight="1">
      <c r="A222" s="25"/>
      <c r="B222" s="23"/>
      <c r="C222" s="24"/>
      <c r="D222" s="24"/>
      <c r="E222" s="24"/>
      <c r="F222" s="26"/>
      <c r="G222" s="30"/>
      <c r="H222" s="30">
        <f t="shared" si="7"/>
        <v>0</v>
      </c>
      <c r="I222" s="26" t="str">
        <f t="shared" si="3"/>
        <v/>
      </c>
      <c r="J222" s="85"/>
      <c r="K222" s="26"/>
      <c r="L222" s="30"/>
    </row>
    <row r="223" ht="22.5" customHeight="1">
      <c r="A223" s="25"/>
      <c r="B223" s="23"/>
      <c r="C223" s="24"/>
      <c r="D223" s="24"/>
      <c r="E223" s="24"/>
      <c r="F223" s="26"/>
      <c r="G223" s="30"/>
      <c r="H223" s="30">
        <f t="shared" si="7"/>
        <v>0</v>
      </c>
      <c r="I223" s="26" t="str">
        <f t="shared" si="3"/>
        <v/>
      </c>
      <c r="J223" s="85"/>
      <c r="K223" s="26"/>
      <c r="L223" s="30"/>
    </row>
    <row r="224" ht="22.5" customHeight="1">
      <c r="A224" s="25"/>
      <c r="B224" s="23"/>
      <c r="C224" s="24"/>
      <c r="D224" s="24"/>
      <c r="E224" s="24"/>
      <c r="F224" s="26"/>
      <c r="G224" s="30"/>
      <c r="H224" s="30">
        <f t="shared" si="7"/>
        <v>0</v>
      </c>
      <c r="I224" s="26" t="str">
        <f t="shared" si="3"/>
        <v/>
      </c>
      <c r="J224" s="85"/>
      <c r="K224" s="26"/>
      <c r="L224" s="30"/>
    </row>
    <row r="225" ht="22.5" customHeight="1">
      <c r="A225" s="25"/>
      <c r="B225" s="23"/>
      <c r="C225" s="24"/>
      <c r="D225" s="24"/>
      <c r="E225" s="24"/>
      <c r="F225" s="26"/>
      <c r="G225" s="30"/>
      <c r="H225" s="30">
        <f t="shared" si="7"/>
        <v>0</v>
      </c>
      <c r="I225" s="26" t="str">
        <f t="shared" si="3"/>
        <v/>
      </c>
      <c r="J225" s="85"/>
      <c r="K225" s="26"/>
      <c r="L225" s="30"/>
    </row>
    <row r="226" ht="22.5" customHeight="1">
      <c r="A226" s="25"/>
      <c r="B226" s="23"/>
      <c r="C226" s="24"/>
      <c r="D226" s="24"/>
      <c r="E226" s="24"/>
      <c r="F226" s="26"/>
      <c r="G226" s="30"/>
      <c r="H226" s="30">
        <f t="shared" si="7"/>
        <v>0</v>
      </c>
      <c r="I226" s="26" t="str">
        <f t="shared" si="3"/>
        <v/>
      </c>
      <c r="J226" s="85"/>
      <c r="K226" s="26"/>
      <c r="L226" s="30"/>
    </row>
    <row r="227" ht="22.5" customHeight="1">
      <c r="A227" s="25"/>
      <c r="B227" s="23"/>
      <c r="C227" s="24"/>
      <c r="D227" s="24"/>
      <c r="E227" s="24"/>
      <c r="F227" s="26"/>
      <c r="G227" s="30"/>
      <c r="H227" s="30">
        <f t="shared" si="7"/>
        <v>0</v>
      </c>
      <c r="I227" s="26" t="str">
        <f t="shared" si="3"/>
        <v/>
      </c>
      <c r="J227" s="85"/>
      <c r="K227" s="26"/>
      <c r="L227" s="30"/>
    </row>
    <row r="228" ht="22.5" customHeight="1">
      <c r="A228" s="25"/>
      <c r="B228" s="23"/>
      <c r="C228" s="24"/>
      <c r="D228" s="24"/>
      <c r="E228" s="24"/>
      <c r="F228" s="26"/>
      <c r="G228" s="30"/>
      <c r="H228" s="30">
        <f t="shared" si="7"/>
        <v>0</v>
      </c>
      <c r="I228" s="26" t="str">
        <f t="shared" si="3"/>
        <v/>
      </c>
      <c r="J228" s="85"/>
      <c r="K228" s="26"/>
      <c r="L228" s="30"/>
    </row>
    <row r="229" ht="22.5" customHeight="1">
      <c r="A229" s="25"/>
      <c r="B229" s="23"/>
      <c r="C229" s="24"/>
      <c r="D229" s="24"/>
      <c r="E229" s="24"/>
      <c r="F229" s="26"/>
      <c r="G229" s="30"/>
      <c r="H229" s="30">
        <f t="shared" si="7"/>
        <v>0</v>
      </c>
      <c r="I229" s="26" t="str">
        <f t="shared" si="3"/>
        <v/>
      </c>
      <c r="J229" s="85"/>
      <c r="K229" s="26"/>
      <c r="L229" s="30"/>
    </row>
    <row r="230" ht="22.5" customHeight="1">
      <c r="A230" s="25"/>
      <c r="B230" s="23"/>
      <c r="C230" s="24"/>
      <c r="D230" s="24"/>
      <c r="E230" s="24"/>
      <c r="F230" s="26"/>
      <c r="G230" s="30"/>
      <c r="H230" s="30">
        <f t="shared" si="7"/>
        <v>0</v>
      </c>
      <c r="I230" s="26" t="str">
        <f t="shared" si="3"/>
        <v/>
      </c>
      <c r="J230" s="85"/>
      <c r="K230" s="26"/>
      <c r="L230" s="30"/>
    </row>
    <row r="231" ht="22.5" customHeight="1">
      <c r="A231" s="25"/>
      <c r="B231" s="23"/>
      <c r="C231" s="24"/>
      <c r="D231" s="24"/>
      <c r="E231" s="24"/>
      <c r="F231" s="26"/>
      <c r="G231" s="30"/>
      <c r="H231" s="30">
        <f t="shared" si="7"/>
        <v>0</v>
      </c>
      <c r="I231" s="26" t="str">
        <f t="shared" si="3"/>
        <v/>
      </c>
      <c r="J231" s="85"/>
      <c r="K231" s="26"/>
      <c r="L231" s="30"/>
    </row>
    <row r="232" ht="22.5" customHeight="1">
      <c r="A232" s="25"/>
      <c r="B232" s="23"/>
      <c r="C232" s="24"/>
      <c r="D232" s="24"/>
      <c r="E232" s="24"/>
      <c r="F232" s="26"/>
      <c r="G232" s="30"/>
      <c r="H232" s="30">
        <f t="shared" si="7"/>
        <v>0</v>
      </c>
      <c r="I232" s="26" t="str">
        <f t="shared" si="3"/>
        <v/>
      </c>
      <c r="J232" s="85"/>
      <c r="K232" s="26"/>
      <c r="L232" s="30"/>
    </row>
    <row r="233" ht="22.5" customHeight="1">
      <c r="A233" s="25"/>
      <c r="B233" s="23"/>
      <c r="C233" s="24"/>
      <c r="D233" s="24"/>
      <c r="E233" s="24"/>
      <c r="F233" s="26"/>
      <c r="G233" s="30"/>
      <c r="H233" s="30">
        <f t="shared" si="7"/>
        <v>0</v>
      </c>
      <c r="I233" s="26" t="str">
        <f t="shared" si="3"/>
        <v/>
      </c>
      <c r="J233" s="85"/>
      <c r="K233" s="26"/>
      <c r="L233" s="30"/>
    </row>
    <row r="234" ht="22.5" customHeight="1">
      <c r="A234" s="25"/>
      <c r="B234" s="23"/>
      <c r="C234" s="24"/>
      <c r="D234" s="24"/>
      <c r="E234" s="24"/>
      <c r="F234" s="26"/>
      <c r="G234" s="30"/>
      <c r="H234" s="30">
        <f t="shared" si="7"/>
        <v>0</v>
      </c>
      <c r="I234" s="26" t="str">
        <f t="shared" si="3"/>
        <v/>
      </c>
      <c r="J234" s="85"/>
      <c r="K234" s="26"/>
      <c r="L234" s="30"/>
    </row>
    <row r="235" ht="22.5" customHeight="1">
      <c r="A235" s="25"/>
      <c r="B235" s="23"/>
      <c r="C235" s="24"/>
      <c r="D235" s="24"/>
      <c r="E235" s="24"/>
      <c r="F235" s="26"/>
      <c r="G235" s="30"/>
      <c r="H235" s="30">
        <f t="shared" si="7"/>
        <v>0</v>
      </c>
      <c r="I235" s="26" t="str">
        <f t="shared" si="3"/>
        <v/>
      </c>
      <c r="J235" s="85"/>
      <c r="K235" s="26"/>
      <c r="L235" s="30"/>
    </row>
    <row r="236" ht="22.5" customHeight="1">
      <c r="A236" s="25"/>
      <c r="B236" s="23"/>
      <c r="C236" s="24"/>
      <c r="D236" s="24"/>
      <c r="E236" s="24"/>
      <c r="F236" s="26"/>
      <c r="G236" s="30"/>
      <c r="H236" s="30">
        <f t="shared" si="7"/>
        <v>0</v>
      </c>
      <c r="I236" s="26" t="str">
        <f t="shared" si="3"/>
        <v/>
      </c>
      <c r="J236" s="85"/>
      <c r="K236" s="26"/>
      <c r="L236" s="30"/>
    </row>
    <row r="237" ht="22.5" customHeight="1">
      <c r="A237" s="25"/>
      <c r="B237" s="23"/>
      <c r="C237" s="24"/>
      <c r="D237" s="24"/>
      <c r="E237" s="24"/>
      <c r="F237" s="26"/>
      <c r="G237" s="30"/>
      <c r="H237" s="30">
        <f t="shared" si="7"/>
        <v>0</v>
      </c>
      <c r="I237" s="26" t="str">
        <f t="shared" si="3"/>
        <v/>
      </c>
      <c r="J237" s="85"/>
      <c r="K237" s="26"/>
      <c r="L237" s="30"/>
    </row>
    <row r="238" ht="22.5" customHeight="1">
      <c r="A238" s="25"/>
      <c r="B238" s="23"/>
      <c r="C238" s="24"/>
      <c r="D238" s="24"/>
      <c r="E238" s="24"/>
      <c r="F238" s="26"/>
      <c r="G238" s="30"/>
      <c r="H238" s="30">
        <f t="shared" si="7"/>
        <v>0</v>
      </c>
      <c r="I238" s="26" t="str">
        <f t="shared" si="3"/>
        <v/>
      </c>
      <c r="J238" s="85"/>
      <c r="K238" s="26"/>
      <c r="L238" s="30"/>
    </row>
    <row r="239" ht="22.5" customHeight="1">
      <c r="A239" s="25"/>
      <c r="B239" s="23"/>
      <c r="C239" s="24"/>
      <c r="D239" s="24"/>
      <c r="E239" s="24"/>
      <c r="F239" s="26"/>
      <c r="G239" s="30"/>
      <c r="H239" s="30">
        <f t="shared" si="7"/>
        <v>0</v>
      </c>
      <c r="I239" s="26" t="str">
        <f t="shared" si="3"/>
        <v/>
      </c>
      <c r="J239" s="85"/>
      <c r="K239" s="26"/>
      <c r="L239" s="30"/>
    </row>
    <row r="240" ht="22.5" customHeight="1">
      <c r="A240" s="25"/>
      <c r="B240" s="23"/>
      <c r="C240" s="24"/>
      <c r="D240" s="24"/>
      <c r="E240" s="24"/>
      <c r="F240" s="26"/>
      <c r="G240" s="30"/>
      <c r="H240" s="30">
        <f t="shared" si="7"/>
        <v>0</v>
      </c>
      <c r="I240" s="26" t="str">
        <f t="shared" si="3"/>
        <v/>
      </c>
      <c r="J240" s="85"/>
      <c r="K240" s="26"/>
      <c r="L240" s="30"/>
    </row>
    <row r="241" ht="22.5" customHeight="1">
      <c r="A241" s="25"/>
      <c r="B241" s="23"/>
      <c r="C241" s="24"/>
      <c r="D241" s="24"/>
      <c r="E241" s="24"/>
      <c r="F241" s="26"/>
      <c r="G241" s="30"/>
      <c r="H241" s="30">
        <f t="shared" si="7"/>
        <v>0</v>
      </c>
      <c r="I241" s="26" t="str">
        <f t="shared" si="3"/>
        <v/>
      </c>
      <c r="J241" s="85"/>
      <c r="K241" s="26"/>
      <c r="L241" s="30"/>
    </row>
    <row r="242" ht="22.5" customHeight="1">
      <c r="A242" s="25"/>
      <c r="B242" s="23"/>
      <c r="C242" s="24"/>
      <c r="D242" s="24"/>
      <c r="E242" s="24"/>
      <c r="F242" s="26"/>
      <c r="G242" s="30"/>
      <c r="H242" s="30">
        <f t="shared" si="7"/>
        <v>0</v>
      </c>
      <c r="I242" s="26" t="str">
        <f t="shared" si="3"/>
        <v/>
      </c>
      <c r="J242" s="85"/>
      <c r="K242" s="26"/>
      <c r="L242" s="30"/>
    </row>
    <row r="243" ht="22.5" customHeight="1">
      <c r="A243" s="25"/>
      <c r="B243" s="23"/>
      <c r="C243" s="24"/>
      <c r="D243" s="24"/>
      <c r="E243" s="24"/>
      <c r="F243" s="26"/>
      <c r="G243" s="30"/>
      <c r="H243" s="30">
        <f t="shared" si="7"/>
        <v>0</v>
      </c>
      <c r="I243" s="26" t="str">
        <f t="shared" si="3"/>
        <v/>
      </c>
      <c r="J243" s="85"/>
      <c r="K243" s="26"/>
      <c r="L243" s="30"/>
    </row>
    <row r="244" ht="22.5" customHeight="1">
      <c r="A244" s="25"/>
      <c r="B244" s="23"/>
      <c r="C244" s="24"/>
      <c r="D244" s="24"/>
      <c r="E244" s="24"/>
      <c r="F244" s="26"/>
      <c r="G244" s="30"/>
      <c r="H244" s="30">
        <f t="shared" si="7"/>
        <v>0</v>
      </c>
      <c r="I244" s="26" t="str">
        <f t="shared" si="3"/>
        <v/>
      </c>
      <c r="J244" s="85"/>
      <c r="K244" s="26"/>
      <c r="L244" s="30"/>
    </row>
    <row r="245" ht="22.5" customHeight="1">
      <c r="A245" s="25"/>
      <c r="B245" s="23"/>
      <c r="C245" s="24"/>
      <c r="D245" s="24"/>
      <c r="E245" s="24"/>
      <c r="F245" s="26"/>
      <c r="G245" s="30"/>
      <c r="H245" s="30">
        <f t="shared" si="7"/>
        <v>0</v>
      </c>
      <c r="I245" s="26" t="str">
        <f t="shared" si="3"/>
        <v/>
      </c>
      <c r="J245" s="85"/>
      <c r="K245" s="26"/>
      <c r="L245" s="30"/>
    </row>
    <row r="246" ht="22.5" customHeight="1">
      <c r="A246" s="25"/>
      <c r="B246" s="23"/>
      <c r="C246" s="24"/>
      <c r="D246" s="24"/>
      <c r="E246" s="24"/>
      <c r="F246" s="26"/>
      <c r="G246" s="30"/>
      <c r="H246" s="30">
        <f t="shared" si="7"/>
        <v>0</v>
      </c>
      <c r="I246" s="26" t="str">
        <f t="shared" si="3"/>
        <v/>
      </c>
      <c r="J246" s="85"/>
      <c r="K246" s="26"/>
      <c r="L246" s="30"/>
    </row>
    <row r="247" ht="22.5" customHeight="1">
      <c r="A247" s="25"/>
      <c r="B247" s="23"/>
      <c r="C247" s="24"/>
      <c r="D247" s="24"/>
      <c r="E247" s="24"/>
      <c r="F247" s="26"/>
      <c r="G247" s="30"/>
      <c r="H247" s="30">
        <f t="shared" si="7"/>
        <v>0</v>
      </c>
      <c r="I247" s="26" t="str">
        <f t="shared" si="3"/>
        <v/>
      </c>
      <c r="J247" s="85"/>
      <c r="K247" s="26"/>
      <c r="L247" s="30"/>
    </row>
    <row r="248" ht="22.5" customHeight="1">
      <c r="A248" s="25"/>
      <c r="B248" s="23"/>
      <c r="C248" s="24"/>
      <c r="D248" s="24"/>
      <c r="E248" s="24"/>
      <c r="F248" s="26"/>
      <c r="G248" s="30"/>
      <c r="H248" s="30">
        <f t="shared" si="7"/>
        <v>0</v>
      </c>
      <c r="I248" s="26" t="str">
        <f t="shared" si="3"/>
        <v/>
      </c>
      <c r="J248" s="85"/>
      <c r="K248" s="26"/>
      <c r="L248" s="30"/>
    </row>
    <row r="249" ht="22.5" customHeight="1">
      <c r="A249" s="25"/>
      <c r="B249" s="23"/>
      <c r="C249" s="24"/>
      <c r="D249" s="24"/>
      <c r="E249" s="24"/>
      <c r="F249" s="26"/>
      <c r="G249" s="30"/>
      <c r="H249" s="30">
        <f t="shared" si="7"/>
        <v>0</v>
      </c>
      <c r="I249" s="26" t="str">
        <f t="shared" si="3"/>
        <v/>
      </c>
      <c r="J249" s="85"/>
      <c r="K249" s="26"/>
      <c r="L249" s="30"/>
    </row>
    <row r="250" ht="22.5" customHeight="1">
      <c r="A250" s="25"/>
      <c r="B250" s="23"/>
      <c r="C250" s="24"/>
      <c r="D250" s="24"/>
      <c r="E250" s="24"/>
      <c r="F250" s="26"/>
      <c r="G250" s="30"/>
      <c r="H250" s="30">
        <f t="shared" si="7"/>
        <v>0</v>
      </c>
      <c r="I250" s="26" t="str">
        <f t="shared" si="3"/>
        <v/>
      </c>
      <c r="J250" s="85"/>
      <c r="K250" s="26"/>
      <c r="L250" s="30"/>
    </row>
    <row r="251" ht="22.5" customHeight="1">
      <c r="A251" s="25"/>
      <c r="B251" s="23"/>
      <c r="C251" s="24"/>
      <c r="D251" s="24"/>
      <c r="E251" s="24"/>
      <c r="F251" s="26"/>
      <c r="G251" s="30"/>
      <c r="H251" s="30">
        <f t="shared" si="7"/>
        <v>0</v>
      </c>
      <c r="I251" s="26" t="str">
        <f t="shared" si="3"/>
        <v/>
      </c>
      <c r="J251" s="85"/>
      <c r="K251" s="26"/>
      <c r="L251" s="30"/>
    </row>
    <row r="252" ht="22.5" customHeight="1">
      <c r="A252" s="25"/>
      <c r="B252" s="23"/>
      <c r="C252" s="24"/>
      <c r="D252" s="24"/>
      <c r="E252" s="24"/>
      <c r="F252" s="26"/>
      <c r="G252" s="30"/>
      <c r="H252" s="30">
        <f t="shared" si="7"/>
        <v>0</v>
      </c>
      <c r="I252" s="26" t="str">
        <f t="shared" si="3"/>
        <v/>
      </c>
      <c r="J252" s="85"/>
      <c r="K252" s="26"/>
      <c r="L252" s="30"/>
    </row>
    <row r="253" ht="22.5" customHeight="1">
      <c r="A253" s="25"/>
      <c r="B253" s="23"/>
      <c r="C253" s="24"/>
      <c r="D253" s="24"/>
      <c r="E253" s="24"/>
      <c r="F253" s="26"/>
      <c r="G253" s="30"/>
      <c r="H253" s="30">
        <f t="shared" si="7"/>
        <v>0</v>
      </c>
      <c r="I253" s="26" t="str">
        <f t="shared" si="3"/>
        <v/>
      </c>
      <c r="J253" s="85"/>
      <c r="K253" s="26"/>
      <c r="L253" s="30"/>
    </row>
    <row r="254" ht="22.5" customHeight="1">
      <c r="A254" s="25"/>
      <c r="B254" s="23"/>
      <c r="C254" s="24"/>
      <c r="D254" s="24"/>
      <c r="E254" s="24"/>
      <c r="F254" s="26"/>
      <c r="G254" s="30"/>
      <c r="H254" s="30">
        <f t="shared" si="7"/>
        <v>0</v>
      </c>
      <c r="I254" s="26" t="str">
        <f t="shared" si="3"/>
        <v/>
      </c>
      <c r="J254" s="85"/>
      <c r="K254" s="26"/>
      <c r="L254" s="30"/>
    </row>
    <row r="255" ht="22.5" customHeight="1">
      <c r="A255" s="25"/>
      <c r="B255" s="23"/>
      <c r="C255" s="24"/>
      <c r="D255" s="24"/>
      <c r="E255" s="24"/>
      <c r="F255" s="26"/>
      <c r="G255" s="30"/>
      <c r="H255" s="30">
        <f t="shared" si="7"/>
        <v>0</v>
      </c>
      <c r="I255" s="26" t="str">
        <f t="shared" si="3"/>
        <v/>
      </c>
      <c r="J255" s="85"/>
      <c r="K255" s="26"/>
      <c r="L255" s="30"/>
    </row>
    <row r="256" ht="22.5" customHeight="1">
      <c r="A256" s="25"/>
      <c r="B256" s="23"/>
      <c r="C256" s="24"/>
      <c r="D256" s="24"/>
      <c r="E256" s="24"/>
      <c r="F256" s="26"/>
      <c r="G256" s="30"/>
      <c r="H256" s="30">
        <f t="shared" si="7"/>
        <v>0</v>
      </c>
      <c r="I256" s="26" t="str">
        <f t="shared" si="3"/>
        <v/>
      </c>
      <c r="J256" s="85"/>
      <c r="K256" s="26"/>
      <c r="L256" s="30"/>
    </row>
    <row r="257" ht="22.5" customHeight="1">
      <c r="A257" s="25"/>
      <c r="B257" s="23"/>
      <c r="C257" s="24"/>
      <c r="D257" s="24"/>
      <c r="E257" s="24"/>
      <c r="F257" s="26"/>
      <c r="G257" s="30"/>
      <c r="H257" s="30">
        <f t="shared" si="7"/>
        <v>0</v>
      </c>
      <c r="I257" s="26" t="str">
        <f t="shared" si="3"/>
        <v/>
      </c>
      <c r="J257" s="85"/>
      <c r="K257" s="26"/>
      <c r="L257" s="30"/>
    </row>
    <row r="258" ht="22.5" customHeight="1">
      <c r="A258" s="25"/>
      <c r="B258" s="23"/>
      <c r="C258" s="24"/>
      <c r="D258" s="24"/>
      <c r="E258" s="24"/>
      <c r="F258" s="26"/>
      <c r="G258" s="30"/>
      <c r="H258" s="30">
        <f t="shared" si="7"/>
        <v>0</v>
      </c>
      <c r="I258" s="26" t="str">
        <f t="shared" si="3"/>
        <v/>
      </c>
      <c r="J258" s="85"/>
      <c r="K258" s="26"/>
      <c r="L258" s="30"/>
    </row>
    <row r="259" ht="22.5" customHeight="1">
      <c r="A259" s="25"/>
      <c r="B259" s="23"/>
      <c r="C259" s="24"/>
      <c r="D259" s="24"/>
      <c r="E259" s="24"/>
      <c r="F259" s="26"/>
      <c r="G259" s="30"/>
      <c r="H259" s="30">
        <f t="shared" si="7"/>
        <v>0</v>
      </c>
      <c r="I259" s="26" t="str">
        <f t="shared" si="3"/>
        <v/>
      </c>
      <c r="J259" s="85"/>
      <c r="K259" s="26"/>
      <c r="L259" s="30"/>
    </row>
    <row r="260" ht="22.5" customHeight="1">
      <c r="A260" s="25"/>
      <c r="B260" s="23"/>
      <c r="C260" s="24"/>
      <c r="D260" s="24"/>
      <c r="E260" s="24"/>
      <c r="F260" s="26"/>
      <c r="G260" s="30"/>
      <c r="H260" s="30">
        <f t="shared" si="7"/>
        <v>0</v>
      </c>
      <c r="I260" s="26" t="str">
        <f t="shared" si="3"/>
        <v/>
      </c>
      <c r="J260" s="85"/>
      <c r="K260" s="26"/>
      <c r="L260" s="30"/>
    </row>
    <row r="261" ht="22.5" customHeight="1">
      <c r="A261" s="25"/>
      <c r="B261" s="23"/>
      <c r="C261" s="24"/>
      <c r="D261" s="24"/>
      <c r="E261" s="24"/>
      <c r="F261" s="26"/>
      <c r="G261" s="30"/>
      <c r="H261" s="30">
        <f t="shared" si="7"/>
        <v>0</v>
      </c>
      <c r="I261" s="26" t="str">
        <f t="shared" si="3"/>
        <v/>
      </c>
      <c r="J261" s="85"/>
      <c r="K261" s="26"/>
      <c r="L261" s="30"/>
    </row>
    <row r="262" ht="22.5" customHeight="1">
      <c r="A262" s="25"/>
      <c r="B262" s="23"/>
      <c r="C262" s="24"/>
      <c r="D262" s="24"/>
      <c r="E262" s="24"/>
      <c r="F262" s="26"/>
      <c r="G262" s="30"/>
      <c r="H262" s="30">
        <f t="shared" si="7"/>
        <v>0</v>
      </c>
      <c r="I262" s="26" t="str">
        <f t="shared" si="3"/>
        <v/>
      </c>
      <c r="J262" s="85"/>
      <c r="K262" s="26"/>
      <c r="L262" s="30"/>
    </row>
    <row r="263" ht="22.5" customHeight="1">
      <c r="A263" s="25"/>
      <c r="B263" s="23"/>
      <c r="C263" s="24"/>
      <c r="D263" s="24"/>
      <c r="E263" s="24"/>
      <c r="F263" s="26"/>
      <c r="G263" s="30"/>
      <c r="H263" s="30">
        <f t="shared" si="7"/>
        <v>0</v>
      </c>
      <c r="I263" s="26" t="str">
        <f t="shared" si="3"/>
        <v/>
      </c>
      <c r="J263" s="85"/>
      <c r="K263" s="26"/>
      <c r="L263" s="30"/>
    </row>
    <row r="264" ht="22.5" customHeight="1">
      <c r="A264" s="25"/>
      <c r="B264" s="23"/>
      <c r="C264" s="24"/>
      <c r="D264" s="24"/>
      <c r="E264" s="24"/>
      <c r="F264" s="26"/>
      <c r="G264" s="30"/>
      <c r="H264" s="30">
        <f t="shared" si="7"/>
        <v>0</v>
      </c>
      <c r="I264" s="26" t="str">
        <f t="shared" si="3"/>
        <v/>
      </c>
      <c r="J264" s="85"/>
      <c r="K264" s="26"/>
      <c r="L264" s="30"/>
    </row>
    <row r="265" ht="22.5" customHeight="1">
      <c r="A265" s="25"/>
      <c r="B265" s="23"/>
      <c r="C265" s="24"/>
      <c r="D265" s="24"/>
      <c r="E265" s="24"/>
      <c r="F265" s="26"/>
      <c r="G265" s="30"/>
      <c r="H265" s="30">
        <f t="shared" si="7"/>
        <v>0</v>
      </c>
      <c r="I265" s="26" t="str">
        <f t="shared" si="3"/>
        <v/>
      </c>
      <c r="J265" s="85"/>
      <c r="K265" s="26"/>
      <c r="L265" s="30"/>
    </row>
    <row r="266" ht="22.5" customHeight="1">
      <c r="A266" s="25"/>
      <c r="B266" s="23"/>
      <c r="C266" s="24"/>
      <c r="D266" s="24"/>
      <c r="E266" s="24"/>
      <c r="F266" s="26"/>
      <c r="G266" s="30"/>
      <c r="H266" s="30">
        <f t="shared" si="7"/>
        <v>0</v>
      </c>
      <c r="I266" s="26" t="str">
        <f t="shared" si="3"/>
        <v/>
      </c>
      <c r="J266" s="85"/>
      <c r="K266" s="26"/>
      <c r="L266" s="30"/>
    </row>
    <row r="267" ht="22.5" customHeight="1">
      <c r="A267" s="25"/>
      <c r="B267" s="23"/>
      <c r="C267" s="24"/>
      <c r="D267" s="24"/>
      <c r="E267" s="24"/>
      <c r="F267" s="26"/>
      <c r="G267" s="30"/>
      <c r="H267" s="30">
        <f t="shared" si="7"/>
        <v>0</v>
      </c>
      <c r="I267" s="26" t="str">
        <f t="shared" si="3"/>
        <v/>
      </c>
      <c r="J267" s="85"/>
      <c r="K267" s="26"/>
      <c r="L267" s="30"/>
    </row>
    <row r="268" ht="22.5" customHeight="1">
      <c r="A268" s="25"/>
      <c r="B268" s="23"/>
      <c r="C268" s="24"/>
      <c r="D268" s="24"/>
      <c r="E268" s="24"/>
      <c r="F268" s="26"/>
      <c r="G268" s="30"/>
      <c r="H268" s="30">
        <f t="shared" si="7"/>
        <v>0</v>
      </c>
      <c r="I268" s="26" t="str">
        <f t="shared" si="3"/>
        <v/>
      </c>
      <c r="J268" s="85"/>
      <c r="K268" s="26"/>
      <c r="L268" s="30"/>
    </row>
    <row r="269" ht="22.5" customHeight="1">
      <c r="A269" s="25"/>
      <c r="B269" s="23"/>
      <c r="C269" s="24"/>
      <c r="D269" s="24"/>
      <c r="E269" s="24"/>
      <c r="F269" s="26"/>
      <c r="G269" s="30"/>
      <c r="H269" s="30">
        <f t="shared" si="7"/>
        <v>0</v>
      </c>
      <c r="I269" s="26" t="str">
        <f t="shared" si="3"/>
        <v/>
      </c>
      <c r="J269" s="85"/>
      <c r="K269" s="26"/>
      <c r="L269" s="30"/>
    </row>
    <row r="270" ht="22.5" customHeight="1">
      <c r="A270" s="25"/>
      <c r="B270" s="23"/>
      <c r="C270" s="24"/>
      <c r="D270" s="24"/>
      <c r="E270" s="24"/>
      <c r="F270" s="26"/>
      <c r="G270" s="30"/>
      <c r="H270" s="30">
        <f t="shared" si="7"/>
        <v>0</v>
      </c>
      <c r="I270" s="26" t="str">
        <f t="shared" si="3"/>
        <v/>
      </c>
      <c r="J270" s="85"/>
      <c r="K270" s="26"/>
      <c r="L270" s="30"/>
    </row>
    <row r="271" ht="22.5" customHeight="1">
      <c r="A271" s="25"/>
      <c r="B271" s="23"/>
      <c r="C271" s="24"/>
      <c r="D271" s="24"/>
      <c r="E271" s="24"/>
      <c r="F271" s="26"/>
      <c r="G271" s="30"/>
      <c r="H271" s="30">
        <f t="shared" si="7"/>
        <v>0</v>
      </c>
      <c r="I271" s="26" t="str">
        <f t="shared" si="3"/>
        <v/>
      </c>
      <c r="J271" s="85"/>
      <c r="K271" s="26"/>
      <c r="L271" s="30"/>
    </row>
    <row r="272" ht="22.5" customHeight="1">
      <c r="A272" s="25"/>
      <c r="B272" s="23"/>
      <c r="C272" s="24"/>
      <c r="D272" s="24"/>
      <c r="E272" s="24"/>
      <c r="F272" s="26"/>
      <c r="G272" s="30"/>
      <c r="H272" s="30">
        <f t="shared" si="7"/>
        <v>0</v>
      </c>
      <c r="I272" s="26" t="str">
        <f t="shared" si="3"/>
        <v/>
      </c>
      <c r="J272" s="85"/>
      <c r="K272" s="26"/>
      <c r="L272" s="30"/>
    </row>
    <row r="273" ht="22.5" customHeight="1">
      <c r="A273" s="25"/>
      <c r="B273" s="23"/>
      <c r="C273" s="24"/>
      <c r="D273" s="24"/>
      <c r="E273" s="24"/>
      <c r="F273" s="26"/>
      <c r="G273" s="30"/>
      <c r="H273" s="30">
        <f t="shared" si="7"/>
        <v>0</v>
      </c>
      <c r="I273" s="26" t="str">
        <f t="shared" si="3"/>
        <v/>
      </c>
      <c r="J273" s="85"/>
      <c r="K273" s="26"/>
      <c r="L273" s="30"/>
    </row>
    <row r="274" ht="22.5" customHeight="1">
      <c r="A274" s="25"/>
      <c r="B274" s="23"/>
      <c r="C274" s="24"/>
      <c r="D274" s="24"/>
      <c r="E274" s="24"/>
      <c r="F274" s="26"/>
      <c r="G274" s="30"/>
      <c r="H274" s="30">
        <f t="shared" si="7"/>
        <v>0</v>
      </c>
      <c r="I274" s="26" t="str">
        <f t="shared" si="3"/>
        <v/>
      </c>
      <c r="J274" s="85"/>
      <c r="K274" s="26"/>
      <c r="L274" s="30"/>
    </row>
    <row r="275" ht="22.5" customHeight="1">
      <c r="A275" s="25"/>
      <c r="B275" s="23"/>
      <c r="C275" s="24"/>
      <c r="D275" s="24"/>
      <c r="E275" s="24"/>
      <c r="F275" s="26"/>
      <c r="G275" s="30"/>
      <c r="H275" s="30">
        <f t="shared" si="7"/>
        <v>0</v>
      </c>
      <c r="I275" s="26" t="str">
        <f t="shared" si="3"/>
        <v/>
      </c>
      <c r="J275" s="85"/>
      <c r="K275" s="26"/>
      <c r="L275" s="30"/>
    </row>
    <row r="276" ht="22.5" customHeight="1">
      <c r="A276" s="25"/>
      <c r="B276" s="23"/>
      <c r="C276" s="24"/>
      <c r="D276" s="24"/>
      <c r="E276" s="24"/>
      <c r="F276" s="26"/>
      <c r="G276" s="30"/>
      <c r="H276" s="30">
        <f t="shared" si="7"/>
        <v>0</v>
      </c>
      <c r="I276" s="26" t="str">
        <f t="shared" si="3"/>
        <v/>
      </c>
      <c r="J276" s="85"/>
      <c r="K276" s="26"/>
      <c r="L276" s="30"/>
    </row>
    <row r="277" ht="22.5" customHeight="1">
      <c r="A277" s="25"/>
      <c r="B277" s="23"/>
      <c r="C277" s="24"/>
      <c r="D277" s="24"/>
      <c r="E277" s="24"/>
      <c r="F277" s="26"/>
      <c r="G277" s="30"/>
      <c r="H277" s="30">
        <f t="shared" si="7"/>
        <v>0</v>
      </c>
      <c r="I277" s="26" t="str">
        <f t="shared" si="3"/>
        <v/>
      </c>
      <c r="J277" s="85"/>
      <c r="K277" s="26"/>
      <c r="L277" s="30"/>
    </row>
    <row r="278" ht="22.5" customHeight="1">
      <c r="A278" s="25"/>
      <c r="B278" s="23"/>
      <c r="C278" s="24"/>
      <c r="D278" s="24"/>
      <c r="E278" s="24"/>
      <c r="F278" s="26"/>
      <c r="G278" s="30"/>
      <c r="H278" s="30">
        <f t="shared" si="7"/>
        <v>0</v>
      </c>
      <c r="I278" s="26" t="str">
        <f t="shared" si="3"/>
        <v/>
      </c>
      <c r="J278" s="85"/>
      <c r="K278" s="26"/>
      <c r="L278" s="30"/>
    </row>
    <row r="279" ht="22.5" customHeight="1">
      <c r="A279" s="25"/>
      <c r="B279" s="23"/>
      <c r="C279" s="24"/>
      <c r="D279" s="24"/>
      <c r="E279" s="24"/>
      <c r="F279" s="26"/>
      <c r="G279" s="30"/>
      <c r="H279" s="30">
        <f t="shared" si="7"/>
        <v>0</v>
      </c>
      <c r="I279" s="26" t="str">
        <f t="shared" si="3"/>
        <v/>
      </c>
      <c r="J279" s="85"/>
      <c r="K279" s="26"/>
      <c r="L279" s="30"/>
    </row>
    <row r="280" ht="22.5" customHeight="1">
      <c r="A280" s="25"/>
      <c r="B280" s="23"/>
      <c r="C280" s="24"/>
      <c r="D280" s="24"/>
      <c r="E280" s="24"/>
      <c r="F280" s="26"/>
      <c r="G280" s="30"/>
      <c r="H280" s="30">
        <f t="shared" si="7"/>
        <v>0</v>
      </c>
      <c r="I280" s="26" t="str">
        <f t="shared" si="3"/>
        <v/>
      </c>
      <c r="J280" s="85"/>
      <c r="K280" s="26"/>
      <c r="L280" s="30"/>
    </row>
    <row r="281" ht="22.5" customHeight="1">
      <c r="A281" s="25"/>
      <c r="B281" s="23"/>
      <c r="C281" s="24"/>
      <c r="D281" s="24"/>
      <c r="E281" s="24"/>
      <c r="F281" s="26"/>
      <c r="G281" s="30"/>
      <c r="H281" s="30">
        <f t="shared" si="7"/>
        <v>0</v>
      </c>
      <c r="I281" s="26" t="str">
        <f t="shared" si="3"/>
        <v/>
      </c>
      <c r="J281" s="85"/>
      <c r="K281" s="26"/>
      <c r="L281" s="30"/>
    </row>
    <row r="282" ht="22.5" customHeight="1">
      <c r="A282" s="25"/>
      <c r="B282" s="23"/>
      <c r="C282" s="24"/>
      <c r="D282" s="24"/>
      <c r="E282" s="24"/>
      <c r="F282" s="26"/>
      <c r="G282" s="30"/>
      <c r="H282" s="30">
        <f t="shared" si="7"/>
        <v>0</v>
      </c>
      <c r="I282" s="26" t="str">
        <f t="shared" si="3"/>
        <v/>
      </c>
      <c r="J282" s="85"/>
      <c r="K282" s="26"/>
      <c r="L282" s="30"/>
    </row>
    <row r="283" ht="22.5" customHeight="1">
      <c r="A283" s="25"/>
      <c r="B283" s="23"/>
      <c r="C283" s="24"/>
      <c r="D283" s="24"/>
      <c r="E283" s="24"/>
      <c r="F283" s="26"/>
      <c r="G283" s="30"/>
      <c r="H283" s="30">
        <f t="shared" si="7"/>
        <v>0</v>
      </c>
      <c r="I283" s="26" t="str">
        <f t="shared" si="3"/>
        <v/>
      </c>
      <c r="J283" s="85"/>
      <c r="K283" s="26"/>
      <c r="L283" s="30"/>
    </row>
    <row r="284" ht="22.5" customHeight="1">
      <c r="A284" s="25"/>
      <c r="B284" s="23"/>
      <c r="C284" s="24"/>
      <c r="D284" s="24"/>
      <c r="E284" s="24"/>
      <c r="F284" s="26"/>
      <c r="G284" s="30"/>
      <c r="H284" s="30">
        <f t="shared" si="7"/>
        <v>0</v>
      </c>
      <c r="I284" s="26" t="str">
        <f t="shared" si="3"/>
        <v/>
      </c>
      <c r="J284" s="85"/>
      <c r="K284" s="26"/>
      <c r="L284" s="30"/>
    </row>
    <row r="285" ht="22.5" customHeight="1">
      <c r="A285" s="25"/>
      <c r="B285" s="23"/>
      <c r="C285" s="24"/>
      <c r="D285" s="24"/>
      <c r="E285" s="24"/>
      <c r="F285" s="26"/>
      <c r="G285" s="30"/>
      <c r="H285" s="30">
        <f t="shared" si="7"/>
        <v>0</v>
      </c>
      <c r="I285" s="26" t="str">
        <f t="shared" si="3"/>
        <v/>
      </c>
      <c r="J285" s="85"/>
      <c r="K285" s="26"/>
      <c r="L285" s="30"/>
    </row>
    <row r="286" ht="22.5" customHeight="1">
      <c r="A286" s="25"/>
      <c r="B286" s="23"/>
      <c r="C286" s="24"/>
      <c r="D286" s="24"/>
      <c r="E286" s="24"/>
      <c r="F286" s="26"/>
      <c r="G286" s="30"/>
      <c r="H286" s="30">
        <f t="shared" si="7"/>
        <v>0</v>
      </c>
      <c r="I286" s="26" t="str">
        <f t="shared" si="3"/>
        <v/>
      </c>
      <c r="J286" s="85"/>
      <c r="K286" s="26"/>
      <c r="L286" s="30"/>
    </row>
    <row r="287" ht="22.5" customHeight="1">
      <c r="A287" s="25"/>
      <c r="B287" s="23"/>
      <c r="C287" s="24"/>
      <c r="D287" s="24"/>
      <c r="E287" s="24"/>
      <c r="F287" s="26"/>
      <c r="G287" s="30"/>
      <c r="H287" s="30">
        <f t="shared" si="7"/>
        <v>0</v>
      </c>
      <c r="I287" s="26" t="str">
        <f t="shared" si="3"/>
        <v/>
      </c>
      <c r="J287" s="85"/>
      <c r="K287" s="26"/>
      <c r="L287" s="30"/>
    </row>
    <row r="288" ht="22.5" customHeight="1">
      <c r="A288" s="25"/>
      <c r="B288" s="23"/>
      <c r="C288" s="24"/>
      <c r="D288" s="24"/>
      <c r="E288" s="24"/>
      <c r="F288" s="26"/>
      <c r="G288" s="30"/>
      <c r="H288" s="30">
        <f t="shared" si="7"/>
        <v>0</v>
      </c>
      <c r="I288" s="26" t="str">
        <f t="shared" si="3"/>
        <v/>
      </c>
      <c r="J288" s="85"/>
      <c r="K288" s="26"/>
      <c r="L288" s="30"/>
    </row>
    <row r="289" ht="22.5" customHeight="1">
      <c r="A289" s="25"/>
      <c r="B289" s="23"/>
      <c r="C289" s="24"/>
      <c r="D289" s="24"/>
      <c r="E289" s="24"/>
      <c r="F289" s="26"/>
      <c r="G289" s="30"/>
      <c r="H289" s="30">
        <f t="shared" si="7"/>
        <v>0</v>
      </c>
      <c r="I289" s="26" t="str">
        <f t="shared" si="3"/>
        <v/>
      </c>
      <c r="J289" s="85"/>
      <c r="K289" s="26"/>
      <c r="L289" s="30"/>
    </row>
    <row r="290" ht="22.5" customHeight="1">
      <c r="A290" s="25"/>
      <c r="B290" s="23"/>
      <c r="C290" s="24"/>
      <c r="D290" s="24"/>
      <c r="E290" s="24"/>
      <c r="F290" s="26"/>
      <c r="G290" s="30"/>
      <c r="H290" s="30">
        <f t="shared" si="7"/>
        <v>0</v>
      </c>
      <c r="I290" s="26" t="str">
        <f t="shared" si="3"/>
        <v/>
      </c>
      <c r="J290" s="85"/>
      <c r="K290" s="26"/>
      <c r="L290" s="30"/>
    </row>
    <row r="291" ht="22.5" customHeight="1">
      <c r="A291" s="25"/>
      <c r="B291" s="23"/>
      <c r="C291" s="24"/>
      <c r="D291" s="24"/>
      <c r="E291" s="24"/>
      <c r="F291" s="26"/>
      <c r="G291" s="30"/>
      <c r="H291" s="30">
        <f t="shared" si="7"/>
        <v>0</v>
      </c>
      <c r="I291" s="26" t="str">
        <f t="shared" si="3"/>
        <v/>
      </c>
      <c r="J291" s="85"/>
      <c r="K291" s="26"/>
      <c r="L291" s="30"/>
    </row>
    <row r="292" ht="22.5" customHeight="1">
      <c r="A292" s="25"/>
      <c r="B292" s="23"/>
      <c r="C292" s="24"/>
      <c r="D292" s="24"/>
      <c r="E292" s="24"/>
      <c r="F292" s="26"/>
      <c r="G292" s="30"/>
      <c r="H292" s="30">
        <f t="shared" si="7"/>
        <v>0</v>
      </c>
      <c r="I292" s="26" t="str">
        <f t="shared" si="3"/>
        <v/>
      </c>
      <c r="J292" s="85"/>
      <c r="K292" s="26"/>
      <c r="L292" s="30"/>
    </row>
    <row r="293" ht="22.5" customHeight="1">
      <c r="A293" s="25"/>
      <c r="B293" s="23"/>
      <c r="C293" s="24"/>
      <c r="D293" s="24"/>
      <c r="E293" s="24"/>
      <c r="F293" s="26"/>
      <c r="G293" s="30"/>
      <c r="H293" s="30">
        <f t="shared" si="7"/>
        <v>0</v>
      </c>
      <c r="I293" s="26" t="str">
        <f t="shared" si="3"/>
        <v/>
      </c>
      <c r="J293" s="85"/>
      <c r="K293" s="26"/>
      <c r="L293" s="30"/>
    </row>
    <row r="294" ht="22.5" customHeight="1">
      <c r="A294" s="25"/>
      <c r="B294" s="23"/>
      <c r="C294" s="24"/>
      <c r="D294" s="24"/>
      <c r="E294" s="24"/>
      <c r="F294" s="26"/>
      <c r="G294" s="30"/>
      <c r="H294" s="30">
        <f t="shared" si="7"/>
        <v>0</v>
      </c>
      <c r="I294" s="26" t="str">
        <f t="shared" si="3"/>
        <v/>
      </c>
      <c r="J294" s="85"/>
      <c r="K294" s="26"/>
      <c r="L294" s="30"/>
    </row>
    <row r="295" ht="22.5" customHeight="1">
      <c r="A295" s="25"/>
      <c r="B295" s="23"/>
      <c r="C295" s="24"/>
      <c r="D295" s="24"/>
      <c r="E295" s="24"/>
      <c r="F295" s="26"/>
      <c r="G295" s="30"/>
      <c r="H295" s="30">
        <f t="shared" si="7"/>
        <v>0</v>
      </c>
      <c r="I295" s="26" t="str">
        <f t="shared" si="3"/>
        <v/>
      </c>
      <c r="J295" s="85"/>
      <c r="K295" s="26"/>
      <c r="L295" s="30"/>
    </row>
    <row r="296" ht="22.5" customHeight="1">
      <c r="A296" s="25"/>
      <c r="B296" s="23"/>
      <c r="C296" s="24"/>
      <c r="D296" s="24"/>
      <c r="E296" s="24"/>
      <c r="F296" s="26"/>
      <c r="G296" s="30"/>
      <c r="H296" s="30">
        <f t="shared" si="7"/>
        <v>0</v>
      </c>
      <c r="I296" s="26" t="str">
        <f t="shared" si="3"/>
        <v/>
      </c>
      <c r="J296" s="85"/>
      <c r="K296" s="26"/>
      <c r="L296" s="30"/>
    </row>
    <row r="297" ht="22.5" customHeight="1">
      <c r="A297" s="25"/>
      <c r="B297" s="23"/>
      <c r="C297" s="24"/>
      <c r="D297" s="24"/>
      <c r="E297" s="24"/>
      <c r="F297" s="26"/>
      <c r="G297" s="30"/>
      <c r="H297" s="30">
        <f t="shared" si="7"/>
        <v>0</v>
      </c>
      <c r="I297" s="26" t="str">
        <f t="shared" si="3"/>
        <v/>
      </c>
      <c r="J297" s="85"/>
      <c r="K297" s="26"/>
      <c r="L297" s="30"/>
    </row>
    <row r="298" ht="22.5" customHeight="1">
      <c r="A298" s="25"/>
      <c r="B298" s="23"/>
      <c r="C298" s="24"/>
      <c r="D298" s="24"/>
      <c r="E298" s="24"/>
      <c r="F298" s="26"/>
      <c r="G298" s="30"/>
      <c r="H298" s="30">
        <f t="shared" si="7"/>
        <v>0</v>
      </c>
      <c r="I298" s="26" t="str">
        <f t="shared" si="3"/>
        <v/>
      </c>
      <c r="J298" s="85"/>
      <c r="K298" s="26"/>
      <c r="L298" s="30"/>
    </row>
    <row r="299" ht="22.5" customHeight="1">
      <c r="A299" s="25"/>
      <c r="B299" s="23"/>
      <c r="C299" s="24"/>
      <c r="D299" s="24"/>
      <c r="E299" s="24"/>
      <c r="F299" s="26"/>
      <c r="G299" s="30"/>
      <c r="H299" s="30">
        <f t="shared" si="7"/>
        <v>0</v>
      </c>
      <c r="I299" s="26" t="str">
        <f t="shared" si="3"/>
        <v/>
      </c>
      <c r="J299" s="85"/>
      <c r="K299" s="26"/>
      <c r="L299" s="30"/>
    </row>
    <row r="300" ht="22.5" customHeight="1">
      <c r="A300" s="25"/>
      <c r="B300" s="23"/>
      <c r="C300" s="24"/>
      <c r="D300" s="24"/>
      <c r="E300" s="24"/>
      <c r="F300" s="26"/>
      <c r="G300" s="30"/>
      <c r="H300" s="30">
        <f t="shared" si="7"/>
        <v>0</v>
      </c>
      <c r="I300" s="26" t="str">
        <f t="shared" si="3"/>
        <v/>
      </c>
      <c r="J300" s="85"/>
      <c r="K300" s="26"/>
      <c r="L300" s="30"/>
    </row>
    <row r="301" ht="22.5" customHeight="1">
      <c r="A301" s="25"/>
      <c r="B301" s="23"/>
      <c r="C301" s="24"/>
      <c r="D301" s="24"/>
      <c r="E301" s="24"/>
      <c r="F301" s="26"/>
      <c r="G301" s="30"/>
      <c r="H301" s="30">
        <f t="shared" si="7"/>
        <v>0</v>
      </c>
      <c r="I301" s="26" t="str">
        <f t="shared" si="3"/>
        <v/>
      </c>
      <c r="J301" s="85"/>
      <c r="K301" s="26"/>
      <c r="L301" s="30"/>
    </row>
    <row r="302" ht="22.5" customHeight="1">
      <c r="A302" s="25"/>
      <c r="B302" s="23"/>
      <c r="C302" s="24"/>
      <c r="D302" s="24"/>
      <c r="E302" s="24"/>
      <c r="F302" s="26"/>
      <c r="G302" s="30"/>
      <c r="H302" s="30">
        <f t="shared" si="7"/>
        <v>0</v>
      </c>
      <c r="I302" s="26" t="str">
        <f t="shared" si="3"/>
        <v/>
      </c>
      <c r="J302" s="85"/>
      <c r="K302" s="26"/>
      <c r="L302" s="30"/>
    </row>
    <row r="303" ht="22.5" customHeight="1">
      <c r="A303" s="25"/>
      <c r="B303" s="23"/>
      <c r="C303" s="24"/>
      <c r="D303" s="24"/>
      <c r="E303" s="24"/>
      <c r="F303" s="26"/>
      <c r="G303" s="30"/>
      <c r="H303" s="30">
        <f t="shared" si="7"/>
        <v>0</v>
      </c>
      <c r="I303" s="26" t="str">
        <f t="shared" si="3"/>
        <v/>
      </c>
      <c r="J303" s="85"/>
      <c r="K303" s="26"/>
      <c r="L303" s="30"/>
    </row>
    <row r="304" ht="22.5" customHeight="1">
      <c r="A304" s="25"/>
      <c r="B304" s="23"/>
      <c r="C304" s="24"/>
      <c r="D304" s="24"/>
      <c r="E304" s="24"/>
      <c r="F304" s="26"/>
      <c r="G304" s="30"/>
      <c r="H304" s="30">
        <f t="shared" si="7"/>
        <v>0</v>
      </c>
      <c r="I304" s="26" t="str">
        <f t="shared" si="3"/>
        <v/>
      </c>
      <c r="J304" s="85"/>
      <c r="K304" s="26"/>
      <c r="L304" s="30"/>
    </row>
    <row r="305" ht="22.5" customHeight="1">
      <c r="A305" s="25"/>
      <c r="B305" s="23"/>
      <c r="C305" s="24"/>
      <c r="D305" s="24"/>
      <c r="E305" s="24"/>
      <c r="F305" s="26"/>
      <c r="G305" s="30"/>
      <c r="H305" s="30">
        <f t="shared" si="7"/>
        <v>0</v>
      </c>
      <c r="I305" s="26" t="str">
        <f t="shared" si="3"/>
        <v/>
      </c>
      <c r="J305" s="85"/>
      <c r="K305" s="26"/>
      <c r="L305" s="30"/>
    </row>
    <row r="306" ht="22.5" customHeight="1">
      <c r="A306" s="25"/>
      <c r="B306" s="23"/>
      <c r="C306" s="24"/>
      <c r="D306" s="24"/>
      <c r="E306" s="24"/>
      <c r="F306" s="26"/>
      <c r="G306" s="30"/>
      <c r="H306" s="30">
        <f t="shared" si="7"/>
        <v>0</v>
      </c>
      <c r="I306" s="26" t="str">
        <f t="shared" si="3"/>
        <v/>
      </c>
      <c r="J306" s="85"/>
      <c r="K306" s="26"/>
      <c r="L306" s="30"/>
    </row>
    <row r="307" ht="22.5" customHeight="1">
      <c r="A307" s="25"/>
      <c r="B307" s="23"/>
      <c r="C307" s="24"/>
      <c r="D307" s="24"/>
      <c r="E307" s="24"/>
      <c r="F307" s="26"/>
      <c r="G307" s="30"/>
      <c r="H307" s="30">
        <f t="shared" si="7"/>
        <v>0</v>
      </c>
      <c r="I307" s="26" t="str">
        <f t="shared" si="3"/>
        <v/>
      </c>
      <c r="J307" s="85"/>
      <c r="K307" s="26"/>
      <c r="L307" s="30"/>
    </row>
    <row r="308" ht="22.5" customHeight="1">
      <c r="A308" s="25"/>
      <c r="B308" s="23"/>
      <c r="C308" s="24"/>
      <c r="D308" s="24"/>
      <c r="E308" s="24"/>
      <c r="F308" s="26"/>
      <c r="G308" s="30"/>
      <c r="H308" s="30">
        <f t="shared" si="7"/>
        <v>0</v>
      </c>
      <c r="I308" s="26" t="str">
        <f t="shared" si="3"/>
        <v/>
      </c>
      <c r="J308" s="85"/>
      <c r="K308" s="26"/>
      <c r="L308" s="30"/>
    </row>
    <row r="309" ht="22.5" customHeight="1">
      <c r="A309" s="25"/>
      <c r="B309" s="23"/>
      <c r="C309" s="24"/>
      <c r="D309" s="24"/>
      <c r="E309" s="24"/>
      <c r="F309" s="26"/>
      <c r="G309" s="30"/>
      <c r="H309" s="30">
        <f t="shared" si="7"/>
        <v>0</v>
      </c>
      <c r="I309" s="26" t="str">
        <f t="shared" si="3"/>
        <v/>
      </c>
      <c r="J309" s="85"/>
      <c r="K309" s="26"/>
      <c r="L309" s="30"/>
    </row>
    <row r="310" ht="22.5" customHeight="1">
      <c r="A310" s="25"/>
      <c r="B310" s="23"/>
      <c r="C310" s="24"/>
      <c r="D310" s="24"/>
      <c r="E310" s="24"/>
      <c r="F310" s="26"/>
      <c r="G310" s="30"/>
      <c r="H310" s="30">
        <f t="shared" si="7"/>
        <v>0</v>
      </c>
      <c r="I310" s="26" t="str">
        <f t="shared" si="3"/>
        <v/>
      </c>
      <c r="J310" s="85"/>
      <c r="K310" s="26"/>
      <c r="L310" s="30"/>
    </row>
    <row r="311" ht="22.5" customHeight="1">
      <c r="A311" s="25"/>
      <c r="B311" s="23"/>
      <c r="C311" s="24"/>
      <c r="D311" s="24"/>
      <c r="E311" s="24"/>
      <c r="F311" s="26"/>
      <c r="G311" s="30"/>
      <c r="H311" s="30">
        <f t="shared" si="7"/>
        <v>0</v>
      </c>
      <c r="I311" s="26" t="str">
        <f t="shared" si="3"/>
        <v/>
      </c>
      <c r="J311" s="85"/>
      <c r="K311" s="26"/>
      <c r="L311" s="30"/>
    </row>
    <row r="312" ht="22.5" customHeight="1">
      <c r="A312" s="25"/>
      <c r="B312" s="23"/>
      <c r="C312" s="24"/>
      <c r="D312" s="24"/>
      <c r="E312" s="24"/>
      <c r="F312" s="26"/>
      <c r="G312" s="30"/>
      <c r="H312" s="30">
        <f t="shared" si="7"/>
        <v>0</v>
      </c>
      <c r="I312" s="26" t="str">
        <f t="shared" si="3"/>
        <v/>
      </c>
      <c r="J312" s="85"/>
      <c r="K312" s="26"/>
      <c r="L312" s="30"/>
    </row>
    <row r="313" ht="22.5" customHeight="1">
      <c r="A313" s="25"/>
      <c r="B313" s="23"/>
      <c r="C313" s="24"/>
      <c r="D313" s="24"/>
      <c r="E313" s="24"/>
      <c r="F313" s="26"/>
      <c r="G313" s="30"/>
      <c r="H313" s="30">
        <f t="shared" si="7"/>
        <v>0</v>
      </c>
      <c r="I313" s="26" t="str">
        <f t="shared" si="3"/>
        <v/>
      </c>
      <c r="J313" s="85"/>
      <c r="K313" s="26"/>
      <c r="L313" s="30"/>
    </row>
    <row r="314" ht="22.5" customHeight="1">
      <c r="A314" s="25"/>
      <c r="B314" s="23"/>
      <c r="C314" s="24"/>
      <c r="D314" s="24"/>
      <c r="E314" s="24"/>
      <c r="F314" s="26"/>
      <c r="G314" s="30"/>
      <c r="H314" s="30">
        <f t="shared" si="7"/>
        <v>0</v>
      </c>
      <c r="I314" s="26" t="str">
        <f t="shared" si="3"/>
        <v/>
      </c>
      <c r="J314" s="85"/>
      <c r="K314" s="26"/>
      <c r="L314" s="30"/>
    </row>
    <row r="315" ht="22.5" customHeight="1">
      <c r="A315" s="25"/>
      <c r="B315" s="23"/>
      <c r="C315" s="24"/>
      <c r="D315" s="24"/>
      <c r="E315" s="24"/>
      <c r="F315" s="26"/>
      <c r="G315" s="30"/>
      <c r="H315" s="30">
        <f t="shared" si="7"/>
        <v>0</v>
      </c>
      <c r="I315" s="26" t="str">
        <f t="shared" si="3"/>
        <v/>
      </c>
      <c r="J315" s="85"/>
      <c r="K315" s="26"/>
      <c r="L315" s="30"/>
    </row>
    <row r="316" ht="22.5" customHeight="1">
      <c r="A316" s="25"/>
      <c r="B316" s="23"/>
      <c r="C316" s="24"/>
      <c r="D316" s="24"/>
      <c r="E316" s="24"/>
      <c r="F316" s="26"/>
      <c r="G316" s="30"/>
      <c r="H316" s="30">
        <f t="shared" si="7"/>
        <v>0</v>
      </c>
      <c r="I316" s="26" t="str">
        <f t="shared" si="3"/>
        <v/>
      </c>
      <c r="J316" s="85"/>
      <c r="K316" s="26"/>
      <c r="L316" s="30"/>
    </row>
    <row r="317" ht="22.5" customHeight="1">
      <c r="A317" s="25"/>
      <c r="B317" s="23"/>
      <c r="C317" s="24"/>
      <c r="D317" s="24"/>
      <c r="E317" s="24"/>
      <c r="F317" s="26"/>
      <c r="G317" s="30"/>
      <c r="H317" s="30">
        <f t="shared" si="7"/>
        <v>0</v>
      </c>
      <c r="I317" s="26" t="str">
        <f t="shared" si="3"/>
        <v/>
      </c>
      <c r="J317" s="85"/>
      <c r="K317" s="26"/>
      <c r="L317" s="30"/>
    </row>
    <row r="318" ht="22.5" customHeight="1">
      <c r="A318" s="25"/>
      <c r="B318" s="23"/>
      <c r="C318" s="24"/>
      <c r="D318" s="24"/>
      <c r="E318" s="24"/>
      <c r="F318" s="26"/>
      <c r="G318" s="30"/>
      <c r="H318" s="30">
        <f t="shared" si="7"/>
        <v>0</v>
      </c>
      <c r="I318" s="26" t="str">
        <f t="shared" si="3"/>
        <v/>
      </c>
      <c r="J318" s="85"/>
      <c r="K318" s="26"/>
      <c r="L318" s="30"/>
    </row>
    <row r="319" ht="22.5" customHeight="1">
      <c r="A319" s="25"/>
      <c r="B319" s="23"/>
      <c r="C319" s="24"/>
      <c r="D319" s="24"/>
      <c r="E319" s="24"/>
      <c r="F319" s="26"/>
      <c r="G319" s="30"/>
      <c r="H319" s="30">
        <f t="shared" si="7"/>
        <v>0</v>
      </c>
      <c r="I319" s="26" t="str">
        <f t="shared" si="3"/>
        <v/>
      </c>
      <c r="J319" s="85"/>
      <c r="K319" s="26"/>
      <c r="L319" s="30"/>
    </row>
    <row r="320" ht="22.5" customHeight="1">
      <c r="A320" s="25"/>
      <c r="B320" s="23"/>
      <c r="C320" s="24"/>
      <c r="D320" s="24"/>
      <c r="E320" s="24"/>
      <c r="F320" s="26"/>
      <c r="G320" s="30"/>
      <c r="H320" s="30">
        <f t="shared" si="7"/>
        <v>0</v>
      </c>
      <c r="I320" s="26" t="str">
        <f t="shared" si="3"/>
        <v/>
      </c>
      <c r="J320" s="85"/>
      <c r="K320" s="26"/>
      <c r="L320" s="30"/>
    </row>
    <row r="321" ht="22.5" customHeight="1">
      <c r="A321" s="25"/>
      <c r="B321" s="23"/>
      <c r="C321" s="24"/>
      <c r="D321" s="24"/>
      <c r="E321" s="24"/>
      <c r="F321" s="26"/>
      <c r="G321" s="30"/>
      <c r="H321" s="30">
        <f t="shared" si="7"/>
        <v>0</v>
      </c>
      <c r="I321" s="26" t="str">
        <f t="shared" si="3"/>
        <v/>
      </c>
      <c r="J321" s="85"/>
      <c r="K321" s="26"/>
      <c r="L321" s="30"/>
    </row>
    <row r="322" ht="22.5" customHeight="1">
      <c r="A322" s="25"/>
      <c r="B322" s="23"/>
      <c r="C322" s="24"/>
      <c r="D322" s="24"/>
      <c r="E322" s="24"/>
      <c r="F322" s="26"/>
      <c r="G322" s="30"/>
      <c r="H322" s="30">
        <f t="shared" si="7"/>
        <v>0</v>
      </c>
      <c r="I322" s="26" t="str">
        <f t="shared" si="3"/>
        <v/>
      </c>
      <c r="J322" s="85"/>
      <c r="K322" s="26"/>
      <c r="L322" s="30"/>
    </row>
    <row r="323" ht="22.5" customHeight="1">
      <c r="A323" s="25"/>
      <c r="B323" s="23"/>
      <c r="C323" s="24"/>
      <c r="D323" s="24"/>
      <c r="E323" s="24"/>
      <c r="F323" s="26"/>
      <c r="G323" s="30"/>
      <c r="H323" s="30">
        <f t="shared" si="7"/>
        <v>0</v>
      </c>
      <c r="I323" s="26" t="str">
        <f t="shared" si="3"/>
        <v/>
      </c>
      <c r="J323" s="85"/>
      <c r="K323" s="26"/>
      <c r="L323" s="30"/>
    </row>
    <row r="324" ht="22.5" customHeight="1">
      <c r="A324" s="25"/>
      <c r="B324" s="23"/>
      <c r="C324" s="24"/>
      <c r="D324" s="24"/>
      <c r="E324" s="24"/>
      <c r="F324" s="26"/>
      <c r="G324" s="30"/>
      <c r="H324" s="30">
        <f t="shared" si="7"/>
        <v>0</v>
      </c>
      <c r="I324" s="26" t="str">
        <f t="shared" si="3"/>
        <v/>
      </c>
      <c r="J324" s="85"/>
      <c r="K324" s="26"/>
      <c r="L324" s="30"/>
    </row>
    <row r="325" ht="22.5" customHeight="1">
      <c r="A325" s="25"/>
      <c r="B325" s="23"/>
      <c r="C325" s="24"/>
      <c r="D325" s="24"/>
      <c r="E325" s="24"/>
      <c r="F325" s="26"/>
      <c r="G325" s="30"/>
      <c r="H325" s="30">
        <f t="shared" si="7"/>
        <v>0</v>
      </c>
      <c r="I325" s="26" t="str">
        <f t="shared" si="3"/>
        <v/>
      </c>
      <c r="J325" s="85"/>
      <c r="K325" s="26"/>
      <c r="L325" s="30"/>
    </row>
    <row r="326" ht="22.5" customHeight="1">
      <c r="A326" s="25"/>
      <c r="B326" s="23"/>
      <c r="C326" s="24"/>
      <c r="D326" s="24"/>
      <c r="E326" s="24"/>
      <c r="F326" s="26"/>
      <c r="G326" s="30"/>
      <c r="H326" s="30">
        <f t="shared" si="7"/>
        <v>0</v>
      </c>
      <c r="I326" s="26" t="str">
        <f t="shared" si="3"/>
        <v/>
      </c>
      <c r="J326" s="85"/>
      <c r="K326" s="26"/>
      <c r="L326" s="30"/>
    </row>
    <row r="327" ht="22.5" customHeight="1">
      <c r="A327" s="25"/>
      <c r="B327" s="23"/>
      <c r="C327" s="24"/>
      <c r="D327" s="24"/>
      <c r="E327" s="24"/>
      <c r="F327" s="26"/>
      <c r="G327" s="30"/>
      <c r="H327" s="30">
        <f t="shared" si="7"/>
        <v>0</v>
      </c>
      <c r="I327" s="26" t="str">
        <f t="shared" si="3"/>
        <v/>
      </c>
      <c r="J327" s="85"/>
      <c r="K327" s="26"/>
      <c r="L327" s="30"/>
    </row>
    <row r="328" ht="22.5" customHeight="1">
      <c r="A328" s="25"/>
      <c r="B328" s="23"/>
      <c r="C328" s="24"/>
      <c r="D328" s="24"/>
      <c r="E328" s="24"/>
      <c r="F328" s="26"/>
      <c r="G328" s="30"/>
      <c r="H328" s="30">
        <f t="shared" si="7"/>
        <v>0</v>
      </c>
      <c r="I328" s="26" t="str">
        <f t="shared" si="3"/>
        <v/>
      </c>
      <c r="J328" s="85"/>
      <c r="K328" s="26"/>
      <c r="L328" s="30"/>
    </row>
    <row r="329" ht="22.5" customHeight="1">
      <c r="A329" s="25"/>
      <c r="B329" s="23"/>
      <c r="C329" s="24"/>
      <c r="D329" s="24"/>
      <c r="E329" s="24"/>
      <c r="F329" s="26"/>
      <c r="G329" s="30"/>
      <c r="H329" s="30">
        <f t="shared" si="7"/>
        <v>0</v>
      </c>
      <c r="I329" s="26" t="str">
        <f t="shared" si="3"/>
        <v/>
      </c>
      <c r="J329" s="85"/>
      <c r="K329" s="26"/>
      <c r="L329" s="30"/>
    </row>
    <row r="330" ht="22.5" customHeight="1">
      <c r="A330" s="25"/>
      <c r="B330" s="23"/>
      <c r="C330" s="24"/>
      <c r="D330" s="24"/>
      <c r="E330" s="24"/>
      <c r="F330" s="26"/>
      <c r="G330" s="30"/>
      <c r="H330" s="30">
        <f t="shared" si="7"/>
        <v>0</v>
      </c>
      <c r="I330" s="26" t="str">
        <f t="shared" si="3"/>
        <v/>
      </c>
      <c r="J330" s="85"/>
      <c r="K330" s="26"/>
      <c r="L330" s="30"/>
    </row>
    <row r="331" ht="22.5" customHeight="1">
      <c r="A331" s="25"/>
      <c r="B331" s="23"/>
      <c r="C331" s="24"/>
      <c r="D331" s="24"/>
      <c r="E331" s="24"/>
      <c r="F331" s="26"/>
      <c r="G331" s="30"/>
      <c r="H331" s="30">
        <f t="shared" si="7"/>
        <v>0</v>
      </c>
      <c r="I331" s="26" t="str">
        <f t="shared" si="3"/>
        <v/>
      </c>
      <c r="J331" s="85"/>
      <c r="K331" s="26"/>
      <c r="L331" s="30"/>
    </row>
    <row r="332" ht="22.5" customHeight="1">
      <c r="A332" s="25"/>
      <c r="B332" s="23"/>
      <c r="C332" s="24"/>
      <c r="D332" s="24"/>
      <c r="E332" s="24"/>
      <c r="F332" s="26"/>
      <c r="G332" s="30"/>
      <c r="H332" s="30">
        <f t="shared" si="7"/>
        <v>0</v>
      </c>
      <c r="I332" s="26" t="str">
        <f t="shared" si="3"/>
        <v/>
      </c>
      <c r="J332" s="85"/>
      <c r="K332" s="26"/>
      <c r="L332" s="30"/>
    </row>
    <row r="333" ht="22.5" customHeight="1">
      <c r="A333" s="25"/>
      <c r="B333" s="23"/>
      <c r="C333" s="24"/>
      <c r="D333" s="24"/>
      <c r="E333" s="24"/>
      <c r="F333" s="26"/>
      <c r="G333" s="30"/>
      <c r="H333" s="30">
        <f t="shared" si="7"/>
        <v>0</v>
      </c>
      <c r="I333" s="26" t="str">
        <f t="shared" si="3"/>
        <v/>
      </c>
      <c r="J333" s="85"/>
      <c r="K333" s="26"/>
      <c r="L333" s="30"/>
    </row>
    <row r="334" ht="22.5" customHeight="1">
      <c r="A334" s="25"/>
      <c r="B334" s="23"/>
      <c r="C334" s="24"/>
      <c r="D334" s="24"/>
      <c r="E334" s="24"/>
      <c r="F334" s="26"/>
      <c r="G334" s="30"/>
      <c r="H334" s="30">
        <f t="shared" si="7"/>
        <v>0</v>
      </c>
      <c r="I334" s="26" t="str">
        <f t="shared" si="3"/>
        <v/>
      </c>
      <c r="J334" s="85"/>
      <c r="K334" s="26"/>
      <c r="L334" s="30"/>
    </row>
    <row r="335" ht="22.5" customHeight="1">
      <c r="A335" s="25"/>
      <c r="B335" s="23"/>
      <c r="C335" s="24"/>
      <c r="D335" s="24"/>
      <c r="E335" s="24"/>
      <c r="F335" s="26"/>
      <c r="G335" s="30"/>
      <c r="H335" s="30">
        <f t="shared" si="7"/>
        <v>0</v>
      </c>
      <c r="I335" s="26" t="str">
        <f t="shared" si="3"/>
        <v/>
      </c>
      <c r="J335" s="85"/>
      <c r="K335" s="26"/>
      <c r="L335" s="30"/>
    </row>
    <row r="336" ht="22.5" customHeight="1">
      <c r="A336" s="25"/>
      <c r="B336" s="23"/>
      <c r="C336" s="24"/>
      <c r="D336" s="24"/>
      <c r="E336" s="24"/>
      <c r="F336" s="26"/>
      <c r="G336" s="30"/>
      <c r="H336" s="30">
        <f t="shared" si="7"/>
        <v>0</v>
      </c>
      <c r="I336" s="26" t="str">
        <f t="shared" si="3"/>
        <v/>
      </c>
      <c r="J336" s="85"/>
      <c r="K336" s="26"/>
      <c r="L336" s="30"/>
    </row>
    <row r="337" ht="22.5" customHeight="1">
      <c r="A337" s="25"/>
      <c r="B337" s="23"/>
      <c r="C337" s="24"/>
      <c r="D337" s="24"/>
      <c r="E337" s="24"/>
      <c r="F337" s="26"/>
      <c r="G337" s="30"/>
      <c r="H337" s="30">
        <f t="shared" si="7"/>
        <v>0</v>
      </c>
      <c r="I337" s="26" t="str">
        <f t="shared" si="3"/>
        <v/>
      </c>
      <c r="J337" s="85"/>
      <c r="K337" s="26"/>
      <c r="L337" s="30"/>
    </row>
    <row r="338" ht="22.5" customHeight="1">
      <c r="A338" s="25"/>
      <c r="B338" s="23"/>
      <c r="C338" s="24"/>
      <c r="D338" s="24"/>
      <c r="E338" s="24"/>
      <c r="F338" s="26"/>
      <c r="G338" s="30"/>
      <c r="H338" s="30">
        <f t="shared" si="7"/>
        <v>0</v>
      </c>
      <c r="I338" s="26" t="str">
        <f t="shared" si="3"/>
        <v/>
      </c>
      <c r="J338" s="85"/>
      <c r="K338" s="26"/>
      <c r="L338" s="30"/>
    </row>
    <row r="339" ht="22.5" customHeight="1">
      <c r="A339" s="25"/>
      <c r="B339" s="23"/>
      <c r="C339" s="24"/>
      <c r="D339" s="24"/>
      <c r="E339" s="24"/>
      <c r="F339" s="26"/>
      <c r="G339" s="30"/>
      <c r="H339" s="30">
        <f t="shared" si="7"/>
        <v>0</v>
      </c>
      <c r="I339" s="26" t="str">
        <f t="shared" si="3"/>
        <v/>
      </c>
      <c r="J339" s="85"/>
      <c r="K339" s="26"/>
      <c r="L339" s="30"/>
    </row>
    <row r="340" ht="22.5" customHeight="1">
      <c r="A340" s="25"/>
      <c r="B340" s="23"/>
      <c r="C340" s="24"/>
      <c r="D340" s="24"/>
      <c r="E340" s="24"/>
      <c r="F340" s="26"/>
      <c r="G340" s="30"/>
      <c r="H340" s="30">
        <f t="shared" si="7"/>
        <v>0</v>
      </c>
      <c r="I340" s="26" t="str">
        <f t="shared" si="3"/>
        <v/>
      </c>
      <c r="J340" s="85"/>
      <c r="K340" s="26"/>
      <c r="L340" s="30"/>
    </row>
    <row r="341" ht="22.5" customHeight="1">
      <c r="A341" s="25"/>
      <c r="B341" s="23"/>
      <c r="C341" s="24"/>
      <c r="D341" s="24"/>
      <c r="E341" s="24"/>
      <c r="F341" s="26"/>
      <c r="G341" s="30"/>
      <c r="H341" s="30">
        <f t="shared" si="7"/>
        <v>0</v>
      </c>
      <c r="I341" s="26" t="str">
        <f t="shared" si="3"/>
        <v/>
      </c>
      <c r="J341" s="85"/>
      <c r="K341" s="26"/>
      <c r="L341" s="30"/>
    </row>
    <row r="342" ht="22.5" customHeight="1">
      <c r="A342" s="25"/>
      <c r="B342" s="23"/>
      <c r="C342" s="24"/>
      <c r="D342" s="24"/>
      <c r="E342" s="24"/>
      <c r="F342" s="26"/>
      <c r="G342" s="30"/>
      <c r="H342" s="30">
        <f t="shared" si="7"/>
        <v>0</v>
      </c>
      <c r="I342" s="26" t="str">
        <f t="shared" si="3"/>
        <v/>
      </c>
      <c r="J342" s="85"/>
      <c r="K342" s="26"/>
      <c r="L342" s="30"/>
    </row>
    <row r="343" ht="22.5" customHeight="1">
      <c r="A343" s="25"/>
      <c r="B343" s="23"/>
      <c r="C343" s="24"/>
      <c r="D343" s="24"/>
      <c r="E343" s="24"/>
      <c r="F343" s="26"/>
      <c r="G343" s="30"/>
      <c r="H343" s="30">
        <f t="shared" si="7"/>
        <v>0</v>
      </c>
      <c r="I343" s="26" t="str">
        <f t="shared" si="3"/>
        <v/>
      </c>
      <c r="J343" s="85"/>
      <c r="K343" s="26"/>
      <c r="L343" s="30"/>
    </row>
    <row r="344" ht="22.5" customHeight="1">
      <c r="A344" s="25"/>
      <c r="B344" s="23"/>
      <c r="C344" s="24"/>
      <c r="D344" s="24"/>
      <c r="E344" s="24"/>
      <c r="F344" s="26"/>
      <c r="G344" s="30"/>
      <c r="H344" s="30">
        <f t="shared" si="7"/>
        <v>0</v>
      </c>
      <c r="I344" s="26" t="str">
        <f t="shared" si="3"/>
        <v/>
      </c>
      <c r="J344" s="85"/>
      <c r="K344" s="26"/>
      <c r="L344" s="30"/>
    </row>
    <row r="345" ht="22.5" customHeight="1">
      <c r="A345" s="25"/>
      <c r="B345" s="23"/>
      <c r="C345" s="24"/>
      <c r="D345" s="24"/>
      <c r="E345" s="24"/>
      <c r="F345" s="26"/>
      <c r="G345" s="30"/>
      <c r="H345" s="30">
        <f t="shared" si="7"/>
        <v>0</v>
      </c>
      <c r="I345" s="26" t="str">
        <f t="shared" si="3"/>
        <v/>
      </c>
      <c r="J345" s="85"/>
      <c r="K345" s="26"/>
      <c r="L345" s="30"/>
    </row>
    <row r="346" ht="22.5" customHeight="1">
      <c r="A346" s="25"/>
      <c r="B346" s="23"/>
      <c r="C346" s="24"/>
      <c r="D346" s="24"/>
      <c r="E346" s="24"/>
      <c r="F346" s="26"/>
      <c r="G346" s="30"/>
      <c r="H346" s="30">
        <f t="shared" si="7"/>
        <v>0</v>
      </c>
      <c r="I346" s="26" t="str">
        <f t="shared" si="3"/>
        <v/>
      </c>
      <c r="J346" s="85"/>
      <c r="K346" s="26"/>
      <c r="L346" s="30"/>
    </row>
    <row r="347" ht="22.5" customHeight="1">
      <c r="A347" s="25"/>
      <c r="B347" s="23"/>
      <c r="C347" s="24"/>
      <c r="D347" s="24"/>
      <c r="E347" s="24"/>
      <c r="F347" s="26"/>
      <c r="G347" s="30"/>
      <c r="H347" s="30">
        <f t="shared" si="7"/>
        <v>0</v>
      </c>
      <c r="I347" s="26" t="str">
        <f t="shared" si="3"/>
        <v/>
      </c>
      <c r="J347" s="85"/>
      <c r="K347" s="26"/>
      <c r="L347" s="30"/>
    </row>
    <row r="348" ht="22.5" customHeight="1">
      <c r="A348" s="25"/>
      <c r="B348" s="23"/>
      <c r="C348" s="24"/>
      <c r="D348" s="24"/>
      <c r="E348" s="24"/>
      <c r="F348" s="26"/>
      <c r="G348" s="30"/>
      <c r="H348" s="30">
        <f t="shared" si="7"/>
        <v>0</v>
      </c>
      <c r="I348" s="26" t="str">
        <f t="shared" si="3"/>
        <v/>
      </c>
      <c r="J348" s="85"/>
      <c r="K348" s="26"/>
      <c r="L348" s="30"/>
    </row>
    <row r="349" ht="22.5" customHeight="1">
      <c r="A349" s="25"/>
      <c r="B349" s="23"/>
      <c r="C349" s="24"/>
      <c r="D349" s="24"/>
      <c r="E349" s="24"/>
      <c r="F349" s="26"/>
      <c r="G349" s="30"/>
      <c r="H349" s="30">
        <f t="shared" si="7"/>
        <v>0</v>
      </c>
      <c r="I349" s="26" t="str">
        <f t="shared" si="3"/>
        <v/>
      </c>
      <c r="J349" s="85"/>
      <c r="K349" s="26"/>
      <c r="L349" s="30"/>
    </row>
    <row r="350" ht="22.5" customHeight="1">
      <c r="A350" s="25"/>
      <c r="B350" s="23"/>
      <c r="C350" s="24"/>
      <c r="D350" s="24"/>
      <c r="E350" s="24"/>
      <c r="F350" s="26"/>
      <c r="G350" s="30"/>
      <c r="H350" s="30">
        <f t="shared" si="7"/>
        <v>0</v>
      </c>
      <c r="I350" s="26" t="str">
        <f t="shared" si="3"/>
        <v/>
      </c>
      <c r="J350" s="85"/>
      <c r="K350" s="26"/>
      <c r="L350" s="30"/>
    </row>
    <row r="351" ht="22.5" customHeight="1">
      <c r="A351" s="25"/>
      <c r="B351" s="23"/>
      <c r="C351" s="24"/>
      <c r="D351" s="24"/>
      <c r="E351" s="24"/>
      <c r="F351" s="26"/>
      <c r="G351" s="30"/>
      <c r="H351" s="30">
        <f t="shared" si="7"/>
        <v>0</v>
      </c>
      <c r="I351" s="26" t="str">
        <f t="shared" si="3"/>
        <v/>
      </c>
      <c r="J351" s="85"/>
      <c r="K351" s="26"/>
      <c r="L351" s="30"/>
    </row>
    <row r="352" ht="22.5" customHeight="1">
      <c r="A352" s="25"/>
      <c r="B352" s="23"/>
      <c r="C352" s="24"/>
      <c r="D352" s="24"/>
      <c r="E352" s="24"/>
      <c r="F352" s="26"/>
      <c r="G352" s="30"/>
      <c r="H352" s="30">
        <f t="shared" si="7"/>
        <v>0</v>
      </c>
      <c r="I352" s="26" t="str">
        <f t="shared" si="3"/>
        <v/>
      </c>
      <c r="J352" s="85"/>
      <c r="K352" s="26"/>
      <c r="L352" s="30"/>
    </row>
    <row r="353" ht="22.5" customHeight="1">
      <c r="A353" s="25"/>
      <c r="B353" s="23"/>
      <c r="C353" s="24"/>
      <c r="D353" s="24"/>
      <c r="E353" s="24"/>
      <c r="F353" s="26"/>
      <c r="G353" s="30"/>
      <c r="H353" s="30">
        <f t="shared" si="7"/>
        <v>0</v>
      </c>
      <c r="I353" s="26" t="str">
        <f t="shared" si="3"/>
        <v/>
      </c>
      <c r="J353" s="85"/>
      <c r="K353" s="26"/>
      <c r="L353" s="30"/>
    </row>
    <row r="354" ht="22.5" customHeight="1">
      <c r="A354" s="25"/>
      <c r="B354" s="23"/>
      <c r="C354" s="24"/>
      <c r="D354" s="24"/>
      <c r="E354" s="24"/>
      <c r="F354" s="26"/>
      <c r="G354" s="30"/>
      <c r="H354" s="30">
        <f t="shared" si="7"/>
        <v>0</v>
      </c>
      <c r="I354" s="26" t="str">
        <f t="shared" si="3"/>
        <v/>
      </c>
      <c r="J354" s="85"/>
      <c r="K354" s="26"/>
      <c r="L354" s="30"/>
    </row>
    <row r="355" ht="22.5" customHeight="1">
      <c r="A355" s="25"/>
      <c r="B355" s="23"/>
      <c r="C355" s="24"/>
      <c r="D355" s="24"/>
      <c r="E355" s="24"/>
      <c r="F355" s="26"/>
      <c r="G355" s="30"/>
      <c r="H355" s="30">
        <f t="shared" si="7"/>
        <v>0</v>
      </c>
      <c r="I355" s="26" t="str">
        <f t="shared" si="3"/>
        <v/>
      </c>
      <c r="J355" s="85"/>
      <c r="K355" s="26"/>
      <c r="L355" s="30"/>
    </row>
    <row r="356" ht="22.5" customHeight="1">
      <c r="A356" s="25"/>
      <c r="B356" s="23"/>
      <c r="C356" s="24"/>
      <c r="D356" s="24"/>
      <c r="E356" s="24"/>
      <c r="F356" s="26"/>
      <c r="G356" s="30"/>
      <c r="H356" s="30">
        <f t="shared" si="7"/>
        <v>0</v>
      </c>
      <c r="I356" s="26" t="str">
        <f t="shared" si="3"/>
        <v/>
      </c>
      <c r="J356" s="85"/>
      <c r="K356" s="26"/>
      <c r="L356" s="30"/>
    </row>
    <row r="357" ht="22.5" customHeight="1">
      <c r="A357" s="25"/>
      <c r="B357" s="23"/>
      <c r="C357" s="24"/>
      <c r="D357" s="24"/>
      <c r="E357" s="24"/>
      <c r="F357" s="26"/>
      <c r="G357" s="30"/>
      <c r="H357" s="30">
        <f t="shared" si="7"/>
        <v>0</v>
      </c>
      <c r="I357" s="26" t="str">
        <f t="shared" si="3"/>
        <v/>
      </c>
      <c r="J357" s="85"/>
      <c r="K357" s="26"/>
      <c r="L357" s="30"/>
    </row>
    <row r="358" ht="22.5" customHeight="1">
      <c r="A358" s="25"/>
      <c r="B358" s="23"/>
      <c r="C358" s="24"/>
      <c r="D358" s="24"/>
      <c r="E358" s="24"/>
      <c r="F358" s="26"/>
      <c r="G358" s="30"/>
      <c r="H358" s="30">
        <f t="shared" si="7"/>
        <v>0</v>
      </c>
      <c r="I358" s="26" t="str">
        <f t="shared" si="3"/>
        <v/>
      </c>
      <c r="J358" s="85"/>
      <c r="K358" s="26"/>
      <c r="L358" s="30"/>
    </row>
    <row r="359" ht="22.5" customHeight="1">
      <c r="A359" s="25"/>
      <c r="B359" s="23"/>
      <c r="C359" s="24"/>
      <c r="D359" s="24"/>
      <c r="E359" s="24"/>
      <c r="F359" s="26"/>
      <c r="G359" s="30"/>
      <c r="H359" s="30">
        <f t="shared" si="7"/>
        <v>0</v>
      </c>
      <c r="I359" s="26" t="str">
        <f t="shared" si="3"/>
        <v/>
      </c>
      <c r="J359" s="85"/>
      <c r="K359" s="26"/>
      <c r="L359" s="30"/>
    </row>
    <row r="360" ht="22.5" customHeight="1">
      <c r="A360" s="25"/>
      <c r="B360" s="23"/>
      <c r="C360" s="24"/>
      <c r="D360" s="24"/>
      <c r="E360" s="24"/>
      <c r="F360" s="26"/>
      <c r="G360" s="30"/>
      <c r="H360" s="30">
        <f t="shared" si="7"/>
        <v>0</v>
      </c>
      <c r="I360" s="26" t="str">
        <f t="shared" si="3"/>
        <v/>
      </c>
      <c r="J360" s="85"/>
      <c r="K360" s="26"/>
      <c r="L360" s="30"/>
    </row>
    <row r="361" ht="22.5" customHeight="1">
      <c r="A361" s="25"/>
      <c r="B361" s="23"/>
      <c r="C361" s="24"/>
      <c r="D361" s="24"/>
      <c r="E361" s="24"/>
      <c r="F361" s="26"/>
      <c r="G361" s="30"/>
      <c r="H361" s="30">
        <f t="shared" si="7"/>
        <v>0</v>
      </c>
      <c r="I361" s="26" t="str">
        <f t="shared" si="3"/>
        <v/>
      </c>
      <c r="J361" s="85"/>
      <c r="K361" s="26"/>
      <c r="L361" s="30"/>
    </row>
    <row r="362" ht="22.5" customHeight="1">
      <c r="A362" s="25"/>
      <c r="B362" s="23"/>
      <c r="C362" s="24"/>
      <c r="D362" s="24"/>
      <c r="E362" s="24"/>
      <c r="F362" s="26"/>
      <c r="G362" s="30"/>
      <c r="H362" s="30">
        <f t="shared" si="7"/>
        <v>0</v>
      </c>
      <c r="I362" s="26" t="str">
        <f t="shared" si="3"/>
        <v/>
      </c>
      <c r="J362" s="85"/>
      <c r="K362" s="26"/>
      <c r="L362" s="30"/>
    </row>
    <row r="363" ht="22.5" customHeight="1">
      <c r="A363" s="25"/>
      <c r="B363" s="23"/>
      <c r="C363" s="24"/>
      <c r="D363" s="24"/>
      <c r="E363" s="24"/>
      <c r="F363" s="26"/>
      <c r="G363" s="30"/>
      <c r="H363" s="30">
        <f t="shared" si="7"/>
        <v>0</v>
      </c>
      <c r="I363" s="26" t="str">
        <f t="shared" si="3"/>
        <v/>
      </c>
      <c r="J363" s="85"/>
      <c r="K363" s="26"/>
      <c r="L363" s="30"/>
    </row>
    <row r="364" ht="22.5" customHeight="1">
      <c r="A364" s="25"/>
      <c r="B364" s="23"/>
      <c r="C364" s="24"/>
      <c r="D364" s="24"/>
      <c r="E364" s="24"/>
      <c r="F364" s="26"/>
      <c r="G364" s="30"/>
      <c r="H364" s="30">
        <f t="shared" si="7"/>
        <v>0</v>
      </c>
      <c r="I364" s="26" t="str">
        <f t="shared" si="3"/>
        <v/>
      </c>
      <c r="J364" s="85"/>
      <c r="K364" s="26"/>
      <c r="L364" s="30"/>
    </row>
    <row r="365" ht="22.5" customHeight="1">
      <c r="A365" s="25"/>
      <c r="B365" s="23"/>
      <c r="C365" s="24"/>
      <c r="D365" s="24"/>
      <c r="E365" s="24"/>
      <c r="F365" s="26"/>
      <c r="G365" s="30"/>
      <c r="H365" s="30">
        <f t="shared" si="7"/>
        <v>0</v>
      </c>
      <c r="I365" s="26" t="str">
        <f t="shared" si="3"/>
        <v/>
      </c>
      <c r="J365" s="85"/>
      <c r="K365" s="26"/>
      <c r="L365" s="30"/>
    </row>
    <row r="366" ht="22.5" customHeight="1">
      <c r="A366" s="25"/>
      <c r="B366" s="23"/>
      <c r="C366" s="24"/>
      <c r="D366" s="24"/>
      <c r="E366" s="24"/>
      <c r="F366" s="26"/>
      <c r="G366" s="30"/>
      <c r="H366" s="30">
        <f t="shared" si="7"/>
        <v>0</v>
      </c>
      <c r="I366" s="26" t="str">
        <f t="shared" si="3"/>
        <v/>
      </c>
      <c r="J366" s="85"/>
      <c r="K366" s="26"/>
      <c r="L366" s="30"/>
    </row>
    <row r="367" ht="22.5" customHeight="1">
      <c r="A367" s="25"/>
      <c r="B367" s="23"/>
      <c r="C367" s="24"/>
      <c r="D367" s="24"/>
      <c r="E367" s="24"/>
      <c r="F367" s="26"/>
      <c r="G367" s="30"/>
      <c r="H367" s="30">
        <f t="shared" si="7"/>
        <v>0</v>
      </c>
      <c r="I367" s="26" t="str">
        <f t="shared" si="3"/>
        <v/>
      </c>
      <c r="J367" s="85"/>
      <c r="K367" s="26"/>
      <c r="L367" s="30"/>
    </row>
    <row r="368" ht="22.5" customHeight="1">
      <c r="A368" s="25"/>
      <c r="B368" s="23"/>
      <c r="C368" s="24"/>
      <c r="D368" s="24"/>
      <c r="E368" s="24"/>
      <c r="F368" s="26"/>
      <c r="G368" s="30"/>
      <c r="H368" s="30">
        <f t="shared" si="7"/>
        <v>0</v>
      </c>
      <c r="I368" s="26" t="str">
        <f t="shared" si="3"/>
        <v/>
      </c>
      <c r="J368" s="85"/>
      <c r="K368" s="26"/>
      <c r="L368" s="30"/>
    </row>
    <row r="369" ht="22.5" customHeight="1">
      <c r="A369" s="25"/>
      <c r="B369" s="23"/>
      <c r="C369" s="24"/>
      <c r="D369" s="24"/>
      <c r="E369" s="24"/>
      <c r="F369" s="26"/>
      <c r="G369" s="30"/>
      <c r="H369" s="30">
        <f t="shared" si="7"/>
        <v>0</v>
      </c>
      <c r="I369" s="26" t="str">
        <f t="shared" si="3"/>
        <v/>
      </c>
      <c r="J369" s="85"/>
      <c r="K369" s="26"/>
      <c r="L369" s="30"/>
    </row>
    <row r="370" ht="22.5" customHeight="1">
      <c r="A370" s="25"/>
      <c r="B370" s="23"/>
      <c r="C370" s="24"/>
      <c r="D370" s="24"/>
      <c r="E370" s="24"/>
      <c r="F370" s="26"/>
      <c r="G370" s="30"/>
      <c r="H370" s="30">
        <f t="shared" si="7"/>
        <v>0</v>
      </c>
      <c r="I370" s="26" t="str">
        <f t="shared" si="3"/>
        <v/>
      </c>
      <c r="J370" s="85"/>
      <c r="K370" s="26"/>
      <c r="L370" s="30"/>
    </row>
    <row r="371" ht="22.5" customHeight="1">
      <c r="A371" s="25"/>
      <c r="B371" s="23"/>
      <c r="C371" s="24"/>
      <c r="D371" s="24"/>
      <c r="E371" s="24"/>
      <c r="F371" s="26"/>
      <c r="G371" s="30"/>
      <c r="H371" s="30">
        <f t="shared" si="7"/>
        <v>0</v>
      </c>
      <c r="I371" s="26" t="str">
        <f t="shared" si="3"/>
        <v/>
      </c>
      <c r="J371" s="85"/>
      <c r="K371" s="26"/>
      <c r="L371" s="30"/>
    </row>
    <row r="372" ht="22.5" customHeight="1">
      <c r="A372" s="25"/>
      <c r="B372" s="23"/>
      <c r="C372" s="24"/>
      <c r="D372" s="24"/>
      <c r="E372" s="24"/>
      <c r="F372" s="26"/>
      <c r="G372" s="30"/>
      <c r="H372" s="30">
        <f t="shared" si="7"/>
        <v>0</v>
      </c>
      <c r="I372" s="26" t="str">
        <f t="shared" si="3"/>
        <v/>
      </c>
      <c r="J372" s="85"/>
      <c r="K372" s="26"/>
      <c r="L372" s="30"/>
    </row>
    <row r="373" ht="22.5" customHeight="1">
      <c r="A373" s="25"/>
      <c r="B373" s="23"/>
      <c r="C373" s="24"/>
      <c r="D373" s="24"/>
      <c r="E373" s="24"/>
      <c r="F373" s="26"/>
      <c r="G373" s="30"/>
      <c r="H373" s="30">
        <f t="shared" si="7"/>
        <v>0</v>
      </c>
      <c r="I373" s="26" t="str">
        <f t="shared" si="3"/>
        <v/>
      </c>
      <c r="J373" s="85"/>
      <c r="K373" s="26"/>
      <c r="L373" s="30"/>
    </row>
    <row r="374" ht="22.5" customHeight="1">
      <c r="A374" s="25"/>
      <c r="B374" s="23"/>
      <c r="C374" s="24"/>
      <c r="D374" s="24"/>
      <c r="E374" s="24"/>
      <c r="F374" s="26"/>
      <c r="G374" s="30"/>
      <c r="H374" s="30">
        <f t="shared" si="7"/>
        <v>0</v>
      </c>
      <c r="I374" s="26" t="str">
        <f t="shared" si="3"/>
        <v/>
      </c>
      <c r="J374" s="85"/>
      <c r="K374" s="26"/>
      <c r="L374" s="30"/>
    </row>
    <row r="375" ht="22.5" customHeight="1">
      <c r="A375" s="25"/>
      <c r="B375" s="23"/>
      <c r="C375" s="24"/>
      <c r="D375" s="24"/>
      <c r="E375" s="24"/>
      <c r="F375" s="26"/>
      <c r="G375" s="30"/>
      <c r="H375" s="30">
        <f t="shared" si="7"/>
        <v>0</v>
      </c>
      <c r="I375" s="26" t="str">
        <f t="shared" si="3"/>
        <v/>
      </c>
      <c r="J375" s="85"/>
      <c r="K375" s="26"/>
      <c r="L375" s="30"/>
    </row>
    <row r="376" ht="22.5" customHeight="1">
      <c r="A376" s="25"/>
      <c r="B376" s="23"/>
      <c r="C376" s="24"/>
      <c r="D376" s="24"/>
      <c r="E376" s="24"/>
      <c r="F376" s="26"/>
      <c r="G376" s="30"/>
      <c r="H376" s="30">
        <f t="shared" si="7"/>
        <v>0</v>
      </c>
      <c r="I376" s="26" t="str">
        <f t="shared" si="3"/>
        <v/>
      </c>
      <c r="J376" s="85"/>
      <c r="K376" s="26"/>
      <c r="L376" s="30"/>
    </row>
    <row r="377" ht="22.5" customHeight="1">
      <c r="A377" s="25"/>
      <c r="B377" s="23"/>
      <c r="C377" s="24"/>
      <c r="D377" s="24"/>
      <c r="E377" s="24"/>
      <c r="F377" s="26"/>
      <c r="G377" s="30"/>
      <c r="H377" s="30">
        <f t="shared" si="7"/>
        <v>0</v>
      </c>
      <c r="I377" s="26" t="str">
        <f t="shared" si="3"/>
        <v/>
      </c>
      <c r="J377" s="85"/>
      <c r="K377" s="26"/>
      <c r="L377" s="30"/>
    </row>
    <row r="378" ht="22.5" customHeight="1">
      <c r="A378" s="25"/>
      <c r="B378" s="23"/>
      <c r="C378" s="24"/>
      <c r="D378" s="24"/>
      <c r="E378" s="24"/>
      <c r="F378" s="26"/>
      <c r="G378" s="30"/>
      <c r="H378" s="30">
        <f t="shared" si="7"/>
        <v>0</v>
      </c>
      <c r="I378" s="26" t="str">
        <f t="shared" si="3"/>
        <v/>
      </c>
      <c r="J378" s="85"/>
      <c r="K378" s="26"/>
      <c r="L378" s="30"/>
    </row>
    <row r="379" ht="22.5" customHeight="1">
      <c r="A379" s="25"/>
      <c r="B379" s="23"/>
      <c r="C379" s="24"/>
      <c r="D379" s="24"/>
      <c r="E379" s="24"/>
      <c r="F379" s="26"/>
      <c r="G379" s="30"/>
      <c r="H379" s="30">
        <f t="shared" si="7"/>
        <v>0</v>
      </c>
      <c r="I379" s="26" t="str">
        <f t="shared" si="3"/>
        <v/>
      </c>
      <c r="J379" s="85"/>
      <c r="K379" s="26"/>
      <c r="L379" s="30"/>
    </row>
    <row r="380" ht="22.5" customHeight="1">
      <c r="A380" s="25"/>
      <c r="B380" s="23"/>
      <c r="C380" s="24"/>
      <c r="D380" s="24"/>
      <c r="E380" s="24"/>
      <c r="F380" s="26"/>
      <c r="G380" s="30"/>
      <c r="H380" s="30">
        <f t="shared" si="7"/>
        <v>0</v>
      </c>
      <c r="I380" s="26" t="str">
        <f t="shared" si="3"/>
        <v/>
      </c>
      <c r="J380" s="85"/>
      <c r="K380" s="26"/>
      <c r="L380" s="30"/>
    </row>
    <row r="381" ht="22.5" customHeight="1">
      <c r="A381" s="25"/>
      <c r="B381" s="23"/>
      <c r="C381" s="24"/>
      <c r="D381" s="24"/>
      <c r="E381" s="24"/>
      <c r="F381" s="26"/>
      <c r="G381" s="30"/>
      <c r="H381" s="30">
        <f t="shared" si="7"/>
        <v>0</v>
      </c>
      <c r="I381" s="26" t="str">
        <f t="shared" si="3"/>
        <v/>
      </c>
      <c r="J381" s="85"/>
      <c r="K381" s="26"/>
      <c r="L381" s="30"/>
    </row>
    <row r="382" ht="22.5" customHeight="1">
      <c r="A382" s="25"/>
      <c r="B382" s="23"/>
      <c r="C382" s="24"/>
      <c r="D382" s="24"/>
      <c r="E382" s="24"/>
      <c r="F382" s="26"/>
      <c r="G382" s="30"/>
      <c r="H382" s="30">
        <f t="shared" si="7"/>
        <v>0</v>
      </c>
      <c r="I382" s="26" t="str">
        <f t="shared" si="3"/>
        <v/>
      </c>
      <c r="J382" s="85"/>
      <c r="K382" s="26"/>
      <c r="L382" s="30"/>
    </row>
    <row r="383" ht="22.5" customHeight="1">
      <c r="A383" s="25"/>
      <c r="B383" s="23"/>
      <c r="C383" s="24"/>
      <c r="D383" s="24"/>
      <c r="E383" s="24"/>
      <c r="F383" s="26"/>
      <c r="G383" s="30"/>
      <c r="H383" s="30">
        <f t="shared" si="7"/>
        <v>0</v>
      </c>
      <c r="I383" s="26" t="str">
        <f t="shared" si="3"/>
        <v/>
      </c>
      <c r="J383" s="85"/>
      <c r="K383" s="26"/>
      <c r="L383" s="30"/>
    </row>
    <row r="384" ht="22.5" customHeight="1">
      <c r="A384" s="25"/>
      <c r="B384" s="23"/>
      <c r="C384" s="24"/>
      <c r="D384" s="24"/>
      <c r="E384" s="24"/>
      <c r="F384" s="26"/>
      <c r="G384" s="30"/>
      <c r="H384" s="30">
        <f t="shared" si="7"/>
        <v>0</v>
      </c>
      <c r="I384" s="26" t="str">
        <f t="shared" si="3"/>
        <v/>
      </c>
      <c r="J384" s="85"/>
      <c r="K384" s="26"/>
      <c r="L384" s="30"/>
    </row>
    <row r="385" ht="22.5" customHeight="1">
      <c r="A385" s="25"/>
      <c r="B385" s="23"/>
      <c r="C385" s="24"/>
      <c r="D385" s="24"/>
      <c r="E385" s="24"/>
      <c r="F385" s="26"/>
      <c r="G385" s="30"/>
      <c r="H385" s="30">
        <f t="shared" si="7"/>
        <v>0</v>
      </c>
      <c r="I385" s="26" t="str">
        <f t="shared" si="3"/>
        <v/>
      </c>
      <c r="J385" s="85"/>
      <c r="K385" s="26"/>
      <c r="L385" s="30"/>
    </row>
    <row r="386" ht="22.5" customHeight="1">
      <c r="A386" s="25"/>
      <c r="B386" s="23"/>
      <c r="C386" s="24"/>
      <c r="D386" s="24"/>
      <c r="E386" s="24"/>
      <c r="F386" s="26"/>
      <c r="G386" s="30"/>
      <c r="H386" s="30">
        <f t="shared" si="7"/>
        <v>0</v>
      </c>
      <c r="I386" s="26" t="str">
        <f t="shared" si="3"/>
        <v/>
      </c>
      <c r="J386" s="85"/>
      <c r="K386" s="26"/>
      <c r="L386" s="30"/>
    </row>
    <row r="387" ht="22.5" customHeight="1">
      <c r="A387" s="25"/>
      <c r="B387" s="23"/>
      <c r="C387" s="24"/>
      <c r="D387" s="24"/>
      <c r="E387" s="24"/>
      <c r="F387" s="26"/>
      <c r="G387" s="30"/>
      <c r="H387" s="30">
        <f t="shared" si="7"/>
        <v>0</v>
      </c>
      <c r="I387" s="26" t="str">
        <f t="shared" si="3"/>
        <v/>
      </c>
      <c r="J387" s="85"/>
      <c r="K387" s="26"/>
      <c r="L387" s="30"/>
    </row>
    <row r="388" ht="22.5" customHeight="1">
      <c r="A388" s="25"/>
      <c r="B388" s="23"/>
      <c r="C388" s="24"/>
      <c r="D388" s="24"/>
      <c r="E388" s="24"/>
      <c r="F388" s="26"/>
      <c r="G388" s="30"/>
      <c r="H388" s="30">
        <f t="shared" si="7"/>
        <v>0</v>
      </c>
      <c r="I388" s="26" t="str">
        <f t="shared" si="3"/>
        <v/>
      </c>
      <c r="J388" s="85"/>
      <c r="K388" s="26"/>
      <c r="L388" s="30"/>
    </row>
    <row r="389" ht="22.5" customHeight="1">
      <c r="A389" s="25"/>
      <c r="B389" s="23"/>
      <c r="C389" s="24"/>
      <c r="D389" s="24"/>
      <c r="E389" s="24"/>
      <c r="F389" s="26"/>
      <c r="G389" s="30"/>
      <c r="H389" s="30">
        <f t="shared" si="7"/>
        <v>0</v>
      </c>
      <c r="I389" s="26" t="str">
        <f t="shared" si="3"/>
        <v/>
      </c>
      <c r="J389" s="85"/>
      <c r="K389" s="26"/>
      <c r="L389" s="30"/>
    </row>
    <row r="390" ht="22.5" customHeight="1">
      <c r="A390" s="25"/>
      <c r="B390" s="23"/>
      <c r="C390" s="24"/>
      <c r="D390" s="24"/>
      <c r="E390" s="24"/>
      <c r="F390" s="26"/>
      <c r="G390" s="30"/>
      <c r="H390" s="30">
        <f t="shared" si="7"/>
        <v>0</v>
      </c>
      <c r="I390" s="26" t="str">
        <f t="shared" si="3"/>
        <v/>
      </c>
      <c r="J390" s="85"/>
      <c r="K390" s="26"/>
      <c r="L390" s="30"/>
    </row>
    <row r="391" ht="22.5" customHeight="1">
      <c r="A391" s="25"/>
      <c r="B391" s="23"/>
      <c r="C391" s="24"/>
      <c r="D391" s="24"/>
      <c r="E391" s="24"/>
      <c r="F391" s="26"/>
      <c r="G391" s="30"/>
      <c r="H391" s="30">
        <f t="shared" si="7"/>
        <v>0</v>
      </c>
      <c r="I391" s="26" t="str">
        <f t="shared" si="3"/>
        <v/>
      </c>
      <c r="J391" s="85"/>
      <c r="K391" s="26"/>
      <c r="L391" s="30"/>
    </row>
    <row r="392" ht="22.5" customHeight="1">
      <c r="A392" s="25"/>
      <c r="B392" s="23"/>
      <c r="C392" s="24"/>
      <c r="D392" s="24"/>
      <c r="E392" s="24"/>
      <c r="F392" s="26"/>
      <c r="G392" s="30"/>
      <c r="H392" s="30">
        <f t="shared" si="7"/>
        <v>0</v>
      </c>
      <c r="I392" s="26" t="str">
        <f t="shared" si="3"/>
        <v/>
      </c>
      <c r="J392" s="85"/>
      <c r="K392" s="26"/>
      <c r="L392" s="30"/>
    </row>
    <row r="393" ht="22.5" customHeight="1">
      <c r="A393" s="25"/>
      <c r="B393" s="23"/>
      <c r="C393" s="24"/>
      <c r="D393" s="24"/>
      <c r="E393" s="24"/>
      <c r="F393" s="26"/>
      <c r="G393" s="30"/>
      <c r="H393" s="30">
        <f t="shared" si="7"/>
        <v>0</v>
      </c>
      <c r="I393" s="26" t="str">
        <f t="shared" si="3"/>
        <v/>
      </c>
      <c r="J393" s="85"/>
      <c r="K393" s="26"/>
      <c r="L393" s="30"/>
    </row>
    <row r="394" ht="22.5" customHeight="1">
      <c r="A394" s="25"/>
      <c r="B394" s="23"/>
      <c r="C394" s="24"/>
      <c r="D394" s="24"/>
      <c r="E394" s="24"/>
      <c r="F394" s="26"/>
      <c r="G394" s="30"/>
      <c r="H394" s="30">
        <f t="shared" si="7"/>
        <v>0</v>
      </c>
      <c r="I394" s="26" t="str">
        <f t="shared" si="3"/>
        <v/>
      </c>
      <c r="J394" s="85"/>
      <c r="K394" s="26"/>
      <c r="L394" s="30"/>
    </row>
    <row r="395" ht="22.5" customHeight="1">
      <c r="A395" s="25"/>
      <c r="B395" s="23"/>
      <c r="C395" s="24"/>
      <c r="D395" s="24"/>
      <c r="E395" s="24"/>
      <c r="F395" s="26"/>
      <c r="G395" s="30"/>
      <c r="H395" s="30">
        <f t="shared" si="7"/>
        <v>0</v>
      </c>
      <c r="I395" s="26" t="str">
        <f t="shared" si="3"/>
        <v/>
      </c>
      <c r="J395" s="85"/>
      <c r="K395" s="26"/>
      <c r="L395" s="30"/>
    </row>
    <row r="396" ht="22.5" customHeight="1">
      <c r="A396" s="25"/>
      <c r="B396" s="23"/>
      <c r="C396" s="24"/>
      <c r="D396" s="24"/>
      <c r="E396" s="24"/>
      <c r="F396" s="26"/>
      <c r="G396" s="30"/>
      <c r="H396" s="30">
        <f t="shared" si="7"/>
        <v>0</v>
      </c>
      <c r="I396" s="26" t="str">
        <f t="shared" si="3"/>
        <v/>
      </c>
      <c r="J396" s="85"/>
      <c r="K396" s="26"/>
      <c r="L396" s="30"/>
    </row>
    <row r="397" ht="22.5" customHeight="1">
      <c r="A397" s="25"/>
      <c r="B397" s="23"/>
      <c r="C397" s="24"/>
      <c r="D397" s="24"/>
      <c r="E397" s="24"/>
      <c r="F397" s="26"/>
      <c r="G397" s="30"/>
      <c r="H397" s="30">
        <f t="shared" si="7"/>
        <v>0</v>
      </c>
      <c r="I397" s="26" t="str">
        <f t="shared" si="3"/>
        <v/>
      </c>
      <c r="J397" s="85"/>
      <c r="K397" s="26"/>
      <c r="L397" s="30"/>
    </row>
    <row r="398" ht="22.5" customHeight="1">
      <c r="A398" s="25"/>
      <c r="B398" s="23"/>
      <c r="C398" s="24"/>
      <c r="D398" s="24"/>
      <c r="E398" s="24"/>
      <c r="F398" s="26"/>
      <c r="G398" s="30"/>
      <c r="H398" s="30">
        <f t="shared" si="7"/>
        <v>0</v>
      </c>
      <c r="I398" s="26" t="str">
        <f t="shared" si="3"/>
        <v/>
      </c>
      <c r="J398" s="85"/>
      <c r="K398" s="26"/>
      <c r="L398" s="30"/>
    </row>
    <row r="399" ht="22.5" customHeight="1">
      <c r="A399" s="25"/>
      <c r="B399" s="23"/>
      <c r="C399" s="24"/>
      <c r="D399" s="24"/>
      <c r="E399" s="24"/>
      <c r="F399" s="26"/>
      <c r="G399" s="30"/>
      <c r="H399" s="30">
        <f t="shared" si="7"/>
        <v>0</v>
      </c>
      <c r="I399" s="26" t="str">
        <f t="shared" si="3"/>
        <v/>
      </c>
      <c r="J399" s="85"/>
      <c r="K399" s="26"/>
      <c r="L399" s="30"/>
    </row>
    <row r="400" ht="22.5" customHeight="1">
      <c r="A400" s="25"/>
      <c r="B400" s="23"/>
      <c r="C400" s="24"/>
      <c r="D400" s="24"/>
      <c r="E400" s="24"/>
      <c r="F400" s="26"/>
      <c r="G400" s="30"/>
      <c r="H400" s="30">
        <f t="shared" si="7"/>
        <v>0</v>
      </c>
      <c r="I400" s="26" t="str">
        <f t="shared" si="3"/>
        <v/>
      </c>
      <c r="J400" s="85"/>
      <c r="K400" s="26"/>
      <c r="L400" s="30"/>
    </row>
    <row r="401" ht="22.5" customHeight="1">
      <c r="A401" s="25"/>
      <c r="B401" s="23"/>
      <c r="C401" s="24"/>
      <c r="D401" s="24"/>
      <c r="E401" s="24"/>
      <c r="F401" s="26"/>
      <c r="G401" s="30"/>
      <c r="H401" s="30">
        <f t="shared" si="7"/>
        <v>0</v>
      </c>
      <c r="I401" s="26" t="str">
        <f t="shared" si="3"/>
        <v/>
      </c>
      <c r="J401" s="85"/>
      <c r="K401" s="26"/>
      <c r="L401" s="30"/>
    </row>
    <row r="402" ht="22.5" customHeight="1">
      <c r="A402" s="25"/>
      <c r="B402" s="23"/>
      <c r="C402" s="24"/>
      <c r="D402" s="24"/>
      <c r="E402" s="24"/>
      <c r="F402" s="26"/>
      <c r="G402" s="30"/>
      <c r="H402" s="30">
        <f t="shared" si="7"/>
        <v>0</v>
      </c>
      <c r="I402" s="26" t="str">
        <f t="shared" si="3"/>
        <v/>
      </c>
      <c r="J402" s="85"/>
      <c r="K402" s="26"/>
      <c r="L402" s="30"/>
    </row>
    <row r="403" ht="22.5" customHeight="1">
      <c r="A403" s="25"/>
      <c r="B403" s="23"/>
      <c r="C403" s="24"/>
      <c r="D403" s="24"/>
      <c r="E403" s="24"/>
      <c r="F403" s="26"/>
      <c r="G403" s="30"/>
      <c r="H403" s="30">
        <f t="shared" si="7"/>
        <v>0</v>
      </c>
      <c r="I403" s="26" t="str">
        <f t="shared" si="3"/>
        <v/>
      </c>
      <c r="J403" s="85"/>
      <c r="K403" s="26"/>
      <c r="L403" s="30"/>
    </row>
    <row r="404" ht="22.5" customHeight="1">
      <c r="A404" s="25"/>
      <c r="B404" s="23"/>
      <c r="C404" s="24"/>
      <c r="D404" s="24"/>
      <c r="E404" s="24"/>
      <c r="F404" s="26"/>
      <c r="G404" s="30"/>
      <c r="H404" s="30">
        <f t="shared" si="7"/>
        <v>0</v>
      </c>
      <c r="I404" s="26" t="str">
        <f t="shared" si="3"/>
        <v/>
      </c>
      <c r="J404" s="85"/>
      <c r="K404" s="26"/>
      <c r="L404" s="30"/>
    </row>
    <row r="405" ht="22.5" customHeight="1">
      <c r="A405" s="25"/>
      <c r="B405" s="23"/>
      <c r="C405" s="24"/>
      <c r="D405" s="24"/>
      <c r="E405" s="24"/>
      <c r="F405" s="26"/>
      <c r="G405" s="30"/>
      <c r="H405" s="30">
        <f t="shared" si="7"/>
        <v>0</v>
      </c>
      <c r="I405" s="26" t="str">
        <f t="shared" si="3"/>
        <v/>
      </c>
      <c r="J405" s="85"/>
      <c r="K405" s="26"/>
      <c r="L405" s="30"/>
    </row>
    <row r="406" ht="22.5" customHeight="1">
      <c r="A406" s="25"/>
      <c r="B406" s="23"/>
      <c r="C406" s="24"/>
      <c r="D406" s="24"/>
      <c r="E406" s="24"/>
      <c r="F406" s="26"/>
      <c r="G406" s="30"/>
      <c r="H406" s="30">
        <f t="shared" si="7"/>
        <v>0</v>
      </c>
      <c r="I406" s="26" t="str">
        <f t="shared" si="3"/>
        <v/>
      </c>
      <c r="J406" s="85"/>
      <c r="K406" s="26"/>
      <c r="L406" s="30"/>
    </row>
    <row r="407" ht="22.5" customHeight="1">
      <c r="A407" s="25"/>
      <c r="B407" s="23"/>
      <c r="C407" s="24"/>
      <c r="D407" s="24"/>
      <c r="E407" s="24"/>
      <c r="F407" s="26"/>
      <c r="G407" s="30"/>
      <c r="H407" s="30">
        <f t="shared" si="7"/>
        <v>0</v>
      </c>
      <c r="I407" s="26" t="str">
        <f t="shared" si="3"/>
        <v/>
      </c>
      <c r="J407" s="85"/>
      <c r="K407" s="26"/>
      <c r="L407" s="30"/>
    </row>
    <row r="408" ht="22.5" customHeight="1">
      <c r="A408" s="25"/>
      <c r="B408" s="23"/>
      <c r="C408" s="24"/>
      <c r="D408" s="24"/>
      <c r="E408" s="24"/>
      <c r="F408" s="26"/>
      <c r="G408" s="30"/>
      <c r="H408" s="30">
        <f t="shared" si="7"/>
        <v>0</v>
      </c>
      <c r="I408" s="26" t="str">
        <f t="shared" si="3"/>
        <v/>
      </c>
      <c r="J408" s="85"/>
      <c r="K408" s="26"/>
      <c r="L408" s="30"/>
    </row>
    <row r="409" ht="22.5" customHeight="1">
      <c r="A409" s="25"/>
      <c r="B409" s="23"/>
      <c r="C409" s="24"/>
      <c r="D409" s="24"/>
      <c r="E409" s="24"/>
      <c r="F409" s="26"/>
      <c r="G409" s="30"/>
      <c r="H409" s="30">
        <f t="shared" si="7"/>
        <v>0</v>
      </c>
      <c r="I409" s="26" t="str">
        <f t="shared" si="3"/>
        <v/>
      </c>
      <c r="J409" s="85"/>
      <c r="K409" s="26"/>
      <c r="L409" s="30"/>
    </row>
    <row r="410" ht="22.5" customHeight="1">
      <c r="A410" s="25"/>
      <c r="B410" s="23"/>
      <c r="C410" s="24"/>
      <c r="D410" s="24"/>
      <c r="E410" s="24"/>
      <c r="F410" s="26"/>
      <c r="G410" s="30"/>
      <c r="H410" s="30">
        <f t="shared" si="7"/>
        <v>0</v>
      </c>
      <c r="I410" s="26" t="str">
        <f t="shared" si="3"/>
        <v/>
      </c>
      <c r="J410" s="85"/>
      <c r="K410" s="26"/>
      <c r="L410" s="30"/>
    </row>
    <row r="411" ht="22.5" customHeight="1">
      <c r="A411" s="25"/>
      <c r="B411" s="23"/>
      <c r="C411" s="24"/>
      <c r="D411" s="24"/>
      <c r="E411" s="24"/>
      <c r="F411" s="26"/>
      <c r="G411" s="30"/>
      <c r="H411" s="30">
        <f t="shared" si="7"/>
        <v>0</v>
      </c>
      <c r="I411" s="26" t="str">
        <f t="shared" si="3"/>
        <v/>
      </c>
      <c r="J411" s="85"/>
      <c r="K411" s="26"/>
      <c r="L411" s="30"/>
    </row>
    <row r="412" ht="22.5" customHeight="1">
      <c r="A412" s="25"/>
      <c r="B412" s="23"/>
      <c r="C412" s="24"/>
      <c r="D412" s="24"/>
      <c r="E412" s="24"/>
      <c r="F412" s="26"/>
      <c r="G412" s="30"/>
      <c r="H412" s="30">
        <f t="shared" si="7"/>
        <v>0</v>
      </c>
      <c r="I412" s="26" t="str">
        <f t="shared" si="3"/>
        <v/>
      </c>
      <c r="J412" s="85"/>
      <c r="K412" s="26"/>
      <c r="L412" s="30"/>
    </row>
    <row r="413" ht="22.5" customHeight="1">
      <c r="A413" s="25"/>
      <c r="B413" s="23"/>
      <c r="C413" s="24"/>
      <c r="D413" s="24"/>
      <c r="E413" s="24"/>
      <c r="F413" s="26"/>
      <c r="G413" s="30"/>
      <c r="H413" s="30">
        <f t="shared" si="7"/>
        <v>0</v>
      </c>
      <c r="I413" s="26" t="str">
        <f t="shared" si="3"/>
        <v/>
      </c>
      <c r="J413" s="85"/>
      <c r="K413" s="26"/>
      <c r="L413" s="30"/>
    </row>
    <row r="414" ht="22.5" customHeight="1">
      <c r="A414" s="25"/>
      <c r="B414" s="23"/>
      <c r="C414" s="24"/>
      <c r="D414" s="24"/>
      <c r="E414" s="24"/>
      <c r="F414" s="26"/>
      <c r="G414" s="30"/>
      <c r="H414" s="30">
        <f t="shared" si="7"/>
        <v>0</v>
      </c>
      <c r="I414" s="26" t="str">
        <f t="shared" si="3"/>
        <v/>
      </c>
      <c r="J414" s="85"/>
      <c r="K414" s="26"/>
      <c r="L414" s="30"/>
    </row>
    <row r="415" ht="22.5" customHeight="1">
      <c r="A415" s="25"/>
      <c r="B415" s="23"/>
      <c r="C415" s="24"/>
      <c r="D415" s="24"/>
      <c r="E415" s="24"/>
      <c r="F415" s="26"/>
      <c r="G415" s="30"/>
      <c r="H415" s="30">
        <f t="shared" si="7"/>
        <v>0</v>
      </c>
      <c r="I415" s="26" t="str">
        <f t="shared" si="3"/>
        <v/>
      </c>
      <c r="J415" s="85"/>
      <c r="K415" s="26"/>
      <c r="L415" s="30"/>
    </row>
    <row r="416" ht="22.5" customHeight="1">
      <c r="A416" s="25"/>
      <c r="B416" s="23"/>
      <c r="C416" s="24"/>
      <c r="D416" s="24"/>
      <c r="E416" s="24"/>
      <c r="F416" s="26"/>
      <c r="G416" s="30"/>
      <c r="H416" s="30">
        <f t="shared" si="7"/>
        <v>0</v>
      </c>
      <c r="I416" s="26" t="str">
        <f t="shared" si="3"/>
        <v/>
      </c>
      <c r="J416" s="85"/>
      <c r="K416" s="26"/>
      <c r="L416" s="30"/>
    </row>
    <row r="417" ht="22.5" customHeight="1">
      <c r="A417" s="25"/>
      <c r="B417" s="23"/>
      <c r="C417" s="24"/>
      <c r="D417" s="24"/>
      <c r="E417" s="24"/>
      <c r="F417" s="26"/>
      <c r="G417" s="30"/>
      <c r="H417" s="30">
        <f t="shared" si="7"/>
        <v>0</v>
      </c>
      <c r="I417" s="26" t="str">
        <f t="shared" si="3"/>
        <v/>
      </c>
      <c r="J417" s="85"/>
      <c r="K417" s="26"/>
      <c r="L417" s="30"/>
    </row>
    <row r="418" ht="22.5" customHeight="1">
      <c r="A418" s="25"/>
      <c r="B418" s="23"/>
      <c r="C418" s="24"/>
      <c r="D418" s="24"/>
      <c r="E418" s="24"/>
      <c r="F418" s="26"/>
      <c r="G418" s="30"/>
      <c r="H418" s="30">
        <f t="shared" si="7"/>
        <v>0</v>
      </c>
      <c r="I418" s="26" t="str">
        <f t="shared" si="3"/>
        <v/>
      </c>
      <c r="J418" s="85"/>
      <c r="K418" s="26"/>
      <c r="L418" s="30"/>
    </row>
    <row r="419" ht="22.5" customHeight="1">
      <c r="A419" s="25"/>
      <c r="B419" s="23"/>
      <c r="C419" s="24"/>
      <c r="D419" s="24"/>
      <c r="E419" s="24"/>
      <c r="F419" s="26"/>
      <c r="G419" s="30"/>
      <c r="H419" s="30">
        <f t="shared" si="7"/>
        <v>0</v>
      </c>
      <c r="I419" s="26" t="str">
        <f t="shared" si="3"/>
        <v/>
      </c>
      <c r="J419" s="85"/>
      <c r="K419" s="26"/>
      <c r="L419" s="30"/>
    </row>
    <row r="420" ht="22.5" customHeight="1">
      <c r="A420" s="25"/>
      <c r="B420" s="23"/>
      <c r="C420" s="24"/>
      <c r="D420" s="24"/>
      <c r="E420" s="24"/>
      <c r="F420" s="26"/>
      <c r="G420" s="30"/>
      <c r="H420" s="30">
        <f t="shared" si="7"/>
        <v>0</v>
      </c>
      <c r="I420" s="26" t="str">
        <f t="shared" si="3"/>
        <v/>
      </c>
      <c r="J420" s="85"/>
      <c r="K420" s="26"/>
      <c r="L420" s="30"/>
    </row>
    <row r="421" ht="22.5" customHeight="1">
      <c r="A421" s="25"/>
      <c r="B421" s="23"/>
      <c r="C421" s="24"/>
      <c r="D421" s="24"/>
      <c r="E421" s="24"/>
      <c r="F421" s="26"/>
      <c r="G421" s="30"/>
      <c r="H421" s="30">
        <f t="shared" si="7"/>
        <v>0</v>
      </c>
      <c r="I421" s="26" t="str">
        <f t="shared" si="3"/>
        <v/>
      </c>
      <c r="J421" s="85"/>
      <c r="K421" s="26"/>
      <c r="L421" s="30"/>
    </row>
    <row r="422" ht="22.5" customHeight="1">
      <c r="A422" s="25"/>
      <c r="B422" s="23"/>
      <c r="C422" s="24"/>
      <c r="D422" s="24"/>
      <c r="E422" s="24"/>
      <c r="F422" s="26"/>
      <c r="G422" s="30"/>
      <c r="H422" s="30">
        <f t="shared" si="7"/>
        <v>0</v>
      </c>
      <c r="I422" s="26" t="str">
        <f t="shared" si="3"/>
        <v/>
      </c>
      <c r="J422" s="85"/>
      <c r="K422" s="26"/>
      <c r="L422" s="30"/>
    </row>
    <row r="423" ht="22.5" customHeight="1">
      <c r="A423" s="25"/>
      <c r="B423" s="23"/>
      <c r="C423" s="24"/>
      <c r="D423" s="24"/>
      <c r="E423" s="24"/>
      <c r="F423" s="26"/>
      <c r="G423" s="30"/>
      <c r="H423" s="30">
        <f t="shared" si="7"/>
        <v>0</v>
      </c>
      <c r="I423" s="26" t="str">
        <f t="shared" si="3"/>
        <v/>
      </c>
      <c r="J423" s="85"/>
      <c r="K423" s="26"/>
      <c r="L423" s="30"/>
    </row>
    <row r="424" ht="22.5" customHeight="1">
      <c r="A424" s="25"/>
      <c r="B424" s="23"/>
      <c r="C424" s="24"/>
      <c r="D424" s="24"/>
      <c r="E424" s="24"/>
      <c r="F424" s="26"/>
      <c r="G424" s="30"/>
      <c r="H424" s="30">
        <f t="shared" si="7"/>
        <v>0</v>
      </c>
      <c r="I424" s="26" t="str">
        <f t="shared" si="3"/>
        <v/>
      </c>
      <c r="J424" s="85"/>
      <c r="K424" s="26"/>
      <c r="L424" s="30"/>
    </row>
    <row r="425" ht="22.5" customHeight="1">
      <c r="A425" s="25"/>
      <c r="B425" s="23"/>
      <c r="C425" s="24"/>
      <c r="D425" s="24"/>
      <c r="E425" s="24"/>
      <c r="F425" s="26"/>
      <c r="G425" s="30"/>
      <c r="H425" s="30">
        <f t="shared" si="7"/>
        <v>0</v>
      </c>
      <c r="I425" s="26" t="str">
        <f t="shared" si="3"/>
        <v/>
      </c>
      <c r="J425" s="85"/>
      <c r="K425" s="26"/>
      <c r="L425" s="30"/>
    </row>
    <row r="426" ht="22.5" customHeight="1">
      <c r="A426" s="25"/>
      <c r="B426" s="23"/>
      <c r="C426" s="24"/>
      <c r="D426" s="24"/>
      <c r="E426" s="24"/>
      <c r="F426" s="26"/>
      <c r="G426" s="30"/>
      <c r="H426" s="30">
        <f t="shared" si="7"/>
        <v>0</v>
      </c>
      <c r="I426" s="26" t="str">
        <f t="shared" si="3"/>
        <v/>
      </c>
      <c r="J426" s="85"/>
      <c r="K426" s="26"/>
      <c r="L426" s="30"/>
    </row>
    <row r="427" ht="22.5" customHeight="1">
      <c r="A427" s="25"/>
      <c r="B427" s="23"/>
      <c r="C427" s="24"/>
      <c r="D427" s="24"/>
      <c r="E427" s="24"/>
      <c r="F427" s="26"/>
      <c r="G427" s="30"/>
      <c r="H427" s="30">
        <f t="shared" si="7"/>
        <v>0</v>
      </c>
      <c r="I427" s="26" t="str">
        <f t="shared" si="3"/>
        <v/>
      </c>
      <c r="J427" s="85"/>
      <c r="K427" s="26"/>
      <c r="L427" s="30"/>
    </row>
    <row r="428" ht="22.5" customHeight="1">
      <c r="A428" s="25"/>
      <c r="B428" s="23"/>
      <c r="C428" s="24"/>
      <c r="D428" s="24"/>
      <c r="E428" s="24"/>
      <c r="F428" s="26"/>
      <c r="G428" s="30"/>
      <c r="H428" s="30">
        <f t="shared" si="7"/>
        <v>0</v>
      </c>
      <c r="I428" s="26" t="str">
        <f t="shared" si="3"/>
        <v/>
      </c>
      <c r="J428" s="85"/>
      <c r="K428" s="26"/>
      <c r="L428" s="30"/>
    </row>
    <row r="429" ht="22.5" customHeight="1">
      <c r="A429" s="25"/>
      <c r="B429" s="23"/>
      <c r="C429" s="24"/>
      <c r="D429" s="24"/>
      <c r="E429" s="24"/>
      <c r="F429" s="26"/>
      <c r="G429" s="30"/>
      <c r="H429" s="30">
        <f t="shared" si="7"/>
        <v>0</v>
      </c>
      <c r="I429" s="26" t="str">
        <f t="shared" si="3"/>
        <v/>
      </c>
      <c r="J429" s="85"/>
      <c r="K429" s="26"/>
      <c r="L429" s="30"/>
    </row>
    <row r="430" ht="22.5" customHeight="1">
      <c r="A430" s="25"/>
      <c r="B430" s="23"/>
      <c r="C430" s="24"/>
      <c r="D430" s="24"/>
      <c r="E430" s="24"/>
      <c r="F430" s="26"/>
      <c r="G430" s="30"/>
      <c r="H430" s="30">
        <f t="shared" si="7"/>
        <v>0</v>
      </c>
      <c r="I430" s="26" t="str">
        <f t="shared" si="3"/>
        <v/>
      </c>
      <c r="J430" s="85"/>
      <c r="K430" s="26"/>
      <c r="L430" s="30"/>
    </row>
    <row r="431" ht="22.5" customHeight="1">
      <c r="A431" s="25"/>
      <c r="B431" s="23"/>
      <c r="C431" s="24"/>
      <c r="D431" s="24"/>
      <c r="E431" s="24"/>
      <c r="F431" s="26"/>
      <c r="G431" s="30"/>
      <c r="H431" s="30">
        <f t="shared" si="7"/>
        <v>0</v>
      </c>
      <c r="I431" s="26" t="str">
        <f t="shared" si="3"/>
        <v/>
      </c>
      <c r="J431" s="85"/>
      <c r="K431" s="26"/>
      <c r="L431" s="30"/>
    </row>
    <row r="432" ht="22.5" customHeight="1">
      <c r="A432" s="25"/>
      <c r="B432" s="23"/>
      <c r="C432" s="24"/>
      <c r="D432" s="24"/>
      <c r="E432" s="24"/>
      <c r="F432" s="26"/>
      <c r="G432" s="30"/>
      <c r="H432" s="30">
        <f t="shared" si="7"/>
        <v>0</v>
      </c>
      <c r="I432" s="26" t="str">
        <f t="shared" si="3"/>
        <v/>
      </c>
      <c r="J432" s="85"/>
      <c r="K432" s="26"/>
      <c r="L432" s="30"/>
    </row>
    <row r="433" ht="22.5" customHeight="1">
      <c r="A433" s="25"/>
      <c r="B433" s="23"/>
      <c r="C433" s="24"/>
      <c r="D433" s="24"/>
      <c r="E433" s="24"/>
      <c r="F433" s="26"/>
      <c r="G433" s="30"/>
      <c r="H433" s="30">
        <f t="shared" si="7"/>
        <v>0</v>
      </c>
      <c r="I433" s="26" t="str">
        <f t="shared" si="3"/>
        <v/>
      </c>
      <c r="J433" s="85"/>
      <c r="K433" s="26"/>
      <c r="L433" s="30"/>
    </row>
    <row r="434" ht="22.5" customHeight="1">
      <c r="A434" s="25"/>
      <c r="B434" s="23"/>
      <c r="C434" s="24"/>
      <c r="D434" s="24"/>
      <c r="E434" s="24"/>
      <c r="F434" s="26"/>
      <c r="G434" s="30"/>
      <c r="H434" s="30">
        <f t="shared" si="7"/>
        <v>0</v>
      </c>
      <c r="I434" s="26" t="str">
        <f t="shared" si="3"/>
        <v/>
      </c>
      <c r="J434" s="85"/>
      <c r="K434" s="26"/>
      <c r="L434" s="30"/>
    </row>
    <row r="435" ht="22.5" customHeight="1">
      <c r="A435" s="25"/>
      <c r="B435" s="23"/>
      <c r="C435" s="24"/>
      <c r="D435" s="24"/>
      <c r="E435" s="24"/>
      <c r="F435" s="26"/>
      <c r="G435" s="30"/>
      <c r="H435" s="30">
        <f t="shared" si="7"/>
        <v>0</v>
      </c>
      <c r="I435" s="26" t="str">
        <f t="shared" si="3"/>
        <v/>
      </c>
      <c r="J435" s="85"/>
      <c r="K435" s="26"/>
      <c r="L435" s="30"/>
    </row>
    <row r="436" ht="22.5" customHeight="1">
      <c r="A436" s="25"/>
      <c r="B436" s="23"/>
      <c r="C436" s="24"/>
      <c r="D436" s="24"/>
      <c r="E436" s="24"/>
      <c r="F436" s="26"/>
      <c r="G436" s="30"/>
      <c r="H436" s="30">
        <f t="shared" si="7"/>
        <v>0</v>
      </c>
      <c r="I436" s="26" t="str">
        <f t="shared" si="3"/>
        <v/>
      </c>
      <c r="J436" s="85"/>
      <c r="K436" s="26"/>
      <c r="L436" s="30"/>
    </row>
    <row r="437" ht="22.5" customHeight="1">
      <c r="A437" s="25"/>
      <c r="B437" s="23"/>
      <c r="C437" s="24"/>
      <c r="D437" s="24"/>
      <c r="E437" s="24"/>
      <c r="F437" s="26"/>
      <c r="G437" s="30"/>
      <c r="H437" s="30">
        <f t="shared" si="7"/>
        <v>0</v>
      </c>
      <c r="I437" s="26" t="str">
        <f t="shared" si="3"/>
        <v/>
      </c>
      <c r="J437" s="85"/>
      <c r="K437" s="26"/>
      <c r="L437" s="30"/>
    </row>
    <row r="438" ht="22.5" customHeight="1">
      <c r="A438" s="25"/>
      <c r="B438" s="23"/>
      <c r="C438" s="24"/>
      <c r="D438" s="24"/>
      <c r="E438" s="24"/>
      <c r="F438" s="26"/>
      <c r="G438" s="30"/>
      <c r="H438" s="30">
        <f t="shared" si="7"/>
        <v>0</v>
      </c>
      <c r="I438" s="26" t="str">
        <f t="shared" si="3"/>
        <v/>
      </c>
      <c r="J438" s="85"/>
      <c r="K438" s="26"/>
      <c r="L438" s="30"/>
    </row>
    <row r="439" ht="22.5" customHeight="1">
      <c r="A439" s="25"/>
      <c r="B439" s="23"/>
      <c r="C439" s="24"/>
      <c r="D439" s="24"/>
      <c r="E439" s="24"/>
      <c r="F439" s="26"/>
      <c r="G439" s="30"/>
      <c r="H439" s="30">
        <f t="shared" si="7"/>
        <v>0</v>
      </c>
      <c r="I439" s="26" t="str">
        <f t="shared" si="3"/>
        <v/>
      </c>
      <c r="J439" s="85"/>
      <c r="K439" s="26"/>
      <c r="L439" s="30"/>
    </row>
    <row r="440" ht="22.5" customHeight="1">
      <c r="A440" s="25"/>
      <c r="B440" s="23"/>
      <c r="C440" s="24"/>
      <c r="D440" s="24"/>
      <c r="E440" s="24"/>
      <c r="F440" s="26"/>
      <c r="G440" s="30"/>
      <c r="H440" s="30">
        <f t="shared" si="7"/>
        <v>0</v>
      </c>
      <c r="I440" s="26" t="str">
        <f t="shared" si="3"/>
        <v/>
      </c>
      <c r="J440" s="85"/>
      <c r="K440" s="26"/>
      <c r="L440" s="30"/>
    </row>
    <row r="441" ht="22.5" customHeight="1">
      <c r="A441" s="25"/>
      <c r="B441" s="23"/>
      <c r="C441" s="24"/>
      <c r="D441" s="24"/>
      <c r="E441" s="24"/>
      <c r="F441" s="26"/>
      <c r="G441" s="30"/>
      <c r="H441" s="30">
        <f t="shared" si="7"/>
        <v>0</v>
      </c>
      <c r="I441" s="26" t="str">
        <f t="shared" si="3"/>
        <v/>
      </c>
      <c r="J441" s="85"/>
      <c r="K441" s="26"/>
      <c r="L441" s="30"/>
    </row>
    <row r="442" ht="22.5" customHeight="1">
      <c r="A442" s="25"/>
      <c r="B442" s="23"/>
      <c r="C442" s="24"/>
      <c r="D442" s="24"/>
      <c r="E442" s="24"/>
      <c r="F442" s="26"/>
      <c r="G442" s="30"/>
      <c r="H442" s="30">
        <f t="shared" si="7"/>
        <v>0</v>
      </c>
      <c r="I442" s="26" t="str">
        <f t="shared" si="3"/>
        <v/>
      </c>
      <c r="J442" s="85"/>
      <c r="K442" s="26"/>
      <c r="L442" s="30"/>
    </row>
    <row r="443" ht="22.5" customHeight="1">
      <c r="A443" s="25"/>
      <c r="B443" s="23"/>
      <c r="C443" s="24"/>
      <c r="D443" s="24"/>
      <c r="E443" s="24"/>
      <c r="F443" s="26"/>
      <c r="G443" s="30"/>
      <c r="H443" s="30">
        <f t="shared" si="7"/>
        <v>0</v>
      </c>
      <c r="I443" s="26" t="str">
        <f t="shared" si="3"/>
        <v/>
      </c>
      <c r="J443" s="85"/>
      <c r="K443" s="26"/>
      <c r="L443" s="30"/>
    </row>
    <row r="444" ht="22.5" customHeight="1">
      <c r="A444" s="25"/>
      <c r="B444" s="23"/>
      <c r="C444" s="24"/>
      <c r="D444" s="24"/>
      <c r="E444" s="24"/>
      <c r="F444" s="26"/>
      <c r="G444" s="30"/>
      <c r="H444" s="30">
        <f t="shared" si="7"/>
        <v>0</v>
      </c>
      <c r="I444" s="26" t="str">
        <f t="shared" si="3"/>
        <v/>
      </c>
      <c r="J444" s="85"/>
      <c r="K444" s="26"/>
      <c r="L444" s="30"/>
    </row>
    <row r="445" ht="22.5" customHeight="1">
      <c r="A445" s="25"/>
      <c r="B445" s="23"/>
      <c r="C445" s="24"/>
      <c r="D445" s="24"/>
      <c r="E445" s="24"/>
      <c r="F445" s="26"/>
      <c r="G445" s="30"/>
      <c r="H445" s="30">
        <f t="shared" si="7"/>
        <v>0</v>
      </c>
      <c r="I445" s="26" t="str">
        <f t="shared" si="3"/>
        <v/>
      </c>
      <c r="J445" s="85"/>
      <c r="K445" s="26"/>
      <c r="L445" s="30"/>
    </row>
    <row r="446" ht="22.5" customHeight="1">
      <c r="A446" s="25"/>
      <c r="B446" s="23"/>
      <c r="C446" s="24"/>
      <c r="D446" s="24"/>
      <c r="E446" s="24"/>
      <c r="F446" s="26"/>
      <c r="G446" s="30"/>
      <c r="H446" s="30">
        <f t="shared" si="7"/>
        <v>0</v>
      </c>
      <c r="I446" s="26" t="str">
        <f t="shared" si="3"/>
        <v/>
      </c>
      <c r="J446" s="85"/>
      <c r="K446" s="26"/>
      <c r="L446" s="30"/>
    </row>
    <row r="447" ht="22.5" customHeight="1">
      <c r="A447" s="25"/>
      <c r="B447" s="23"/>
      <c r="C447" s="24"/>
      <c r="D447" s="24"/>
      <c r="E447" s="24"/>
      <c r="F447" s="26"/>
      <c r="G447" s="30"/>
      <c r="H447" s="30">
        <f t="shared" si="7"/>
        <v>0</v>
      </c>
      <c r="I447" s="26" t="str">
        <f t="shared" si="3"/>
        <v/>
      </c>
      <c r="J447" s="85"/>
      <c r="K447" s="26"/>
      <c r="L447" s="30"/>
    </row>
    <row r="448" ht="22.5" customHeight="1">
      <c r="A448" s="25"/>
      <c r="B448" s="23"/>
      <c r="C448" s="24"/>
      <c r="D448" s="24"/>
      <c r="E448" s="24"/>
      <c r="F448" s="26"/>
      <c r="G448" s="30"/>
      <c r="H448" s="30">
        <f t="shared" si="7"/>
        <v>0</v>
      </c>
      <c r="I448" s="26" t="str">
        <f t="shared" si="3"/>
        <v/>
      </c>
      <c r="J448" s="85"/>
      <c r="K448" s="26"/>
      <c r="L448" s="30"/>
    </row>
    <row r="449" ht="22.5" customHeight="1">
      <c r="A449" s="25"/>
      <c r="B449" s="23"/>
      <c r="C449" s="24"/>
      <c r="D449" s="24"/>
      <c r="E449" s="24"/>
      <c r="F449" s="26"/>
      <c r="G449" s="30"/>
      <c r="H449" s="30">
        <f t="shared" si="7"/>
        <v>0</v>
      </c>
      <c r="I449" s="26" t="str">
        <f t="shared" si="3"/>
        <v/>
      </c>
      <c r="J449" s="85"/>
      <c r="K449" s="26"/>
      <c r="L449" s="30"/>
    </row>
    <row r="450" ht="22.5" customHeight="1">
      <c r="A450" s="25"/>
      <c r="B450" s="23"/>
      <c r="C450" s="24"/>
      <c r="D450" s="24"/>
      <c r="E450" s="24"/>
      <c r="F450" s="26"/>
      <c r="G450" s="30"/>
      <c r="H450" s="30">
        <f t="shared" si="7"/>
        <v>0</v>
      </c>
      <c r="I450" s="26" t="str">
        <f t="shared" si="3"/>
        <v/>
      </c>
      <c r="J450" s="85"/>
      <c r="K450" s="26"/>
      <c r="L450" s="30"/>
    </row>
    <row r="451" ht="22.5" customHeight="1">
      <c r="A451" s="25"/>
      <c r="B451" s="23"/>
      <c r="C451" s="24"/>
      <c r="D451" s="24"/>
      <c r="E451" s="24"/>
      <c r="F451" s="26"/>
      <c r="G451" s="30"/>
      <c r="H451" s="30">
        <f t="shared" si="7"/>
        <v>0</v>
      </c>
      <c r="I451" s="26" t="str">
        <f t="shared" si="3"/>
        <v/>
      </c>
      <c r="J451" s="85"/>
      <c r="K451" s="26"/>
      <c r="L451" s="30"/>
    </row>
    <row r="452" ht="22.5" customHeight="1">
      <c r="A452" s="25"/>
      <c r="B452" s="23"/>
      <c r="C452" s="24"/>
      <c r="D452" s="24"/>
      <c r="E452" s="24"/>
      <c r="F452" s="26"/>
      <c r="G452" s="30"/>
      <c r="H452" s="30">
        <f t="shared" si="7"/>
        <v>0</v>
      </c>
      <c r="I452" s="26" t="str">
        <f t="shared" si="3"/>
        <v/>
      </c>
      <c r="J452" s="85"/>
      <c r="K452" s="26"/>
      <c r="L452" s="30"/>
    </row>
    <row r="453" ht="22.5" customHeight="1">
      <c r="A453" s="25"/>
      <c r="B453" s="23"/>
      <c r="C453" s="24"/>
      <c r="D453" s="24"/>
      <c r="E453" s="24"/>
      <c r="F453" s="26"/>
      <c r="G453" s="30"/>
      <c r="H453" s="30">
        <f t="shared" si="7"/>
        <v>0</v>
      </c>
      <c r="I453" s="26" t="str">
        <f t="shared" si="3"/>
        <v/>
      </c>
      <c r="J453" s="85"/>
      <c r="K453" s="26"/>
      <c r="L453" s="30"/>
    </row>
    <row r="454" ht="22.5" customHeight="1">
      <c r="A454" s="25"/>
      <c r="B454" s="23"/>
      <c r="C454" s="24"/>
      <c r="D454" s="24"/>
      <c r="E454" s="24"/>
      <c r="F454" s="26"/>
      <c r="G454" s="30"/>
      <c r="H454" s="30">
        <f t="shared" si="7"/>
        <v>0</v>
      </c>
      <c r="I454" s="26" t="str">
        <f t="shared" si="3"/>
        <v/>
      </c>
      <c r="J454" s="85"/>
      <c r="K454" s="26"/>
      <c r="L454" s="30"/>
    </row>
    <row r="455" ht="22.5" customHeight="1">
      <c r="A455" s="25"/>
      <c r="B455" s="23"/>
      <c r="C455" s="24"/>
      <c r="D455" s="24"/>
      <c r="E455" s="24"/>
      <c r="F455" s="26"/>
      <c r="G455" s="30"/>
      <c r="H455" s="30">
        <f t="shared" si="7"/>
        <v>0</v>
      </c>
      <c r="I455" s="26" t="str">
        <f t="shared" si="3"/>
        <v/>
      </c>
      <c r="J455" s="85"/>
      <c r="K455" s="26"/>
      <c r="L455" s="30"/>
    </row>
    <row r="456" ht="22.5" customHeight="1">
      <c r="A456" s="25"/>
      <c r="B456" s="23"/>
      <c r="C456" s="24"/>
      <c r="D456" s="24"/>
      <c r="E456" s="24"/>
      <c r="F456" s="26"/>
      <c r="G456" s="30"/>
      <c r="H456" s="30">
        <f t="shared" si="7"/>
        <v>0</v>
      </c>
      <c r="I456" s="26" t="str">
        <f t="shared" si="3"/>
        <v/>
      </c>
      <c r="J456" s="85"/>
      <c r="K456" s="26"/>
      <c r="L456" s="30"/>
    </row>
    <row r="457" ht="22.5" customHeight="1">
      <c r="A457" s="25"/>
      <c r="B457" s="23"/>
      <c r="C457" s="24"/>
      <c r="D457" s="24"/>
      <c r="E457" s="24"/>
      <c r="F457" s="26"/>
      <c r="G457" s="30"/>
      <c r="H457" s="30">
        <f t="shared" si="7"/>
        <v>0</v>
      </c>
      <c r="I457" s="26" t="str">
        <f t="shared" si="3"/>
        <v/>
      </c>
      <c r="J457" s="85"/>
      <c r="K457" s="26"/>
      <c r="L457" s="30"/>
    </row>
    <row r="458" ht="22.5" customHeight="1">
      <c r="A458" s="25"/>
      <c r="B458" s="23"/>
      <c r="C458" s="24"/>
      <c r="D458" s="24"/>
      <c r="E458" s="24"/>
      <c r="F458" s="26"/>
      <c r="G458" s="30"/>
      <c r="H458" s="30">
        <f t="shared" si="7"/>
        <v>0</v>
      </c>
      <c r="I458" s="26" t="str">
        <f t="shared" si="3"/>
        <v/>
      </c>
      <c r="J458" s="85"/>
      <c r="K458" s="26"/>
      <c r="L458" s="30"/>
    </row>
    <row r="459" ht="22.5" customHeight="1">
      <c r="A459" s="25"/>
      <c r="B459" s="23"/>
      <c r="C459" s="24"/>
      <c r="D459" s="24"/>
      <c r="E459" s="24"/>
      <c r="F459" s="26"/>
      <c r="G459" s="30"/>
      <c r="H459" s="30">
        <f t="shared" si="7"/>
        <v>0</v>
      </c>
      <c r="I459" s="26" t="str">
        <f t="shared" si="3"/>
        <v/>
      </c>
      <c r="J459" s="85"/>
      <c r="K459" s="26"/>
      <c r="L459" s="30"/>
    </row>
    <row r="460" ht="22.5" customHeight="1">
      <c r="A460" s="25"/>
      <c r="B460" s="23"/>
      <c r="C460" s="24"/>
      <c r="D460" s="24"/>
      <c r="E460" s="24"/>
      <c r="F460" s="26"/>
      <c r="G460" s="30"/>
      <c r="H460" s="30">
        <f t="shared" si="7"/>
        <v>0</v>
      </c>
      <c r="I460" s="26" t="str">
        <f t="shared" si="3"/>
        <v/>
      </c>
      <c r="J460" s="85"/>
      <c r="K460" s="26"/>
      <c r="L460" s="30"/>
    </row>
    <row r="461" ht="22.5" customHeight="1">
      <c r="A461" s="25"/>
      <c r="B461" s="23"/>
      <c r="C461" s="24"/>
      <c r="D461" s="24"/>
      <c r="E461" s="24"/>
      <c r="F461" s="26"/>
      <c r="G461" s="30"/>
      <c r="H461" s="30">
        <f t="shared" si="7"/>
        <v>0</v>
      </c>
      <c r="I461" s="26" t="str">
        <f t="shared" si="3"/>
        <v/>
      </c>
      <c r="J461" s="85"/>
      <c r="K461" s="26"/>
      <c r="L461" s="30"/>
    </row>
    <row r="462" ht="22.5" customHeight="1">
      <c r="A462" s="25"/>
      <c r="B462" s="23"/>
      <c r="C462" s="24"/>
      <c r="D462" s="24"/>
      <c r="E462" s="24"/>
      <c r="F462" s="26"/>
      <c r="G462" s="30"/>
      <c r="H462" s="30">
        <f t="shared" si="7"/>
        <v>0</v>
      </c>
      <c r="I462" s="26" t="str">
        <f t="shared" si="3"/>
        <v/>
      </c>
      <c r="J462" s="85"/>
      <c r="K462" s="26"/>
      <c r="L462" s="30"/>
    </row>
    <row r="463" ht="22.5" customHeight="1">
      <c r="A463" s="25"/>
      <c r="B463" s="23"/>
      <c r="C463" s="24"/>
      <c r="D463" s="24"/>
      <c r="E463" s="24"/>
      <c r="F463" s="26"/>
      <c r="G463" s="30"/>
      <c r="H463" s="30">
        <f t="shared" si="7"/>
        <v>0</v>
      </c>
      <c r="I463" s="26" t="str">
        <f t="shared" si="3"/>
        <v/>
      </c>
      <c r="J463" s="85"/>
      <c r="K463" s="26"/>
      <c r="L463" s="30"/>
    </row>
    <row r="464" ht="22.5" customHeight="1">
      <c r="A464" s="25"/>
      <c r="B464" s="23"/>
      <c r="C464" s="24"/>
      <c r="D464" s="24"/>
      <c r="E464" s="24"/>
      <c r="F464" s="26"/>
      <c r="G464" s="30"/>
      <c r="H464" s="30">
        <f t="shared" si="7"/>
        <v>0</v>
      </c>
      <c r="I464" s="26" t="str">
        <f t="shared" si="3"/>
        <v/>
      </c>
      <c r="J464" s="85"/>
      <c r="K464" s="26"/>
      <c r="L464" s="30"/>
    </row>
    <row r="465" ht="22.5" customHeight="1">
      <c r="A465" s="25"/>
      <c r="B465" s="23"/>
      <c r="C465" s="24"/>
      <c r="D465" s="24"/>
      <c r="E465" s="24"/>
      <c r="F465" s="26"/>
      <c r="G465" s="30"/>
      <c r="H465" s="30">
        <f t="shared" si="7"/>
        <v>0</v>
      </c>
      <c r="I465" s="26" t="str">
        <f t="shared" si="3"/>
        <v/>
      </c>
      <c r="J465" s="85"/>
      <c r="K465" s="26"/>
      <c r="L465" s="30"/>
    </row>
    <row r="466" ht="22.5" customHeight="1">
      <c r="A466" s="25"/>
      <c r="B466" s="23"/>
      <c r="C466" s="24"/>
      <c r="D466" s="24"/>
      <c r="E466" s="24"/>
      <c r="F466" s="26"/>
      <c r="G466" s="30"/>
      <c r="H466" s="30">
        <f t="shared" si="7"/>
        <v>0</v>
      </c>
      <c r="I466" s="26" t="str">
        <f t="shared" si="3"/>
        <v/>
      </c>
      <c r="J466" s="85"/>
      <c r="K466" s="26"/>
      <c r="L466" s="30"/>
    </row>
    <row r="467" ht="22.5" customHeight="1">
      <c r="A467" s="25"/>
      <c r="B467" s="23"/>
      <c r="C467" s="24"/>
      <c r="D467" s="24"/>
      <c r="E467" s="24"/>
      <c r="F467" s="26"/>
      <c r="G467" s="30"/>
      <c r="H467" s="30">
        <f t="shared" si="7"/>
        <v>0</v>
      </c>
      <c r="I467" s="26" t="str">
        <f t="shared" si="3"/>
        <v/>
      </c>
      <c r="J467" s="85"/>
      <c r="K467" s="26"/>
      <c r="L467" s="30"/>
    </row>
    <row r="468" ht="22.5" customHeight="1">
      <c r="A468" s="25"/>
      <c r="B468" s="23"/>
      <c r="C468" s="24"/>
      <c r="D468" s="24"/>
      <c r="E468" s="24"/>
      <c r="F468" s="26"/>
      <c r="G468" s="30"/>
      <c r="H468" s="30">
        <f t="shared" si="7"/>
        <v>0</v>
      </c>
      <c r="I468" s="26" t="str">
        <f t="shared" si="3"/>
        <v/>
      </c>
      <c r="J468" s="85"/>
      <c r="K468" s="26"/>
      <c r="L468" s="30"/>
    </row>
    <row r="469" ht="22.5" customHeight="1">
      <c r="A469" s="25"/>
      <c r="B469" s="23"/>
      <c r="C469" s="24"/>
      <c r="D469" s="24"/>
      <c r="E469" s="24"/>
      <c r="F469" s="26"/>
      <c r="G469" s="30"/>
      <c r="H469" s="30">
        <f t="shared" si="7"/>
        <v>0</v>
      </c>
      <c r="I469" s="26" t="str">
        <f t="shared" si="3"/>
        <v/>
      </c>
      <c r="J469" s="85"/>
      <c r="K469" s="26"/>
      <c r="L469" s="30"/>
    </row>
    <row r="470" ht="22.5" customHeight="1">
      <c r="A470" s="25"/>
      <c r="B470" s="23"/>
      <c r="C470" s="24"/>
      <c r="D470" s="24"/>
      <c r="E470" s="24"/>
      <c r="F470" s="26"/>
      <c r="G470" s="30"/>
      <c r="H470" s="30">
        <f t="shared" si="7"/>
        <v>0</v>
      </c>
      <c r="I470" s="26" t="str">
        <f t="shared" si="3"/>
        <v/>
      </c>
      <c r="J470" s="85"/>
      <c r="K470" s="26"/>
      <c r="L470" s="30"/>
    </row>
    <row r="471" ht="22.5" customHeight="1">
      <c r="A471" s="25"/>
      <c r="B471" s="23"/>
      <c r="C471" s="24"/>
      <c r="D471" s="24"/>
      <c r="E471" s="24"/>
      <c r="F471" s="26"/>
      <c r="G471" s="30"/>
      <c r="H471" s="30">
        <f t="shared" si="7"/>
        <v>0</v>
      </c>
      <c r="I471" s="26" t="str">
        <f t="shared" si="3"/>
        <v/>
      </c>
      <c r="J471" s="85"/>
      <c r="K471" s="26"/>
      <c r="L471" s="30"/>
    </row>
    <row r="472" ht="22.5" customHeight="1">
      <c r="A472" s="25"/>
      <c r="B472" s="23"/>
      <c r="C472" s="24"/>
      <c r="D472" s="24"/>
      <c r="E472" s="24"/>
      <c r="F472" s="26"/>
      <c r="G472" s="30"/>
      <c r="H472" s="30">
        <f t="shared" si="7"/>
        <v>0</v>
      </c>
      <c r="I472" s="26" t="str">
        <f t="shared" si="3"/>
        <v/>
      </c>
      <c r="J472" s="85"/>
      <c r="K472" s="26"/>
      <c r="L472" s="30"/>
    </row>
    <row r="473" ht="22.5" customHeight="1">
      <c r="A473" s="25"/>
      <c r="B473" s="23"/>
      <c r="C473" s="24"/>
      <c r="D473" s="24"/>
      <c r="E473" s="24"/>
      <c r="F473" s="26"/>
      <c r="G473" s="30"/>
      <c r="H473" s="30">
        <f t="shared" si="7"/>
        <v>0</v>
      </c>
      <c r="I473" s="26" t="str">
        <f t="shared" si="3"/>
        <v/>
      </c>
      <c r="J473" s="85"/>
      <c r="K473" s="26"/>
      <c r="L473" s="30"/>
    </row>
    <row r="474" ht="22.5" customHeight="1">
      <c r="A474" s="25"/>
      <c r="B474" s="23"/>
      <c r="C474" s="24"/>
      <c r="D474" s="24"/>
      <c r="E474" s="24"/>
      <c r="F474" s="26"/>
      <c r="G474" s="30"/>
      <c r="H474" s="30">
        <f t="shared" si="7"/>
        <v>0</v>
      </c>
      <c r="I474" s="26" t="str">
        <f t="shared" si="3"/>
        <v/>
      </c>
      <c r="J474" s="85"/>
      <c r="K474" s="26"/>
      <c r="L474" s="30"/>
    </row>
    <row r="475" ht="22.5" customHeight="1">
      <c r="A475" s="25"/>
      <c r="B475" s="23"/>
      <c r="C475" s="24"/>
      <c r="D475" s="24"/>
      <c r="E475" s="24"/>
      <c r="F475" s="26"/>
      <c r="G475" s="30"/>
      <c r="H475" s="30">
        <f t="shared" si="7"/>
        <v>0</v>
      </c>
      <c r="I475" s="26" t="str">
        <f t="shared" si="3"/>
        <v/>
      </c>
      <c r="J475" s="85"/>
      <c r="K475" s="26"/>
      <c r="L475" s="30"/>
    </row>
    <row r="476" ht="22.5" customHeight="1">
      <c r="A476" s="25"/>
      <c r="B476" s="23"/>
      <c r="C476" s="24"/>
      <c r="D476" s="24"/>
      <c r="E476" s="24"/>
      <c r="F476" s="26"/>
      <c r="G476" s="30"/>
      <c r="H476" s="30">
        <f t="shared" si="7"/>
        <v>0</v>
      </c>
      <c r="I476" s="26" t="str">
        <f t="shared" si="3"/>
        <v/>
      </c>
      <c r="J476" s="85"/>
      <c r="K476" s="26"/>
      <c r="L476" s="30"/>
    </row>
    <row r="477" ht="22.5" customHeight="1">
      <c r="A477" s="25"/>
      <c r="B477" s="23"/>
      <c r="C477" s="24"/>
      <c r="D477" s="24"/>
      <c r="E477" s="24"/>
      <c r="F477" s="26"/>
      <c r="G477" s="30"/>
      <c r="H477" s="30">
        <f t="shared" si="7"/>
        <v>0</v>
      </c>
      <c r="I477" s="26" t="str">
        <f t="shared" si="3"/>
        <v/>
      </c>
      <c r="J477" s="85"/>
      <c r="K477" s="26"/>
      <c r="L477" s="30"/>
    </row>
    <row r="478" ht="22.5" customHeight="1">
      <c r="A478" s="25"/>
      <c r="B478" s="23"/>
      <c r="C478" s="24"/>
      <c r="D478" s="24"/>
      <c r="E478" s="24"/>
      <c r="F478" s="26"/>
      <c r="G478" s="30"/>
      <c r="H478" s="30">
        <f t="shared" si="7"/>
        <v>0</v>
      </c>
      <c r="I478" s="26" t="str">
        <f t="shared" si="3"/>
        <v/>
      </c>
      <c r="J478" s="85"/>
      <c r="K478" s="26"/>
      <c r="L478" s="30"/>
    </row>
    <row r="479" ht="22.5" customHeight="1">
      <c r="A479" s="25"/>
      <c r="B479" s="23"/>
      <c r="C479" s="24"/>
      <c r="D479" s="24"/>
      <c r="E479" s="24"/>
      <c r="F479" s="26"/>
      <c r="G479" s="30"/>
      <c r="H479" s="30">
        <f t="shared" si="7"/>
        <v>0</v>
      </c>
      <c r="I479" s="26" t="str">
        <f t="shared" si="3"/>
        <v/>
      </c>
      <c r="J479" s="85"/>
      <c r="K479" s="26"/>
      <c r="L479" s="30"/>
    </row>
    <row r="480" ht="22.5" customHeight="1">
      <c r="A480" s="25"/>
      <c r="B480" s="23"/>
      <c r="C480" s="24"/>
      <c r="D480" s="24"/>
      <c r="E480" s="24"/>
      <c r="F480" s="26"/>
      <c r="G480" s="30"/>
      <c r="H480" s="30">
        <f t="shared" si="7"/>
        <v>0</v>
      </c>
      <c r="I480" s="26" t="str">
        <f t="shared" si="3"/>
        <v/>
      </c>
      <c r="J480" s="85"/>
      <c r="K480" s="26"/>
      <c r="L480" s="30"/>
    </row>
    <row r="481" ht="22.5" customHeight="1">
      <c r="A481" s="25"/>
      <c r="B481" s="23"/>
      <c r="C481" s="24"/>
      <c r="D481" s="24"/>
      <c r="E481" s="24"/>
      <c r="F481" s="26"/>
      <c r="G481" s="30"/>
      <c r="H481" s="30">
        <f t="shared" si="7"/>
        <v>0</v>
      </c>
      <c r="I481" s="26" t="str">
        <f t="shared" si="3"/>
        <v/>
      </c>
      <c r="J481" s="85"/>
      <c r="K481" s="26"/>
      <c r="L481" s="30"/>
    </row>
    <row r="482" ht="22.5" customHeight="1">
      <c r="A482" s="25"/>
      <c r="B482" s="23"/>
      <c r="C482" s="24"/>
      <c r="D482" s="24"/>
      <c r="E482" s="24"/>
      <c r="F482" s="26"/>
      <c r="G482" s="30"/>
      <c r="H482" s="30">
        <f t="shared" si="7"/>
        <v>0</v>
      </c>
      <c r="I482" s="26" t="str">
        <f t="shared" si="3"/>
        <v/>
      </c>
      <c r="J482" s="85"/>
      <c r="K482" s="26"/>
      <c r="L482" s="30"/>
    </row>
    <row r="483" ht="22.5" customHeight="1">
      <c r="A483" s="25"/>
      <c r="B483" s="23"/>
      <c r="C483" s="24"/>
      <c r="D483" s="24"/>
      <c r="E483" s="24"/>
      <c r="F483" s="26"/>
      <c r="G483" s="30"/>
      <c r="H483" s="30">
        <f t="shared" si="7"/>
        <v>0</v>
      </c>
      <c r="I483" s="26" t="str">
        <f t="shared" si="3"/>
        <v/>
      </c>
      <c r="J483" s="85"/>
      <c r="K483" s="26"/>
      <c r="L483" s="30"/>
    </row>
    <row r="484" ht="22.5" customHeight="1">
      <c r="A484" s="25"/>
      <c r="B484" s="23"/>
      <c r="C484" s="24"/>
      <c r="D484" s="24"/>
      <c r="E484" s="24"/>
      <c r="F484" s="26"/>
      <c r="G484" s="30"/>
      <c r="H484" s="30">
        <f t="shared" si="7"/>
        <v>0</v>
      </c>
      <c r="I484" s="26" t="str">
        <f t="shared" si="3"/>
        <v/>
      </c>
      <c r="J484" s="85"/>
      <c r="K484" s="26"/>
      <c r="L484" s="30"/>
    </row>
    <row r="485" ht="22.5" customHeight="1">
      <c r="A485" s="25"/>
      <c r="B485" s="23"/>
      <c r="C485" s="24"/>
      <c r="D485" s="24"/>
      <c r="E485" s="24"/>
      <c r="F485" s="26"/>
      <c r="G485" s="30"/>
      <c r="H485" s="30">
        <f t="shared" si="7"/>
        <v>0</v>
      </c>
      <c r="I485" s="26" t="str">
        <f t="shared" si="3"/>
        <v/>
      </c>
      <c r="J485" s="85"/>
      <c r="K485" s="26"/>
      <c r="L485" s="30"/>
    </row>
    <row r="486" ht="22.5" customHeight="1">
      <c r="A486" s="25"/>
      <c r="B486" s="23"/>
      <c r="C486" s="24"/>
      <c r="D486" s="24"/>
      <c r="E486" s="24"/>
      <c r="F486" s="26"/>
      <c r="G486" s="30"/>
      <c r="H486" s="30">
        <f t="shared" si="7"/>
        <v>0</v>
      </c>
      <c r="I486" s="26" t="str">
        <f t="shared" si="3"/>
        <v/>
      </c>
      <c r="J486" s="85"/>
      <c r="K486" s="26"/>
      <c r="L486" s="30"/>
    </row>
    <row r="487" ht="22.5" customHeight="1">
      <c r="A487" s="25"/>
      <c r="B487" s="23"/>
      <c r="C487" s="24"/>
      <c r="D487" s="24"/>
      <c r="E487" s="24"/>
      <c r="F487" s="26"/>
      <c r="G487" s="30"/>
      <c r="H487" s="30">
        <f t="shared" si="7"/>
        <v>0</v>
      </c>
      <c r="I487" s="26" t="str">
        <f t="shared" si="3"/>
        <v/>
      </c>
      <c r="J487" s="85"/>
      <c r="K487" s="26"/>
      <c r="L487" s="30"/>
    </row>
    <row r="488" ht="22.5" customHeight="1">
      <c r="A488" s="25"/>
      <c r="B488" s="23"/>
      <c r="C488" s="24"/>
      <c r="D488" s="24"/>
      <c r="E488" s="24"/>
      <c r="F488" s="26"/>
      <c r="G488" s="30"/>
      <c r="H488" s="30">
        <f t="shared" si="7"/>
        <v>0</v>
      </c>
      <c r="I488" s="26" t="str">
        <f t="shared" si="3"/>
        <v/>
      </c>
      <c r="J488" s="85"/>
      <c r="K488" s="26"/>
      <c r="L488" s="30"/>
    </row>
    <row r="489" ht="22.5" customHeight="1">
      <c r="A489" s="25"/>
      <c r="B489" s="23"/>
      <c r="C489" s="24"/>
      <c r="D489" s="24"/>
      <c r="E489" s="24"/>
      <c r="F489" s="26"/>
      <c r="G489" s="30"/>
      <c r="H489" s="30">
        <f t="shared" si="7"/>
        <v>0</v>
      </c>
      <c r="I489" s="26" t="str">
        <f t="shared" si="3"/>
        <v/>
      </c>
      <c r="J489" s="85"/>
      <c r="K489" s="26"/>
      <c r="L489" s="30"/>
    </row>
    <row r="490" ht="22.5" customHeight="1">
      <c r="A490" s="25"/>
      <c r="B490" s="23"/>
      <c r="C490" s="24"/>
      <c r="D490" s="24"/>
      <c r="E490" s="24"/>
      <c r="F490" s="26"/>
      <c r="G490" s="30"/>
      <c r="H490" s="30">
        <f t="shared" si="7"/>
        <v>0</v>
      </c>
      <c r="I490" s="26" t="str">
        <f t="shared" si="3"/>
        <v/>
      </c>
      <c r="J490" s="85"/>
      <c r="K490" s="26"/>
      <c r="L490" s="30"/>
    </row>
    <row r="491" ht="22.5" customHeight="1">
      <c r="A491" s="25"/>
      <c r="B491" s="23"/>
      <c r="C491" s="24"/>
      <c r="D491" s="24"/>
      <c r="E491" s="24"/>
      <c r="F491" s="26"/>
      <c r="G491" s="30"/>
      <c r="H491" s="30">
        <f t="shared" si="7"/>
        <v>0</v>
      </c>
      <c r="I491" s="26" t="str">
        <f t="shared" si="3"/>
        <v/>
      </c>
      <c r="J491" s="85"/>
      <c r="K491" s="26"/>
      <c r="L491" s="30"/>
    </row>
    <row r="492" ht="22.5" customHeight="1">
      <c r="A492" s="25"/>
      <c r="B492" s="23"/>
      <c r="C492" s="24"/>
      <c r="D492" s="24"/>
      <c r="E492" s="24"/>
      <c r="F492" s="26"/>
      <c r="G492" s="30"/>
      <c r="H492" s="30">
        <f t="shared" si="7"/>
        <v>0</v>
      </c>
      <c r="I492" s="26" t="str">
        <f t="shared" si="3"/>
        <v/>
      </c>
      <c r="J492" s="85"/>
      <c r="K492" s="26"/>
      <c r="L492" s="30"/>
    </row>
    <row r="493" ht="22.5" customHeight="1">
      <c r="A493" s="25"/>
      <c r="B493" s="23"/>
      <c r="C493" s="24"/>
      <c r="D493" s="24"/>
      <c r="E493" s="24"/>
      <c r="F493" s="26"/>
      <c r="G493" s="30"/>
      <c r="H493" s="30">
        <f t="shared" si="7"/>
        <v>0</v>
      </c>
      <c r="I493" s="26" t="str">
        <f t="shared" si="3"/>
        <v/>
      </c>
      <c r="J493" s="85"/>
      <c r="K493" s="26"/>
      <c r="L493" s="30"/>
    </row>
    <row r="494" ht="22.5" customHeight="1">
      <c r="A494" s="25"/>
      <c r="B494" s="23"/>
      <c r="C494" s="24"/>
      <c r="D494" s="24"/>
      <c r="E494" s="24"/>
      <c r="F494" s="26"/>
      <c r="G494" s="30"/>
      <c r="H494" s="30">
        <f t="shared" si="7"/>
        <v>0</v>
      </c>
      <c r="I494" s="26" t="str">
        <f t="shared" si="3"/>
        <v/>
      </c>
      <c r="J494" s="85"/>
      <c r="K494" s="26"/>
      <c r="L494" s="30"/>
    </row>
    <row r="495" ht="22.5" customHeight="1">
      <c r="A495" s="25"/>
      <c r="B495" s="23"/>
      <c r="C495" s="24"/>
      <c r="D495" s="24"/>
      <c r="E495" s="24"/>
      <c r="F495" s="26"/>
      <c r="G495" s="30"/>
      <c r="H495" s="30">
        <f t="shared" si="7"/>
        <v>0</v>
      </c>
      <c r="I495" s="26" t="str">
        <f t="shared" si="3"/>
        <v/>
      </c>
      <c r="J495" s="85"/>
      <c r="K495" s="26"/>
      <c r="L495" s="30"/>
    </row>
    <row r="496" ht="22.5" customHeight="1">
      <c r="A496" s="25"/>
      <c r="B496" s="23"/>
      <c r="C496" s="24"/>
      <c r="D496" s="24"/>
      <c r="E496" s="24"/>
      <c r="F496" s="26"/>
      <c r="G496" s="30"/>
      <c r="H496" s="30">
        <f t="shared" si="7"/>
        <v>0</v>
      </c>
      <c r="I496" s="26" t="str">
        <f t="shared" si="3"/>
        <v/>
      </c>
      <c r="J496" s="85"/>
      <c r="K496" s="26"/>
      <c r="L496" s="30"/>
    </row>
    <row r="497" ht="22.5" customHeight="1">
      <c r="A497" s="25"/>
      <c r="B497" s="23"/>
      <c r="C497" s="24"/>
      <c r="D497" s="24"/>
      <c r="E497" s="24"/>
      <c r="F497" s="26"/>
      <c r="G497" s="30"/>
      <c r="H497" s="30">
        <f t="shared" si="7"/>
        <v>0</v>
      </c>
      <c r="I497" s="26" t="str">
        <f t="shared" si="3"/>
        <v/>
      </c>
      <c r="J497" s="85"/>
      <c r="K497" s="26"/>
      <c r="L497" s="30"/>
    </row>
    <row r="498" ht="22.5" customHeight="1">
      <c r="A498" s="25"/>
      <c r="B498" s="23"/>
      <c r="C498" s="24"/>
      <c r="D498" s="24"/>
      <c r="E498" s="24"/>
      <c r="F498" s="26"/>
      <c r="G498" s="30"/>
      <c r="H498" s="30">
        <f t="shared" si="7"/>
        <v>0</v>
      </c>
      <c r="I498" s="26" t="str">
        <f t="shared" si="3"/>
        <v/>
      </c>
      <c r="J498" s="85"/>
      <c r="K498" s="26"/>
      <c r="L498" s="30"/>
    </row>
    <row r="499" ht="22.5" customHeight="1">
      <c r="A499" s="25"/>
      <c r="B499" s="23"/>
      <c r="C499" s="24"/>
      <c r="D499" s="24"/>
      <c r="E499" s="24"/>
      <c r="F499" s="26"/>
      <c r="G499" s="30"/>
      <c r="H499" s="30">
        <f t="shared" si="7"/>
        <v>0</v>
      </c>
      <c r="I499" s="26" t="str">
        <f t="shared" si="3"/>
        <v/>
      </c>
      <c r="J499" s="85"/>
      <c r="K499" s="26"/>
      <c r="L499" s="30"/>
    </row>
    <row r="500" ht="22.5" customHeight="1">
      <c r="A500" s="25"/>
      <c r="B500" s="23"/>
      <c r="C500" s="24"/>
      <c r="D500" s="24"/>
      <c r="E500" s="24"/>
      <c r="F500" s="26"/>
      <c r="G500" s="30"/>
      <c r="H500" s="30">
        <f t="shared" si="7"/>
        <v>0</v>
      </c>
      <c r="I500" s="26" t="str">
        <f t="shared" si="3"/>
        <v/>
      </c>
      <c r="J500" s="85"/>
      <c r="K500" s="26"/>
      <c r="L500" s="30"/>
    </row>
    <row r="501" ht="22.5" customHeight="1">
      <c r="A501" s="25"/>
      <c r="B501" s="23"/>
      <c r="C501" s="24"/>
      <c r="D501" s="24"/>
      <c r="E501" s="24"/>
      <c r="F501" s="26"/>
      <c r="G501" s="30"/>
      <c r="H501" s="30">
        <f t="shared" si="7"/>
        <v>0</v>
      </c>
      <c r="I501" s="26" t="str">
        <f t="shared" si="3"/>
        <v/>
      </c>
      <c r="J501" s="85"/>
      <c r="K501" s="26"/>
      <c r="L501" s="30"/>
    </row>
    <row r="502" ht="22.5" customHeight="1">
      <c r="A502" s="25"/>
      <c r="B502" s="23"/>
      <c r="C502" s="24"/>
      <c r="D502" s="24"/>
      <c r="E502" s="24"/>
      <c r="F502" s="26"/>
      <c r="G502" s="30"/>
      <c r="H502" s="30">
        <f t="shared" si="7"/>
        <v>0</v>
      </c>
      <c r="I502" s="26" t="str">
        <f t="shared" si="3"/>
        <v/>
      </c>
      <c r="J502" s="85"/>
      <c r="K502" s="26"/>
      <c r="L502" s="30"/>
    </row>
    <row r="503" ht="22.5" customHeight="1">
      <c r="A503" s="25"/>
      <c r="B503" s="23"/>
      <c r="C503" s="24"/>
      <c r="D503" s="24"/>
      <c r="E503" s="24"/>
      <c r="F503" s="26"/>
      <c r="G503" s="30"/>
      <c r="H503" s="30">
        <f t="shared" si="7"/>
        <v>0</v>
      </c>
      <c r="I503" s="26" t="str">
        <f t="shared" si="3"/>
        <v/>
      </c>
      <c r="J503" s="85"/>
      <c r="K503" s="26"/>
      <c r="L503" s="30"/>
    </row>
    <row r="504" ht="22.5" customHeight="1">
      <c r="A504" s="25"/>
      <c r="B504" s="23"/>
      <c r="C504" s="24"/>
      <c r="D504" s="24"/>
      <c r="E504" s="24"/>
      <c r="F504" s="26"/>
      <c r="G504" s="30"/>
      <c r="H504" s="30">
        <f t="shared" si="7"/>
        <v>0</v>
      </c>
      <c r="I504" s="26" t="str">
        <f t="shared" si="3"/>
        <v/>
      </c>
      <c r="J504" s="85"/>
      <c r="K504" s="26"/>
      <c r="L504" s="30"/>
    </row>
    <row r="505" ht="22.5" customHeight="1">
      <c r="A505" s="25"/>
      <c r="B505" s="23"/>
      <c r="C505" s="24"/>
      <c r="D505" s="24"/>
      <c r="E505" s="24"/>
      <c r="F505" s="26"/>
      <c r="G505" s="30"/>
      <c r="H505" s="30">
        <f t="shared" si="7"/>
        <v>0</v>
      </c>
      <c r="I505" s="26" t="str">
        <f t="shared" si="3"/>
        <v/>
      </c>
      <c r="J505" s="85"/>
      <c r="K505" s="26"/>
      <c r="L505" s="30"/>
    </row>
    <row r="506" ht="22.5" customHeight="1">
      <c r="A506" s="25"/>
      <c r="B506" s="23"/>
      <c r="C506" s="24"/>
      <c r="D506" s="24"/>
      <c r="E506" s="24"/>
      <c r="F506" s="26"/>
      <c r="G506" s="30"/>
      <c r="H506" s="30">
        <f t="shared" si="7"/>
        <v>0</v>
      </c>
      <c r="I506" s="26" t="str">
        <f t="shared" si="3"/>
        <v/>
      </c>
      <c r="J506" s="85"/>
      <c r="K506" s="26"/>
      <c r="L506" s="30"/>
    </row>
    <row r="507" ht="22.5" customHeight="1">
      <c r="A507" s="25"/>
      <c r="B507" s="23"/>
      <c r="C507" s="24"/>
      <c r="D507" s="24"/>
      <c r="E507" s="24"/>
      <c r="F507" s="26"/>
      <c r="G507" s="30"/>
      <c r="H507" s="30">
        <f t="shared" si="7"/>
        <v>0</v>
      </c>
      <c r="I507" s="26" t="str">
        <f t="shared" si="3"/>
        <v/>
      </c>
      <c r="J507" s="85"/>
      <c r="K507" s="26"/>
      <c r="L507" s="30"/>
    </row>
    <row r="508" ht="22.5" customHeight="1">
      <c r="A508" s="25"/>
      <c r="B508" s="23"/>
      <c r="C508" s="24"/>
      <c r="D508" s="24"/>
      <c r="E508" s="24"/>
      <c r="F508" s="26"/>
      <c r="G508" s="30"/>
      <c r="H508" s="30">
        <f t="shared" si="7"/>
        <v>0</v>
      </c>
      <c r="I508" s="26" t="str">
        <f t="shared" si="3"/>
        <v/>
      </c>
      <c r="J508" s="85"/>
      <c r="K508" s="26"/>
      <c r="L508" s="30"/>
    </row>
    <row r="509" ht="22.5" customHeight="1">
      <c r="A509" s="25"/>
      <c r="B509" s="23"/>
      <c r="C509" s="24"/>
      <c r="D509" s="24"/>
      <c r="E509" s="24"/>
      <c r="F509" s="26"/>
      <c r="G509" s="30"/>
      <c r="H509" s="30">
        <f t="shared" si="7"/>
        <v>0</v>
      </c>
      <c r="I509" s="26" t="str">
        <f t="shared" si="3"/>
        <v/>
      </c>
      <c r="J509" s="85"/>
      <c r="K509" s="26"/>
      <c r="L509" s="30"/>
    </row>
    <row r="510" ht="22.5" customHeight="1">
      <c r="A510" s="25"/>
      <c r="B510" s="23"/>
      <c r="C510" s="24"/>
      <c r="D510" s="24"/>
      <c r="E510" s="24"/>
      <c r="F510" s="26"/>
      <c r="G510" s="30"/>
      <c r="H510" s="30">
        <f t="shared" si="7"/>
        <v>0</v>
      </c>
      <c r="I510" s="26" t="str">
        <f t="shared" si="3"/>
        <v/>
      </c>
      <c r="J510" s="85"/>
      <c r="K510" s="26"/>
      <c r="L510" s="30"/>
    </row>
    <row r="511" ht="22.5" customHeight="1">
      <c r="A511" s="25"/>
      <c r="B511" s="23"/>
      <c r="C511" s="24"/>
      <c r="D511" s="24"/>
      <c r="E511" s="24"/>
      <c r="F511" s="26"/>
      <c r="G511" s="30"/>
      <c r="H511" s="30">
        <f t="shared" si="7"/>
        <v>0</v>
      </c>
      <c r="I511" s="26" t="str">
        <f t="shared" si="3"/>
        <v/>
      </c>
      <c r="J511" s="85"/>
      <c r="K511" s="26"/>
      <c r="L511" s="30"/>
    </row>
    <row r="512" ht="22.5" customHeight="1">
      <c r="A512" s="25"/>
      <c r="B512" s="23"/>
      <c r="C512" s="24"/>
      <c r="D512" s="24"/>
      <c r="E512" s="24"/>
      <c r="F512" s="26"/>
      <c r="G512" s="30"/>
      <c r="H512" s="30">
        <f t="shared" si="7"/>
        <v>0</v>
      </c>
      <c r="I512" s="26" t="str">
        <f t="shared" si="3"/>
        <v/>
      </c>
      <c r="J512" s="85"/>
      <c r="K512" s="26"/>
      <c r="L512" s="30"/>
    </row>
    <row r="513" ht="22.5" customHeight="1">
      <c r="A513" s="25"/>
      <c r="B513" s="23"/>
      <c r="C513" s="24"/>
      <c r="D513" s="24"/>
      <c r="E513" s="24"/>
      <c r="F513" s="26"/>
      <c r="G513" s="30"/>
      <c r="H513" s="30">
        <f t="shared" si="7"/>
        <v>0</v>
      </c>
      <c r="I513" s="26" t="str">
        <f t="shared" si="3"/>
        <v/>
      </c>
      <c r="J513" s="85"/>
      <c r="K513" s="26"/>
      <c r="L513" s="30"/>
    </row>
    <row r="514" ht="22.5" customHeight="1">
      <c r="A514" s="25"/>
      <c r="B514" s="23"/>
      <c r="C514" s="24"/>
      <c r="D514" s="24"/>
      <c r="E514" s="24"/>
      <c r="F514" s="26"/>
      <c r="G514" s="30"/>
      <c r="H514" s="30">
        <f t="shared" si="7"/>
        <v>0</v>
      </c>
      <c r="I514" s="26" t="str">
        <f t="shared" si="3"/>
        <v/>
      </c>
      <c r="J514" s="85"/>
      <c r="K514" s="26"/>
      <c r="L514" s="30"/>
    </row>
    <row r="515" ht="22.5" customHeight="1">
      <c r="A515" s="25"/>
      <c r="B515" s="23"/>
      <c r="C515" s="24"/>
      <c r="D515" s="24"/>
      <c r="E515" s="24"/>
      <c r="F515" s="26"/>
      <c r="G515" s="30"/>
      <c r="H515" s="30">
        <f t="shared" si="7"/>
        <v>0</v>
      </c>
      <c r="I515" s="26" t="str">
        <f t="shared" si="3"/>
        <v/>
      </c>
      <c r="J515" s="85"/>
      <c r="K515" s="26"/>
      <c r="L515" s="30"/>
    </row>
    <row r="516" ht="22.5" customHeight="1">
      <c r="A516" s="25"/>
      <c r="B516" s="23"/>
      <c r="C516" s="24"/>
      <c r="D516" s="24"/>
      <c r="E516" s="24"/>
      <c r="F516" s="26"/>
      <c r="G516" s="30"/>
      <c r="H516" s="30">
        <f t="shared" si="7"/>
        <v>0</v>
      </c>
      <c r="I516" s="26" t="str">
        <f t="shared" si="3"/>
        <v/>
      </c>
      <c r="J516" s="85"/>
      <c r="K516" s="26"/>
      <c r="L516" s="30"/>
    </row>
    <row r="517" ht="22.5" customHeight="1">
      <c r="A517" s="25"/>
      <c r="B517" s="23"/>
      <c r="C517" s="24"/>
      <c r="D517" s="24"/>
      <c r="E517" s="24"/>
      <c r="F517" s="26"/>
      <c r="G517" s="30"/>
      <c r="H517" s="30">
        <f t="shared" si="7"/>
        <v>0</v>
      </c>
      <c r="I517" s="26" t="str">
        <f t="shared" si="3"/>
        <v/>
      </c>
      <c r="J517" s="85"/>
      <c r="K517" s="26"/>
      <c r="L517" s="30"/>
    </row>
    <row r="518" ht="22.5" customHeight="1">
      <c r="A518" s="25"/>
      <c r="B518" s="23"/>
      <c r="C518" s="24"/>
      <c r="D518" s="24"/>
      <c r="E518" s="24"/>
      <c r="F518" s="26"/>
      <c r="G518" s="30"/>
      <c r="H518" s="30">
        <f t="shared" si="7"/>
        <v>0</v>
      </c>
      <c r="I518" s="26" t="str">
        <f t="shared" si="3"/>
        <v/>
      </c>
      <c r="J518" s="85"/>
      <c r="K518" s="26"/>
      <c r="L518" s="30"/>
    </row>
    <row r="519" ht="22.5" customHeight="1">
      <c r="A519" s="25"/>
      <c r="B519" s="23"/>
      <c r="C519" s="24"/>
      <c r="D519" s="24"/>
      <c r="E519" s="24"/>
      <c r="F519" s="26"/>
      <c r="G519" s="30"/>
      <c r="H519" s="30">
        <f t="shared" si="7"/>
        <v>0</v>
      </c>
      <c r="I519" s="26" t="str">
        <f t="shared" si="3"/>
        <v/>
      </c>
      <c r="J519" s="85"/>
      <c r="K519" s="26"/>
      <c r="L519" s="30"/>
    </row>
    <row r="520" ht="22.5" customHeight="1">
      <c r="A520" s="25"/>
      <c r="B520" s="23"/>
      <c r="C520" s="24"/>
      <c r="D520" s="24"/>
      <c r="E520" s="24"/>
      <c r="F520" s="26"/>
      <c r="G520" s="30"/>
      <c r="H520" s="30">
        <f t="shared" si="7"/>
        <v>0</v>
      </c>
      <c r="I520" s="26" t="str">
        <f t="shared" si="3"/>
        <v/>
      </c>
      <c r="J520" s="85"/>
      <c r="K520" s="26"/>
      <c r="L520" s="30"/>
    </row>
    <row r="521" ht="22.5" customHeight="1">
      <c r="A521" s="25"/>
      <c r="B521" s="23"/>
      <c r="C521" s="24"/>
      <c r="D521" s="24"/>
      <c r="E521" s="24"/>
      <c r="F521" s="26"/>
      <c r="G521" s="30"/>
      <c r="H521" s="30">
        <f t="shared" si="7"/>
        <v>0</v>
      </c>
      <c r="I521" s="26" t="str">
        <f t="shared" si="3"/>
        <v/>
      </c>
      <c r="J521" s="85"/>
      <c r="K521" s="26"/>
      <c r="L521" s="30"/>
    </row>
    <row r="522" ht="22.5" customHeight="1">
      <c r="A522" s="25"/>
      <c r="B522" s="23"/>
      <c r="C522" s="24"/>
      <c r="D522" s="24"/>
      <c r="E522" s="24"/>
      <c r="F522" s="26"/>
      <c r="G522" s="30"/>
      <c r="H522" s="30">
        <f t="shared" si="7"/>
        <v>0</v>
      </c>
      <c r="I522" s="26" t="str">
        <f t="shared" si="3"/>
        <v/>
      </c>
      <c r="J522" s="85"/>
      <c r="K522" s="26"/>
      <c r="L522" s="30"/>
    </row>
    <row r="523" ht="22.5" customHeight="1">
      <c r="A523" s="25"/>
      <c r="B523" s="23"/>
      <c r="C523" s="24"/>
      <c r="D523" s="24"/>
      <c r="E523" s="24"/>
      <c r="F523" s="26"/>
      <c r="G523" s="30"/>
      <c r="H523" s="30">
        <f t="shared" si="7"/>
        <v>0</v>
      </c>
      <c r="I523" s="26" t="str">
        <f t="shared" si="3"/>
        <v/>
      </c>
      <c r="J523" s="85"/>
      <c r="K523" s="26"/>
      <c r="L523" s="30"/>
    </row>
    <row r="524" ht="22.5" customHeight="1">
      <c r="A524" s="25"/>
      <c r="B524" s="23"/>
      <c r="C524" s="24"/>
      <c r="D524" s="24"/>
      <c r="E524" s="24"/>
      <c r="F524" s="26"/>
      <c r="G524" s="30"/>
      <c r="H524" s="30">
        <f t="shared" si="7"/>
        <v>0</v>
      </c>
      <c r="I524" s="26" t="str">
        <f t="shared" si="3"/>
        <v/>
      </c>
      <c r="J524" s="85"/>
      <c r="K524" s="26"/>
      <c r="L524" s="30"/>
    </row>
    <row r="525" ht="22.5" customHeight="1">
      <c r="A525" s="25"/>
      <c r="B525" s="23"/>
      <c r="C525" s="24"/>
      <c r="D525" s="24"/>
      <c r="E525" s="24"/>
      <c r="F525" s="26"/>
      <c r="G525" s="30"/>
      <c r="H525" s="30">
        <f t="shared" si="7"/>
        <v>0</v>
      </c>
      <c r="I525" s="26" t="str">
        <f t="shared" si="3"/>
        <v/>
      </c>
      <c r="J525" s="85"/>
      <c r="K525" s="26"/>
      <c r="L525" s="30"/>
    </row>
    <row r="526" ht="22.5" customHeight="1">
      <c r="A526" s="25"/>
      <c r="B526" s="23"/>
      <c r="C526" s="24"/>
      <c r="D526" s="24"/>
      <c r="E526" s="24"/>
      <c r="F526" s="26"/>
      <c r="G526" s="30"/>
      <c r="H526" s="30">
        <f t="shared" si="7"/>
        <v>0</v>
      </c>
      <c r="I526" s="26" t="str">
        <f t="shared" si="3"/>
        <v/>
      </c>
      <c r="J526" s="85"/>
      <c r="K526" s="26"/>
      <c r="L526" s="30"/>
    </row>
    <row r="527" ht="22.5" customHeight="1">
      <c r="A527" s="25"/>
      <c r="B527" s="23"/>
      <c r="C527" s="24"/>
      <c r="D527" s="24"/>
      <c r="E527" s="24"/>
      <c r="F527" s="26"/>
      <c r="G527" s="30"/>
      <c r="H527" s="30">
        <f t="shared" si="7"/>
        <v>0</v>
      </c>
      <c r="I527" s="26" t="str">
        <f t="shared" si="3"/>
        <v/>
      </c>
      <c r="J527" s="85"/>
      <c r="K527" s="26"/>
      <c r="L527" s="30"/>
    </row>
    <row r="528" ht="22.5" customHeight="1">
      <c r="A528" s="25"/>
      <c r="B528" s="23"/>
      <c r="C528" s="24"/>
      <c r="D528" s="24"/>
      <c r="E528" s="24"/>
      <c r="F528" s="26"/>
      <c r="G528" s="30"/>
      <c r="H528" s="30">
        <f t="shared" si="7"/>
        <v>0</v>
      </c>
      <c r="I528" s="26" t="str">
        <f t="shared" si="3"/>
        <v/>
      </c>
      <c r="J528" s="85"/>
      <c r="K528" s="26"/>
      <c r="L528" s="30"/>
    </row>
    <row r="529" ht="22.5" customHeight="1">
      <c r="A529" s="25"/>
      <c r="B529" s="23"/>
      <c r="C529" s="24"/>
      <c r="D529" s="24"/>
      <c r="E529" s="24"/>
      <c r="F529" s="26"/>
      <c r="G529" s="30"/>
      <c r="H529" s="30">
        <f t="shared" si="7"/>
        <v>0</v>
      </c>
      <c r="I529" s="26" t="str">
        <f t="shared" si="3"/>
        <v/>
      </c>
      <c r="J529" s="85"/>
      <c r="K529" s="26"/>
      <c r="L529" s="30"/>
    </row>
    <row r="530" ht="22.5" customHeight="1">
      <c r="A530" s="25"/>
      <c r="B530" s="23"/>
      <c r="C530" s="24"/>
      <c r="D530" s="24"/>
      <c r="E530" s="24"/>
      <c r="F530" s="26"/>
      <c r="G530" s="30"/>
      <c r="H530" s="30">
        <f t="shared" si="7"/>
        <v>0</v>
      </c>
      <c r="I530" s="26" t="str">
        <f t="shared" si="3"/>
        <v/>
      </c>
      <c r="J530" s="85"/>
      <c r="K530" s="26"/>
      <c r="L530" s="30"/>
    </row>
    <row r="531" ht="22.5" customHeight="1">
      <c r="A531" s="25"/>
      <c r="B531" s="23"/>
      <c r="C531" s="24"/>
      <c r="D531" s="24"/>
      <c r="E531" s="24"/>
      <c r="F531" s="26"/>
      <c r="G531" s="30"/>
      <c r="H531" s="30">
        <f t="shared" si="7"/>
        <v>0</v>
      </c>
      <c r="I531" s="26" t="str">
        <f t="shared" si="3"/>
        <v/>
      </c>
      <c r="J531" s="85"/>
      <c r="K531" s="26"/>
      <c r="L531" s="30"/>
    </row>
    <row r="532" ht="22.5" customHeight="1">
      <c r="A532" s="25"/>
      <c r="B532" s="23"/>
      <c r="C532" s="24"/>
      <c r="D532" s="24"/>
      <c r="E532" s="24"/>
      <c r="F532" s="26"/>
      <c r="G532" s="30"/>
      <c r="H532" s="30">
        <f t="shared" si="7"/>
        <v>0</v>
      </c>
      <c r="I532" s="26" t="str">
        <f t="shared" si="3"/>
        <v/>
      </c>
      <c r="J532" s="85"/>
      <c r="K532" s="26"/>
      <c r="L532" s="30"/>
    </row>
    <row r="533" ht="22.5" customHeight="1">
      <c r="A533" s="25"/>
      <c r="B533" s="23"/>
      <c r="C533" s="24"/>
      <c r="D533" s="24"/>
      <c r="E533" s="24"/>
      <c r="F533" s="26"/>
      <c r="G533" s="30"/>
      <c r="H533" s="30">
        <f t="shared" si="7"/>
        <v>0</v>
      </c>
      <c r="I533" s="26" t="str">
        <f t="shared" si="3"/>
        <v/>
      </c>
      <c r="J533" s="85"/>
      <c r="K533" s="26"/>
      <c r="L533" s="30"/>
    </row>
    <row r="534" ht="22.5" customHeight="1">
      <c r="A534" s="25"/>
      <c r="B534" s="23"/>
      <c r="C534" s="24"/>
      <c r="D534" s="24"/>
      <c r="E534" s="24"/>
      <c r="F534" s="26"/>
      <c r="G534" s="30"/>
      <c r="H534" s="30">
        <f t="shared" si="7"/>
        <v>0</v>
      </c>
      <c r="I534" s="26" t="str">
        <f t="shared" si="3"/>
        <v/>
      </c>
      <c r="J534" s="85"/>
      <c r="K534" s="26"/>
      <c r="L534" s="30"/>
    </row>
    <row r="535" ht="22.5" customHeight="1">
      <c r="A535" s="25"/>
      <c r="B535" s="23"/>
      <c r="C535" s="24"/>
      <c r="D535" s="24"/>
      <c r="E535" s="24"/>
      <c r="F535" s="26"/>
      <c r="G535" s="30"/>
      <c r="H535" s="30">
        <f t="shared" si="7"/>
        <v>0</v>
      </c>
      <c r="I535" s="26" t="str">
        <f t="shared" si="3"/>
        <v/>
      </c>
      <c r="J535" s="85"/>
      <c r="K535" s="26"/>
      <c r="L535" s="30"/>
    </row>
    <row r="536" ht="22.5" customHeight="1">
      <c r="A536" s="25"/>
      <c r="B536" s="23"/>
      <c r="C536" s="24"/>
      <c r="D536" s="24"/>
      <c r="E536" s="24"/>
      <c r="F536" s="26"/>
      <c r="G536" s="30"/>
      <c r="H536" s="30">
        <f t="shared" si="7"/>
        <v>0</v>
      </c>
      <c r="I536" s="26" t="str">
        <f t="shared" si="3"/>
        <v/>
      </c>
      <c r="J536" s="85"/>
      <c r="K536" s="26"/>
      <c r="L536" s="30"/>
    </row>
    <row r="537" ht="22.5" customHeight="1">
      <c r="A537" s="25"/>
      <c r="B537" s="23"/>
      <c r="C537" s="24"/>
      <c r="D537" s="24"/>
      <c r="E537" s="24"/>
      <c r="F537" s="26"/>
      <c r="G537" s="30"/>
      <c r="H537" s="30">
        <f t="shared" si="7"/>
        <v>0</v>
      </c>
      <c r="I537" s="26" t="str">
        <f t="shared" si="3"/>
        <v/>
      </c>
      <c r="J537" s="85"/>
      <c r="K537" s="26"/>
      <c r="L537" s="30"/>
    </row>
    <row r="538" ht="22.5" customHeight="1">
      <c r="A538" s="25"/>
      <c r="B538" s="23"/>
      <c r="C538" s="24"/>
      <c r="D538" s="24"/>
      <c r="E538" s="24"/>
      <c r="F538" s="26"/>
      <c r="G538" s="30"/>
      <c r="H538" s="30">
        <f t="shared" si="7"/>
        <v>0</v>
      </c>
      <c r="I538" s="26" t="str">
        <f t="shared" si="3"/>
        <v/>
      </c>
      <c r="J538" s="85"/>
      <c r="K538" s="26"/>
      <c r="L538" s="30"/>
    </row>
    <row r="539" ht="22.5" customHeight="1">
      <c r="A539" s="25"/>
      <c r="B539" s="23"/>
      <c r="C539" s="24"/>
      <c r="D539" s="24"/>
      <c r="E539" s="24"/>
      <c r="F539" s="26"/>
      <c r="G539" s="30"/>
      <c r="H539" s="30">
        <f t="shared" si="7"/>
        <v>0</v>
      </c>
      <c r="I539" s="26" t="str">
        <f t="shared" si="3"/>
        <v/>
      </c>
      <c r="J539" s="85"/>
      <c r="K539" s="26"/>
      <c r="L539" s="30"/>
    </row>
    <row r="540" ht="22.5" customHeight="1">
      <c r="A540" s="25"/>
      <c r="B540" s="23"/>
      <c r="C540" s="24"/>
      <c r="D540" s="24"/>
      <c r="E540" s="24"/>
      <c r="F540" s="26"/>
      <c r="G540" s="30"/>
      <c r="H540" s="30">
        <f t="shared" si="7"/>
        <v>0</v>
      </c>
      <c r="I540" s="26" t="str">
        <f t="shared" si="3"/>
        <v/>
      </c>
      <c r="J540" s="85"/>
      <c r="K540" s="26"/>
      <c r="L540" s="30"/>
    </row>
    <row r="541" ht="22.5" customHeight="1">
      <c r="A541" s="25"/>
      <c r="B541" s="23"/>
      <c r="C541" s="24"/>
      <c r="D541" s="24"/>
      <c r="E541" s="24"/>
      <c r="F541" s="26"/>
      <c r="G541" s="30"/>
      <c r="H541" s="30">
        <f t="shared" si="7"/>
        <v>0</v>
      </c>
      <c r="I541" s="26" t="str">
        <f t="shared" si="3"/>
        <v/>
      </c>
      <c r="J541" s="85"/>
      <c r="K541" s="26"/>
      <c r="L541" s="30"/>
    </row>
    <row r="542" ht="22.5" customHeight="1">
      <c r="A542" s="25"/>
      <c r="B542" s="23"/>
      <c r="C542" s="24"/>
      <c r="D542" s="24"/>
      <c r="E542" s="24"/>
      <c r="F542" s="26"/>
      <c r="G542" s="30"/>
      <c r="H542" s="30">
        <f t="shared" si="7"/>
        <v>0</v>
      </c>
      <c r="I542" s="26" t="str">
        <f t="shared" si="3"/>
        <v/>
      </c>
      <c r="J542" s="85"/>
      <c r="K542" s="26"/>
      <c r="L542" s="30"/>
    </row>
    <row r="543" ht="22.5" customHeight="1">
      <c r="A543" s="25"/>
      <c r="B543" s="23"/>
      <c r="C543" s="24"/>
      <c r="D543" s="24"/>
      <c r="E543" s="24"/>
      <c r="F543" s="26"/>
      <c r="G543" s="30"/>
      <c r="H543" s="30">
        <f t="shared" si="7"/>
        <v>0</v>
      </c>
      <c r="I543" s="26" t="str">
        <f t="shared" si="3"/>
        <v/>
      </c>
      <c r="J543" s="85"/>
      <c r="K543" s="26"/>
      <c r="L543" s="30"/>
    </row>
    <row r="544" ht="22.5" customHeight="1">
      <c r="A544" s="25"/>
      <c r="B544" s="23"/>
      <c r="C544" s="24"/>
      <c r="D544" s="24"/>
      <c r="E544" s="24"/>
      <c r="F544" s="26"/>
      <c r="G544" s="30"/>
      <c r="H544" s="30">
        <f t="shared" si="7"/>
        <v>0</v>
      </c>
      <c r="I544" s="26" t="str">
        <f t="shared" si="3"/>
        <v/>
      </c>
      <c r="J544" s="85"/>
      <c r="K544" s="26"/>
      <c r="L544" s="30"/>
    </row>
    <row r="545" ht="22.5" customHeight="1">
      <c r="A545" s="25"/>
      <c r="B545" s="23"/>
      <c r="C545" s="24"/>
      <c r="D545" s="24"/>
      <c r="E545" s="24"/>
      <c r="F545" s="26"/>
      <c r="G545" s="30"/>
      <c r="H545" s="30">
        <f t="shared" si="7"/>
        <v>0</v>
      </c>
      <c r="I545" s="26" t="str">
        <f t="shared" si="3"/>
        <v/>
      </c>
      <c r="J545" s="85"/>
      <c r="K545" s="26"/>
      <c r="L545" s="30"/>
    </row>
    <row r="546" ht="22.5" customHeight="1">
      <c r="A546" s="25"/>
      <c r="B546" s="23"/>
      <c r="C546" s="24"/>
      <c r="D546" s="24"/>
      <c r="E546" s="24"/>
      <c r="F546" s="26"/>
      <c r="G546" s="30"/>
      <c r="H546" s="30">
        <f t="shared" si="7"/>
        <v>0</v>
      </c>
      <c r="I546" s="26" t="str">
        <f t="shared" si="3"/>
        <v/>
      </c>
      <c r="J546" s="85"/>
      <c r="K546" s="26"/>
      <c r="L546" s="30"/>
    </row>
    <row r="547" ht="22.5" customHeight="1">
      <c r="A547" s="25"/>
      <c r="B547" s="23"/>
      <c r="C547" s="24"/>
      <c r="D547" s="24"/>
      <c r="E547" s="24"/>
      <c r="F547" s="26"/>
      <c r="G547" s="30"/>
      <c r="H547" s="30">
        <f t="shared" si="7"/>
        <v>0</v>
      </c>
      <c r="I547" s="26" t="str">
        <f t="shared" si="3"/>
        <v/>
      </c>
      <c r="J547" s="85"/>
      <c r="K547" s="26"/>
      <c r="L547" s="30"/>
    </row>
    <row r="548" ht="22.5" customHeight="1">
      <c r="A548" s="25"/>
      <c r="B548" s="23"/>
      <c r="C548" s="24"/>
      <c r="D548" s="24"/>
      <c r="E548" s="24"/>
      <c r="F548" s="26"/>
      <c r="G548" s="30"/>
      <c r="H548" s="30">
        <f t="shared" si="7"/>
        <v>0</v>
      </c>
      <c r="I548" s="26" t="str">
        <f t="shared" si="3"/>
        <v/>
      </c>
      <c r="J548" s="85"/>
      <c r="K548" s="26"/>
      <c r="L548" s="30"/>
    </row>
    <row r="549" ht="22.5" customHeight="1">
      <c r="A549" s="25"/>
      <c r="B549" s="23"/>
      <c r="C549" s="24"/>
      <c r="D549" s="24"/>
      <c r="E549" s="24"/>
      <c r="F549" s="26"/>
      <c r="G549" s="30"/>
      <c r="H549" s="30">
        <f t="shared" si="7"/>
        <v>0</v>
      </c>
      <c r="I549" s="26" t="str">
        <f t="shared" si="3"/>
        <v/>
      </c>
      <c r="J549" s="85"/>
      <c r="K549" s="26"/>
      <c r="L549" s="30"/>
    </row>
    <row r="550" ht="22.5" customHeight="1">
      <c r="A550" s="25"/>
      <c r="B550" s="23"/>
      <c r="C550" s="24"/>
      <c r="D550" s="24"/>
      <c r="E550" s="24"/>
      <c r="F550" s="26"/>
      <c r="G550" s="30"/>
      <c r="H550" s="30">
        <f t="shared" si="7"/>
        <v>0</v>
      </c>
      <c r="I550" s="26" t="str">
        <f t="shared" si="3"/>
        <v/>
      </c>
      <c r="J550" s="85"/>
      <c r="K550" s="26"/>
      <c r="L550" s="30"/>
    </row>
    <row r="551" ht="22.5" customHeight="1">
      <c r="A551" s="25"/>
      <c r="B551" s="23"/>
      <c r="C551" s="24"/>
      <c r="D551" s="24"/>
      <c r="E551" s="24"/>
      <c r="F551" s="26"/>
      <c r="G551" s="30"/>
      <c r="H551" s="30">
        <f t="shared" si="7"/>
        <v>0</v>
      </c>
      <c r="I551" s="26" t="str">
        <f t="shared" si="3"/>
        <v/>
      </c>
      <c r="J551" s="85"/>
      <c r="K551" s="26"/>
      <c r="L551" s="30"/>
    </row>
    <row r="552" ht="22.5" customHeight="1">
      <c r="A552" s="25"/>
      <c r="B552" s="23"/>
      <c r="C552" s="24"/>
      <c r="D552" s="24"/>
      <c r="E552" s="24"/>
      <c r="F552" s="26"/>
      <c r="G552" s="30"/>
      <c r="H552" s="30">
        <f t="shared" si="7"/>
        <v>0</v>
      </c>
      <c r="I552" s="26" t="str">
        <f t="shared" si="3"/>
        <v/>
      </c>
      <c r="J552" s="85"/>
      <c r="K552" s="26"/>
      <c r="L552" s="30"/>
    </row>
    <row r="553" ht="22.5" customHeight="1">
      <c r="A553" s="25"/>
      <c r="B553" s="23"/>
      <c r="C553" s="24"/>
      <c r="D553" s="24"/>
      <c r="E553" s="24"/>
      <c r="F553" s="26"/>
      <c r="G553" s="30"/>
      <c r="H553" s="30">
        <f t="shared" si="7"/>
        <v>0</v>
      </c>
      <c r="I553" s="26" t="str">
        <f t="shared" si="3"/>
        <v/>
      </c>
      <c r="J553" s="85"/>
      <c r="K553" s="26"/>
      <c r="L553" s="30"/>
    </row>
    <row r="554" ht="22.5" customHeight="1">
      <c r="A554" s="25"/>
      <c r="B554" s="23"/>
      <c r="C554" s="24"/>
      <c r="D554" s="24"/>
      <c r="E554" s="24"/>
      <c r="F554" s="26"/>
      <c r="G554" s="30"/>
      <c r="H554" s="30">
        <f t="shared" si="7"/>
        <v>0</v>
      </c>
      <c r="I554" s="26" t="str">
        <f t="shared" si="3"/>
        <v/>
      </c>
      <c r="J554" s="85"/>
      <c r="K554" s="26"/>
      <c r="L554" s="30"/>
    </row>
    <row r="555" ht="22.5" customHeight="1">
      <c r="A555" s="25"/>
      <c r="B555" s="23"/>
      <c r="C555" s="24"/>
      <c r="D555" s="24"/>
      <c r="E555" s="24"/>
      <c r="F555" s="26"/>
      <c r="G555" s="30"/>
      <c r="H555" s="30">
        <f t="shared" si="7"/>
        <v>0</v>
      </c>
      <c r="I555" s="26" t="str">
        <f t="shared" si="3"/>
        <v/>
      </c>
      <c r="J555" s="85"/>
      <c r="K555" s="26"/>
      <c r="L555" s="30"/>
    </row>
    <row r="556" ht="22.5" customHeight="1">
      <c r="A556" s="25"/>
      <c r="B556" s="23"/>
      <c r="C556" s="24"/>
      <c r="D556" s="24"/>
      <c r="E556" s="24"/>
      <c r="F556" s="26"/>
      <c r="G556" s="30"/>
      <c r="H556" s="30">
        <f t="shared" si="7"/>
        <v>0</v>
      </c>
      <c r="I556" s="26" t="str">
        <f t="shared" si="3"/>
        <v/>
      </c>
      <c r="J556" s="85"/>
      <c r="K556" s="26"/>
      <c r="L556" s="30"/>
    </row>
    <row r="557" ht="22.5" customHeight="1">
      <c r="A557" s="25"/>
      <c r="B557" s="23"/>
      <c r="C557" s="24"/>
      <c r="D557" s="24"/>
      <c r="E557" s="24"/>
      <c r="F557" s="26"/>
      <c r="G557" s="30"/>
      <c r="H557" s="30">
        <f t="shared" si="7"/>
        <v>0</v>
      </c>
      <c r="I557" s="26" t="str">
        <f t="shared" si="3"/>
        <v/>
      </c>
      <c r="J557" s="85"/>
      <c r="K557" s="26"/>
      <c r="L557" s="30"/>
    </row>
    <row r="558" ht="22.5" customHeight="1">
      <c r="A558" s="25"/>
      <c r="B558" s="23"/>
      <c r="C558" s="24"/>
      <c r="D558" s="24"/>
      <c r="E558" s="24"/>
      <c r="F558" s="26"/>
      <c r="G558" s="30"/>
      <c r="H558" s="30">
        <f t="shared" si="7"/>
        <v>0</v>
      </c>
      <c r="I558" s="26" t="str">
        <f t="shared" si="3"/>
        <v/>
      </c>
      <c r="J558" s="85"/>
      <c r="K558" s="26"/>
      <c r="L558" s="30"/>
    </row>
    <row r="559" ht="22.5" customHeight="1">
      <c r="A559" s="25"/>
      <c r="B559" s="23"/>
      <c r="C559" s="24"/>
      <c r="D559" s="24"/>
      <c r="E559" s="24"/>
      <c r="F559" s="26"/>
      <c r="G559" s="30"/>
      <c r="H559" s="30">
        <f t="shared" si="7"/>
        <v>0</v>
      </c>
      <c r="I559" s="26" t="str">
        <f t="shared" si="3"/>
        <v/>
      </c>
      <c r="J559" s="85"/>
      <c r="K559" s="26"/>
      <c r="L559" s="30"/>
    </row>
    <row r="560" ht="22.5" customHeight="1">
      <c r="A560" s="25"/>
      <c r="B560" s="23"/>
      <c r="C560" s="24"/>
      <c r="D560" s="24"/>
      <c r="E560" s="24"/>
      <c r="F560" s="26"/>
      <c r="G560" s="30"/>
      <c r="H560" s="30">
        <f t="shared" si="7"/>
        <v>0</v>
      </c>
      <c r="I560" s="26" t="str">
        <f t="shared" si="3"/>
        <v/>
      </c>
      <c r="J560" s="85"/>
      <c r="K560" s="26"/>
      <c r="L560" s="30"/>
    </row>
    <row r="561" ht="22.5" customHeight="1">
      <c r="A561" s="25"/>
      <c r="B561" s="23"/>
      <c r="C561" s="24"/>
      <c r="D561" s="24"/>
      <c r="E561" s="24"/>
      <c r="F561" s="26"/>
      <c r="G561" s="30"/>
      <c r="H561" s="30">
        <f t="shared" si="7"/>
        <v>0</v>
      </c>
      <c r="I561" s="26" t="str">
        <f t="shared" si="3"/>
        <v/>
      </c>
      <c r="J561" s="85"/>
      <c r="K561" s="26"/>
      <c r="L561" s="30"/>
    </row>
    <row r="562" ht="22.5" customHeight="1">
      <c r="A562" s="25"/>
      <c r="B562" s="23"/>
      <c r="C562" s="24"/>
      <c r="D562" s="24"/>
      <c r="E562" s="24"/>
      <c r="F562" s="26"/>
      <c r="G562" s="30"/>
      <c r="H562" s="30">
        <f t="shared" si="7"/>
        <v>0</v>
      </c>
      <c r="I562" s="26" t="str">
        <f t="shared" si="3"/>
        <v/>
      </c>
      <c r="J562" s="85"/>
      <c r="K562" s="26"/>
      <c r="L562" s="30"/>
    </row>
    <row r="563" ht="22.5" customHeight="1">
      <c r="A563" s="25"/>
      <c r="B563" s="23"/>
      <c r="C563" s="24"/>
      <c r="D563" s="24"/>
      <c r="E563" s="24"/>
      <c r="F563" s="26"/>
      <c r="G563" s="30"/>
      <c r="H563" s="30">
        <f t="shared" si="7"/>
        <v>0</v>
      </c>
      <c r="I563" s="26" t="str">
        <f t="shared" si="3"/>
        <v/>
      </c>
      <c r="J563" s="85"/>
      <c r="K563" s="26"/>
      <c r="L563" s="30"/>
    </row>
    <row r="564" ht="22.5" customHeight="1">
      <c r="A564" s="25"/>
      <c r="B564" s="23"/>
      <c r="C564" s="24"/>
      <c r="D564" s="24"/>
      <c r="E564" s="24"/>
      <c r="F564" s="26"/>
      <c r="G564" s="30"/>
      <c r="H564" s="30">
        <f t="shared" si="7"/>
        <v>0</v>
      </c>
      <c r="I564" s="26" t="str">
        <f t="shared" si="3"/>
        <v/>
      </c>
      <c r="J564" s="85"/>
      <c r="K564" s="26"/>
      <c r="L564" s="30"/>
    </row>
    <row r="565" ht="22.5" customHeight="1">
      <c r="A565" s="25"/>
      <c r="B565" s="23"/>
      <c r="C565" s="24"/>
      <c r="D565" s="24"/>
      <c r="E565" s="24"/>
      <c r="F565" s="26"/>
      <c r="G565" s="30"/>
      <c r="H565" s="30">
        <f t="shared" si="7"/>
        <v>0</v>
      </c>
      <c r="I565" s="26" t="str">
        <f t="shared" si="3"/>
        <v/>
      </c>
      <c r="J565" s="85"/>
      <c r="K565" s="26"/>
      <c r="L565" s="30"/>
    </row>
    <row r="566" ht="22.5" customHeight="1">
      <c r="A566" s="25"/>
      <c r="B566" s="23"/>
      <c r="C566" s="24"/>
      <c r="D566" s="24"/>
      <c r="E566" s="24"/>
      <c r="F566" s="26"/>
      <c r="G566" s="30"/>
      <c r="H566" s="30">
        <f t="shared" si="7"/>
        <v>0</v>
      </c>
      <c r="I566" s="26" t="str">
        <f t="shared" si="3"/>
        <v/>
      </c>
      <c r="J566" s="85"/>
      <c r="K566" s="26"/>
      <c r="L566" s="30"/>
    </row>
    <row r="567" ht="22.5" customHeight="1">
      <c r="A567" s="25"/>
      <c r="B567" s="23"/>
      <c r="C567" s="24"/>
      <c r="D567" s="24"/>
      <c r="E567" s="24"/>
      <c r="F567" s="26"/>
      <c r="G567" s="30"/>
      <c r="H567" s="30">
        <f t="shared" si="7"/>
        <v>0</v>
      </c>
      <c r="I567" s="26" t="str">
        <f t="shared" si="3"/>
        <v/>
      </c>
      <c r="J567" s="85"/>
      <c r="K567" s="26"/>
      <c r="L567" s="30"/>
    </row>
    <row r="568" ht="22.5" customHeight="1">
      <c r="A568" s="25"/>
      <c r="B568" s="23"/>
      <c r="C568" s="24"/>
      <c r="D568" s="24"/>
      <c r="E568" s="24"/>
      <c r="F568" s="26"/>
      <c r="G568" s="30"/>
      <c r="H568" s="30">
        <f t="shared" si="7"/>
        <v>0</v>
      </c>
      <c r="I568" s="26" t="str">
        <f t="shared" si="3"/>
        <v/>
      </c>
      <c r="J568" s="85"/>
      <c r="K568" s="26"/>
      <c r="L568" s="30"/>
    </row>
    <row r="569" ht="22.5" customHeight="1">
      <c r="A569" s="25"/>
      <c r="B569" s="23"/>
      <c r="C569" s="24"/>
      <c r="D569" s="24"/>
      <c r="E569" s="24"/>
      <c r="F569" s="26"/>
      <c r="G569" s="30"/>
      <c r="H569" s="30">
        <f t="shared" si="7"/>
        <v>0</v>
      </c>
      <c r="I569" s="26" t="str">
        <f t="shared" si="3"/>
        <v/>
      </c>
      <c r="J569" s="85"/>
      <c r="K569" s="26"/>
      <c r="L569" s="30"/>
    </row>
    <row r="570" ht="22.5" customHeight="1">
      <c r="A570" s="25"/>
      <c r="B570" s="23"/>
      <c r="C570" s="24"/>
      <c r="D570" s="24"/>
      <c r="E570" s="24"/>
      <c r="F570" s="26"/>
      <c r="G570" s="30"/>
      <c r="H570" s="30">
        <f t="shared" si="7"/>
        <v>0</v>
      </c>
      <c r="I570" s="26" t="str">
        <f t="shared" si="3"/>
        <v/>
      </c>
      <c r="J570" s="85"/>
      <c r="K570" s="26"/>
      <c r="L570" s="30"/>
    </row>
    <row r="571" ht="22.5" customHeight="1">
      <c r="A571" s="25"/>
      <c r="B571" s="23"/>
      <c r="C571" s="24"/>
      <c r="D571" s="24"/>
      <c r="E571" s="24"/>
      <c r="F571" s="26"/>
      <c r="G571" s="30"/>
      <c r="H571" s="30">
        <f t="shared" si="7"/>
        <v>0</v>
      </c>
      <c r="I571" s="26" t="str">
        <f t="shared" si="3"/>
        <v/>
      </c>
      <c r="J571" s="85"/>
      <c r="K571" s="26"/>
      <c r="L571" s="30"/>
    </row>
    <row r="572" ht="22.5" customHeight="1">
      <c r="A572" s="25"/>
      <c r="B572" s="23"/>
      <c r="C572" s="24"/>
      <c r="D572" s="24"/>
      <c r="E572" s="24"/>
      <c r="F572" s="26"/>
      <c r="G572" s="30"/>
      <c r="H572" s="30">
        <f t="shared" si="7"/>
        <v>0</v>
      </c>
      <c r="I572" s="26" t="str">
        <f t="shared" si="3"/>
        <v/>
      </c>
      <c r="J572" s="85"/>
      <c r="K572" s="26"/>
      <c r="L572" s="30"/>
    </row>
    <row r="573" ht="22.5" customHeight="1">
      <c r="A573" s="25"/>
      <c r="B573" s="23"/>
      <c r="C573" s="24"/>
      <c r="D573" s="24"/>
      <c r="E573" s="24"/>
      <c r="F573" s="26"/>
      <c r="G573" s="30"/>
      <c r="H573" s="30">
        <f t="shared" si="7"/>
        <v>0</v>
      </c>
      <c r="I573" s="26" t="str">
        <f t="shared" si="3"/>
        <v/>
      </c>
      <c r="J573" s="85"/>
      <c r="K573" s="26"/>
      <c r="L573" s="30"/>
    </row>
    <row r="574" ht="22.5" customHeight="1">
      <c r="A574" s="25"/>
      <c r="B574" s="23"/>
      <c r="C574" s="24"/>
      <c r="D574" s="24"/>
      <c r="E574" s="24"/>
      <c r="F574" s="26"/>
      <c r="G574" s="30"/>
      <c r="H574" s="30">
        <f t="shared" si="7"/>
        <v>0</v>
      </c>
      <c r="I574" s="26" t="str">
        <f t="shared" si="3"/>
        <v/>
      </c>
      <c r="J574" s="85"/>
      <c r="K574" s="26"/>
      <c r="L574" s="30"/>
    </row>
    <row r="575" ht="22.5" customHeight="1">
      <c r="A575" s="25"/>
      <c r="B575" s="23"/>
      <c r="C575" s="24"/>
      <c r="D575" s="24"/>
      <c r="E575" s="24"/>
      <c r="F575" s="26"/>
      <c r="G575" s="30"/>
      <c r="H575" s="30">
        <f t="shared" si="7"/>
        <v>0</v>
      </c>
      <c r="I575" s="26" t="str">
        <f t="shared" si="3"/>
        <v/>
      </c>
      <c r="J575" s="85"/>
      <c r="K575" s="26"/>
      <c r="L575" s="30"/>
    </row>
    <row r="576" ht="22.5" customHeight="1">
      <c r="A576" s="25"/>
      <c r="B576" s="23"/>
      <c r="C576" s="24"/>
      <c r="D576" s="24"/>
      <c r="E576" s="24"/>
      <c r="F576" s="26"/>
      <c r="G576" s="30"/>
      <c r="H576" s="30">
        <f t="shared" si="7"/>
        <v>0</v>
      </c>
      <c r="I576" s="26" t="str">
        <f t="shared" si="3"/>
        <v/>
      </c>
      <c r="J576" s="85"/>
      <c r="K576" s="26"/>
      <c r="L576" s="30"/>
    </row>
    <row r="577" ht="22.5" customHeight="1">
      <c r="A577" s="25"/>
      <c r="B577" s="23"/>
      <c r="C577" s="24"/>
      <c r="D577" s="24"/>
      <c r="E577" s="24"/>
      <c r="F577" s="26"/>
      <c r="G577" s="30"/>
      <c r="H577" s="30">
        <f t="shared" si="7"/>
        <v>0</v>
      </c>
      <c r="I577" s="26" t="str">
        <f t="shared" si="3"/>
        <v/>
      </c>
      <c r="J577" s="85"/>
      <c r="K577" s="26"/>
      <c r="L577" s="30"/>
    </row>
    <row r="578" ht="22.5" customHeight="1">
      <c r="A578" s="25"/>
      <c r="B578" s="23"/>
      <c r="C578" s="24"/>
      <c r="D578" s="24"/>
      <c r="E578" s="24"/>
      <c r="F578" s="26"/>
      <c r="G578" s="30"/>
      <c r="H578" s="30">
        <f t="shared" si="7"/>
        <v>0</v>
      </c>
      <c r="I578" s="26" t="str">
        <f t="shared" si="3"/>
        <v/>
      </c>
      <c r="J578" s="85"/>
      <c r="K578" s="26"/>
      <c r="L578" s="30"/>
    </row>
    <row r="579" ht="22.5" customHeight="1">
      <c r="A579" s="25"/>
      <c r="B579" s="23"/>
      <c r="C579" s="24"/>
      <c r="D579" s="24"/>
      <c r="E579" s="24"/>
      <c r="F579" s="26"/>
      <c r="G579" s="30"/>
      <c r="H579" s="30">
        <f t="shared" si="7"/>
        <v>0</v>
      </c>
      <c r="I579" s="26" t="str">
        <f t="shared" si="3"/>
        <v/>
      </c>
      <c r="J579" s="85"/>
      <c r="K579" s="26"/>
      <c r="L579" s="30"/>
    </row>
    <row r="580" ht="22.5" customHeight="1">
      <c r="A580" s="25"/>
      <c r="B580" s="23"/>
      <c r="C580" s="24"/>
      <c r="D580" s="24"/>
      <c r="E580" s="24"/>
      <c r="F580" s="26"/>
      <c r="G580" s="30"/>
      <c r="H580" s="30">
        <f t="shared" si="7"/>
        <v>0</v>
      </c>
      <c r="I580" s="26" t="str">
        <f t="shared" si="3"/>
        <v/>
      </c>
      <c r="J580" s="85"/>
      <c r="K580" s="26"/>
      <c r="L580" s="30"/>
    </row>
    <row r="581" ht="22.5" customHeight="1">
      <c r="A581" s="25"/>
      <c r="B581" s="23"/>
      <c r="C581" s="24"/>
      <c r="D581" s="24"/>
      <c r="E581" s="24"/>
      <c r="F581" s="26"/>
      <c r="G581" s="30"/>
      <c r="H581" s="30">
        <f t="shared" si="7"/>
        <v>0</v>
      </c>
      <c r="I581" s="26" t="str">
        <f t="shared" si="3"/>
        <v/>
      </c>
      <c r="J581" s="85"/>
      <c r="K581" s="26"/>
      <c r="L581" s="30"/>
    </row>
    <row r="582" ht="22.5" customHeight="1">
      <c r="A582" s="25"/>
      <c r="B582" s="23"/>
      <c r="C582" s="24"/>
      <c r="D582" s="24"/>
      <c r="E582" s="24"/>
      <c r="F582" s="26"/>
      <c r="G582" s="30"/>
      <c r="H582" s="30">
        <f t="shared" si="7"/>
        <v>0</v>
      </c>
      <c r="I582" s="26" t="str">
        <f t="shared" si="3"/>
        <v/>
      </c>
      <c r="J582" s="85"/>
      <c r="K582" s="26"/>
      <c r="L582" s="30"/>
    </row>
    <row r="583" ht="22.5" customHeight="1">
      <c r="A583" s="25"/>
      <c r="B583" s="23"/>
      <c r="C583" s="24"/>
      <c r="D583" s="24"/>
      <c r="E583" s="24"/>
      <c r="F583" s="26"/>
      <c r="G583" s="30"/>
      <c r="H583" s="30">
        <f t="shared" si="7"/>
        <v>0</v>
      </c>
      <c r="I583" s="26" t="str">
        <f t="shared" si="3"/>
        <v/>
      </c>
      <c r="J583" s="85"/>
      <c r="K583" s="26"/>
      <c r="L583" s="30"/>
    </row>
    <row r="584" ht="22.5" customHeight="1">
      <c r="A584" s="25"/>
      <c r="B584" s="23"/>
      <c r="C584" s="24"/>
      <c r="D584" s="24"/>
      <c r="E584" s="24"/>
      <c r="F584" s="26"/>
      <c r="G584" s="30"/>
      <c r="H584" s="30">
        <f t="shared" si="7"/>
        <v>0</v>
      </c>
      <c r="I584" s="26" t="str">
        <f t="shared" si="3"/>
        <v/>
      </c>
      <c r="J584" s="85"/>
      <c r="K584" s="26"/>
      <c r="L584" s="30"/>
    </row>
    <row r="585" ht="22.5" customHeight="1">
      <c r="A585" s="25"/>
      <c r="B585" s="23"/>
      <c r="C585" s="24"/>
      <c r="D585" s="24"/>
      <c r="E585" s="24"/>
      <c r="F585" s="26"/>
      <c r="G585" s="30"/>
      <c r="H585" s="30">
        <f t="shared" si="7"/>
        <v>0</v>
      </c>
      <c r="I585" s="26" t="str">
        <f t="shared" si="3"/>
        <v/>
      </c>
      <c r="J585" s="85"/>
      <c r="K585" s="26"/>
      <c r="L585" s="30"/>
    </row>
    <row r="586" ht="22.5" customHeight="1">
      <c r="A586" s="25"/>
      <c r="B586" s="23"/>
      <c r="C586" s="24"/>
      <c r="D586" s="24"/>
      <c r="E586" s="24"/>
      <c r="F586" s="26"/>
      <c r="G586" s="30"/>
      <c r="H586" s="30">
        <f t="shared" si="7"/>
        <v>0</v>
      </c>
      <c r="I586" s="26" t="str">
        <f t="shared" si="3"/>
        <v/>
      </c>
      <c r="J586" s="85"/>
      <c r="K586" s="26"/>
      <c r="L586" s="30"/>
    </row>
    <row r="587" ht="22.5" customHeight="1">
      <c r="A587" s="25"/>
      <c r="B587" s="23"/>
      <c r="C587" s="24"/>
      <c r="D587" s="24"/>
      <c r="E587" s="24"/>
      <c r="F587" s="26"/>
      <c r="G587" s="30"/>
      <c r="H587" s="30">
        <f t="shared" si="7"/>
        <v>0</v>
      </c>
      <c r="I587" s="26" t="str">
        <f t="shared" si="3"/>
        <v/>
      </c>
      <c r="J587" s="85"/>
      <c r="K587" s="26"/>
      <c r="L587" s="30"/>
    </row>
    <row r="588" ht="22.5" customHeight="1">
      <c r="A588" s="25"/>
      <c r="B588" s="23"/>
      <c r="C588" s="24"/>
      <c r="D588" s="24"/>
      <c r="E588" s="24"/>
      <c r="F588" s="26"/>
      <c r="G588" s="30"/>
      <c r="H588" s="30">
        <f t="shared" si="7"/>
        <v>0</v>
      </c>
      <c r="I588" s="26" t="str">
        <f t="shared" si="3"/>
        <v/>
      </c>
      <c r="J588" s="85"/>
      <c r="K588" s="26"/>
      <c r="L588" s="30"/>
    </row>
    <row r="589" ht="22.5" customHeight="1">
      <c r="A589" s="25"/>
      <c r="B589" s="23"/>
      <c r="C589" s="24"/>
      <c r="D589" s="24"/>
      <c r="E589" s="24"/>
      <c r="F589" s="26"/>
      <c r="G589" s="30"/>
      <c r="H589" s="30">
        <f t="shared" si="7"/>
        <v>0</v>
      </c>
      <c r="I589" s="26" t="str">
        <f t="shared" si="3"/>
        <v/>
      </c>
      <c r="J589" s="85"/>
      <c r="K589" s="26"/>
      <c r="L589" s="30"/>
    </row>
    <row r="590" ht="22.5" customHeight="1">
      <c r="A590" s="25"/>
      <c r="B590" s="23"/>
      <c r="C590" s="24"/>
      <c r="D590" s="24"/>
      <c r="E590" s="24"/>
      <c r="F590" s="26"/>
      <c r="G590" s="30"/>
      <c r="H590" s="30">
        <f t="shared" si="7"/>
        <v>0</v>
      </c>
      <c r="I590" s="26" t="str">
        <f t="shared" si="3"/>
        <v/>
      </c>
      <c r="J590" s="85"/>
      <c r="K590" s="26"/>
      <c r="L590" s="30"/>
    </row>
    <row r="591" ht="22.5" customHeight="1">
      <c r="A591" s="25"/>
      <c r="B591" s="23"/>
      <c r="C591" s="24"/>
      <c r="D591" s="24"/>
      <c r="E591" s="24"/>
      <c r="F591" s="26"/>
      <c r="G591" s="30"/>
      <c r="H591" s="30">
        <f t="shared" si="7"/>
        <v>0</v>
      </c>
      <c r="I591" s="26" t="str">
        <f t="shared" si="3"/>
        <v/>
      </c>
      <c r="J591" s="85"/>
      <c r="K591" s="26"/>
      <c r="L591" s="30"/>
    </row>
    <row r="592" ht="22.5" customHeight="1">
      <c r="A592" s="25"/>
      <c r="B592" s="23"/>
      <c r="C592" s="24"/>
      <c r="D592" s="24"/>
      <c r="E592" s="24"/>
      <c r="F592" s="26"/>
      <c r="G592" s="30"/>
      <c r="H592" s="30">
        <f t="shared" si="7"/>
        <v>0</v>
      </c>
      <c r="I592" s="26" t="str">
        <f t="shared" si="3"/>
        <v/>
      </c>
      <c r="J592" s="85"/>
      <c r="K592" s="26"/>
      <c r="L592" s="30"/>
    </row>
    <row r="593" ht="22.5" customHeight="1">
      <c r="A593" s="25"/>
      <c r="B593" s="23"/>
      <c r="C593" s="24"/>
      <c r="D593" s="24"/>
      <c r="E593" s="24"/>
      <c r="F593" s="26"/>
      <c r="G593" s="30"/>
      <c r="H593" s="30">
        <f t="shared" si="7"/>
        <v>0</v>
      </c>
      <c r="I593" s="26" t="str">
        <f t="shared" si="3"/>
        <v/>
      </c>
      <c r="J593" s="85"/>
      <c r="K593" s="26"/>
      <c r="L593" s="30"/>
    </row>
    <row r="594" ht="22.5" customHeight="1">
      <c r="A594" s="25"/>
      <c r="B594" s="23"/>
      <c r="C594" s="24"/>
      <c r="D594" s="24"/>
      <c r="E594" s="24"/>
      <c r="F594" s="26"/>
      <c r="G594" s="30"/>
      <c r="H594" s="30">
        <f t="shared" si="7"/>
        <v>0</v>
      </c>
      <c r="I594" s="26" t="str">
        <f t="shared" si="3"/>
        <v/>
      </c>
      <c r="J594" s="85"/>
      <c r="K594" s="26"/>
      <c r="L594" s="30"/>
    </row>
    <row r="595" ht="22.5" customHeight="1">
      <c r="A595" s="25"/>
      <c r="B595" s="23"/>
      <c r="C595" s="24"/>
      <c r="D595" s="24"/>
      <c r="E595" s="24"/>
      <c r="F595" s="26"/>
      <c r="G595" s="30"/>
      <c r="H595" s="30">
        <f t="shared" si="7"/>
        <v>0</v>
      </c>
      <c r="I595" s="26" t="str">
        <f t="shared" si="3"/>
        <v/>
      </c>
      <c r="J595" s="85"/>
      <c r="K595" s="26"/>
      <c r="L595" s="30"/>
    </row>
    <row r="596" ht="22.5" customHeight="1">
      <c r="A596" s="25"/>
      <c r="B596" s="23"/>
      <c r="C596" s="24"/>
      <c r="D596" s="24"/>
      <c r="E596" s="24"/>
      <c r="F596" s="26"/>
      <c r="G596" s="30"/>
      <c r="H596" s="30">
        <f t="shared" si="7"/>
        <v>0</v>
      </c>
      <c r="I596" s="26" t="str">
        <f t="shared" si="3"/>
        <v/>
      </c>
      <c r="J596" s="85"/>
      <c r="K596" s="26"/>
      <c r="L596" s="30"/>
    </row>
    <row r="597" ht="22.5" customHeight="1">
      <c r="A597" s="25"/>
      <c r="B597" s="23"/>
      <c r="C597" s="24"/>
      <c r="D597" s="24"/>
      <c r="E597" s="24"/>
      <c r="F597" s="26"/>
      <c r="G597" s="30"/>
      <c r="H597" s="30">
        <f t="shared" si="7"/>
        <v>0</v>
      </c>
      <c r="I597" s="26" t="str">
        <f t="shared" si="3"/>
        <v/>
      </c>
      <c r="J597" s="85"/>
      <c r="K597" s="26"/>
      <c r="L597" s="30"/>
    </row>
    <row r="598" ht="22.5" customHeight="1">
      <c r="A598" s="25"/>
      <c r="B598" s="23"/>
      <c r="C598" s="24"/>
      <c r="D598" s="24"/>
      <c r="E598" s="24"/>
      <c r="F598" s="26"/>
      <c r="G598" s="30"/>
      <c r="H598" s="30">
        <f t="shared" si="7"/>
        <v>0</v>
      </c>
      <c r="I598" s="26" t="str">
        <f t="shared" si="3"/>
        <v/>
      </c>
      <c r="J598" s="85"/>
      <c r="K598" s="26"/>
      <c r="L598" s="30"/>
    </row>
    <row r="599" ht="22.5" customHeight="1">
      <c r="A599" s="25"/>
      <c r="B599" s="23"/>
      <c r="C599" s="24"/>
      <c r="D599" s="24"/>
      <c r="E599" s="24"/>
      <c r="F599" s="26"/>
      <c r="G599" s="30"/>
      <c r="H599" s="30">
        <f t="shared" si="7"/>
        <v>0</v>
      </c>
      <c r="I599" s="26" t="str">
        <f t="shared" si="3"/>
        <v/>
      </c>
      <c r="J599" s="85"/>
      <c r="K599" s="26"/>
      <c r="L599" s="30"/>
    </row>
    <row r="600" ht="22.5" customHeight="1">
      <c r="A600" s="25"/>
      <c r="B600" s="23"/>
      <c r="C600" s="24"/>
      <c r="D600" s="24"/>
      <c r="E600" s="24"/>
      <c r="F600" s="26"/>
      <c r="G600" s="30"/>
      <c r="H600" s="30">
        <f t="shared" si="7"/>
        <v>0</v>
      </c>
      <c r="I600" s="26" t="str">
        <f t="shared" si="3"/>
        <v/>
      </c>
      <c r="J600" s="85"/>
      <c r="K600" s="26"/>
      <c r="L600" s="30"/>
    </row>
    <row r="601" ht="22.5" customHeight="1">
      <c r="A601" s="25"/>
      <c r="B601" s="23"/>
      <c r="C601" s="24"/>
      <c r="D601" s="24"/>
      <c r="E601" s="24"/>
      <c r="F601" s="26"/>
      <c r="G601" s="30"/>
      <c r="H601" s="30">
        <f t="shared" si="7"/>
        <v>0</v>
      </c>
      <c r="I601" s="26" t="str">
        <f t="shared" si="3"/>
        <v/>
      </c>
      <c r="J601" s="85"/>
      <c r="K601" s="26"/>
      <c r="L601" s="30"/>
    </row>
    <row r="602" ht="22.5" customHeight="1">
      <c r="A602" s="25"/>
      <c r="B602" s="23"/>
      <c r="C602" s="24"/>
      <c r="D602" s="24"/>
      <c r="E602" s="24"/>
      <c r="F602" s="26"/>
      <c r="G602" s="30"/>
      <c r="H602" s="30">
        <f t="shared" si="7"/>
        <v>0</v>
      </c>
      <c r="I602" s="26" t="str">
        <f t="shared" si="3"/>
        <v/>
      </c>
      <c r="J602" s="85"/>
      <c r="K602" s="26"/>
      <c r="L602" s="30"/>
    </row>
    <row r="603" ht="22.5" customHeight="1">
      <c r="A603" s="25"/>
      <c r="B603" s="23"/>
      <c r="C603" s="24"/>
      <c r="D603" s="24"/>
      <c r="E603" s="24"/>
      <c r="F603" s="26"/>
      <c r="G603" s="30"/>
      <c r="H603" s="30">
        <f t="shared" si="7"/>
        <v>0</v>
      </c>
      <c r="I603" s="26" t="str">
        <f t="shared" si="3"/>
        <v/>
      </c>
      <c r="J603" s="85"/>
      <c r="K603" s="26"/>
      <c r="L603" s="30"/>
    </row>
    <row r="604" ht="22.5" customHeight="1">
      <c r="A604" s="25"/>
      <c r="B604" s="23"/>
      <c r="C604" s="24"/>
      <c r="D604" s="24"/>
      <c r="E604" s="24"/>
      <c r="F604" s="26"/>
      <c r="G604" s="30"/>
      <c r="H604" s="30">
        <f t="shared" si="7"/>
        <v>0</v>
      </c>
      <c r="I604" s="26" t="str">
        <f t="shared" si="3"/>
        <v/>
      </c>
      <c r="J604" s="85"/>
      <c r="K604" s="26"/>
      <c r="L604" s="30"/>
    </row>
    <row r="605" ht="22.5" customHeight="1">
      <c r="A605" s="25"/>
      <c r="B605" s="23"/>
      <c r="C605" s="24"/>
      <c r="D605" s="24"/>
      <c r="E605" s="24"/>
      <c r="F605" s="26"/>
      <c r="G605" s="30"/>
      <c r="H605" s="30">
        <f t="shared" si="7"/>
        <v>0</v>
      </c>
      <c r="I605" s="26" t="str">
        <f t="shared" si="3"/>
        <v/>
      </c>
      <c r="J605" s="85"/>
      <c r="K605" s="26"/>
      <c r="L605" s="30"/>
    </row>
    <row r="606" ht="22.5" customHeight="1">
      <c r="A606" s="25"/>
      <c r="B606" s="23"/>
      <c r="C606" s="24"/>
      <c r="D606" s="24"/>
      <c r="E606" s="24"/>
      <c r="F606" s="26"/>
      <c r="G606" s="30"/>
      <c r="H606" s="30">
        <f t="shared" si="7"/>
        <v>0</v>
      </c>
      <c r="I606" s="26" t="str">
        <f t="shared" si="3"/>
        <v/>
      </c>
      <c r="J606" s="85"/>
      <c r="K606" s="26"/>
      <c r="L606" s="30"/>
    </row>
    <row r="607" ht="22.5" customHeight="1">
      <c r="A607" s="25"/>
      <c r="B607" s="23"/>
      <c r="C607" s="24"/>
      <c r="D607" s="24"/>
      <c r="E607" s="24"/>
      <c r="F607" s="26"/>
      <c r="G607" s="30"/>
      <c r="H607" s="30">
        <f t="shared" si="7"/>
        <v>0</v>
      </c>
      <c r="I607" s="26" t="str">
        <f t="shared" si="3"/>
        <v/>
      </c>
      <c r="J607" s="85"/>
      <c r="K607" s="26"/>
      <c r="L607" s="30"/>
    </row>
    <row r="608" ht="22.5" customHeight="1">
      <c r="A608" s="25"/>
      <c r="B608" s="23"/>
      <c r="C608" s="24"/>
      <c r="D608" s="24"/>
      <c r="E608" s="24"/>
      <c r="F608" s="26"/>
      <c r="G608" s="30"/>
      <c r="H608" s="30">
        <f t="shared" si="7"/>
        <v>0</v>
      </c>
      <c r="I608" s="26" t="str">
        <f t="shared" si="3"/>
        <v/>
      </c>
      <c r="J608" s="85"/>
      <c r="K608" s="26"/>
      <c r="L608" s="30"/>
    </row>
    <row r="609" ht="22.5" customHeight="1">
      <c r="A609" s="25"/>
      <c r="B609" s="23"/>
      <c r="C609" s="24"/>
      <c r="D609" s="24"/>
      <c r="E609" s="24"/>
      <c r="F609" s="26"/>
      <c r="G609" s="30"/>
      <c r="H609" s="30">
        <f t="shared" si="7"/>
        <v>0</v>
      </c>
      <c r="I609" s="26" t="str">
        <f t="shared" si="3"/>
        <v/>
      </c>
      <c r="J609" s="85"/>
      <c r="K609" s="26"/>
      <c r="L609" s="30"/>
    </row>
    <row r="610" ht="22.5" customHeight="1">
      <c r="A610" s="25"/>
      <c r="B610" s="23"/>
      <c r="C610" s="24"/>
      <c r="D610" s="24"/>
      <c r="E610" s="24"/>
      <c r="F610" s="26"/>
      <c r="G610" s="30"/>
      <c r="H610" s="30">
        <f t="shared" si="7"/>
        <v>0</v>
      </c>
      <c r="I610" s="26" t="str">
        <f t="shared" si="3"/>
        <v/>
      </c>
      <c r="J610" s="85"/>
      <c r="K610" s="26"/>
      <c r="L610" s="30"/>
    </row>
    <row r="611" ht="22.5" customHeight="1">
      <c r="A611" s="25"/>
      <c r="B611" s="23"/>
      <c r="C611" s="24"/>
      <c r="D611" s="24"/>
      <c r="E611" s="24"/>
      <c r="F611" s="26"/>
      <c r="G611" s="30"/>
      <c r="H611" s="30">
        <f t="shared" si="7"/>
        <v>0</v>
      </c>
      <c r="I611" s="26" t="str">
        <f t="shared" si="3"/>
        <v/>
      </c>
      <c r="J611" s="85"/>
      <c r="K611" s="26"/>
      <c r="L611" s="30"/>
    </row>
    <row r="612" ht="22.5" customHeight="1">
      <c r="A612" s="25"/>
      <c r="B612" s="23"/>
      <c r="C612" s="24"/>
      <c r="D612" s="24"/>
      <c r="E612" s="24"/>
      <c r="F612" s="26"/>
      <c r="G612" s="30"/>
      <c r="H612" s="30">
        <f t="shared" si="7"/>
        <v>0</v>
      </c>
      <c r="I612" s="26" t="str">
        <f t="shared" si="3"/>
        <v/>
      </c>
      <c r="J612" s="85"/>
      <c r="K612" s="26"/>
      <c r="L612" s="30"/>
    </row>
    <row r="613" ht="22.5" customHeight="1">
      <c r="A613" s="25"/>
      <c r="B613" s="23"/>
      <c r="C613" s="24"/>
      <c r="D613" s="24"/>
      <c r="E613" s="24"/>
      <c r="F613" s="26"/>
      <c r="G613" s="30"/>
      <c r="H613" s="30">
        <f t="shared" si="7"/>
        <v>0</v>
      </c>
      <c r="I613" s="26" t="str">
        <f t="shared" si="3"/>
        <v/>
      </c>
      <c r="J613" s="85"/>
      <c r="K613" s="26"/>
      <c r="L613" s="30"/>
    </row>
    <row r="614" ht="22.5" customHeight="1">
      <c r="A614" s="25"/>
      <c r="B614" s="23"/>
      <c r="C614" s="24"/>
      <c r="D614" s="24"/>
      <c r="E614" s="24"/>
      <c r="F614" s="26"/>
      <c r="G614" s="30"/>
      <c r="H614" s="30">
        <f t="shared" si="7"/>
        <v>0</v>
      </c>
      <c r="I614" s="26" t="str">
        <f t="shared" si="3"/>
        <v/>
      </c>
      <c r="J614" s="85"/>
      <c r="K614" s="26"/>
      <c r="L614" s="30"/>
    </row>
    <row r="615" ht="22.5" customHeight="1">
      <c r="A615" s="25"/>
      <c r="B615" s="23"/>
      <c r="C615" s="24"/>
      <c r="D615" s="24"/>
      <c r="E615" s="24"/>
      <c r="F615" s="26"/>
      <c r="G615" s="30"/>
      <c r="H615" s="30">
        <f t="shared" si="7"/>
        <v>0</v>
      </c>
      <c r="I615" s="26" t="str">
        <f t="shared" si="3"/>
        <v/>
      </c>
      <c r="J615" s="85"/>
      <c r="K615" s="26"/>
      <c r="L615" s="30"/>
    </row>
    <row r="616" ht="22.5" customHeight="1">
      <c r="A616" s="25"/>
      <c r="B616" s="23"/>
      <c r="C616" s="24"/>
      <c r="D616" s="24"/>
      <c r="E616" s="24"/>
      <c r="F616" s="26"/>
      <c r="G616" s="30"/>
      <c r="H616" s="30">
        <f t="shared" si="7"/>
        <v>0</v>
      </c>
      <c r="I616" s="26" t="str">
        <f t="shared" si="3"/>
        <v/>
      </c>
      <c r="J616" s="85"/>
      <c r="K616" s="26"/>
      <c r="L616" s="30"/>
    </row>
    <row r="617" ht="22.5" customHeight="1">
      <c r="A617" s="25"/>
      <c r="B617" s="23"/>
      <c r="C617" s="24"/>
      <c r="D617" s="24"/>
      <c r="E617" s="24"/>
      <c r="F617" s="26"/>
      <c r="G617" s="30"/>
      <c r="H617" s="30">
        <f t="shared" si="7"/>
        <v>0</v>
      </c>
      <c r="I617" s="26" t="str">
        <f t="shared" si="3"/>
        <v/>
      </c>
      <c r="J617" s="85"/>
      <c r="K617" s="26"/>
      <c r="L617" s="30"/>
    </row>
    <row r="618" ht="22.5" customHeight="1">
      <c r="A618" s="25"/>
      <c r="B618" s="23"/>
      <c r="C618" s="24"/>
      <c r="D618" s="24"/>
      <c r="E618" s="24"/>
      <c r="F618" s="26"/>
      <c r="G618" s="30"/>
      <c r="H618" s="30">
        <f t="shared" si="7"/>
        <v>0</v>
      </c>
      <c r="I618" s="26" t="str">
        <f t="shared" si="3"/>
        <v/>
      </c>
      <c r="J618" s="85"/>
      <c r="K618" s="26"/>
      <c r="L618" s="30"/>
    </row>
    <row r="619" ht="22.5" customHeight="1">
      <c r="A619" s="25"/>
      <c r="B619" s="23"/>
      <c r="C619" s="24"/>
      <c r="D619" s="24"/>
      <c r="E619" s="24"/>
      <c r="F619" s="26"/>
      <c r="G619" s="30"/>
      <c r="H619" s="30">
        <f t="shared" si="7"/>
        <v>0</v>
      </c>
      <c r="I619" s="26" t="str">
        <f t="shared" si="3"/>
        <v/>
      </c>
      <c r="J619" s="85"/>
      <c r="K619" s="26"/>
      <c r="L619" s="30"/>
    </row>
    <row r="620" ht="22.5" customHeight="1">
      <c r="A620" s="25"/>
      <c r="B620" s="23"/>
      <c r="C620" s="24"/>
      <c r="D620" s="24"/>
      <c r="E620" s="24"/>
      <c r="F620" s="26"/>
      <c r="G620" s="30"/>
      <c r="H620" s="30">
        <f t="shared" si="7"/>
        <v>0</v>
      </c>
      <c r="I620" s="26" t="str">
        <f t="shared" si="3"/>
        <v/>
      </c>
      <c r="J620" s="85"/>
      <c r="K620" s="26"/>
      <c r="L620" s="30"/>
    </row>
    <row r="621" ht="22.5" customHeight="1">
      <c r="A621" s="25"/>
      <c r="B621" s="23"/>
      <c r="C621" s="24"/>
      <c r="D621" s="24"/>
      <c r="E621" s="24"/>
      <c r="F621" s="26"/>
      <c r="G621" s="30"/>
      <c r="H621" s="30">
        <f t="shared" si="7"/>
        <v>0</v>
      </c>
      <c r="I621" s="26" t="str">
        <f t="shared" si="3"/>
        <v/>
      </c>
      <c r="J621" s="85"/>
      <c r="K621" s="26"/>
      <c r="L621" s="30"/>
    </row>
    <row r="622" ht="22.5" customHeight="1">
      <c r="A622" s="25"/>
      <c r="B622" s="23"/>
      <c r="C622" s="24"/>
      <c r="D622" s="24"/>
      <c r="E622" s="24"/>
      <c r="F622" s="26"/>
      <c r="G622" s="30"/>
      <c r="H622" s="30">
        <f t="shared" si="7"/>
        <v>0</v>
      </c>
      <c r="I622" s="26" t="str">
        <f t="shared" si="3"/>
        <v/>
      </c>
      <c r="J622" s="85"/>
      <c r="K622" s="26"/>
      <c r="L622" s="30"/>
    </row>
    <row r="623" ht="22.5" customHeight="1">
      <c r="A623" s="25"/>
      <c r="B623" s="23"/>
      <c r="C623" s="24"/>
      <c r="D623" s="24"/>
      <c r="E623" s="24"/>
      <c r="F623" s="26"/>
      <c r="G623" s="30"/>
      <c r="H623" s="30">
        <f t="shared" si="7"/>
        <v>0</v>
      </c>
      <c r="I623" s="26" t="str">
        <f t="shared" si="3"/>
        <v/>
      </c>
      <c r="J623" s="85"/>
      <c r="K623" s="26"/>
      <c r="L623" s="30"/>
    </row>
    <row r="624" ht="22.5" customHeight="1">
      <c r="A624" s="25"/>
      <c r="B624" s="23"/>
      <c r="C624" s="24"/>
      <c r="D624" s="24"/>
      <c r="E624" s="24"/>
      <c r="F624" s="26"/>
      <c r="G624" s="30"/>
      <c r="H624" s="30">
        <f t="shared" si="7"/>
        <v>0</v>
      </c>
      <c r="I624" s="26" t="str">
        <f t="shared" si="3"/>
        <v/>
      </c>
      <c r="J624" s="85"/>
      <c r="K624" s="26"/>
      <c r="L624" s="30"/>
    </row>
    <row r="625" ht="22.5" customHeight="1">
      <c r="A625" s="25"/>
      <c r="B625" s="23"/>
      <c r="C625" s="24"/>
      <c r="D625" s="24"/>
      <c r="E625" s="24"/>
      <c r="F625" s="26"/>
      <c r="G625" s="30"/>
      <c r="H625" s="30">
        <f t="shared" si="7"/>
        <v>0</v>
      </c>
      <c r="I625" s="26" t="str">
        <f t="shared" si="3"/>
        <v/>
      </c>
      <c r="J625" s="85"/>
      <c r="K625" s="26"/>
      <c r="L625" s="30"/>
    </row>
    <row r="626" ht="22.5" customHeight="1">
      <c r="A626" s="25"/>
      <c r="B626" s="23"/>
      <c r="C626" s="24"/>
      <c r="D626" s="24"/>
      <c r="E626" s="24"/>
      <c r="F626" s="26"/>
      <c r="G626" s="30"/>
      <c r="H626" s="30">
        <f t="shared" si="7"/>
        <v>0</v>
      </c>
      <c r="I626" s="26" t="str">
        <f t="shared" si="3"/>
        <v/>
      </c>
      <c r="J626" s="85"/>
      <c r="K626" s="26"/>
      <c r="L626" s="30"/>
    </row>
    <row r="627" ht="22.5" customHeight="1">
      <c r="A627" s="25"/>
      <c r="B627" s="23"/>
      <c r="C627" s="24"/>
      <c r="D627" s="24"/>
      <c r="E627" s="24"/>
      <c r="F627" s="26"/>
      <c r="G627" s="30"/>
      <c r="H627" s="30">
        <f t="shared" si="7"/>
        <v>0</v>
      </c>
      <c r="I627" s="26" t="str">
        <f t="shared" si="3"/>
        <v/>
      </c>
      <c r="J627" s="85"/>
      <c r="K627" s="26"/>
      <c r="L627" s="30"/>
    </row>
    <row r="628" ht="22.5" customHeight="1">
      <c r="A628" s="25"/>
      <c r="B628" s="23"/>
      <c r="C628" s="24"/>
      <c r="D628" s="24"/>
      <c r="E628" s="24"/>
      <c r="F628" s="26"/>
      <c r="G628" s="30"/>
      <c r="H628" s="30">
        <f t="shared" si="7"/>
        <v>0</v>
      </c>
      <c r="I628" s="26" t="str">
        <f t="shared" si="3"/>
        <v/>
      </c>
      <c r="J628" s="85"/>
      <c r="K628" s="26"/>
      <c r="L628" s="30"/>
    </row>
    <row r="629" ht="22.5" customHeight="1">
      <c r="A629" s="25"/>
      <c r="B629" s="23"/>
      <c r="C629" s="24"/>
      <c r="D629" s="24"/>
      <c r="E629" s="24"/>
      <c r="F629" s="26"/>
      <c r="G629" s="30"/>
      <c r="H629" s="30">
        <f t="shared" si="7"/>
        <v>0</v>
      </c>
      <c r="I629" s="26" t="str">
        <f t="shared" si="3"/>
        <v/>
      </c>
      <c r="J629" s="85"/>
      <c r="K629" s="26"/>
      <c r="L629" s="30"/>
    </row>
    <row r="630" ht="22.5" customHeight="1">
      <c r="A630" s="25"/>
      <c r="B630" s="23"/>
      <c r="C630" s="24"/>
      <c r="D630" s="24"/>
      <c r="E630" s="24"/>
      <c r="F630" s="26"/>
      <c r="G630" s="30"/>
      <c r="H630" s="30">
        <f t="shared" si="7"/>
        <v>0</v>
      </c>
      <c r="I630" s="26" t="str">
        <f t="shared" si="3"/>
        <v/>
      </c>
      <c r="J630" s="85"/>
      <c r="K630" s="26"/>
      <c r="L630" s="30"/>
    </row>
    <row r="631" ht="22.5" customHeight="1">
      <c r="A631" s="25"/>
      <c r="B631" s="23"/>
      <c r="C631" s="24"/>
      <c r="D631" s="24"/>
      <c r="E631" s="24"/>
      <c r="F631" s="26"/>
      <c r="G631" s="30"/>
      <c r="H631" s="30">
        <f t="shared" si="7"/>
        <v>0</v>
      </c>
      <c r="I631" s="26" t="str">
        <f t="shared" si="3"/>
        <v/>
      </c>
      <c r="J631" s="85"/>
      <c r="K631" s="26"/>
      <c r="L631" s="30"/>
    </row>
    <row r="632" ht="22.5" customHeight="1">
      <c r="A632" s="25"/>
      <c r="B632" s="23"/>
      <c r="C632" s="24"/>
      <c r="D632" s="24"/>
      <c r="E632" s="24"/>
      <c r="F632" s="26"/>
      <c r="G632" s="30"/>
      <c r="H632" s="30">
        <f t="shared" si="7"/>
        <v>0</v>
      </c>
      <c r="I632" s="26" t="str">
        <f t="shared" si="3"/>
        <v/>
      </c>
      <c r="J632" s="85"/>
      <c r="K632" s="26"/>
      <c r="L632" s="30"/>
    </row>
    <row r="633" ht="22.5" customHeight="1">
      <c r="A633" s="25"/>
      <c r="B633" s="23"/>
      <c r="C633" s="24"/>
      <c r="D633" s="24"/>
      <c r="E633" s="24"/>
      <c r="F633" s="26"/>
      <c r="G633" s="30"/>
      <c r="H633" s="30">
        <f t="shared" si="7"/>
        <v>0</v>
      </c>
      <c r="I633" s="26" t="str">
        <f t="shared" si="3"/>
        <v/>
      </c>
      <c r="J633" s="85"/>
      <c r="K633" s="26"/>
      <c r="L633" s="30"/>
    </row>
    <row r="634" ht="22.5" customHeight="1">
      <c r="A634" s="25"/>
      <c r="B634" s="23"/>
      <c r="C634" s="24"/>
      <c r="D634" s="24"/>
      <c r="E634" s="24"/>
      <c r="F634" s="26"/>
      <c r="G634" s="30"/>
      <c r="H634" s="30">
        <f t="shared" si="7"/>
        <v>0</v>
      </c>
      <c r="I634" s="26" t="str">
        <f t="shared" si="3"/>
        <v/>
      </c>
      <c r="J634" s="85"/>
      <c r="K634" s="26"/>
      <c r="L634" s="30"/>
    </row>
    <row r="635" ht="22.5" customHeight="1">
      <c r="A635" s="25"/>
      <c r="B635" s="23"/>
      <c r="C635" s="24"/>
      <c r="D635" s="24"/>
      <c r="E635" s="24"/>
      <c r="F635" s="26"/>
      <c r="G635" s="30"/>
      <c r="H635" s="30">
        <f t="shared" si="7"/>
        <v>0</v>
      </c>
      <c r="I635" s="26" t="str">
        <f t="shared" si="3"/>
        <v/>
      </c>
      <c r="J635" s="85"/>
      <c r="K635" s="26"/>
      <c r="L635" s="30"/>
    </row>
    <row r="636" ht="22.5" customHeight="1">
      <c r="A636" s="25"/>
      <c r="B636" s="23"/>
      <c r="C636" s="24"/>
      <c r="D636" s="24"/>
      <c r="E636" s="24"/>
      <c r="F636" s="26"/>
      <c r="G636" s="30"/>
      <c r="H636" s="30">
        <f t="shared" si="7"/>
        <v>0</v>
      </c>
      <c r="I636" s="26" t="str">
        <f t="shared" si="3"/>
        <v/>
      </c>
      <c r="J636" s="85"/>
      <c r="K636" s="26"/>
      <c r="L636" s="30"/>
    </row>
    <row r="637" ht="22.5" customHeight="1">
      <c r="A637" s="25"/>
      <c r="B637" s="23"/>
      <c r="C637" s="24"/>
      <c r="D637" s="24"/>
      <c r="E637" s="24"/>
      <c r="F637" s="26"/>
      <c r="G637" s="30"/>
      <c r="H637" s="30">
        <f t="shared" si="7"/>
        <v>0</v>
      </c>
      <c r="I637" s="26" t="str">
        <f t="shared" si="3"/>
        <v/>
      </c>
      <c r="J637" s="85"/>
      <c r="K637" s="26"/>
      <c r="L637" s="30"/>
    </row>
    <row r="638" ht="22.5" customHeight="1">
      <c r="A638" s="25"/>
      <c r="B638" s="23"/>
      <c r="C638" s="24"/>
      <c r="D638" s="24"/>
      <c r="E638" s="24"/>
      <c r="F638" s="26"/>
      <c r="G638" s="30"/>
      <c r="H638" s="30">
        <f t="shared" si="7"/>
        <v>0</v>
      </c>
      <c r="I638" s="26" t="str">
        <f t="shared" si="3"/>
        <v/>
      </c>
      <c r="J638" s="85"/>
      <c r="K638" s="26"/>
      <c r="L638" s="30"/>
    </row>
    <row r="639" ht="22.5" customHeight="1">
      <c r="A639" s="25"/>
      <c r="B639" s="23"/>
      <c r="C639" s="24"/>
      <c r="D639" s="24"/>
      <c r="E639" s="24"/>
      <c r="F639" s="26"/>
      <c r="G639" s="30"/>
      <c r="H639" s="30">
        <f t="shared" si="7"/>
        <v>0</v>
      </c>
      <c r="I639" s="26" t="str">
        <f t="shared" si="3"/>
        <v/>
      </c>
      <c r="J639" s="85"/>
      <c r="K639" s="26"/>
      <c r="L639" s="30"/>
    </row>
    <row r="640" ht="22.5" customHeight="1">
      <c r="A640" s="25"/>
      <c r="B640" s="23"/>
      <c r="C640" s="24"/>
      <c r="D640" s="24"/>
      <c r="E640" s="24"/>
      <c r="F640" s="26"/>
      <c r="G640" s="30"/>
      <c r="H640" s="30">
        <f t="shared" si="7"/>
        <v>0</v>
      </c>
      <c r="I640" s="26" t="str">
        <f t="shared" si="3"/>
        <v/>
      </c>
      <c r="J640" s="85"/>
      <c r="K640" s="26"/>
      <c r="L640" s="30"/>
    </row>
    <row r="641" ht="22.5" customHeight="1">
      <c r="A641" s="25"/>
      <c r="B641" s="23"/>
      <c r="C641" s="24"/>
      <c r="D641" s="24"/>
      <c r="E641" s="24"/>
      <c r="F641" s="26"/>
      <c r="G641" s="30"/>
      <c r="H641" s="30">
        <f t="shared" si="7"/>
        <v>0</v>
      </c>
      <c r="I641" s="26" t="str">
        <f t="shared" si="3"/>
        <v/>
      </c>
      <c r="J641" s="85"/>
      <c r="K641" s="26"/>
      <c r="L641" s="30"/>
    </row>
    <row r="642" ht="22.5" customHeight="1">
      <c r="A642" s="25"/>
      <c r="B642" s="23"/>
      <c r="C642" s="24"/>
      <c r="D642" s="24"/>
      <c r="E642" s="24"/>
      <c r="F642" s="26"/>
      <c r="G642" s="30"/>
      <c r="H642" s="30">
        <f t="shared" si="7"/>
        <v>0</v>
      </c>
      <c r="I642" s="26" t="str">
        <f t="shared" si="3"/>
        <v/>
      </c>
      <c r="J642" s="85"/>
      <c r="K642" s="26"/>
      <c r="L642" s="30"/>
    </row>
    <row r="643" ht="22.5" customHeight="1">
      <c r="A643" s="25"/>
      <c r="B643" s="23"/>
      <c r="C643" s="24"/>
      <c r="D643" s="24"/>
      <c r="E643" s="24"/>
      <c r="F643" s="26"/>
      <c r="G643" s="30"/>
      <c r="H643" s="30">
        <f t="shared" si="7"/>
        <v>0</v>
      </c>
      <c r="I643" s="26" t="str">
        <f t="shared" si="3"/>
        <v/>
      </c>
      <c r="J643" s="85"/>
      <c r="K643" s="26"/>
      <c r="L643" s="30"/>
    </row>
    <row r="644" ht="22.5" customHeight="1">
      <c r="A644" s="25"/>
      <c r="B644" s="23"/>
      <c r="C644" s="24"/>
      <c r="D644" s="24"/>
      <c r="E644" s="24"/>
      <c r="F644" s="26"/>
      <c r="G644" s="30"/>
      <c r="H644" s="30">
        <f t="shared" si="7"/>
        <v>0</v>
      </c>
      <c r="I644" s="26" t="str">
        <f t="shared" si="3"/>
        <v/>
      </c>
      <c r="J644" s="85"/>
      <c r="K644" s="26"/>
      <c r="L644" s="30"/>
    </row>
    <row r="645" ht="22.5" customHeight="1">
      <c r="A645" s="25"/>
      <c r="B645" s="23"/>
      <c r="C645" s="24"/>
      <c r="D645" s="24"/>
      <c r="E645" s="24"/>
      <c r="F645" s="26"/>
      <c r="G645" s="30"/>
      <c r="H645" s="30">
        <f t="shared" si="7"/>
        <v>0</v>
      </c>
      <c r="I645" s="26" t="str">
        <f t="shared" si="3"/>
        <v/>
      </c>
      <c r="J645" s="85"/>
      <c r="K645" s="26"/>
      <c r="L645" s="30"/>
    </row>
    <row r="646" ht="22.5" customHeight="1">
      <c r="A646" s="25"/>
      <c r="B646" s="23"/>
      <c r="C646" s="24"/>
      <c r="D646" s="24"/>
      <c r="E646" s="24"/>
      <c r="F646" s="26"/>
      <c r="G646" s="30"/>
      <c r="H646" s="30">
        <f t="shared" si="7"/>
        <v>0</v>
      </c>
      <c r="I646" s="26" t="str">
        <f t="shared" si="3"/>
        <v/>
      </c>
      <c r="J646" s="85"/>
      <c r="K646" s="26"/>
      <c r="L646" s="30"/>
    </row>
    <row r="647" ht="22.5" customHeight="1">
      <c r="A647" s="25"/>
      <c r="B647" s="23"/>
      <c r="C647" s="24"/>
      <c r="D647" s="24"/>
      <c r="E647" s="24"/>
      <c r="F647" s="26"/>
      <c r="G647" s="30"/>
      <c r="H647" s="30">
        <f t="shared" si="7"/>
        <v>0</v>
      </c>
      <c r="I647" s="26" t="str">
        <f t="shared" si="3"/>
        <v/>
      </c>
      <c r="J647" s="85"/>
      <c r="K647" s="26"/>
      <c r="L647" s="30"/>
    </row>
    <row r="648" ht="22.5" customHeight="1">
      <c r="A648" s="25"/>
      <c r="B648" s="23"/>
      <c r="C648" s="24"/>
      <c r="D648" s="24"/>
      <c r="E648" s="24"/>
      <c r="F648" s="26"/>
      <c r="G648" s="30"/>
      <c r="H648" s="30">
        <f t="shared" si="7"/>
        <v>0</v>
      </c>
      <c r="I648" s="26" t="str">
        <f t="shared" si="3"/>
        <v/>
      </c>
      <c r="J648" s="85"/>
      <c r="K648" s="26"/>
      <c r="L648" s="30"/>
    </row>
    <row r="649" ht="22.5" customHeight="1">
      <c r="A649" s="25"/>
      <c r="B649" s="23"/>
      <c r="C649" s="24"/>
      <c r="D649" s="24"/>
      <c r="E649" s="24"/>
      <c r="F649" s="26"/>
      <c r="G649" s="30"/>
      <c r="H649" s="30">
        <f t="shared" si="7"/>
        <v>0</v>
      </c>
      <c r="I649" s="26" t="str">
        <f t="shared" si="3"/>
        <v/>
      </c>
      <c r="J649" s="85"/>
      <c r="K649" s="26"/>
      <c r="L649" s="30"/>
    </row>
    <row r="650" ht="22.5" customHeight="1">
      <c r="A650" s="25"/>
      <c r="B650" s="23"/>
      <c r="C650" s="24"/>
      <c r="D650" s="24"/>
      <c r="E650" s="24"/>
      <c r="F650" s="26"/>
      <c r="G650" s="30"/>
      <c r="H650" s="30">
        <f t="shared" si="7"/>
        <v>0</v>
      </c>
      <c r="I650" s="26" t="str">
        <f t="shared" si="3"/>
        <v/>
      </c>
      <c r="J650" s="85"/>
      <c r="K650" s="26"/>
      <c r="L650" s="30"/>
    </row>
    <row r="651" ht="22.5" customHeight="1">
      <c r="A651" s="25"/>
      <c r="B651" s="23"/>
      <c r="C651" s="24"/>
      <c r="D651" s="24"/>
      <c r="E651" s="24"/>
      <c r="F651" s="26"/>
      <c r="G651" s="30"/>
      <c r="H651" s="30">
        <f t="shared" si="7"/>
        <v>0</v>
      </c>
      <c r="I651" s="26" t="str">
        <f t="shared" si="3"/>
        <v/>
      </c>
      <c r="J651" s="85"/>
      <c r="K651" s="26"/>
      <c r="L651" s="30"/>
    </row>
    <row r="652" ht="22.5" customHeight="1">
      <c r="A652" s="25"/>
      <c r="B652" s="23"/>
      <c r="C652" s="24"/>
      <c r="D652" s="24"/>
      <c r="E652" s="24"/>
      <c r="F652" s="26"/>
      <c r="G652" s="30"/>
      <c r="H652" s="30">
        <f t="shared" si="7"/>
        <v>0</v>
      </c>
      <c r="I652" s="26" t="str">
        <f t="shared" si="3"/>
        <v/>
      </c>
      <c r="J652" s="85"/>
      <c r="K652" s="26"/>
      <c r="L652" s="30"/>
    </row>
    <row r="653" ht="22.5" customHeight="1">
      <c r="A653" s="25"/>
      <c r="B653" s="23"/>
      <c r="C653" s="24"/>
      <c r="D653" s="24"/>
      <c r="E653" s="24"/>
      <c r="F653" s="26"/>
      <c r="G653" s="30"/>
      <c r="H653" s="30">
        <f t="shared" si="7"/>
        <v>0</v>
      </c>
      <c r="I653" s="26" t="str">
        <f t="shared" si="3"/>
        <v/>
      </c>
      <c r="J653" s="85"/>
      <c r="K653" s="26"/>
      <c r="L653" s="30"/>
    </row>
    <row r="654" ht="22.5" customHeight="1">
      <c r="A654" s="25"/>
      <c r="B654" s="23"/>
      <c r="C654" s="24"/>
      <c r="D654" s="24"/>
      <c r="E654" s="24"/>
      <c r="F654" s="26"/>
      <c r="G654" s="30"/>
      <c r="H654" s="30">
        <f t="shared" si="7"/>
        <v>0</v>
      </c>
      <c r="I654" s="26" t="str">
        <f t="shared" si="3"/>
        <v/>
      </c>
      <c r="J654" s="85"/>
      <c r="K654" s="26"/>
      <c r="L654" s="30"/>
    </row>
    <row r="655" ht="22.5" customHeight="1">
      <c r="A655" s="25"/>
      <c r="B655" s="23"/>
      <c r="C655" s="24"/>
      <c r="D655" s="24"/>
      <c r="E655" s="24"/>
      <c r="F655" s="26"/>
      <c r="G655" s="30"/>
      <c r="H655" s="30">
        <f t="shared" si="7"/>
        <v>0</v>
      </c>
      <c r="I655" s="26" t="str">
        <f t="shared" si="3"/>
        <v/>
      </c>
      <c r="J655" s="85"/>
      <c r="K655" s="26"/>
      <c r="L655" s="30"/>
    </row>
    <row r="656" ht="22.5" customHeight="1">
      <c r="A656" s="25"/>
      <c r="B656" s="23"/>
      <c r="C656" s="24"/>
      <c r="D656" s="24"/>
      <c r="E656" s="24"/>
      <c r="F656" s="26"/>
      <c r="G656" s="30"/>
      <c r="H656" s="30">
        <f t="shared" si="7"/>
        <v>0</v>
      </c>
      <c r="I656" s="26" t="str">
        <f t="shared" si="3"/>
        <v/>
      </c>
      <c r="J656" s="85"/>
      <c r="K656" s="26"/>
      <c r="L656" s="30"/>
    </row>
    <row r="657" ht="22.5" customHeight="1">
      <c r="A657" s="25"/>
      <c r="B657" s="23"/>
      <c r="C657" s="24"/>
      <c r="D657" s="24"/>
      <c r="E657" s="24"/>
      <c r="F657" s="26"/>
      <c r="G657" s="30"/>
      <c r="H657" s="30">
        <f t="shared" si="7"/>
        <v>0</v>
      </c>
      <c r="I657" s="26" t="str">
        <f t="shared" si="3"/>
        <v/>
      </c>
      <c r="J657" s="85"/>
      <c r="K657" s="26"/>
      <c r="L657" s="30"/>
    </row>
    <row r="658" ht="22.5" customHeight="1">
      <c r="A658" s="25"/>
      <c r="B658" s="23"/>
      <c r="C658" s="24"/>
      <c r="D658" s="24"/>
      <c r="E658" s="24"/>
      <c r="F658" s="26"/>
      <c r="G658" s="30"/>
      <c r="H658" s="30">
        <f t="shared" si="7"/>
        <v>0</v>
      </c>
      <c r="I658" s="26" t="str">
        <f t="shared" si="3"/>
        <v/>
      </c>
      <c r="J658" s="85"/>
      <c r="K658" s="26"/>
      <c r="L658" s="30"/>
    </row>
    <row r="659" ht="22.5" customHeight="1">
      <c r="A659" s="25"/>
      <c r="B659" s="23"/>
      <c r="C659" s="24"/>
      <c r="D659" s="24"/>
      <c r="E659" s="24"/>
      <c r="F659" s="26"/>
      <c r="G659" s="30"/>
      <c r="H659" s="30">
        <f t="shared" si="7"/>
        <v>0</v>
      </c>
      <c r="I659" s="26" t="str">
        <f t="shared" si="3"/>
        <v/>
      </c>
      <c r="J659" s="85"/>
      <c r="K659" s="26"/>
      <c r="L659" s="30"/>
    </row>
    <row r="660" ht="22.5" customHeight="1">
      <c r="A660" s="25"/>
      <c r="B660" s="23"/>
      <c r="C660" s="24"/>
      <c r="D660" s="24"/>
      <c r="E660" s="24"/>
      <c r="F660" s="26"/>
      <c r="G660" s="30"/>
      <c r="H660" s="30">
        <f t="shared" si="7"/>
        <v>0</v>
      </c>
      <c r="I660" s="26" t="str">
        <f t="shared" si="3"/>
        <v/>
      </c>
      <c r="J660" s="85"/>
      <c r="K660" s="26"/>
      <c r="L660" s="30"/>
    </row>
    <row r="661" ht="22.5" customHeight="1">
      <c r="A661" s="25"/>
      <c r="B661" s="23"/>
      <c r="C661" s="24"/>
      <c r="D661" s="24"/>
      <c r="E661" s="24"/>
      <c r="F661" s="26"/>
      <c r="G661" s="30"/>
      <c r="H661" s="30">
        <f t="shared" si="7"/>
        <v>0</v>
      </c>
      <c r="I661" s="26" t="str">
        <f t="shared" si="3"/>
        <v/>
      </c>
      <c r="J661" s="85"/>
      <c r="K661" s="26"/>
      <c r="L661" s="30"/>
    </row>
    <row r="662" ht="22.5" customHeight="1">
      <c r="A662" s="25"/>
      <c r="B662" s="23"/>
      <c r="C662" s="24"/>
      <c r="D662" s="24"/>
      <c r="E662" s="24"/>
      <c r="F662" s="26"/>
      <c r="G662" s="30"/>
      <c r="H662" s="30">
        <f t="shared" si="7"/>
        <v>0</v>
      </c>
      <c r="I662" s="26" t="str">
        <f t="shared" si="3"/>
        <v/>
      </c>
      <c r="J662" s="85"/>
      <c r="K662" s="26"/>
      <c r="L662" s="30"/>
    </row>
    <row r="663" ht="22.5" customHeight="1">
      <c r="A663" s="25"/>
      <c r="B663" s="23"/>
      <c r="C663" s="24"/>
      <c r="D663" s="24"/>
      <c r="E663" s="24"/>
      <c r="F663" s="26"/>
      <c r="G663" s="30"/>
      <c r="H663" s="30">
        <f t="shared" si="7"/>
        <v>0</v>
      </c>
      <c r="I663" s="26" t="str">
        <f t="shared" si="3"/>
        <v/>
      </c>
      <c r="J663" s="85"/>
      <c r="K663" s="26"/>
      <c r="L663" s="30"/>
    </row>
    <row r="664" ht="22.5" customHeight="1">
      <c r="A664" s="25"/>
      <c r="B664" s="23"/>
      <c r="C664" s="24"/>
      <c r="D664" s="24"/>
      <c r="E664" s="24"/>
      <c r="F664" s="26"/>
      <c r="G664" s="30"/>
      <c r="H664" s="30">
        <f t="shared" si="7"/>
        <v>0</v>
      </c>
      <c r="I664" s="26" t="str">
        <f t="shared" si="3"/>
        <v/>
      </c>
      <c r="J664" s="85"/>
      <c r="K664" s="26"/>
      <c r="L664" s="30"/>
    </row>
    <row r="665" ht="22.5" customHeight="1">
      <c r="A665" s="25"/>
      <c r="B665" s="23"/>
      <c r="C665" s="24"/>
      <c r="D665" s="24"/>
      <c r="E665" s="24"/>
      <c r="F665" s="26"/>
      <c r="G665" s="30"/>
      <c r="H665" s="30">
        <f t="shared" si="7"/>
        <v>0</v>
      </c>
      <c r="I665" s="26" t="str">
        <f t="shared" si="3"/>
        <v/>
      </c>
      <c r="J665" s="85"/>
      <c r="K665" s="26"/>
      <c r="L665" s="30"/>
    </row>
    <row r="666" ht="22.5" customHeight="1">
      <c r="A666" s="25"/>
      <c r="B666" s="23"/>
      <c r="C666" s="24"/>
      <c r="D666" s="24"/>
      <c r="E666" s="24"/>
      <c r="F666" s="26"/>
      <c r="G666" s="30"/>
      <c r="H666" s="30">
        <f t="shared" si="7"/>
        <v>0</v>
      </c>
      <c r="I666" s="26" t="str">
        <f t="shared" si="3"/>
        <v/>
      </c>
      <c r="J666" s="85"/>
      <c r="K666" s="26"/>
      <c r="L666" s="30"/>
    </row>
    <row r="667" ht="22.5" customHeight="1">
      <c r="A667" s="25"/>
      <c r="B667" s="23"/>
      <c r="C667" s="24"/>
      <c r="D667" s="24"/>
      <c r="E667" s="24"/>
      <c r="F667" s="26"/>
      <c r="G667" s="30"/>
      <c r="H667" s="30">
        <f t="shared" si="7"/>
        <v>0</v>
      </c>
      <c r="I667" s="26" t="str">
        <f t="shared" si="3"/>
        <v/>
      </c>
      <c r="J667" s="85"/>
      <c r="K667" s="26"/>
      <c r="L667" s="30"/>
    </row>
    <row r="668" ht="22.5" customHeight="1">
      <c r="A668" s="25"/>
      <c r="B668" s="23"/>
      <c r="C668" s="24"/>
      <c r="D668" s="24"/>
      <c r="E668" s="24"/>
      <c r="F668" s="26"/>
      <c r="G668" s="30"/>
      <c r="H668" s="30">
        <f t="shared" si="7"/>
        <v>0</v>
      </c>
      <c r="I668" s="26" t="str">
        <f t="shared" si="3"/>
        <v/>
      </c>
      <c r="J668" s="85"/>
      <c r="K668" s="26"/>
      <c r="L668" s="30"/>
    </row>
    <row r="669" ht="22.5" customHeight="1">
      <c r="A669" s="25"/>
      <c r="B669" s="23"/>
      <c r="C669" s="24"/>
      <c r="D669" s="24"/>
      <c r="E669" s="24"/>
      <c r="F669" s="26"/>
      <c r="G669" s="30"/>
      <c r="H669" s="30">
        <f t="shared" si="7"/>
        <v>0</v>
      </c>
      <c r="I669" s="26" t="str">
        <f t="shared" si="3"/>
        <v/>
      </c>
      <c r="J669" s="85"/>
      <c r="K669" s="26"/>
      <c r="L669" s="30"/>
    </row>
    <row r="670" ht="22.5" customHeight="1">
      <c r="A670" s="25"/>
      <c r="B670" s="23"/>
      <c r="C670" s="24"/>
      <c r="D670" s="24"/>
      <c r="E670" s="24"/>
      <c r="F670" s="26"/>
      <c r="G670" s="30"/>
      <c r="H670" s="30">
        <f t="shared" si="7"/>
        <v>0</v>
      </c>
      <c r="I670" s="26" t="str">
        <f t="shared" si="3"/>
        <v/>
      </c>
      <c r="J670" s="85"/>
      <c r="K670" s="26"/>
      <c r="L670" s="30"/>
    </row>
    <row r="671" ht="22.5" customHeight="1">
      <c r="A671" s="25"/>
      <c r="B671" s="23"/>
      <c r="C671" s="24"/>
      <c r="D671" s="24"/>
      <c r="E671" s="24"/>
      <c r="F671" s="26"/>
      <c r="G671" s="30"/>
      <c r="H671" s="30">
        <f t="shared" si="7"/>
        <v>0</v>
      </c>
      <c r="I671" s="26" t="str">
        <f t="shared" si="3"/>
        <v/>
      </c>
      <c r="J671" s="85"/>
      <c r="K671" s="26"/>
      <c r="L671" s="30"/>
    </row>
    <row r="672" ht="22.5" customHeight="1">
      <c r="A672" s="25"/>
      <c r="B672" s="23"/>
      <c r="C672" s="24"/>
      <c r="D672" s="24"/>
      <c r="E672" s="24"/>
      <c r="F672" s="26"/>
      <c r="G672" s="30"/>
      <c r="H672" s="30">
        <f t="shared" si="7"/>
        <v>0</v>
      </c>
      <c r="I672" s="26" t="str">
        <f t="shared" si="3"/>
        <v/>
      </c>
      <c r="J672" s="85"/>
      <c r="K672" s="26"/>
      <c r="L672" s="30"/>
    </row>
    <row r="673" ht="22.5" customHeight="1">
      <c r="A673" s="25"/>
      <c r="B673" s="23"/>
      <c r="C673" s="24"/>
      <c r="D673" s="24"/>
      <c r="E673" s="24"/>
      <c r="F673" s="26"/>
      <c r="G673" s="30"/>
      <c r="H673" s="30">
        <f t="shared" si="7"/>
        <v>0</v>
      </c>
      <c r="I673" s="26" t="str">
        <f t="shared" si="3"/>
        <v/>
      </c>
      <c r="J673" s="85"/>
      <c r="K673" s="26"/>
      <c r="L673" s="30"/>
    </row>
    <row r="674" ht="22.5" customHeight="1">
      <c r="A674" s="25"/>
      <c r="B674" s="23"/>
      <c r="C674" s="24"/>
      <c r="D674" s="24"/>
      <c r="E674" s="24"/>
      <c r="F674" s="26"/>
      <c r="G674" s="30"/>
      <c r="H674" s="30">
        <f t="shared" si="7"/>
        <v>0</v>
      </c>
      <c r="I674" s="26" t="str">
        <f t="shared" si="3"/>
        <v/>
      </c>
      <c r="J674" s="85"/>
      <c r="K674" s="26"/>
      <c r="L674" s="30"/>
    </row>
    <row r="675" ht="22.5" customHeight="1">
      <c r="A675" s="25"/>
      <c r="B675" s="23"/>
      <c r="C675" s="24"/>
      <c r="D675" s="24"/>
      <c r="E675" s="24"/>
      <c r="F675" s="26"/>
      <c r="G675" s="30"/>
      <c r="H675" s="30">
        <f t="shared" si="7"/>
        <v>0</v>
      </c>
      <c r="I675" s="26" t="str">
        <f t="shared" si="3"/>
        <v/>
      </c>
      <c r="J675" s="85"/>
      <c r="K675" s="26"/>
      <c r="L675" s="30"/>
    </row>
    <row r="676" ht="22.5" customHeight="1">
      <c r="A676" s="25"/>
      <c r="B676" s="23"/>
      <c r="C676" s="24"/>
      <c r="D676" s="24"/>
      <c r="E676" s="24"/>
      <c r="F676" s="26"/>
      <c r="G676" s="30"/>
      <c r="H676" s="30">
        <f t="shared" si="7"/>
        <v>0</v>
      </c>
      <c r="I676" s="26" t="str">
        <f t="shared" si="3"/>
        <v/>
      </c>
      <c r="J676" s="85"/>
      <c r="K676" s="26"/>
      <c r="L676" s="30"/>
    </row>
    <row r="677" ht="22.5" customHeight="1">
      <c r="A677" s="25"/>
      <c r="B677" s="23"/>
      <c r="C677" s="24"/>
      <c r="D677" s="24"/>
      <c r="E677" s="24"/>
      <c r="F677" s="26"/>
      <c r="G677" s="30"/>
      <c r="H677" s="30">
        <f t="shared" si="7"/>
        <v>0</v>
      </c>
      <c r="I677" s="26" t="str">
        <f t="shared" si="3"/>
        <v/>
      </c>
      <c r="J677" s="85"/>
      <c r="K677" s="26"/>
      <c r="L677" s="30"/>
    </row>
    <row r="678" ht="22.5" customHeight="1">
      <c r="A678" s="25"/>
      <c r="B678" s="23"/>
      <c r="C678" s="24"/>
      <c r="D678" s="24"/>
      <c r="E678" s="24"/>
      <c r="F678" s="26"/>
      <c r="G678" s="30"/>
      <c r="H678" s="30">
        <f t="shared" si="7"/>
        <v>0</v>
      </c>
      <c r="I678" s="26" t="str">
        <f t="shared" si="3"/>
        <v/>
      </c>
      <c r="J678" s="85"/>
      <c r="K678" s="26"/>
      <c r="L678" s="30"/>
    </row>
    <row r="679" ht="22.5" customHeight="1">
      <c r="A679" s="25"/>
      <c r="B679" s="23"/>
      <c r="C679" s="24"/>
      <c r="D679" s="24"/>
      <c r="E679" s="24"/>
      <c r="F679" s="26"/>
      <c r="G679" s="30"/>
      <c r="H679" s="30">
        <f t="shared" si="7"/>
        <v>0</v>
      </c>
      <c r="I679" s="26" t="str">
        <f t="shared" si="3"/>
        <v/>
      </c>
      <c r="J679" s="85"/>
      <c r="K679" s="26"/>
      <c r="L679" s="30"/>
    </row>
    <row r="680" ht="22.5" customHeight="1">
      <c r="A680" s="25"/>
      <c r="B680" s="23"/>
      <c r="C680" s="24"/>
      <c r="D680" s="24"/>
      <c r="E680" s="24"/>
      <c r="F680" s="26"/>
      <c r="G680" s="30"/>
      <c r="H680" s="30">
        <f t="shared" si="7"/>
        <v>0</v>
      </c>
      <c r="I680" s="26" t="str">
        <f t="shared" si="3"/>
        <v/>
      </c>
      <c r="J680" s="85"/>
      <c r="K680" s="26"/>
      <c r="L680" s="30"/>
    </row>
    <row r="681" ht="22.5" customHeight="1">
      <c r="A681" s="25"/>
      <c r="B681" s="23"/>
      <c r="C681" s="24"/>
      <c r="D681" s="24"/>
      <c r="E681" s="24"/>
      <c r="F681" s="26"/>
      <c r="G681" s="30"/>
      <c r="H681" s="30">
        <f t="shared" si="7"/>
        <v>0</v>
      </c>
      <c r="I681" s="26" t="str">
        <f t="shared" si="3"/>
        <v/>
      </c>
      <c r="J681" s="85"/>
      <c r="K681" s="26"/>
      <c r="L681" s="30"/>
    </row>
    <row r="682" ht="22.5" customHeight="1">
      <c r="A682" s="25"/>
      <c r="B682" s="23"/>
      <c r="C682" s="24"/>
      <c r="D682" s="24"/>
      <c r="E682" s="24"/>
      <c r="F682" s="26"/>
      <c r="G682" s="30"/>
      <c r="H682" s="30">
        <f t="shared" si="7"/>
        <v>0</v>
      </c>
      <c r="I682" s="26" t="str">
        <f t="shared" si="3"/>
        <v/>
      </c>
      <c r="J682" s="85"/>
      <c r="K682" s="26"/>
      <c r="L682" s="30"/>
    </row>
    <row r="683" ht="22.5" customHeight="1">
      <c r="A683" s="25"/>
      <c r="B683" s="23"/>
      <c r="C683" s="24"/>
      <c r="D683" s="24"/>
      <c r="E683" s="24"/>
      <c r="F683" s="26"/>
      <c r="G683" s="30"/>
      <c r="H683" s="30">
        <f t="shared" si="7"/>
        <v>0</v>
      </c>
      <c r="I683" s="26" t="str">
        <f t="shared" si="3"/>
        <v/>
      </c>
      <c r="J683" s="85"/>
      <c r="K683" s="26"/>
      <c r="L683" s="30"/>
    </row>
    <row r="684" ht="22.5" customHeight="1">
      <c r="A684" s="25"/>
      <c r="B684" s="23"/>
      <c r="C684" s="24"/>
      <c r="D684" s="24"/>
      <c r="E684" s="24"/>
      <c r="F684" s="26"/>
      <c r="G684" s="30"/>
      <c r="H684" s="30">
        <f t="shared" si="7"/>
        <v>0</v>
      </c>
      <c r="I684" s="26" t="str">
        <f t="shared" si="3"/>
        <v/>
      </c>
      <c r="J684" s="85"/>
      <c r="K684" s="26"/>
      <c r="L684" s="30"/>
    </row>
    <row r="685" ht="22.5" customHeight="1">
      <c r="A685" s="25"/>
      <c r="B685" s="23"/>
      <c r="C685" s="24"/>
      <c r="D685" s="24"/>
      <c r="E685" s="24"/>
      <c r="F685" s="26"/>
      <c r="G685" s="30"/>
      <c r="H685" s="30">
        <f t="shared" si="7"/>
        <v>0</v>
      </c>
      <c r="I685" s="26" t="str">
        <f t="shared" si="3"/>
        <v/>
      </c>
      <c r="J685" s="85"/>
      <c r="K685" s="26"/>
      <c r="L685" s="30"/>
    </row>
    <row r="686" ht="22.5" customHeight="1">
      <c r="A686" s="25"/>
      <c r="B686" s="23"/>
      <c r="C686" s="24"/>
      <c r="D686" s="24"/>
      <c r="E686" s="24"/>
      <c r="F686" s="26"/>
      <c r="G686" s="30"/>
      <c r="H686" s="30">
        <f t="shared" si="7"/>
        <v>0</v>
      </c>
      <c r="I686" s="26" t="str">
        <f t="shared" si="3"/>
        <v/>
      </c>
      <c r="J686" s="85"/>
      <c r="K686" s="26"/>
      <c r="L686" s="30"/>
    </row>
    <row r="687" ht="22.5" customHeight="1">
      <c r="A687" s="25"/>
      <c r="B687" s="23"/>
      <c r="C687" s="24"/>
      <c r="D687" s="24"/>
      <c r="E687" s="24"/>
      <c r="F687" s="26"/>
      <c r="G687" s="30"/>
      <c r="H687" s="30">
        <f t="shared" si="7"/>
        <v>0</v>
      </c>
      <c r="I687" s="26" t="str">
        <f t="shared" si="3"/>
        <v/>
      </c>
      <c r="J687" s="85"/>
      <c r="K687" s="26"/>
      <c r="L687" s="30"/>
    </row>
    <row r="688" ht="22.5" customHeight="1">
      <c r="A688" s="25"/>
      <c r="B688" s="23"/>
      <c r="C688" s="24"/>
      <c r="D688" s="24"/>
      <c r="E688" s="24"/>
      <c r="F688" s="26"/>
      <c r="G688" s="30"/>
      <c r="H688" s="30">
        <f t="shared" si="7"/>
        <v>0</v>
      </c>
      <c r="I688" s="26" t="str">
        <f t="shared" si="3"/>
        <v/>
      </c>
      <c r="J688" s="85"/>
      <c r="K688" s="26"/>
      <c r="L688" s="30"/>
    </row>
    <row r="689" ht="22.5" customHeight="1">
      <c r="A689" s="25"/>
      <c r="B689" s="23"/>
      <c r="C689" s="24"/>
      <c r="D689" s="24"/>
      <c r="E689" s="24"/>
      <c r="F689" s="26"/>
      <c r="G689" s="30"/>
      <c r="H689" s="30">
        <f t="shared" si="7"/>
        <v>0</v>
      </c>
      <c r="I689" s="26" t="str">
        <f t="shared" si="3"/>
        <v/>
      </c>
      <c r="J689" s="85"/>
      <c r="K689" s="26"/>
      <c r="L689" s="30"/>
    </row>
    <row r="690" ht="22.5" customHeight="1">
      <c r="A690" s="25"/>
      <c r="B690" s="23"/>
      <c r="C690" s="24"/>
      <c r="D690" s="24"/>
      <c r="E690" s="24"/>
      <c r="F690" s="26"/>
      <c r="G690" s="30"/>
      <c r="H690" s="30">
        <f t="shared" si="7"/>
        <v>0</v>
      </c>
      <c r="I690" s="26" t="str">
        <f t="shared" si="3"/>
        <v/>
      </c>
      <c r="J690" s="85"/>
      <c r="K690" s="26"/>
      <c r="L690" s="30"/>
    </row>
    <row r="691" ht="22.5" customHeight="1">
      <c r="A691" s="25"/>
      <c r="B691" s="23"/>
      <c r="C691" s="24"/>
      <c r="D691" s="24"/>
      <c r="E691" s="24"/>
      <c r="F691" s="26"/>
      <c r="G691" s="30"/>
      <c r="H691" s="30">
        <f t="shared" si="7"/>
        <v>0</v>
      </c>
      <c r="I691" s="26" t="str">
        <f t="shared" si="3"/>
        <v/>
      </c>
      <c r="J691" s="85"/>
      <c r="K691" s="26"/>
      <c r="L691" s="30"/>
    </row>
    <row r="692" ht="22.5" customHeight="1">
      <c r="A692" s="25"/>
      <c r="B692" s="23"/>
      <c r="C692" s="24"/>
      <c r="D692" s="24"/>
      <c r="E692" s="24"/>
      <c r="F692" s="26"/>
      <c r="G692" s="30"/>
      <c r="H692" s="30">
        <f t="shared" si="7"/>
        <v>0</v>
      </c>
      <c r="I692" s="26" t="str">
        <f t="shared" si="3"/>
        <v/>
      </c>
      <c r="J692" s="85"/>
      <c r="K692" s="26"/>
      <c r="L692" s="30"/>
    </row>
    <row r="693" ht="22.5" customHeight="1">
      <c r="A693" s="25"/>
      <c r="B693" s="23"/>
      <c r="C693" s="24"/>
      <c r="D693" s="24"/>
      <c r="E693" s="24"/>
      <c r="F693" s="26"/>
      <c r="G693" s="30"/>
      <c r="H693" s="30">
        <f t="shared" si="7"/>
        <v>0</v>
      </c>
      <c r="I693" s="26" t="str">
        <f t="shared" si="3"/>
        <v/>
      </c>
      <c r="J693" s="85"/>
      <c r="K693" s="26"/>
      <c r="L693" s="30"/>
    </row>
    <row r="694" ht="22.5" customHeight="1">
      <c r="A694" s="25"/>
      <c r="B694" s="23"/>
      <c r="C694" s="24"/>
      <c r="D694" s="24"/>
      <c r="E694" s="24"/>
      <c r="F694" s="26"/>
      <c r="G694" s="30"/>
      <c r="H694" s="30">
        <f t="shared" si="7"/>
        <v>0</v>
      </c>
      <c r="I694" s="26" t="str">
        <f t="shared" si="3"/>
        <v/>
      </c>
      <c r="J694" s="85"/>
      <c r="K694" s="26"/>
      <c r="L694" s="30"/>
    </row>
    <row r="695" ht="22.5" customHeight="1">
      <c r="A695" s="25"/>
      <c r="B695" s="23"/>
      <c r="C695" s="24"/>
      <c r="D695" s="24"/>
      <c r="E695" s="24"/>
      <c r="F695" s="26"/>
      <c r="G695" s="30"/>
      <c r="H695" s="30">
        <f t="shared" si="7"/>
        <v>0</v>
      </c>
      <c r="I695" s="26" t="str">
        <f t="shared" si="3"/>
        <v/>
      </c>
      <c r="J695" s="85"/>
      <c r="K695" s="26"/>
      <c r="L695" s="30"/>
    </row>
    <row r="696" ht="22.5" customHeight="1">
      <c r="A696" s="25"/>
      <c r="B696" s="23"/>
      <c r="C696" s="24"/>
      <c r="D696" s="24"/>
      <c r="E696" s="24"/>
      <c r="F696" s="26"/>
      <c r="G696" s="30"/>
      <c r="H696" s="30">
        <f t="shared" si="7"/>
        <v>0</v>
      </c>
      <c r="I696" s="26" t="str">
        <f t="shared" si="3"/>
        <v/>
      </c>
      <c r="J696" s="85"/>
      <c r="K696" s="26"/>
      <c r="L696" s="30"/>
    </row>
    <row r="697" ht="22.5" customHeight="1">
      <c r="A697" s="25"/>
      <c r="B697" s="23"/>
      <c r="C697" s="24"/>
      <c r="D697" s="24"/>
      <c r="E697" s="24"/>
      <c r="F697" s="26"/>
      <c r="G697" s="30"/>
      <c r="H697" s="30">
        <f t="shared" si="7"/>
        <v>0</v>
      </c>
      <c r="I697" s="26" t="str">
        <f t="shared" si="3"/>
        <v/>
      </c>
      <c r="J697" s="85"/>
      <c r="K697" s="26"/>
      <c r="L697" s="30"/>
    </row>
    <row r="698" ht="22.5" customHeight="1">
      <c r="A698" s="25"/>
      <c r="B698" s="23"/>
      <c r="C698" s="24"/>
      <c r="D698" s="24"/>
      <c r="E698" s="24"/>
      <c r="F698" s="26"/>
      <c r="G698" s="30"/>
      <c r="H698" s="30">
        <f t="shared" si="7"/>
        <v>0</v>
      </c>
      <c r="I698" s="26" t="str">
        <f t="shared" si="3"/>
        <v/>
      </c>
      <c r="J698" s="85"/>
      <c r="K698" s="26"/>
      <c r="L698" s="30"/>
    </row>
    <row r="699" ht="22.5" customHeight="1">
      <c r="A699" s="25"/>
      <c r="B699" s="23"/>
      <c r="C699" s="24"/>
      <c r="D699" s="24"/>
      <c r="E699" s="24"/>
      <c r="F699" s="26"/>
      <c r="G699" s="30"/>
      <c r="H699" s="30">
        <f t="shared" si="7"/>
        <v>0</v>
      </c>
      <c r="I699" s="26" t="str">
        <f t="shared" si="3"/>
        <v/>
      </c>
      <c r="J699" s="85"/>
      <c r="K699" s="26"/>
      <c r="L699" s="30"/>
    </row>
    <row r="700" ht="22.5" customHeight="1">
      <c r="A700" s="25"/>
      <c r="B700" s="23"/>
      <c r="C700" s="24"/>
      <c r="D700" s="24"/>
      <c r="E700" s="24"/>
      <c r="F700" s="26"/>
      <c r="G700" s="30"/>
      <c r="H700" s="30">
        <f t="shared" si="7"/>
        <v>0</v>
      </c>
      <c r="I700" s="26" t="str">
        <f t="shared" si="3"/>
        <v/>
      </c>
      <c r="J700" s="85"/>
      <c r="K700" s="26"/>
      <c r="L700" s="30"/>
    </row>
    <row r="701" ht="22.5" customHeight="1">
      <c r="A701" s="25"/>
      <c r="B701" s="23"/>
      <c r="C701" s="24"/>
      <c r="D701" s="24"/>
      <c r="E701" s="24"/>
      <c r="F701" s="26"/>
      <c r="G701" s="30"/>
      <c r="H701" s="30">
        <f t="shared" si="7"/>
        <v>0</v>
      </c>
      <c r="I701" s="26" t="str">
        <f t="shared" si="3"/>
        <v/>
      </c>
      <c r="J701" s="85"/>
      <c r="K701" s="26"/>
      <c r="L701" s="30"/>
    </row>
    <row r="702" ht="22.5" customHeight="1">
      <c r="A702" s="25"/>
      <c r="B702" s="23"/>
      <c r="C702" s="24"/>
      <c r="D702" s="24"/>
      <c r="E702" s="24"/>
      <c r="F702" s="26"/>
      <c r="G702" s="30"/>
      <c r="H702" s="30">
        <f t="shared" si="7"/>
        <v>0</v>
      </c>
      <c r="I702" s="26" t="str">
        <f t="shared" si="3"/>
        <v/>
      </c>
      <c r="J702" s="85"/>
      <c r="K702" s="26"/>
      <c r="L702" s="30"/>
    </row>
    <row r="703" ht="22.5" customHeight="1">
      <c r="A703" s="25"/>
      <c r="B703" s="23"/>
      <c r="C703" s="24"/>
      <c r="D703" s="24"/>
      <c r="E703" s="24"/>
      <c r="F703" s="26"/>
      <c r="G703" s="30"/>
      <c r="H703" s="30">
        <f t="shared" si="7"/>
        <v>0</v>
      </c>
      <c r="I703" s="26" t="str">
        <f t="shared" si="3"/>
        <v/>
      </c>
      <c r="J703" s="85"/>
      <c r="K703" s="26"/>
      <c r="L703" s="30"/>
    </row>
    <row r="704" ht="22.5" customHeight="1">
      <c r="A704" s="25"/>
      <c r="B704" s="23"/>
      <c r="C704" s="24"/>
      <c r="D704" s="24"/>
      <c r="E704" s="24"/>
      <c r="F704" s="26"/>
      <c r="G704" s="30"/>
      <c r="H704" s="30">
        <f t="shared" si="7"/>
        <v>0</v>
      </c>
      <c r="I704" s="26" t="str">
        <f t="shared" si="3"/>
        <v/>
      </c>
      <c r="J704" s="85"/>
      <c r="K704" s="26"/>
      <c r="L704" s="30"/>
    </row>
    <row r="705" ht="22.5" customHeight="1">
      <c r="A705" s="25"/>
      <c r="B705" s="23"/>
      <c r="C705" s="24"/>
      <c r="D705" s="24"/>
      <c r="E705" s="24"/>
      <c r="F705" s="26"/>
      <c r="G705" s="30"/>
      <c r="H705" s="30">
        <f t="shared" si="7"/>
        <v>0</v>
      </c>
      <c r="I705" s="26" t="str">
        <f t="shared" si="3"/>
        <v/>
      </c>
      <c r="J705" s="85"/>
      <c r="K705" s="26"/>
      <c r="L705" s="30"/>
    </row>
    <row r="706" ht="22.5" customHeight="1">
      <c r="A706" s="25"/>
      <c r="B706" s="23"/>
      <c r="C706" s="24"/>
      <c r="D706" s="24"/>
      <c r="E706" s="24"/>
      <c r="F706" s="26"/>
      <c r="G706" s="30"/>
      <c r="H706" s="30">
        <f t="shared" si="7"/>
        <v>0</v>
      </c>
      <c r="I706" s="26" t="str">
        <f t="shared" si="3"/>
        <v/>
      </c>
      <c r="J706" s="85"/>
      <c r="K706" s="26"/>
      <c r="L706" s="30"/>
    </row>
    <row r="707" ht="22.5" customHeight="1">
      <c r="A707" s="25"/>
      <c r="B707" s="23"/>
      <c r="C707" s="24"/>
      <c r="D707" s="24"/>
      <c r="E707" s="24"/>
      <c r="F707" s="26"/>
      <c r="G707" s="30"/>
      <c r="H707" s="30">
        <f t="shared" si="7"/>
        <v>0</v>
      </c>
      <c r="I707" s="26" t="str">
        <f t="shared" si="3"/>
        <v/>
      </c>
      <c r="J707" s="85"/>
      <c r="K707" s="26"/>
      <c r="L707" s="30"/>
    </row>
    <row r="708" ht="22.5" customHeight="1">
      <c r="A708" s="25"/>
      <c r="B708" s="23"/>
      <c r="C708" s="24"/>
      <c r="D708" s="24"/>
      <c r="E708" s="24"/>
      <c r="F708" s="26"/>
      <c r="G708" s="30"/>
      <c r="H708" s="30">
        <f t="shared" si="7"/>
        <v>0</v>
      </c>
      <c r="I708" s="26" t="str">
        <f t="shared" si="3"/>
        <v/>
      </c>
      <c r="J708" s="85"/>
      <c r="K708" s="26"/>
      <c r="L708" s="30"/>
    </row>
    <row r="709" ht="22.5" customHeight="1">
      <c r="A709" s="25"/>
      <c r="B709" s="23"/>
      <c r="C709" s="24"/>
      <c r="D709" s="24"/>
      <c r="E709" s="24"/>
      <c r="F709" s="26"/>
      <c r="G709" s="30"/>
      <c r="H709" s="30">
        <f t="shared" si="7"/>
        <v>0</v>
      </c>
      <c r="I709" s="26" t="str">
        <f t="shared" si="3"/>
        <v/>
      </c>
      <c r="J709" s="85"/>
      <c r="K709" s="26"/>
      <c r="L709" s="30"/>
    </row>
    <row r="710" ht="22.5" customHeight="1">
      <c r="A710" s="25"/>
      <c r="B710" s="23"/>
      <c r="C710" s="24"/>
      <c r="D710" s="24"/>
      <c r="E710" s="24"/>
      <c r="F710" s="26"/>
      <c r="G710" s="30"/>
      <c r="H710" s="30">
        <f t="shared" si="7"/>
        <v>0</v>
      </c>
      <c r="I710" s="26" t="str">
        <f t="shared" si="3"/>
        <v/>
      </c>
      <c r="J710" s="85"/>
      <c r="K710" s="26"/>
      <c r="L710" s="30"/>
    </row>
    <row r="711" ht="22.5" customHeight="1">
      <c r="A711" s="25"/>
      <c r="B711" s="23"/>
      <c r="C711" s="24"/>
      <c r="D711" s="24"/>
      <c r="E711" s="24"/>
      <c r="F711" s="26"/>
      <c r="G711" s="30"/>
      <c r="H711" s="30">
        <f t="shared" si="7"/>
        <v>0</v>
      </c>
      <c r="I711" s="26" t="str">
        <f t="shared" si="3"/>
        <v/>
      </c>
      <c r="J711" s="85"/>
      <c r="K711" s="26"/>
      <c r="L711" s="30"/>
    </row>
    <row r="712" ht="22.5" customHeight="1">
      <c r="A712" s="25"/>
      <c r="B712" s="23"/>
      <c r="C712" s="24"/>
      <c r="D712" s="24"/>
      <c r="E712" s="24"/>
      <c r="F712" s="26"/>
      <c r="G712" s="30"/>
      <c r="H712" s="30">
        <f t="shared" si="7"/>
        <v>0</v>
      </c>
      <c r="I712" s="26" t="str">
        <f t="shared" si="3"/>
        <v/>
      </c>
      <c r="J712" s="85"/>
      <c r="K712" s="26"/>
      <c r="L712" s="30"/>
    </row>
    <row r="713" ht="22.5" customHeight="1">
      <c r="A713" s="25"/>
      <c r="B713" s="23"/>
      <c r="C713" s="24"/>
      <c r="D713" s="24"/>
      <c r="E713" s="24"/>
      <c r="F713" s="26"/>
      <c r="G713" s="30"/>
      <c r="H713" s="30">
        <f t="shared" si="7"/>
        <v>0</v>
      </c>
      <c r="I713" s="26" t="str">
        <f t="shared" si="3"/>
        <v/>
      </c>
      <c r="J713" s="85"/>
      <c r="K713" s="26"/>
      <c r="L713" s="30"/>
    </row>
    <row r="714" ht="22.5" customHeight="1">
      <c r="A714" s="25"/>
      <c r="B714" s="23"/>
      <c r="C714" s="24"/>
      <c r="D714" s="24"/>
      <c r="E714" s="24"/>
      <c r="F714" s="26"/>
      <c r="G714" s="30"/>
      <c r="H714" s="30">
        <f t="shared" si="7"/>
        <v>0</v>
      </c>
      <c r="I714" s="26" t="str">
        <f t="shared" si="3"/>
        <v/>
      </c>
      <c r="J714" s="85"/>
      <c r="K714" s="26"/>
      <c r="L714" s="30"/>
    </row>
    <row r="715" ht="22.5" customHeight="1">
      <c r="A715" s="25"/>
      <c r="B715" s="23"/>
      <c r="C715" s="24"/>
      <c r="D715" s="24"/>
      <c r="E715" s="24"/>
      <c r="F715" s="26"/>
      <c r="G715" s="30"/>
      <c r="H715" s="30">
        <f t="shared" si="7"/>
        <v>0</v>
      </c>
      <c r="I715" s="26" t="str">
        <f t="shared" si="3"/>
        <v/>
      </c>
      <c r="J715" s="85"/>
      <c r="K715" s="26"/>
      <c r="L715" s="30"/>
    </row>
    <row r="716" ht="22.5" customHeight="1">
      <c r="A716" s="25"/>
      <c r="B716" s="23"/>
      <c r="C716" s="24"/>
      <c r="D716" s="24"/>
      <c r="E716" s="24"/>
      <c r="F716" s="26"/>
      <c r="G716" s="30"/>
      <c r="H716" s="30">
        <f t="shared" si="7"/>
        <v>0</v>
      </c>
      <c r="I716" s="26" t="str">
        <f t="shared" si="3"/>
        <v/>
      </c>
      <c r="J716" s="85"/>
      <c r="K716" s="26"/>
      <c r="L716" s="30"/>
    </row>
    <row r="717" ht="22.5" customHeight="1">
      <c r="A717" s="25"/>
      <c r="B717" s="23"/>
      <c r="C717" s="24"/>
      <c r="D717" s="24"/>
      <c r="E717" s="24"/>
      <c r="F717" s="26"/>
      <c r="G717" s="30"/>
      <c r="H717" s="30">
        <f t="shared" si="7"/>
        <v>0</v>
      </c>
      <c r="I717" s="26" t="str">
        <f t="shared" si="3"/>
        <v/>
      </c>
      <c r="J717" s="85"/>
      <c r="K717" s="26"/>
      <c r="L717" s="30"/>
    </row>
    <row r="718" ht="22.5" customHeight="1">
      <c r="A718" s="25"/>
      <c r="B718" s="23"/>
      <c r="C718" s="24"/>
      <c r="D718" s="24"/>
      <c r="E718" s="24"/>
      <c r="F718" s="26"/>
      <c r="G718" s="30"/>
      <c r="H718" s="30">
        <f t="shared" si="7"/>
        <v>0</v>
      </c>
      <c r="I718" s="26" t="str">
        <f t="shared" si="3"/>
        <v/>
      </c>
      <c r="J718" s="85"/>
      <c r="K718" s="26"/>
      <c r="L718" s="30"/>
    </row>
    <row r="719" ht="22.5" customHeight="1">
      <c r="A719" s="25"/>
      <c r="B719" s="23"/>
      <c r="C719" s="24"/>
      <c r="D719" s="24"/>
      <c r="E719" s="24"/>
      <c r="F719" s="26"/>
      <c r="G719" s="30"/>
      <c r="H719" s="30">
        <f t="shared" si="7"/>
        <v>0</v>
      </c>
      <c r="I719" s="26" t="str">
        <f t="shared" si="3"/>
        <v/>
      </c>
      <c r="J719" s="85"/>
      <c r="K719" s="26"/>
      <c r="L719" s="30"/>
    </row>
    <row r="720" ht="22.5" customHeight="1">
      <c r="A720" s="25"/>
      <c r="B720" s="23"/>
      <c r="C720" s="24"/>
      <c r="D720" s="24"/>
      <c r="E720" s="24"/>
      <c r="F720" s="26"/>
      <c r="G720" s="30"/>
      <c r="H720" s="30">
        <f t="shared" si="7"/>
        <v>0</v>
      </c>
      <c r="I720" s="26" t="str">
        <f t="shared" si="3"/>
        <v/>
      </c>
      <c r="J720" s="85"/>
      <c r="K720" s="26"/>
      <c r="L720" s="30"/>
    </row>
    <row r="721" ht="22.5" customHeight="1">
      <c r="A721" s="25"/>
      <c r="B721" s="23"/>
      <c r="C721" s="24"/>
      <c r="D721" s="24"/>
      <c r="E721" s="24"/>
      <c r="F721" s="26"/>
      <c r="G721" s="30"/>
      <c r="H721" s="30">
        <f t="shared" si="7"/>
        <v>0</v>
      </c>
      <c r="I721" s="26" t="str">
        <f t="shared" si="3"/>
        <v/>
      </c>
      <c r="J721" s="85"/>
      <c r="K721" s="26"/>
      <c r="L721" s="30"/>
    </row>
    <row r="722" ht="22.5" customHeight="1">
      <c r="A722" s="25"/>
      <c r="B722" s="23"/>
      <c r="C722" s="24"/>
      <c r="D722" s="24"/>
      <c r="E722" s="24"/>
      <c r="F722" s="26"/>
      <c r="G722" s="30"/>
      <c r="H722" s="30">
        <f t="shared" si="7"/>
        <v>0</v>
      </c>
      <c r="I722" s="26" t="str">
        <f t="shared" si="3"/>
        <v/>
      </c>
      <c r="J722" s="85"/>
      <c r="K722" s="26"/>
      <c r="L722" s="30"/>
    </row>
    <row r="723" ht="22.5" customHeight="1">
      <c r="A723" s="25"/>
      <c r="B723" s="23"/>
      <c r="C723" s="24"/>
      <c r="D723" s="24"/>
      <c r="E723" s="24"/>
      <c r="F723" s="26"/>
      <c r="G723" s="30"/>
      <c r="H723" s="30">
        <f t="shared" si="7"/>
        <v>0</v>
      </c>
      <c r="I723" s="26" t="str">
        <f t="shared" si="3"/>
        <v/>
      </c>
      <c r="J723" s="85"/>
      <c r="K723" s="26"/>
      <c r="L723" s="30"/>
    </row>
    <row r="724" ht="22.5" customHeight="1">
      <c r="A724" s="25"/>
      <c r="B724" s="23"/>
      <c r="C724" s="24"/>
      <c r="D724" s="24"/>
      <c r="E724" s="24"/>
      <c r="F724" s="26"/>
      <c r="G724" s="30"/>
      <c r="H724" s="30">
        <f t="shared" si="7"/>
        <v>0</v>
      </c>
      <c r="I724" s="26" t="str">
        <f t="shared" si="3"/>
        <v/>
      </c>
      <c r="J724" s="85"/>
      <c r="K724" s="26"/>
      <c r="L724" s="30"/>
    </row>
    <row r="725" ht="22.5" customHeight="1">
      <c r="A725" s="25"/>
      <c r="B725" s="23"/>
      <c r="C725" s="24"/>
      <c r="D725" s="24"/>
      <c r="E725" s="24"/>
      <c r="F725" s="26"/>
      <c r="G725" s="30"/>
      <c r="H725" s="30">
        <f t="shared" si="7"/>
        <v>0</v>
      </c>
      <c r="I725" s="26" t="str">
        <f t="shared" si="3"/>
        <v/>
      </c>
      <c r="J725" s="85"/>
      <c r="K725" s="26"/>
      <c r="L725" s="30"/>
    </row>
    <row r="726" ht="22.5" customHeight="1">
      <c r="A726" s="25"/>
      <c r="B726" s="23"/>
      <c r="C726" s="24"/>
      <c r="D726" s="24"/>
      <c r="E726" s="24"/>
      <c r="F726" s="26"/>
      <c r="G726" s="30"/>
      <c r="H726" s="30">
        <f t="shared" si="7"/>
        <v>0</v>
      </c>
      <c r="I726" s="26" t="str">
        <f t="shared" si="3"/>
        <v/>
      </c>
      <c r="J726" s="85"/>
      <c r="K726" s="26"/>
      <c r="L726" s="30"/>
    </row>
    <row r="727" ht="22.5" customHeight="1">
      <c r="A727" s="25"/>
      <c r="B727" s="23"/>
      <c r="C727" s="24"/>
      <c r="D727" s="24"/>
      <c r="E727" s="24"/>
      <c r="F727" s="26"/>
      <c r="G727" s="30"/>
      <c r="H727" s="30">
        <f t="shared" si="7"/>
        <v>0</v>
      </c>
      <c r="I727" s="26" t="str">
        <f t="shared" si="3"/>
        <v/>
      </c>
      <c r="J727" s="85"/>
      <c r="K727" s="26"/>
      <c r="L727" s="30"/>
    </row>
    <row r="728" ht="22.5" customHeight="1">
      <c r="A728" s="25"/>
      <c r="B728" s="23"/>
      <c r="C728" s="24"/>
      <c r="D728" s="24"/>
      <c r="E728" s="24"/>
      <c r="F728" s="26"/>
      <c r="G728" s="30"/>
      <c r="H728" s="30">
        <f t="shared" si="7"/>
        <v>0</v>
      </c>
      <c r="I728" s="26" t="str">
        <f t="shared" si="3"/>
        <v/>
      </c>
      <c r="J728" s="85"/>
      <c r="K728" s="26"/>
      <c r="L728" s="30"/>
    </row>
    <row r="729" ht="22.5" customHeight="1">
      <c r="A729" s="25"/>
      <c r="B729" s="23"/>
      <c r="C729" s="24"/>
      <c r="D729" s="24"/>
      <c r="E729" s="24"/>
      <c r="F729" s="26"/>
      <c r="G729" s="30"/>
      <c r="H729" s="30">
        <f t="shared" si="7"/>
        <v>0</v>
      </c>
      <c r="I729" s="26" t="str">
        <f t="shared" si="3"/>
        <v/>
      </c>
      <c r="J729" s="85"/>
      <c r="K729" s="26"/>
      <c r="L729" s="30"/>
    </row>
    <row r="730" ht="22.5" customHeight="1">
      <c r="A730" s="25"/>
      <c r="B730" s="23"/>
      <c r="C730" s="24"/>
      <c r="D730" s="24"/>
      <c r="E730" s="24"/>
      <c r="F730" s="26"/>
      <c r="G730" s="30"/>
      <c r="H730" s="30">
        <f t="shared" si="7"/>
        <v>0</v>
      </c>
      <c r="I730" s="26" t="str">
        <f t="shared" si="3"/>
        <v/>
      </c>
      <c r="J730" s="85"/>
      <c r="K730" s="26"/>
      <c r="L730" s="30"/>
    </row>
    <row r="731" ht="22.5" customHeight="1">
      <c r="A731" s="25"/>
      <c r="B731" s="23"/>
      <c r="C731" s="24"/>
      <c r="D731" s="24"/>
      <c r="E731" s="24"/>
      <c r="F731" s="26"/>
      <c r="G731" s="30"/>
      <c r="H731" s="30">
        <f t="shared" si="7"/>
        <v>0</v>
      </c>
      <c r="I731" s="26" t="str">
        <f t="shared" si="3"/>
        <v/>
      </c>
      <c r="J731" s="85"/>
      <c r="K731" s="26"/>
      <c r="L731" s="30"/>
    </row>
    <row r="732" ht="22.5" customHeight="1">
      <c r="A732" s="25"/>
      <c r="B732" s="23"/>
      <c r="C732" s="24"/>
      <c r="D732" s="24"/>
      <c r="E732" s="24"/>
      <c r="F732" s="26"/>
      <c r="G732" s="30"/>
      <c r="H732" s="30">
        <f t="shared" si="7"/>
        <v>0</v>
      </c>
      <c r="I732" s="26" t="str">
        <f t="shared" si="3"/>
        <v/>
      </c>
      <c r="J732" s="85"/>
      <c r="K732" s="26"/>
      <c r="L732" s="30"/>
    </row>
    <row r="733" ht="22.5" customHeight="1">
      <c r="A733" s="25"/>
      <c r="B733" s="23"/>
      <c r="C733" s="24"/>
      <c r="D733" s="24"/>
      <c r="E733" s="24"/>
      <c r="F733" s="26"/>
      <c r="G733" s="30"/>
      <c r="H733" s="30">
        <f t="shared" si="7"/>
        <v>0</v>
      </c>
      <c r="I733" s="26" t="str">
        <f t="shared" si="3"/>
        <v/>
      </c>
      <c r="J733" s="85"/>
      <c r="K733" s="26"/>
      <c r="L733" s="30"/>
    </row>
    <row r="734" ht="22.5" customHeight="1">
      <c r="A734" s="25"/>
      <c r="B734" s="23"/>
      <c r="C734" s="24"/>
      <c r="D734" s="24"/>
      <c r="E734" s="24"/>
      <c r="F734" s="26"/>
      <c r="G734" s="30"/>
      <c r="H734" s="30">
        <f t="shared" si="7"/>
        <v>0</v>
      </c>
      <c r="I734" s="26" t="str">
        <f t="shared" si="3"/>
        <v/>
      </c>
      <c r="J734" s="85"/>
      <c r="K734" s="26"/>
      <c r="L734" s="30"/>
    </row>
    <row r="735" ht="22.5" customHeight="1">
      <c r="A735" s="25"/>
      <c r="B735" s="23"/>
      <c r="C735" s="24"/>
      <c r="D735" s="24"/>
      <c r="E735" s="24"/>
      <c r="F735" s="26"/>
      <c r="G735" s="30"/>
      <c r="H735" s="30">
        <f t="shared" si="7"/>
        <v>0</v>
      </c>
      <c r="I735" s="26" t="str">
        <f t="shared" si="3"/>
        <v/>
      </c>
      <c r="J735" s="85"/>
      <c r="K735" s="26"/>
      <c r="L735" s="30"/>
    </row>
    <row r="736" ht="22.5" customHeight="1">
      <c r="A736" s="25"/>
      <c r="B736" s="23"/>
      <c r="C736" s="24"/>
      <c r="D736" s="24"/>
      <c r="E736" s="24"/>
      <c r="F736" s="26"/>
      <c r="G736" s="30"/>
      <c r="H736" s="30">
        <f t="shared" si="7"/>
        <v>0</v>
      </c>
      <c r="I736" s="26" t="str">
        <f t="shared" si="3"/>
        <v/>
      </c>
      <c r="J736" s="85"/>
      <c r="K736" s="26"/>
      <c r="L736" s="30"/>
    </row>
    <row r="737" ht="22.5" customHeight="1">
      <c r="A737" s="25"/>
      <c r="B737" s="23"/>
      <c r="C737" s="24"/>
      <c r="D737" s="24"/>
      <c r="E737" s="24"/>
      <c r="F737" s="26"/>
      <c r="G737" s="30"/>
      <c r="H737" s="30">
        <f t="shared" si="7"/>
        <v>0</v>
      </c>
      <c r="I737" s="26" t="str">
        <f t="shared" si="3"/>
        <v/>
      </c>
      <c r="J737" s="85"/>
      <c r="K737" s="26"/>
      <c r="L737" s="30"/>
    </row>
    <row r="738" ht="22.5" customHeight="1">
      <c r="A738" s="25"/>
      <c r="B738" s="23"/>
      <c r="C738" s="24"/>
      <c r="D738" s="24"/>
      <c r="E738" s="24"/>
      <c r="F738" s="26"/>
      <c r="G738" s="30"/>
      <c r="H738" s="30">
        <f t="shared" si="7"/>
        <v>0</v>
      </c>
      <c r="I738" s="26" t="str">
        <f t="shared" si="3"/>
        <v/>
      </c>
      <c r="J738" s="85"/>
      <c r="K738" s="26"/>
      <c r="L738" s="30"/>
    </row>
    <row r="739" ht="22.5" customHeight="1">
      <c r="A739" s="25"/>
      <c r="B739" s="23"/>
      <c r="C739" s="24"/>
      <c r="D739" s="24"/>
      <c r="E739" s="24"/>
      <c r="F739" s="26"/>
      <c r="G739" s="30"/>
      <c r="H739" s="30">
        <f t="shared" si="7"/>
        <v>0</v>
      </c>
      <c r="I739" s="26" t="str">
        <f t="shared" si="3"/>
        <v/>
      </c>
      <c r="J739" s="85"/>
      <c r="K739" s="26"/>
      <c r="L739" s="30"/>
    </row>
    <row r="740" ht="22.5" customHeight="1">
      <c r="A740" s="25"/>
      <c r="B740" s="23"/>
      <c r="C740" s="24"/>
      <c r="D740" s="24"/>
      <c r="E740" s="24"/>
      <c r="F740" s="26"/>
      <c r="G740" s="30"/>
      <c r="H740" s="30">
        <f t="shared" si="7"/>
        <v>0</v>
      </c>
      <c r="I740" s="26" t="str">
        <f t="shared" si="3"/>
        <v/>
      </c>
      <c r="J740" s="85"/>
      <c r="K740" s="26"/>
      <c r="L740" s="30"/>
    </row>
    <row r="741" ht="22.5" customHeight="1">
      <c r="A741" s="25"/>
      <c r="B741" s="23"/>
      <c r="C741" s="24"/>
      <c r="D741" s="24"/>
      <c r="E741" s="24"/>
      <c r="F741" s="26"/>
      <c r="G741" s="30"/>
      <c r="H741" s="30">
        <f t="shared" si="7"/>
        <v>0</v>
      </c>
      <c r="I741" s="26" t="str">
        <f t="shared" si="3"/>
        <v/>
      </c>
      <c r="J741" s="85"/>
      <c r="K741" s="26"/>
      <c r="L741" s="30"/>
    </row>
    <row r="742" ht="22.5" customHeight="1">
      <c r="A742" s="25"/>
      <c r="B742" s="23"/>
      <c r="C742" s="24"/>
      <c r="D742" s="24"/>
      <c r="E742" s="24"/>
      <c r="F742" s="26"/>
      <c r="G742" s="30"/>
      <c r="H742" s="30">
        <f t="shared" si="7"/>
        <v>0</v>
      </c>
      <c r="I742" s="26" t="str">
        <f t="shared" si="3"/>
        <v/>
      </c>
      <c r="J742" s="85"/>
      <c r="K742" s="26"/>
      <c r="L742" s="30"/>
    </row>
    <row r="743" ht="22.5" customHeight="1">
      <c r="A743" s="25"/>
      <c r="B743" s="23"/>
      <c r="C743" s="24"/>
      <c r="D743" s="24"/>
      <c r="E743" s="24"/>
      <c r="F743" s="26"/>
      <c r="G743" s="30"/>
      <c r="H743" s="30">
        <f t="shared" si="7"/>
        <v>0</v>
      </c>
      <c r="I743" s="26" t="str">
        <f t="shared" si="3"/>
        <v/>
      </c>
      <c r="J743" s="85"/>
      <c r="K743" s="26"/>
      <c r="L743" s="30"/>
    </row>
    <row r="744" ht="22.5" customHeight="1">
      <c r="A744" s="25"/>
      <c r="B744" s="23"/>
      <c r="C744" s="24"/>
      <c r="D744" s="24"/>
      <c r="E744" s="24"/>
      <c r="F744" s="26"/>
      <c r="G744" s="30"/>
      <c r="H744" s="30">
        <f t="shared" si="7"/>
        <v>0</v>
      </c>
      <c r="I744" s="26" t="str">
        <f t="shared" si="3"/>
        <v/>
      </c>
      <c r="J744" s="85"/>
      <c r="K744" s="26"/>
      <c r="L744" s="30"/>
    </row>
    <row r="745" ht="22.5" customHeight="1">
      <c r="A745" s="25"/>
      <c r="B745" s="23"/>
      <c r="C745" s="24"/>
      <c r="D745" s="24"/>
      <c r="E745" s="24"/>
      <c r="F745" s="26"/>
      <c r="G745" s="30"/>
      <c r="H745" s="30">
        <f t="shared" si="7"/>
        <v>0</v>
      </c>
      <c r="I745" s="26" t="str">
        <f t="shared" si="3"/>
        <v/>
      </c>
      <c r="J745" s="85"/>
      <c r="K745" s="26"/>
      <c r="L745" s="30"/>
    </row>
    <row r="746" ht="22.5" customHeight="1">
      <c r="A746" s="25"/>
      <c r="B746" s="23"/>
      <c r="C746" s="24"/>
      <c r="D746" s="24"/>
      <c r="E746" s="24"/>
      <c r="F746" s="26"/>
      <c r="G746" s="30"/>
      <c r="H746" s="30">
        <f t="shared" si="7"/>
        <v>0</v>
      </c>
      <c r="I746" s="26" t="str">
        <f t="shared" si="3"/>
        <v/>
      </c>
      <c r="J746" s="85"/>
      <c r="K746" s="26"/>
      <c r="L746" s="30"/>
    </row>
    <row r="747" ht="22.5" customHeight="1">
      <c r="A747" s="25"/>
      <c r="B747" s="23"/>
      <c r="C747" s="24"/>
      <c r="D747" s="24"/>
      <c r="E747" s="24"/>
      <c r="F747" s="26"/>
      <c r="G747" s="30"/>
      <c r="H747" s="30">
        <f t="shared" si="7"/>
        <v>0</v>
      </c>
      <c r="I747" s="26" t="str">
        <f t="shared" si="3"/>
        <v/>
      </c>
      <c r="J747" s="85"/>
      <c r="K747" s="26"/>
      <c r="L747" s="30"/>
    </row>
    <row r="748" ht="22.5" customHeight="1">
      <c r="A748" s="25"/>
      <c r="B748" s="23"/>
      <c r="C748" s="24"/>
      <c r="D748" s="24"/>
      <c r="E748" s="24"/>
      <c r="F748" s="26"/>
      <c r="G748" s="30"/>
      <c r="H748" s="30">
        <f t="shared" si="7"/>
        <v>0</v>
      </c>
      <c r="I748" s="26" t="str">
        <f t="shared" si="3"/>
        <v/>
      </c>
      <c r="J748" s="85"/>
      <c r="K748" s="26"/>
      <c r="L748" s="30"/>
    </row>
    <row r="749" ht="22.5" customHeight="1">
      <c r="A749" s="25"/>
      <c r="B749" s="23"/>
      <c r="C749" s="24"/>
      <c r="D749" s="24"/>
      <c r="E749" s="24"/>
      <c r="F749" s="26"/>
      <c r="G749" s="30"/>
      <c r="H749" s="30">
        <f t="shared" si="7"/>
        <v>0</v>
      </c>
      <c r="I749" s="26" t="str">
        <f t="shared" si="3"/>
        <v/>
      </c>
      <c r="J749" s="85"/>
      <c r="K749" s="26"/>
      <c r="L749" s="30"/>
    </row>
    <row r="750" ht="22.5" customHeight="1">
      <c r="A750" s="25"/>
      <c r="B750" s="23"/>
      <c r="C750" s="24"/>
      <c r="D750" s="24"/>
      <c r="E750" s="24"/>
      <c r="F750" s="26"/>
      <c r="G750" s="30"/>
      <c r="H750" s="30">
        <f t="shared" si="7"/>
        <v>0</v>
      </c>
      <c r="I750" s="26" t="str">
        <f t="shared" si="3"/>
        <v/>
      </c>
      <c r="J750" s="85"/>
      <c r="K750" s="26"/>
      <c r="L750" s="30"/>
    </row>
    <row r="751" ht="22.5" customHeight="1">
      <c r="A751" s="25"/>
      <c r="B751" s="23"/>
      <c r="C751" s="24"/>
      <c r="D751" s="24"/>
      <c r="E751" s="24"/>
      <c r="F751" s="26"/>
      <c r="G751" s="30"/>
      <c r="H751" s="30">
        <f t="shared" si="7"/>
        <v>0</v>
      </c>
      <c r="I751" s="26" t="str">
        <f t="shared" si="3"/>
        <v/>
      </c>
      <c r="J751" s="85"/>
      <c r="K751" s="26"/>
      <c r="L751" s="30"/>
    </row>
    <row r="752" ht="22.5" customHeight="1">
      <c r="A752" s="25"/>
      <c r="B752" s="23"/>
      <c r="C752" s="24"/>
      <c r="D752" s="24"/>
      <c r="E752" s="24"/>
      <c r="F752" s="26"/>
      <c r="G752" s="30"/>
      <c r="H752" s="30">
        <f t="shared" si="7"/>
        <v>0</v>
      </c>
      <c r="I752" s="26" t="str">
        <f t="shared" si="3"/>
        <v/>
      </c>
      <c r="J752" s="85"/>
      <c r="K752" s="26"/>
      <c r="L752" s="30"/>
    </row>
    <row r="753" ht="22.5" customHeight="1">
      <c r="A753" s="25"/>
      <c r="B753" s="23"/>
      <c r="C753" s="24"/>
      <c r="D753" s="24"/>
      <c r="E753" s="24"/>
      <c r="F753" s="26"/>
      <c r="G753" s="30"/>
      <c r="H753" s="30">
        <f t="shared" si="7"/>
        <v>0</v>
      </c>
      <c r="I753" s="26" t="str">
        <f t="shared" si="3"/>
        <v/>
      </c>
      <c r="J753" s="85"/>
      <c r="K753" s="26"/>
      <c r="L753" s="30"/>
    </row>
    <row r="754" ht="22.5" customHeight="1">
      <c r="A754" s="25"/>
      <c r="B754" s="23"/>
      <c r="C754" s="24"/>
      <c r="D754" s="24"/>
      <c r="E754" s="24"/>
      <c r="F754" s="26"/>
      <c r="G754" s="30"/>
      <c r="H754" s="30">
        <f t="shared" si="7"/>
        <v>0</v>
      </c>
      <c r="I754" s="26" t="str">
        <f t="shared" si="3"/>
        <v/>
      </c>
      <c r="J754" s="85"/>
      <c r="K754" s="26"/>
      <c r="L754" s="30"/>
    </row>
    <row r="755" ht="22.5" customHeight="1">
      <c r="A755" s="25"/>
      <c r="B755" s="23"/>
      <c r="C755" s="24"/>
      <c r="D755" s="24"/>
      <c r="E755" s="24"/>
      <c r="F755" s="26"/>
      <c r="G755" s="30"/>
      <c r="H755" s="30">
        <f t="shared" si="7"/>
        <v>0</v>
      </c>
      <c r="I755" s="26" t="str">
        <f t="shared" si="3"/>
        <v/>
      </c>
      <c r="J755" s="85"/>
      <c r="K755" s="26"/>
      <c r="L755" s="30"/>
    </row>
    <row r="756" ht="22.5" customHeight="1">
      <c r="A756" s="25"/>
      <c r="B756" s="23"/>
      <c r="C756" s="24"/>
      <c r="D756" s="24"/>
      <c r="E756" s="24"/>
      <c r="F756" s="26"/>
      <c r="G756" s="30"/>
      <c r="H756" s="30">
        <f t="shared" si="7"/>
        <v>0</v>
      </c>
      <c r="I756" s="26" t="str">
        <f t="shared" si="3"/>
        <v/>
      </c>
      <c r="J756" s="85"/>
      <c r="K756" s="26"/>
      <c r="L756" s="30"/>
    </row>
    <row r="757" ht="22.5" customHeight="1">
      <c r="A757" s="25"/>
      <c r="B757" s="23"/>
      <c r="C757" s="24"/>
      <c r="D757" s="24"/>
      <c r="E757" s="24"/>
      <c r="F757" s="26"/>
      <c r="G757" s="30"/>
      <c r="H757" s="30">
        <f t="shared" si="7"/>
        <v>0</v>
      </c>
      <c r="I757" s="26" t="str">
        <f t="shared" si="3"/>
        <v/>
      </c>
      <c r="J757" s="85"/>
      <c r="K757" s="26"/>
      <c r="L757" s="30"/>
    </row>
    <row r="758" ht="22.5" customHeight="1">
      <c r="A758" s="25"/>
      <c r="B758" s="23"/>
      <c r="C758" s="24"/>
      <c r="D758" s="24"/>
      <c r="E758" s="24"/>
      <c r="F758" s="26"/>
      <c r="G758" s="30"/>
      <c r="H758" s="30">
        <f t="shared" si="7"/>
        <v>0</v>
      </c>
      <c r="I758" s="26" t="str">
        <f t="shared" si="3"/>
        <v/>
      </c>
      <c r="J758" s="85"/>
      <c r="K758" s="26"/>
      <c r="L758" s="30"/>
    </row>
    <row r="759" ht="22.5" customHeight="1">
      <c r="A759" s="25"/>
      <c r="B759" s="23"/>
      <c r="C759" s="24"/>
      <c r="D759" s="24"/>
      <c r="E759" s="24"/>
      <c r="F759" s="26"/>
      <c r="G759" s="30"/>
      <c r="H759" s="30">
        <f t="shared" si="7"/>
        <v>0</v>
      </c>
      <c r="I759" s="26" t="str">
        <f t="shared" si="3"/>
        <v/>
      </c>
      <c r="J759" s="85"/>
      <c r="K759" s="26"/>
      <c r="L759" s="30"/>
    </row>
    <row r="760" ht="22.5" customHeight="1">
      <c r="A760" s="25"/>
      <c r="B760" s="23"/>
      <c r="C760" s="24"/>
      <c r="D760" s="24"/>
      <c r="E760" s="24"/>
      <c r="F760" s="26"/>
      <c r="G760" s="30"/>
      <c r="H760" s="30">
        <f t="shared" si="7"/>
        <v>0</v>
      </c>
      <c r="I760" s="26" t="str">
        <f t="shared" si="3"/>
        <v/>
      </c>
      <c r="J760" s="85"/>
      <c r="K760" s="26"/>
      <c r="L760" s="30"/>
    </row>
    <row r="761" ht="22.5" customHeight="1">
      <c r="A761" s="25"/>
      <c r="B761" s="23"/>
      <c r="C761" s="24"/>
      <c r="D761" s="24"/>
      <c r="E761" s="24"/>
      <c r="F761" s="26"/>
      <c r="G761" s="30"/>
      <c r="H761" s="30">
        <f t="shared" si="7"/>
        <v>0</v>
      </c>
      <c r="I761" s="26" t="str">
        <f t="shared" si="3"/>
        <v/>
      </c>
      <c r="J761" s="85"/>
      <c r="K761" s="26"/>
      <c r="L761" s="30"/>
    </row>
    <row r="762" ht="22.5" customHeight="1">
      <c r="A762" s="25"/>
      <c r="B762" s="23"/>
      <c r="C762" s="24"/>
      <c r="D762" s="24"/>
      <c r="E762" s="24"/>
      <c r="F762" s="26"/>
      <c r="G762" s="30"/>
      <c r="H762" s="30">
        <f t="shared" si="7"/>
        <v>0</v>
      </c>
      <c r="I762" s="26" t="str">
        <f t="shared" si="3"/>
        <v/>
      </c>
      <c r="J762" s="85"/>
      <c r="K762" s="26"/>
      <c r="L762" s="30"/>
    </row>
    <row r="763" ht="22.5" customHeight="1">
      <c r="A763" s="25"/>
      <c r="B763" s="23"/>
      <c r="C763" s="24"/>
      <c r="D763" s="24"/>
      <c r="E763" s="24"/>
      <c r="F763" s="26"/>
      <c r="G763" s="30"/>
      <c r="H763" s="30">
        <f t="shared" si="7"/>
        <v>0</v>
      </c>
      <c r="I763" s="26" t="str">
        <f t="shared" si="3"/>
        <v/>
      </c>
      <c r="J763" s="85"/>
      <c r="K763" s="26"/>
      <c r="L763" s="30"/>
    </row>
    <row r="764" ht="22.5" customHeight="1">
      <c r="A764" s="25"/>
      <c r="B764" s="23"/>
      <c r="C764" s="24"/>
      <c r="D764" s="24"/>
      <c r="E764" s="24"/>
      <c r="F764" s="26"/>
      <c r="G764" s="30"/>
      <c r="H764" s="30">
        <f t="shared" si="7"/>
        <v>0</v>
      </c>
      <c r="I764" s="26" t="str">
        <f t="shared" si="3"/>
        <v/>
      </c>
      <c r="J764" s="85"/>
      <c r="K764" s="26"/>
      <c r="L764" s="30"/>
    </row>
    <row r="765" ht="22.5" customHeight="1">
      <c r="A765" s="25"/>
      <c r="B765" s="23"/>
      <c r="C765" s="24"/>
      <c r="D765" s="24"/>
      <c r="E765" s="24"/>
      <c r="F765" s="26"/>
      <c r="G765" s="30"/>
      <c r="H765" s="30">
        <f t="shared" si="7"/>
        <v>0</v>
      </c>
      <c r="I765" s="26" t="str">
        <f t="shared" si="3"/>
        <v/>
      </c>
      <c r="J765" s="85"/>
      <c r="K765" s="26"/>
      <c r="L765" s="30"/>
    </row>
    <row r="766" ht="22.5" customHeight="1">
      <c r="A766" s="25"/>
      <c r="B766" s="23"/>
      <c r="C766" s="24"/>
      <c r="D766" s="24"/>
      <c r="E766" s="24"/>
      <c r="F766" s="26"/>
      <c r="G766" s="30"/>
      <c r="H766" s="30">
        <f t="shared" si="7"/>
        <v>0</v>
      </c>
      <c r="I766" s="26" t="str">
        <f t="shared" si="3"/>
        <v/>
      </c>
      <c r="J766" s="85"/>
      <c r="K766" s="26"/>
      <c r="L766" s="30"/>
    </row>
    <row r="767" ht="22.5" customHeight="1">
      <c r="A767" s="25"/>
      <c r="B767" s="23"/>
      <c r="C767" s="24"/>
      <c r="D767" s="24"/>
      <c r="E767" s="24"/>
      <c r="F767" s="26"/>
      <c r="G767" s="30"/>
      <c r="H767" s="30">
        <f t="shared" si="7"/>
        <v>0</v>
      </c>
      <c r="I767" s="26" t="str">
        <f t="shared" si="3"/>
        <v/>
      </c>
      <c r="J767" s="85"/>
      <c r="K767" s="26"/>
      <c r="L767" s="30"/>
    </row>
    <row r="768" ht="22.5" customHeight="1">
      <c r="A768" s="25"/>
      <c r="B768" s="23"/>
      <c r="C768" s="24"/>
      <c r="D768" s="24"/>
      <c r="E768" s="24"/>
      <c r="F768" s="26"/>
      <c r="G768" s="30"/>
      <c r="H768" s="30">
        <f t="shared" si="7"/>
        <v>0</v>
      </c>
      <c r="I768" s="26" t="str">
        <f t="shared" si="3"/>
        <v/>
      </c>
      <c r="J768" s="85"/>
      <c r="K768" s="26"/>
      <c r="L768" s="30"/>
    </row>
    <row r="769" ht="22.5" customHeight="1">
      <c r="A769" s="25"/>
      <c r="B769" s="23"/>
      <c r="C769" s="24"/>
      <c r="D769" s="24"/>
      <c r="E769" s="24"/>
      <c r="F769" s="26"/>
      <c r="G769" s="30"/>
      <c r="H769" s="30">
        <f t="shared" si="7"/>
        <v>0</v>
      </c>
      <c r="I769" s="26" t="str">
        <f t="shared" si="3"/>
        <v/>
      </c>
      <c r="J769" s="85"/>
      <c r="K769" s="26"/>
      <c r="L769" s="30"/>
    </row>
    <row r="770" ht="22.5" customHeight="1">
      <c r="A770" s="25"/>
      <c r="B770" s="23"/>
      <c r="C770" s="24"/>
      <c r="D770" s="24"/>
      <c r="E770" s="24"/>
      <c r="F770" s="26"/>
      <c r="G770" s="30"/>
      <c r="H770" s="30">
        <f t="shared" si="7"/>
        <v>0</v>
      </c>
      <c r="I770" s="26" t="str">
        <f t="shared" si="3"/>
        <v/>
      </c>
      <c r="J770" s="85"/>
      <c r="K770" s="26"/>
      <c r="L770" s="30"/>
    </row>
    <row r="771" ht="22.5" customHeight="1">
      <c r="A771" s="25"/>
      <c r="B771" s="23"/>
      <c r="C771" s="24"/>
      <c r="D771" s="24"/>
      <c r="E771" s="24"/>
      <c r="F771" s="26"/>
      <c r="G771" s="30"/>
      <c r="H771" s="30">
        <f t="shared" si="7"/>
        <v>0</v>
      </c>
      <c r="I771" s="26" t="str">
        <f t="shared" si="3"/>
        <v/>
      </c>
      <c r="J771" s="85"/>
      <c r="K771" s="26"/>
      <c r="L771" s="30"/>
    </row>
    <row r="772" ht="22.5" customHeight="1">
      <c r="A772" s="25"/>
      <c r="B772" s="23"/>
      <c r="C772" s="24"/>
      <c r="D772" s="24"/>
      <c r="E772" s="24"/>
      <c r="F772" s="26"/>
      <c r="G772" s="30"/>
      <c r="H772" s="30">
        <f t="shared" si="7"/>
        <v>0</v>
      </c>
      <c r="I772" s="26" t="str">
        <f t="shared" si="3"/>
        <v/>
      </c>
      <c r="J772" s="85"/>
      <c r="K772" s="26"/>
      <c r="L772" s="30"/>
    </row>
    <row r="773" ht="22.5" customHeight="1">
      <c r="A773" s="25"/>
      <c r="B773" s="23"/>
      <c r="C773" s="24"/>
      <c r="D773" s="24"/>
      <c r="E773" s="24"/>
      <c r="F773" s="26"/>
      <c r="G773" s="30"/>
      <c r="H773" s="30">
        <f t="shared" si="7"/>
        <v>0</v>
      </c>
      <c r="I773" s="26" t="str">
        <f t="shared" si="3"/>
        <v/>
      </c>
      <c r="J773" s="85"/>
      <c r="K773" s="26"/>
      <c r="L773" s="30"/>
    </row>
    <row r="774" ht="22.5" customHeight="1">
      <c r="A774" s="25"/>
      <c r="B774" s="23"/>
      <c r="C774" s="24"/>
      <c r="D774" s="24"/>
      <c r="E774" s="24"/>
      <c r="F774" s="26"/>
      <c r="G774" s="30"/>
      <c r="H774" s="30">
        <f t="shared" si="7"/>
        <v>0</v>
      </c>
      <c r="I774" s="26" t="str">
        <f t="shared" si="3"/>
        <v/>
      </c>
      <c r="J774" s="85"/>
      <c r="K774" s="26"/>
      <c r="L774" s="30"/>
    </row>
    <row r="775" ht="22.5" customHeight="1">
      <c r="A775" s="25"/>
      <c r="B775" s="23"/>
      <c r="C775" s="24"/>
      <c r="D775" s="24"/>
      <c r="E775" s="24"/>
      <c r="F775" s="26"/>
      <c r="G775" s="30"/>
      <c r="H775" s="30">
        <f t="shared" si="7"/>
        <v>0</v>
      </c>
      <c r="I775" s="26" t="str">
        <f t="shared" si="3"/>
        <v/>
      </c>
      <c r="J775" s="85"/>
      <c r="K775" s="26"/>
      <c r="L775" s="30"/>
    </row>
    <row r="776" ht="22.5" customHeight="1">
      <c r="A776" s="25"/>
      <c r="B776" s="23"/>
      <c r="C776" s="24"/>
      <c r="D776" s="24"/>
      <c r="E776" s="24"/>
      <c r="F776" s="26"/>
      <c r="G776" s="30"/>
      <c r="H776" s="30">
        <f t="shared" si="7"/>
        <v>0</v>
      </c>
      <c r="I776" s="26" t="str">
        <f t="shared" si="3"/>
        <v/>
      </c>
      <c r="J776" s="85"/>
      <c r="K776" s="26"/>
      <c r="L776" s="30"/>
    </row>
    <row r="777" ht="22.5" customHeight="1">
      <c r="A777" s="25"/>
      <c r="B777" s="23"/>
      <c r="C777" s="24"/>
      <c r="D777" s="24"/>
      <c r="E777" s="24"/>
      <c r="F777" s="26"/>
      <c r="G777" s="30"/>
      <c r="H777" s="30">
        <f t="shared" si="7"/>
        <v>0</v>
      </c>
      <c r="I777" s="26" t="str">
        <f t="shared" si="3"/>
        <v/>
      </c>
      <c r="J777" s="85"/>
      <c r="K777" s="26"/>
      <c r="L777" s="30"/>
    </row>
    <row r="778" ht="22.5" customHeight="1">
      <c r="A778" s="25"/>
      <c r="B778" s="23"/>
      <c r="C778" s="24"/>
      <c r="D778" s="24"/>
      <c r="E778" s="24"/>
      <c r="F778" s="26"/>
      <c r="G778" s="30"/>
      <c r="H778" s="30">
        <f t="shared" si="7"/>
        <v>0</v>
      </c>
      <c r="I778" s="26" t="str">
        <f t="shared" si="3"/>
        <v/>
      </c>
      <c r="J778" s="85"/>
      <c r="K778" s="26"/>
      <c r="L778" s="30"/>
    </row>
    <row r="779" ht="22.5" customHeight="1">
      <c r="A779" s="25"/>
      <c r="B779" s="23"/>
      <c r="C779" s="24"/>
      <c r="D779" s="24"/>
      <c r="E779" s="24"/>
      <c r="F779" s="26"/>
      <c r="G779" s="30"/>
      <c r="H779" s="30">
        <f t="shared" si="7"/>
        <v>0</v>
      </c>
      <c r="I779" s="26" t="str">
        <f t="shared" si="3"/>
        <v/>
      </c>
      <c r="J779" s="85"/>
      <c r="K779" s="26"/>
      <c r="L779" s="30"/>
    </row>
    <row r="780" ht="22.5" customHeight="1">
      <c r="A780" s="25"/>
      <c r="B780" s="23"/>
      <c r="C780" s="24"/>
      <c r="D780" s="24"/>
      <c r="E780" s="24"/>
      <c r="F780" s="26"/>
      <c r="G780" s="30"/>
      <c r="H780" s="30">
        <f t="shared" si="7"/>
        <v>0</v>
      </c>
      <c r="I780" s="26" t="str">
        <f t="shared" si="3"/>
        <v/>
      </c>
      <c r="J780" s="85"/>
      <c r="K780" s="26"/>
      <c r="L780" s="30"/>
    </row>
    <row r="781" ht="22.5" customHeight="1">
      <c r="A781" s="25"/>
      <c r="B781" s="23"/>
      <c r="C781" s="24"/>
      <c r="D781" s="24"/>
      <c r="E781" s="24"/>
      <c r="F781" s="26"/>
      <c r="G781" s="30"/>
      <c r="H781" s="30">
        <f t="shared" si="7"/>
        <v>0</v>
      </c>
      <c r="I781" s="26" t="str">
        <f t="shared" si="3"/>
        <v/>
      </c>
      <c r="J781" s="85"/>
      <c r="K781" s="26"/>
      <c r="L781" s="30"/>
    </row>
    <row r="782" ht="22.5" customHeight="1">
      <c r="A782" s="25"/>
      <c r="B782" s="23"/>
      <c r="C782" s="24"/>
      <c r="D782" s="24"/>
      <c r="E782" s="24"/>
      <c r="F782" s="26"/>
      <c r="G782" s="30"/>
      <c r="H782" s="30">
        <f t="shared" si="7"/>
        <v>0</v>
      </c>
      <c r="I782" s="26" t="str">
        <f t="shared" si="3"/>
        <v/>
      </c>
      <c r="J782" s="85"/>
      <c r="K782" s="26"/>
      <c r="L782" s="30"/>
    </row>
    <row r="783" ht="22.5" customHeight="1">
      <c r="A783" s="25"/>
      <c r="B783" s="23"/>
      <c r="C783" s="24"/>
      <c r="D783" s="24"/>
      <c r="E783" s="24"/>
      <c r="F783" s="26"/>
      <c r="G783" s="30"/>
      <c r="H783" s="30">
        <f t="shared" si="7"/>
        <v>0</v>
      </c>
      <c r="I783" s="26" t="str">
        <f t="shared" si="3"/>
        <v/>
      </c>
      <c r="J783" s="85"/>
      <c r="K783" s="26"/>
      <c r="L783" s="30"/>
    </row>
    <row r="784" ht="22.5" customHeight="1">
      <c r="A784" s="25"/>
      <c r="B784" s="23"/>
      <c r="C784" s="24"/>
      <c r="D784" s="24"/>
      <c r="E784" s="24"/>
      <c r="F784" s="26"/>
      <c r="G784" s="30"/>
      <c r="H784" s="30">
        <f t="shared" si="7"/>
        <v>0</v>
      </c>
      <c r="I784" s="26" t="str">
        <f t="shared" si="3"/>
        <v/>
      </c>
      <c r="J784" s="85"/>
      <c r="K784" s="26"/>
      <c r="L784" s="30"/>
    </row>
    <row r="785" ht="22.5" customHeight="1">
      <c r="A785" s="25"/>
      <c r="B785" s="23"/>
      <c r="C785" s="24"/>
      <c r="D785" s="24"/>
      <c r="E785" s="24"/>
      <c r="F785" s="26"/>
      <c r="G785" s="30"/>
      <c r="H785" s="30">
        <f t="shared" si="7"/>
        <v>0</v>
      </c>
      <c r="I785" s="26" t="str">
        <f t="shared" si="3"/>
        <v/>
      </c>
      <c r="J785" s="85"/>
      <c r="K785" s="26"/>
      <c r="L785" s="30"/>
    </row>
    <row r="786" ht="22.5" customHeight="1">
      <c r="A786" s="25"/>
      <c r="B786" s="23"/>
      <c r="C786" s="24"/>
      <c r="D786" s="24"/>
      <c r="E786" s="24"/>
      <c r="F786" s="26"/>
      <c r="G786" s="30"/>
      <c r="H786" s="30">
        <f t="shared" si="7"/>
        <v>0</v>
      </c>
      <c r="I786" s="26" t="str">
        <f t="shared" si="3"/>
        <v/>
      </c>
      <c r="J786" s="85"/>
      <c r="K786" s="26"/>
      <c r="L786" s="30"/>
    </row>
    <row r="787" ht="22.5" customHeight="1">
      <c r="A787" s="25"/>
      <c r="B787" s="23"/>
      <c r="C787" s="24"/>
      <c r="D787" s="24"/>
      <c r="E787" s="24"/>
      <c r="F787" s="26"/>
      <c r="G787" s="30"/>
      <c r="H787" s="30">
        <f t="shared" si="7"/>
        <v>0</v>
      </c>
      <c r="I787" s="26" t="str">
        <f t="shared" si="3"/>
        <v/>
      </c>
      <c r="J787" s="85"/>
      <c r="K787" s="26"/>
      <c r="L787" s="30"/>
    </row>
    <row r="788" ht="22.5" customHeight="1">
      <c r="A788" s="25"/>
      <c r="B788" s="23"/>
      <c r="C788" s="24"/>
      <c r="D788" s="24"/>
      <c r="E788" s="24"/>
      <c r="F788" s="26"/>
      <c r="G788" s="30"/>
      <c r="H788" s="30">
        <f t="shared" si="7"/>
        <v>0</v>
      </c>
      <c r="I788" s="26" t="str">
        <f t="shared" si="3"/>
        <v/>
      </c>
      <c r="J788" s="85"/>
      <c r="K788" s="26"/>
      <c r="L788" s="30"/>
    </row>
    <row r="789" ht="22.5" customHeight="1">
      <c r="A789" s="25"/>
      <c r="B789" s="23"/>
      <c r="C789" s="24"/>
      <c r="D789" s="24"/>
      <c r="E789" s="24"/>
      <c r="F789" s="26"/>
      <c r="G789" s="30"/>
      <c r="H789" s="30">
        <f t="shared" si="7"/>
        <v>0</v>
      </c>
      <c r="I789" s="26" t="str">
        <f t="shared" si="3"/>
        <v/>
      </c>
      <c r="J789" s="85"/>
      <c r="K789" s="26"/>
      <c r="L789" s="30"/>
    </row>
    <row r="790" ht="22.5" customHeight="1">
      <c r="A790" s="25"/>
      <c r="B790" s="23"/>
      <c r="C790" s="24"/>
      <c r="D790" s="24"/>
      <c r="E790" s="24"/>
      <c r="F790" s="26"/>
      <c r="G790" s="30"/>
      <c r="H790" s="30">
        <f t="shared" si="7"/>
        <v>0</v>
      </c>
      <c r="I790" s="26" t="str">
        <f t="shared" si="3"/>
        <v/>
      </c>
      <c r="J790" s="85"/>
      <c r="K790" s="26"/>
      <c r="L790" s="30"/>
    </row>
    <row r="791" ht="22.5" customHeight="1">
      <c r="A791" s="25"/>
      <c r="B791" s="23"/>
      <c r="C791" s="24"/>
      <c r="D791" s="24"/>
      <c r="E791" s="24"/>
      <c r="F791" s="26"/>
      <c r="G791" s="30"/>
      <c r="H791" s="30">
        <f t="shared" si="7"/>
        <v>0</v>
      </c>
      <c r="I791" s="26" t="str">
        <f t="shared" si="3"/>
        <v/>
      </c>
      <c r="J791" s="85"/>
      <c r="K791" s="26"/>
      <c r="L791" s="30"/>
    </row>
    <row r="792" ht="22.5" customHeight="1">
      <c r="A792" s="25"/>
      <c r="B792" s="23"/>
      <c r="C792" s="24"/>
      <c r="D792" s="24"/>
      <c r="E792" s="24"/>
      <c r="F792" s="26"/>
      <c r="G792" s="30"/>
      <c r="H792" s="30">
        <f t="shared" si="7"/>
        <v>0</v>
      </c>
      <c r="I792" s="26" t="str">
        <f t="shared" si="3"/>
        <v/>
      </c>
      <c r="J792" s="85"/>
      <c r="K792" s="26"/>
      <c r="L792" s="30"/>
    </row>
    <row r="793" ht="22.5" customHeight="1">
      <c r="A793" s="25"/>
      <c r="B793" s="23"/>
      <c r="C793" s="24"/>
      <c r="D793" s="24"/>
      <c r="E793" s="24"/>
      <c r="F793" s="26"/>
      <c r="G793" s="30"/>
      <c r="H793" s="30">
        <f t="shared" si="7"/>
        <v>0</v>
      </c>
      <c r="I793" s="26" t="str">
        <f t="shared" si="3"/>
        <v/>
      </c>
      <c r="J793" s="85"/>
      <c r="K793" s="26"/>
      <c r="L793" s="30"/>
    </row>
    <row r="794" ht="22.5" customHeight="1">
      <c r="A794" s="25"/>
      <c r="B794" s="23"/>
      <c r="C794" s="24"/>
      <c r="D794" s="24"/>
      <c r="E794" s="24"/>
      <c r="F794" s="26"/>
      <c r="G794" s="30"/>
      <c r="H794" s="30">
        <f t="shared" si="7"/>
        <v>0</v>
      </c>
      <c r="I794" s="26" t="str">
        <f t="shared" si="3"/>
        <v/>
      </c>
      <c r="J794" s="85"/>
      <c r="K794" s="26"/>
      <c r="L794" s="30"/>
    </row>
    <row r="795" ht="22.5" customHeight="1">
      <c r="A795" s="25"/>
      <c r="B795" s="23"/>
      <c r="C795" s="24"/>
      <c r="D795" s="24"/>
      <c r="E795" s="24"/>
      <c r="F795" s="26"/>
      <c r="G795" s="30"/>
      <c r="H795" s="30">
        <f t="shared" si="7"/>
        <v>0</v>
      </c>
      <c r="I795" s="26" t="str">
        <f t="shared" si="3"/>
        <v/>
      </c>
      <c r="J795" s="85"/>
      <c r="K795" s="26"/>
      <c r="L795" s="30"/>
    </row>
    <row r="796" ht="22.5" customHeight="1">
      <c r="A796" s="25"/>
      <c r="B796" s="23"/>
      <c r="C796" s="24"/>
      <c r="D796" s="24"/>
      <c r="E796" s="24"/>
      <c r="F796" s="26"/>
      <c r="G796" s="30"/>
      <c r="H796" s="30">
        <f t="shared" si="7"/>
        <v>0</v>
      </c>
      <c r="I796" s="26" t="str">
        <f t="shared" si="3"/>
        <v/>
      </c>
      <c r="J796" s="85"/>
      <c r="K796" s="26"/>
      <c r="L796" s="30"/>
    </row>
    <row r="797" ht="22.5" customHeight="1">
      <c r="A797" s="25"/>
      <c r="B797" s="23"/>
      <c r="C797" s="24"/>
      <c r="D797" s="24"/>
      <c r="E797" s="24"/>
      <c r="F797" s="26"/>
      <c r="G797" s="30"/>
      <c r="H797" s="30">
        <f t="shared" si="7"/>
        <v>0</v>
      </c>
      <c r="I797" s="26" t="str">
        <f t="shared" si="3"/>
        <v/>
      </c>
      <c r="J797" s="85"/>
      <c r="K797" s="26"/>
      <c r="L797" s="30"/>
    </row>
    <row r="798" ht="22.5" customHeight="1">
      <c r="A798" s="25"/>
      <c r="B798" s="23"/>
      <c r="C798" s="24"/>
      <c r="D798" s="24"/>
      <c r="E798" s="24"/>
      <c r="F798" s="26"/>
      <c r="G798" s="30"/>
      <c r="H798" s="30">
        <f t="shared" si="7"/>
        <v>0</v>
      </c>
      <c r="I798" s="26" t="str">
        <f t="shared" si="3"/>
        <v/>
      </c>
      <c r="J798" s="85"/>
      <c r="K798" s="26"/>
      <c r="L798" s="30"/>
    </row>
    <row r="799" ht="22.5" customHeight="1">
      <c r="A799" s="25"/>
      <c r="B799" s="23"/>
      <c r="C799" s="24"/>
      <c r="D799" s="24"/>
      <c r="E799" s="24"/>
      <c r="F799" s="26"/>
      <c r="G799" s="30"/>
      <c r="H799" s="30">
        <f t="shared" si="7"/>
        <v>0</v>
      </c>
      <c r="I799" s="26" t="str">
        <f t="shared" si="3"/>
        <v/>
      </c>
      <c r="J799" s="85"/>
      <c r="K799" s="26"/>
      <c r="L799" s="30"/>
    </row>
    <row r="800" ht="22.5" customHeight="1">
      <c r="A800" s="25"/>
      <c r="B800" s="23"/>
      <c r="C800" s="24"/>
      <c r="D800" s="24"/>
      <c r="E800" s="24"/>
      <c r="F800" s="26"/>
      <c r="G800" s="30"/>
      <c r="H800" s="30">
        <f t="shared" si="7"/>
        <v>0</v>
      </c>
      <c r="I800" s="26" t="str">
        <f t="shared" si="3"/>
        <v/>
      </c>
      <c r="J800" s="85"/>
      <c r="K800" s="26"/>
      <c r="L800" s="30"/>
    </row>
    <row r="801" ht="22.5" customHeight="1">
      <c r="A801" s="25"/>
      <c r="B801" s="23"/>
      <c r="C801" s="24"/>
      <c r="D801" s="24"/>
      <c r="E801" s="24"/>
      <c r="F801" s="26"/>
      <c r="G801" s="30"/>
      <c r="H801" s="30">
        <f t="shared" si="7"/>
        <v>0</v>
      </c>
      <c r="I801" s="26" t="str">
        <f t="shared" si="3"/>
        <v/>
      </c>
      <c r="J801" s="85"/>
      <c r="K801" s="26"/>
      <c r="L801" s="30"/>
    </row>
    <row r="802" ht="22.5" customHeight="1">
      <c r="A802" s="25"/>
      <c r="B802" s="23"/>
      <c r="C802" s="24"/>
      <c r="D802" s="24"/>
      <c r="E802" s="24"/>
      <c r="F802" s="26"/>
      <c r="G802" s="30"/>
      <c r="H802" s="30">
        <f t="shared" si="7"/>
        <v>0</v>
      </c>
      <c r="I802" s="26" t="str">
        <f t="shared" si="3"/>
        <v/>
      </c>
      <c r="J802" s="85"/>
      <c r="K802" s="26"/>
      <c r="L802" s="30"/>
    </row>
    <row r="803" ht="22.5" customHeight="1">
      <c r="A803" s="25"/>
      <c r="B803" s="23"/>
      <c r="C803" s="24"/>
      <c r="D803" s="24"/>
      <c r="E803" s="24"/>
      <c r="F803" s="26"/>
      <c r="G803" s="30"/>
      <c r="H803" s="30">
        <f t="shared" si="7"/>
        <v>0</v>
      </c>
      <c r="I803" s="26" t="str">
        <f t="shared" si="3"/>
        <v/>
      </c>
      <c r="J803" s="85"/>
      <c r="K803" s="26"/>
      <c r="L803" s="30"/>
    </row>
    <row r="804" ht="22.5" customHeight="1">
      <c r="A804" s="25"/>
      <c r="B804" s="23"/>
      <c r="C804" s="24"/>
      <c r="D804" s="24"/>
      <c r="E804" s="24"/>
      <c r="F804" s="26"/>
      <c r="G804" s="30"/>
      <c r="H804" s="30">
        <f t="shared" si="7"/>
        <v>0</v>
      </c>
      <c r="I804" s="26" t="str">
        <f t="shared" si="3"/>
        <v/>
      </c>
      <c r="J804" s="85"/>
      <c r="K804" s="26"/>
      <c r="L804" s="30"/>
    </row>
    <row r="805" ht="22.5" customHeight="1">
      <c r="A805" s="25"/>
      <c r="B805" s="23"/>
      <c r="C805" s="24"/>
      <c r="D805" s="24"/>
      <c r="E805" s="24"/>
      <c r="F805" s="26"/>
      <c r="G805" s="30"/>
      <c r="H805" s="30">
        <f t="shared" si="7"/>
        <v>0</v>
      </c>
      <c r="I805" s="26" t="str">
        <f t="shared" si="3"/>
        <v/>
      </c>
      <c r="J805" s="85"/>
      <c r="K805" s="26"/>
      <c r="L805" s="30"/>
    </row>
    <row r="806" ht="22.5" customHeight="1">
      <c r="A806" s="25"/>
      <c r="B806" s="23"/>
      <c r="C806" s="24"/>
      <c r="D806" s="24"/>
      <c r="E806" s="24"/>
      <c r="F806" s="26"/>
      <c r="G806" s="30"/>
      <c r="H806" s="30">
        <f t="shared" si="7"/>
        <v>0</v>
      </c>
      <c r="I806" s="26" t="str">
        <f t="shared" si="3"/>
        <v/>
      </c>
      <c r="J806" s="85"/>
      <c r="K806" s="26"/>
      <c r="L806" s="30"/>
    </row>
    <row r="807" ht="22.5" customHeight="1">
      <c r="A807" s="25"/>
      <c r="B807" s="23"/>
      <c r="C807" s="24"/>
      <c r="D807" s="24"/>
      <c r="E807" s="24"/>
      <c r="F807" s="26"/>
      <c r="G807" s="30"/>
      <c r="H807" s="30">
        <f t="shared" si="7"/>
        <v>0</v>
      </c>
      <c r="I807" s="26" t="str">
        <f t="shared" si="3"/>
        <v/>
      </c>
      <c r="J807" s="85"/>
      <c r="K807" s="26"/>
      <c r="L807" s="30"/>
    </row>
    <row r="808" ht="22.5" customHeight="1">
      <c r="A808" s="25"/>
      <c r="B808" s="23"/>
      <c r="C808" s="24"/>
      <c r="D808" s="24"/>
      <c r="E808" s="24"/>
      <c r="F808" s="26"/>
      <c r="G808" s="30"/>
      <c r="H808" s="30">
        <f t="shared" si="7"/>
        <v>0</v>
      </c>
      <c r="I808" s="26" t="str">
        <f t="shared" si="3"/>
        <v/>
      </c>
      <c r="J808" s="85"/>
      <c r="K808" s="26"/>
      <c r="L808" s="30"/>
    </row>
    <row r="809" ht="22.5" customHeight="1">
      <c r="A809" s="25"/>
      <c r="B809" s="23"/>
      <c r="C809" s="24"/>
      <c r="D809" s="24"/>
      <c r="E809" s="24"/>
      <c r="F809" s="26"/>
      <c r="G809" s="30"/>
      <c r="H809" s="30">
        <f t="shared" si="7"/>
        <v>0</v>
      </c>
      <c r="I809" s="26" t="str">
        <f t="shared" si="3"/>
        <v/>
      </c>
      <c r="J809" s="85"/>
      <c r="K809" s="26"/>
      <c r="L809" s="30"/>
    </row>
    <row r="810" ht="22.5" customHeight="1">
      <c r="A810" s="25"/>
      <c r="B810" s="23"/>
      <c r="C810" s="24"/>
      <c r="D810" s="24"/>
      <c r="E810" s="24"/>
      <c r="F810" s="26"/>
      <c r="G810" s="30"/>
      <c r="H810" s="30">
        <f t="shared" si="7"/>
        <v>0</v>
      </c>
      <c r="I810" s="26" t="str">
        <f t="shared" si="3"/>
        <v/>
      </c>
      <c r="J810" s="85"/>
      <c r="K810" s="26"/>
      <c r="L810" s="30"/>
    </row>
    <row r="811" ht="22.5" customHeight="1">
      <c r="A811" s="25"/>
      <c r="B811" s="23"/>
      <c r="C811" s="24"/>
      <c r="D811" s="24"/>
      <c r="E811" s="24"/>
      <c r="F811" s="26"/>
      <c r="G811" s="30"/>
      <c r="H811" s="30">
        <f t="shared" si="7"/>
        <v>0</v>
      </c>
      <c r="I811" s="26" t="str">
        <f t="shared" si="3"/>
        <v/>
      </c>
      <c r="J811" s="85"/>
      <c r="K811" s="26"/>
      <c r="L811" s="30"/>
    </row>
    <row r="812" ht="22.5" customHeight="1">
      <c r="A812" s="25"/>
      <c r="B812" s="23"/>
      <c r="C812" s="24"/>
      <c r="D812" s="24"/>
      <c r="E812" s="24"/>
      <c r="F812" s="26"/>
      <c r="G812" s="30"/>
      <c r="H812" s="30">
        <f t="shared" si="7"/>
        <v>0</v>
      </c>
      <c r="I812" s="26" t="str">
        <f t="shared" si="3"/>
        <v/>
      </c>
      <c r="J812" s="85"/>
      <c r="K812" s="26"/>
      <c r="L812" s="30"/>
    </row>
    <row r="813" ht="22.5" customHeight="1">
      <c r="A813" s="25"/>
      <c r="B813" s="23"/>
      <c r="C813" s="24"/>
      <c r="D813" s="24"/>
      <c r="E813" s="24"/>
      <c r="F813" s="26"/>
      <c r="G813" s="30"/>
      <c r="H813" s="30">
        <f t="shared" si="7"/>
        <v>0</v>
      </c>
      <c r="I813" s="26" t="str">
        <f t="shared" si="3"/>
        <v/>
      </c>
      <c r="J813" s="85"/>
      <c r="K813" s="26"/>
      <c r="L813" s="30"/>
    </row>
    <row r="814" ht="22.5" customHeight="1">
      <c r="A814" s="25"/>
      <c r="B814" s="23"/>
      <c r="C814" s="24"/>
      <c r="D814" s="24"/>
      <c r="E814" s="24"/>
      <c r="F814" s="26"/>
      <c r="G814" s="30"/>
      <c r="H814" s="30">
        <f t="shared" si="7"/>
        <v>0</v>
      </c>
      <c r="I814" s="26" t="str">
        <f t="shared" si="3"/>
        <v/>
      </c>
      <c r="J814" s="85"/>
      <c r="K814" s="26"/>
      <c r="L814" s="30"/>
    </row>
    <row r="815" ht="22.5" customHeight="1">
      <c r="A815" s="25"/>
      <c r="B815" s="23"/>
      <c r="C815" s="24"/>
      <c r="D815" s="24"/>
      <c r="E815" s="24"/>
      <c r="F815" s="26"/>
      <c r="G815" s="30"/>
      <c r="H815" s="30">
        <f t="shared" si="7"/>
        <v>0</v>
      </c>
      <c r="I815" s="26" t="str">
        <f t="shared" si="3"/>
        <v/>
      </c>
      <c r="J815" s="85"/>
      <c r="K815" s="26"/>
      <c r="L815" s="30"/>
    </row>
    <row r="816" ht="22.5" customHeight="1">
      <c r="A816" s="25"/>
      <c r="B816" s="23"/>
      <c r="C816" s="24"/>
      <c r="D816" s="24"/>
      <c r="E816" s="24"/>
      <c r="F816" s="26"/>
      <c r="G816" s="30"/>
      <c r="H816" s="30">
        <f t="shared" si="7"/>
        <v>0</v>
      </c>
      <c r="I816" s="26" t="str">
        <f t="shared" si="3"/>
        <v/>
      </c>
      <c r="J816" s="85"/>
      <c r="K816" s="26"/>
      <c r="L816" s="30"/>
    </row>
    <row r="817" ht="22.5" customHeight="1">
      <c r="A817" s="25"/>
      <c r="B817" s="23"/>
      <c r="C817" s="24"/>
      <c r="D817" s="24"/>
      <c r="E817" s="24"/>
      <c r="F817" s="26"/>
      <c r="G817" s="30"/>
      <c r="H817" s="30">
        <f t="shared" si="7"/>
        <v>0</v>
      </c>
      <c r="I817" s="26" t="str">
        <f t="shared" si="3"/>
        <v/>
      </c>
      <c r="J817" s="85"/>
      <c r="K817" s="26"/>
      <c r="L817" s="30"/>
    </row>
    <row r="818" ht="22.5" customHeight="1">
      <c r="A818" s="25"/>
      <c r="B818" s="23"/>
      <c r="C818" s="24"/>
      <c r="D818" s="24"/>
      <c r="E818" s="24"/>
      <c r="F818" s="26"/>
      <c r="G818" s="30"/>
      <c r="H818" s="30">
        <f t="shared" si="7"/>
        <v>0</v>
      </c>
      <c r="I818" s="26" t="str">
        <f t="shared" si="3"/>
        <v/>
      </c>
      <c r="J818" s="85"/>
      <c r="K818" s="26"/>
      <c r="L818" s="30"/>
    </row>
    <row r="819" ht="22.5" customHeight="1">
      <c r="A819" s="25"/>
      <c r="B819" s="23"/>
      <c r="C819" s="24"/>
      <c r="D819" s="24"/>
      <c r="E819" s="24"/>
      <c r="F819" s="26"/>
      <c r="G819" s="30"/>
      <c r="H819" s="30">
        <f t="shared" si="7"/>
        <v>0</v>
      </c>
      <c r="I819" s="26" t="str">
        <f t="shared" si="3"/>
        <v/>
      </c>
      <c r="J819" s="85"/>
      <c r="K819" s="26"/>
      <c r="L819" s="30"/>
    </row>
    <row r="820" ht="22.5" customHeight="1">
      <c r="A820" s="25"/>
      <c r="B820" s="23"/>
      <c r="C820" s="24"/>
      <c r="D820" s="24"/>
      <c r="E820" s="24"/>
      <c r="F820" s="26"/>
      <c r="G820" s="30"/>
      <c r="H820" s="30">
        <f t="shared" si="7"/>
        <v>0</v>
      </c>
      <c r="I820" s="26" t="str">
        <f t="shared" si="3"/>
        <v/>
      </c>
      <c r="J820" s="85"/>
      <c r="K820" s="26"/>
      <c r="L820" s="30"/>
    </row>
    <row r="821" ht="22.5" customHeight="1">
      <c r="A821" s="25"/>
      <c r="B821" s="23"/>
      <c r="C821" s="24"/>
      <c r="D821" s="24"/>
      <c r="E821" s="24"/>
      <c r="F821" s="26"/>
      <c r="G821" s="30"/>
      <c r="H821" s="30">
        <f t="shared" si="7"/>
        <v>0</v>
      </c>
      <c r="I821" s="26" t="str">
        <f t="shared" si="3"/>
        <v/>
      </c>
      <c r="J821" s="85"/>
      <c r="K821" s="26"/>
      <c r="L821" s="30"/>
    </row>
    <row r="822" ht="22.5" customHeight="1">
      <c r="A822" s="25"/>
      <c r="B822" s="23"/>
      <c r="C822" s="24"/>
      <c r="D822" s="24"/>
      <c r="E822" s="24"/>
      <c r="F822" s="26"/>
      <c r="G822" s="30"/>
      <c r="H822" s="30">
        <f t="shared" si="7"/>
        <v>0</v>
      </c>
      <c r="I822" s="26" t="str">
        <f t="shared" si="3"/>
        <v/>
      </c>
      <c r="J822" s="85"/>
      <c r="K822" s="26"/>
      <c r="L822" s="30"/>
    </row>
    <row r="823" ht="22.5" customHeight="1">
      <c r="A823" s="25"/>
      <c r="B823" s="23"/>
      <c r="C823" s="24"/>
      <c r="D823" s="24"/>
      <c r="E823" s="24"/>
      <c r="F823" s="26"/>
      <c r="G823" s="30"/>
      <c r="H823" s="30">
        <f t="shared" si="7"/>
        <v>0</v>
      </c>
      <c r="I823" s="26" t="str">
        <f t="shared" si="3"/>
        <v/>
      </c>
      <c r="J823" s="85"/>
      <c r="K823" s="26"/>
      <c r="L823" s="30"/>
    </row>
    <row r="824" ht="22.5" customHeight="1">
      <c r="A824" s="25"/>
      <c r="B824" s="23"/>
      <c r="C824" s="24"/>
      <c r="D824" s="24"/>
      <c r="E824" s="24"/>
      <c r="F824" s="26"/>
      <c r="G824" s="30"/>
      <c r="H824" s="30">
        <f t="shared" si="7"/>
        <v>0</v>
      </c>
      <c r="I824" s="26" t="str">
        <f t="shared" si="3"/>
        <v/>
      </c>
      <c r="J824" s="85"/>
      <c r="K824" s="26"/>
      <c r="L824" s="30"/>
    </row>
    <row r="825" ht="22.5" customHeight="1">
      <c r="A825" s="25"/>
      <c r="B825" s="23"/>
      <c r="C825" s="24"/>
      <c r="D825" s="24"/>
      <c r="E825" s="24"/>
      <c r="F825" s="26"/>
      <c r="G825" s="30"/>
      <c r="H825" s="30">
        <f t="shared" si="7"/>
        <v>0</v>
      </c>
      <c r="I825" s="26" t="str">
        <f t="shared" si="3"/>
        <v/>
      </c>
      <c r="J825" s="85"/>
      <c r="K825" s="26"/>
      <c r="L825" s="30"/>
    </row>
    <row r="826" ht="22.5" customHeight="1">
      <c r="A826" s="25"/>
      <c r="B826" s="23"/>
      <c r="C826" s="24"/>
      <c r="D826" s="24"/>
      <c r="E826" s="24"/>
      <c r="F826" s="26"/>
      <c r="G826" s="30"/>
      <c r="H826" s="30">
        <f t="shared" si="7"/>
        <v>0</v>
      </c>
      <c r="I826" s="26" t="str">
        <f t="shared" si="3"/>
        <v/>
      </c>
      <c r="J826" s="85"/>
      <c r="K826" s="26"/>
      <c r="L826" s="30"/>
    </row>
    <row r="827" ht="22.5" customHeight="1">
      <c r="A827" s="25"/>
      <c r="B827" s="23"/>
      <c r="C827" s="24"/>
      <c r="D827" s="24"/>
      <c r="E827" s="24"/>
      <c r="F827" s="26"/>
      <c r="G827" s="30"/>
      <c r="H827" s="30">
        <f t="shared" si="7"/>
        <v>0</v>
      </c>
      <c r="I827" s="26" t="str">
        <f t="shared" si="3"/>
        <v/>
      </c>
      <c r="J827" s="85"/>
      <c r="K827" s="26"/>
      <c r="L827" s="30"/>
    </row>
    <row r="828" ht="22.5" customHeight="1">
      <c r="A828" s="25"/>
      <c r="B828" s="23"/>
      <c r="C828" s="24"/>
      <c r="D828" s="24"/>
      <c r="E828" s="24"/>
      <c r="F828" s="26"/>
      <c r="G828" s="30"/>
      <c r="H828" s="30">
        <f t="shared" si="7"/>
        <v>0</v>
      </c>
      <c r="I828" s="26" t="str">
        <f t="shared" si="3"/>
        <v/>
      </c>
      <c r="J828" s="85"/>
      <c r="K828" s="26"/>
      <c r="L828" s="30"/>
    </row>
    <row r="829" ht="22.5" customHeight="1">
      <c r="A829" s="25"/>
      <c r="B829" s="23"/>
      <c r="C829" s="24"/>
      <c r="D829" s="24"/>
      <c r="E829" s="24"/>
      <c r="F829" s="26"/>
      <c r="G829" s="30"/>
      <c r="H829" s="30">
        <f t="shared" si="7"/>
        <v>0</v>
      </c>
      <c r="I829" s="26" t="str">
        <f t="shared" si="3"/>
        <v/>
      </c>
      <c r="J829" s="85"/>
      <c r="K829" s="26"/>
      <c r="L829" s="30"/>
    </row>
    <row r="830" ht="22.5" customHeight="1">
      <c r="A830" s="25"/>
      <c r="B830" s="23"/>
      <c r="C830" s="24"/>
      <c r="D830" s="24"/>
      <c r="E830" s="24"/>
      <c r="F830" s="26"/>
      <c r="G830" s="30"/>
      <c r="H830" s="30">
        <f t="shared" si="7"/>
        <v>0</v>
      </c>
      <c r="I830" s="26" t="str">
        <f t="shared" si="3"/>
        <v/>
      </c>
      <c r="J830" s="85"/>
      <c r="K830" s="26"/>
      <c r="L830" s="30"/>
    </row>
    <row r="831" ht="22.5" customHeight="1">
      <c r="A831" s="25"/>
      <c r="B831" s="23"/>
      <c r="C831" s="24"/>
      <c r="D831" s="24"/>
      <c r="E831" s="24"/>
      <c r="F831" s="26"/>
      <c r="G831" s="30"/>
      <c r="H831" s="30">
        <f t="shared" si="7"/>
        <v>0</v>
      </c>
      <c r="I831" s="26" t="str">
        <f t="shared" si="3"/>
        <v/>
      </c>
      <c r="J831" s="85"/>
      <c r="K831" s="26"/>
      <c r="L831" s="30"/>
    </row>
    <row r="832" ht="22.5" customHeight="1">
      <c r="A832" s="25"/>
      <c r="B832" s="23"/>
      <c r="C832" s="24"/>
      <c r="D832" s="24"/>
      <c r="E832" s="24"/>
      <c r="F832" s="26"/>
      <c r="G832" s="30"/>
      <c r="H832" s="30">
        <f t="shared" si="7"/>
        <v>0</v>
      </c>
      <c r="I832" s="26" t="str">
        <f t="shared" si="3"/>
        <v/>
      </c>
      <c r="J832" s="85"/>
      <c r="K832" s="26"/>
      <c r="L832" s="30"/>
    </row>
    <row r="833" ht="22.5" customHeight="1">
      <c r="A833" s="25"/>
      <c r="B833" s="23"/>
      <c r="C833" s="24"/>
      <c r="D833" s="24"/>
      <c r="E833" s="24"/>
      <c r="F833" s="26"/>
      <c r="G833" s="30"/>
      <c r="H833" s="30">
        <f t="shared" si="7"/>
        <v>0</v>
      </c>
      <c r="I833" s="26" t="str">
        <f t="shared" si="3"/>
        <v/>
      </c>
      <c r="J833" s="85"/>
      <c r="K833" s="26"/>
      <c r="L833" s="30"/>
    </row>
    <row r="834" ht="22.5" customHeight="1">
      <c r="A834" s="25"/>
      <c r="B834" s="23"/>
      <c r="C834" s="24"/>
      <c r="D834" s="24"/>
      <c r="E834" s="24"/>
      <c r="F834" s="26"/>
      <c r="G834" s="30"/>
      <c r="H834" s="30">
        <f t="shared" si="7"/>
        <v>0</v>
      </c>
      <c r="I834" s="26" t="str">
        <f t="shared" si="3"/>
        <v/>
      </c>
      <c r="J834" s="85"/>
      <c r="K834" s="26"/>
      <c r="L834" s="30"/>
    </row>
    <row r="835" ht="22.5" customHeight="1">
      <c r="A835" s="25"/>
      <c r="B835" s="23"/>
      <c r="C835" s="24"/>
      <c r="D835" s="24"/>
      <c r="E835" s="24"/>
      <c r="F835" s="26"/>
      <c r="G835" s="30"/>
      <c r="H835" s="30">
        <f t="shared" si="7"/>
        <v>0</v>
      </c>
      <c r="I835" s="26" t="str">
        <f t="shared" si="3"/>
        <v/>
      </c>
      <c r="J835" s="85"/>
      <c r="K835" s="26"/>
      <c r="L835" s="30"/>
    </row>
    <row r="836" ht="22.5" customHeight="1">
      <c r="A836" s="25"/>
      <c r="B836" s="23"/>
      <c r="C836" s="24"/>
      <c r="D836" s="24"/>
      <c r="E836" s="24"/>
      <c r="F836" s="26"/>
      <c r="G836" s="30"/>
      <c r="H836" s="30">
        <f t="shared" si="7"/>
        <v>0</v>
      </c>
      <c r="I836" s="26" t="str">
        <f t="shared" si="3"/>
        <v/>
      </c>
      <c r="J836" s="85"/>
      <c r="K836" s="26"/>
      <c r="L836" s="30"/>
    </row>
    <row r="837" ht="22.5" customHeight="1">
      <c r="A837" s="25"/>
      <c r="B837" s="23"/>
      <c r="C837" s="24"/>
      <c r="D837" s="24"/>
      <c r="E837" s="24"/>
      <c r="F837" s="26"/>
      <c r="G837" s="30"/>
      <c r="H837" s="30">
        <f t="shared" si="7"/>
        <v>0</v>
      </c>
      <c r="I837" s="26" t="str">
        <f t="shared" si="3"/>
        <v/>
      </c>
      <c r="J837" s="85"/>
      <c r="K837" s="26"/>
      <c r="L837" s="30"/>
    </row>
    <row r="838" ht="22.5" customHeight="1">
      <c r="A838" s="25"/>
      <c r="B838" s="23"/>
      <c r="C838" s="24"/>
      <c r="D838" s="24"/>
      <c r="E838" s="24"/>
      <c r="F838" s="26"/>
      <c r="G838" s="30"/>
      <c r="H838" s="30">
        <f t="shared" si="7"/>
        <v>0</v>
      </c>
      <c r="I838" s="26" t="str">
        <f t="shared" si="3"/>
        <v/>
      </c>
      <c r="J838" s="85"/>
      <c r="K838" s="26"/>
      <c r="L838" s="30"/>
    </row>
    <row r="839" ht="22.5" customHeight="1">
      <c r="A839" s="25"/>
      <c r="B839" s="23"/>
      <c r="C839" s="24"/>
      <c r="D839" s="24"/>
      <c r="E839" s="24"/>
      <c r="F839" s="26"/>
      <c r="G839" s="30"/>
      <c r="H839" s="30">
        <f t="shared" si="7"/>
        <v>0</v>
      </c>
      <c r="I839" s="26" t="str">
        <f t="shared" si="3"/>
        <v/>
      </c>
      <c r="J839" s="85"/>
      <c r="K839" s="26"/>
      <c r="L839" s="30"/>
    </row>
    <row r="840" ht="22.5" customHeight="1">
      <c r="A840" s="25"/>
      <c r="B840" s="23"/>
      <c r="C840" s="24"/>
      <c r="D840" s="24"/>
      <c r="E840" s="24"/>
      <c r="F840" s="26"/>
      <c r="G840" s="30"/>
      <c r="H840" s="30">
        <f t="shared" si="7"/>
        <v>0</v>
      </c>
      <c r="I840" s="26" t="str">
        <f t="shared" si="3"/>
        <v/>
      </c>
      <c r="J840" s="85"/>
      <c r="K840" s="26"/>
      <c r="L840" s="30"/>
    </row>
    <row r="841" ht="22.5" customHeight="1">
      <c r="A841" s="25"/>
      <c r="B841" s="23"/>
      <c r="C841" s="24"/>
      <c r="D841" s="24"/>
      <c r="E841" s="24"/>
      <c r="F841" s="26"/>
      <c r="G841" s="30"/>
      <c r="H841" s="30">
        <f t="shared" si="7"/>
        <v>0</v>
      </c>
      <c r="I841" s="26" t="str">
        <f t="shared" si="3"/>
        <v/>
      </c>
      <c r="J841" s="85"/>
      <c r="K841" s="26"/>
      <c r="L841" s="30"/>
    </row>
    <row r="842" ht="22.5" customHeight="1">
      <c r="A842" s="25"/>
      <c r="B842" s="23"/>
      <c r="C842" s="24"/>
      <c r="D842" s="24"/>
      <c r="E842" s="24"/>
      <c r="F842" s="26"/>
      <c r="G842" s="30"/>
      <c r="H842" s="30">
        <f t="shared" si="7"/>
        <v>0</v>
      </c>
      <c r="I842" s="26" t="str">
        <f t="shared" si="3"/>
        <v/>
      </c>
      <c r="J842" s="85"/>
      <c r="K842" s="26"/>
      <c r="L842" s="30"/>
    </row>
    <row r="843" ht="22.5" customHeight="1">
      <c r="A843" s="25"/>
      <c r="B843" s="23"/>
      <c r="C843" s="24"/>
      <c r="D843" s="24"/>
      <c r="E843" s="24"/>
      <c r="F843" s="26"/>
      <c r="G843" s="30"/>
      <c r="H843" s="30">
        <f t="shared" si="7"/>
        <v>0</v>
      </c>
      <c r="I843" s="26" t="str">
        <f t="shared" si="3"/>
        <v/>
      </c>
      <c r="J843" s="85"/>
      <c r="K843" s="26"/>
      <c r="L843" s="30"/>
    </row>
    <row r="844" ht="22.5" customHeight="1">
      <c r="A844" s="25"/>
      <c r="B844" s="23"/>
      <c r="C844" s="24"/>
      <c r="D844" s="24"/>
      <c r="E844" s="24"/>
      <c r="F844" s="26"/>
      <c r="G844" s="30"/>
      <c r="H844" s="30">
        <f t="shared" si="7"/>
        <v>0</v>
      </c>
      <c r="I844" s="26" t="str">
        <f t="shared" si="3"/>
        <v/>
      </c>
      <c r="J844" s="85"/>
      <c r="K844" s="26"/>
      <c r="L844" s="30"/>
    </row>
    <row r="845" ht="22.5" customHeight="1">
      <c r="A845" s="25"/>
      <c r="B845" s="23"/>
      <c r="C845" s="24"/>
      <c r="D845" s="24"/>
      <c r="E845" s="24"/>
      <c r="F845" s="26"/>
      <c r="G845" s="30"/>
      <c r="H845" s="30">
        <f t="shared" si="7"/>
        <v>0</v>
      </c>
      <c r="I845" s="26" t="str">
        <f t="shared" si="3"/>
        <v/>
      </c>
      <c r="J845" s="85"/>
      <c r="K845" s="26"/>
      <c r="L845" s="30"/>
    </row>
    <row r="846" ht="22.5" customHeight="1">
      <c r="A846" s="25"/>
      <c r="B846" s="23"/>
      <c r="C846" s="24"/>
      <c r="D846" s="24"/>
      <c r="E846" s="24"/>
      <c r="F846" s="26"/>
      <c r="G846" s="30"/>
      <c r="H846" s="30">
        <f t="shared" si="7"/>
        <v>0</v>
      </c>
      <c r="I846" s="26" t="str">
        <f t="shared" si="3"/>
        <v/>
      </c>
      <c r="J846" s="85"/>
      <c r="K846" s="26"/>
      <c r="L846" s="30"/>
    </row>
    <row r="847" ht="22.5" customHeight="1">
      <c r="A847" s="25"/>
      <c r="B847" s="23"/>
      <c r="C847" s="24"/>
      <c r="D847" s="24"/>
      <c r="E847" s="24"/>
      <c r="F847" s="26"/>
      <c r="G847" s="30"/>
      <c r="H847" s="30">
        <f t="shared" si="7"/>
        <v>0</v>
      </c>
      <c r="I847" s="26" t="str">
        <f t="shared" si="3"/>
        <v/>
      </c>
      <c r="J847" s="85"/>
      <c r="K847" s="26"/>
      <c r="L847" s="30"/>
    </row>
    <row r="848" ht="22.5" customHeight="1">
      <c r="A848" s="25"/>
      <c r="B848" s="23"/>
      <c r="C848" s="24"/>
      <c r="D848" s="24"/>
      <c r="E848" s="24"/>
      <c r="F848" s="26"/>
      <c r="G848" s="30"/>
      <c r="H848" s="30">
        <f t="shared" si="7"/>
        <v>0</v>
      </c>
      <c r="I848" s="26" t="str">
        <f t="shared" si="3"/>
        <v/>
      </c>
      <c r="J848" s="85"/>
      <c r="K848" s="26"/>
      <c r="L848" s="30"/>
    </row>
    <row r="849" ht="22.5" customHeight="1">
      <c r="A849" s="25"/>
      <c r="B849" s="23"/>
      <c r="C849" s="24"/>
      <c r="D849" s="24"/>
      <c r="E849" s="24"/>
      <c r="F849" s="26"/>
      <c r="G849" s="30"/>
      <c r="H849" s="30">
        <f t="shared" si="7"/>
        <v>0</v>
      </c>
      <c r="I849" s="26" t="str">
        <f t="shared" si="3"/>
        <v/>
      </c>
      <c r="J849" s="85"/>
      <c r="K849" s="26"/>
      <c r="L849" s="30"/>
    </row>
    <row r="850" ht="22.5" customHeight="1">
      <c r="A850" s="25"/>
      <c r="B850" s="23"/>
      <c r="C850" s="24"/>
      <c r="D850" s="24"/>
      <c r="E850" s="24"/>
      <c r="F850" s="26"/>
      <c r="G850" s="30"/>
      <c r="H850" s="30">
        <f t="shared" si="7"/>
        <v>0</v>
      </c>
      <c r="I850" s="26" t="str">
        <f t="shared" si="3"/>
        <v/>
      </c>
      <c r="J850" s="85"/>
      <c r="K850" s="26"/>
      <c r="L850" s="30"/>
    </row>
    <row r="851" ht="22.5" customHeight="1">
      <c r="A851" s="25"/>
      <c r="B851" s="23"/>
      <c r="C851" s="24"/>
      <c r="D851" s="24"/>
      <c r="E851" s="24"/>
      <c r="F851" s="26"/>
      <c r="G851" s="30"/>
      <c r="H851" s="30">
        <f t="shared" si="7"/>
        <v>0</v>
      </c>
      <c r="I851" s="26" t="str">
        <f t="shared" si="3"/>
        <v/>
      </c>
      <c r="J851" s="85"/>
      <c r="K851" s="26"/>
      <c r="L851" s="30"/>
    </row>
    <row r="852" ht="22.5" customHeight="1">
      <c r="A852" s="25"/>
      <c r="B852" s="23"/>
      <c r="C852" s="24"/>
      <c r="D852" s="24"/>
      <c r="E852" s="24"/>
      <c r="F852" s="26"/>
      <c r="G852" s="30"/>
      <c r="H852" s="30">
        <f t="shared" si="7"/>
        <v>0</v>
      </c>
      <c r="I852" s="26" t="str">
        <f t="shared" si="3"/>
        <v/>
      </c>
      <c r="J852" s="85"/>
      <c r="K852" s="26"/>
      <c r="L852" s="30"/>
    </row>
    <row r="853" ht="22.5" customHeight="1">
      <c r="A853" s="25"/>
      <c r="B853" s="23"/>
      <c r="C853" s="24"/>
      <c r="D853" s="24"/>
      <c r="E853" s="24"/>
      <c r="F853" s="26"/>
      <c r="G853" s="30"/>
      <c r="H853" s="30">
        <f t="shared" si="7"/>
        <v>0</v>
      </c>
      <c r="I853" s="26" t="str">
        <f t="shared" si="3"/>
        <v/>
      </c>
      <c r="J853" s="85"/>
      <c r="K853" s="26"/>
      <c r="L853" s="30"/>
    </row>
    <row r="854" ht="22.5" customHeight="1">
      <c r="A854" s="25"/>
      <c r="B854" s="23"/>
      <c r="C854" s="24"/>
      <c r="D854" s="24"/>
      <c r="E854" s="24"/>
      <c r="F854" s="26"/>
      <c r="G854" s="30"/>
      <c r="H854" s="30">
        <f t="shared" si="7"/>
        <v>0</v>
      </c>
      <c r="I854" s="26" t="str">
        <f t="shared" si="3"/>
        <v/>
      </c>
      <c r="J854" s="85"/>
      <c r="K854" s="26"/>
      <c r="L854" s="30"/>
    </row>
    <row r="855" ht="22.5" customHeight="1">
      <c r="A855" s="25"/>
      <c r="B855" s="23"/>
      <c r="C855" s="24"/>
      <c r="D855" s="24"/>
      <c r="E855" s="24"/>
      <c r="F855" s="26"/>
      <c r="G855" s="30"/>
      <c r="H855" s="30">
        <f t="shared" si="7"/>
        <v>0</v>
      </c>
      <c r="I855" s="26" t="str">
        <f t="shared" si="3"/>
        <v/>
      </c>
      <c r="J855" s="85"/>
      <c r="K855" s="26"/>
      <c r="L855" s="30"/>
    </row>
    <row r="856" ht="22.5" customHeight="1">
      <c r="A856" s="25"/>
      <c r="B856" s="23"/>
      <c r="C856" s="24"/>
      <c r="D856" s="24"/>
      <c r="E856" s="24"/>
      <c r="F856" s="26"/>
      <c r="G856" s="30"/>
      <c r="H856" s="30">
        <f t="shared" si="7"/>
        <v>0</v>
      </c>
      <c r="I856" s="26" t="str">
        <f t="shared" si="3"/>
        <v/>
      </c>
      <c r="J856" s="85"/>
      <c r="K856" s="26"/>
      <c r="L856" s="30"/>
    </row>
    <row r="857" ht="22.5" customHeight="1">
      <c r="A857" s="25"/>
      <c r="B857" s="23"/>
      <c r="C857" s="24"/>
      <c r="D857" s="24"/>
      <c r="E857" s="24"/>
      <c r="F857" s="26"/>
      <c r="G857" s="30"/>
      <c r="H857" s="30">
        <f t="shared" si="7"/>
        <v>0</v>
      </c>
      <c r="I857" s="26" t="str">
        <f t="shared" si="3"/>
        <v/>
      </c>
      <c r="J857" s="85"/>
      <c r="K857" s="26"/>
      <c r="L857" s="30"/>
    </row>
    <row r="858" ht="22.5" customHeight="1">
      <c r="A858" s="25"/>
      <c r="B858" s="23"/>
      <c r="C858" s="24"/>
      <c r="D858" s="24"/>
      <c r="E858" s="24"/>
      <c r="F858" s="26"/>
      <c r="G858" s="30"/>
      <c r="H858" s="30">
        <f t="shared" si="7"/>
        <v>0</v>
      </c>
      <c r="I858" s="26" t="str">
        <f t="shared" si="3"/>
        <v/>
      </c>
      <c r="J858" s="85"/>
      <c r="K858" s="26"/>
      <c r="L858" s="30"/>
    </row>
    <row r="859" ht="22.5" customHeight="1">
      <c r="A859" s="25"/>
      <c r="B859" s="23"/>
      <c r="C859" s="24"/>
      <c r="D859" s="24"/>
      <c r="E859" s="24"/>
      <c r="F859" s="26"/>
      <c r="G859" s="30"/>
      <c r="H859" s="30">
        <f t="shared" si="7"/>
        <v>0</v>
      </c>
      <c r="I859" s="26" t="str">
        <f t="shared" si="3"/>
        <v/>
      </c>
      <c r="J859" s="85"/>
      <c r="K859" s="26"/>
      <c r="L859" s="30"/>
    </row>
    <row r="860" ht="22.5" customHeight="1">
      <c r="A860" s="25"/>
      <c r="B860" s="23"/>
      <c r="C860" s="24"/>
      <c r="D860" s="24"/>
      <c r="E860" s="24"/>
      <c r="F860" s="26"/>
      <c r="G860" s="30"/>
      <c r="H860" s="30">
        <f t="shared" si="7"/>
        <v>0</v>
      </c>
      <c r="I860" s="26" t="str">
        <f t="shared" si="3"/>
        <v/>
      </c>
      <c r="J860" s="85"/>
      <c r="K860" s="26"/>
      <c r="L860" s="30"/>
    </row>
    <row r="861" ht="22.5" customHeight="1">
      <c r="A861" s="25"/>
      <c r="B861" s="23"/>
      <c r="C861" s="24"/>
      <c r="D861" s="24"/>
      <c r="E861" s="24"/>
      <c r="F861" s="26"/>
      <c r="G861" s="30"/>
      <c r="H861" s="30">
        <f t="shared" si="7"/>
        <v>0</v>
      </c>
      <c r="I861" s="26" t="str">
        <f t="shared" si="3"/>
        <v/>
      </c>
      <c r="J861" s="85"/>
      <c r="K861" s="26"/>
      <c r="L861" s="30"/>
    </row>
    <row r="862" ht="22.5" customHeight="1">
      <c r="A862" s="25"/>
      <c r="B862" s="23"/>
      <c r="C862" s="24"/>
      <c r="D862" s="24"/>
      <c r="E862" s="24"/>
      <c r="F862" s="26"/>
      <c r="G862" s="30"/>
      <c r="H862" s="30">
        <f t="shared" si="7"/>
        <v>0</v>
      </c>
      <c r="I862" s="26" t="str">
        <f t="shared" si="3"/>
        <v/>
      </c>
      <c r="J862" s="85"/>
      <c r="K862" s="26"/>
      <c r="L862" s="30"/>
    </row>
    <row r="863" ht="22.5" customHeight="1">
      <c r="A863" s="25"/>
      <c r="B863" s="23"/>
      <c r="C863" s="24"/>
      <c r="D863" s="24"/>
      <c r="E863" s="24"/>
      <c r="F863" s="26"/>
      <c r="G863" s="30"/>
      <c r="H863" s="30">
        <f t="shared" si="7"/>
        <v>0</v>
      </c>
      <c r="I863" s="26" t="str">
        <f t="shared" si="3"/>
        <v/>
      </c>
      <c r="J863" s="85"/>
      <c r="K863" s="26"/>
      <c r="L863" s="30"/>
    </row>
    <row r="864" ht="22.5" customHeight="1">
      <c r="A864" s="25"/>
      <c r="B864" s="23"/>
      <c r="C864" s="24"/>
      <c r="D864" s="24"/>
      <c r="E864" s="24"/>
      <c r="F864" s="26"/>
      <c r="G864" s="30"/>
      <c r="H864" s="30">
        <f t="shared" si="7"/>
        <v>0</v>
      </c>
      <c r="I864" s="26" t="str">
        <f t="shared" si="3"/>
        <v/>
      </c>
      <c r="J864" s="85"/>
      <c r="K864" s="26"/>
      <c r="L864" s="30"/>
    </row>
    <row r="865" ht="22.5" customHeight="1">
      <c r="A865" s="25"/>
      <c r="B865" s="23"/>
      <c r="C865" s="24"/>
      <c r="D865" s="24"/>
      <c r="E865" s="24"/>
      <c r="F865" s="26"/>
      <c r="G865" s="30"/>
      <c r="H865" s="30">
        <f t="shared" si="7"/>
        <v>0</v>
      </c>
      <c r="I865" s="26" t="str">
        <f t="shared" si="3"/>
        <v/>
      </c>
      <c r="J865" s="85"/>
      <c r="K865" s="26"/>
      <c r="L865" s="30"/>
    </row>
    <row r="866" ht="22.5" customHeight="1">
      <c r="A866" s="25"/>
      <c r="B866" s="23"/>
      <c r="C866" s="24"/>
      <c r="D866" s="24"/>
      <c r="E866" s="24"/>
      <c r="F866" s="26"/>
      <c r="G866" s="30"/>
      <c r="H866" s="30">
        <f t="shared" si="7"/>
        <v>0</v>
      </c>
      <c r="I866" s="26" t="str">
        <f t="shared" si="3"/>
        <v/>
      </c>
      <c r="J866" s="85"/>
      <c r="K866" s="26"/>
      <c r="L866" s="30"/>
    </row>
    <row r="867" ht="22.5" customHeight="1">
      <c r="A867" s="25"/>
      <c r="B867" s="23"/>
      <c r="C867" s="24"/>
      <c r="D867" s="24"/>
      <c r="E867" s="24"/>
      <c r="F867" s="26"/>
      <c r="G867" s="30"/>
      <c r="H867" s="30">
        <f t="shared" si="7"/>
        <v>0</v>
      </c>
      <c r="I867" s="26" t="str">
        <f t="shared" si="3"/>
        <v/>
      </c>
      <c r="J867" s="85"/>
      <c r="K867" s="26"/>
      <c r="L867" s="30"/>
    </row>
    <row r="868" ht="22.5" customHeight="1">
      <c r="A868" s="25"/>
      <c r="B868" s="23"/>
      <c r="C868" s="24"/>
      <c r="D868" s="24"/>
      <c r="E868" s="24"/>
      <c r="F868" s="26"/>
      <c r="G868" s="30"/>
      <c r="H868" s="30">
        <f t="shared" si="7"/>
        <v>0</v>
      </c>
      <c r="I868" s="26" t="str">
        <f t="shared" si="3"/>
        <v/>
      </c>
      <c r="J868" s="85"/>
      <c r="K868" s="26"/>
      <c r="L868" s="30"/>
    </row>
    <row r="869" ht="22.5" customHeight="1">
      <c r="A869" s="25"/>
      <c r="B869" s="23"/>
      <c r="C869" s="24"/>
      <c r="D869" s="24"/>
      <c r="E869" s="24"/>
      <c r="F869" s="26"/>
      <c r="G869" s="30"/>
      <c r="H869" s="30">
        <f t="shared" si="7"/>
        <v>0</v>
      </c>
      <c r="I869" s="26" t="str">
        <f t="shared" si="3"/>
        <v/>
      </c>
      <c r="J869" s="85"/>
      <c r="K869" s="26"/>
      <c r="L869" s="30"/>
    </row>
    <row r="870" ht="22.5" customHeight="1">
      <c r="A870" s="25"/>
      <c r="B870" s="23"/>
      <c r="C870" s="24"/>
      <c r="D870" s="24"/>
      <c r="E870" s="24"/>
      <c r="F870" s="26"/>
      <c r="G870" s="30"/>
      <c r="H870" s="30">
        <f t="shared" si="7"/>
        <v>0</v>
      </c>
      <c r="I870" s="26" t="str">
        <f t="shared" si="3"/>
        <v/>
      </c>
      <c r="J870" s="85"/>
      <c r="K870" s="26"/>
      <c r="L870" s="30"/>
    </row>
    <row r="871" ht="22.5" customHeight="1">
      <c r="A871" s="25"/>
      <c r="B871" s="23"/>
      <c r="C871" s="24"/>
      <c r="D871" s="24"/>
      <c r="E871" s="24"/>
      <c r="F871" s="26"/>
      <c r="G871" s="30"/>
      <c r="H871" s="30">
        <f t="shared" si="7"/>
        <v>0</v>
      </c>
      <c r="I871" s="26" t="str">
        <f t="shared" si="3"/>
        <v/>
      </c>
      <c r="J871" s="85"/>
      <c r="K871" s="26"/>
      <c r="L871" s="30"/>
    </row>
    <row r="872" ht="22.5" customHeight="1">
      <c r="A872" s="25"/>
      <c r="B872" s="23"/>
      <c r="C872" s="24"/>
      <c r="D872" s="24"/>
      <c r="E872" s="24"/>
      <c r="F872" s="26"/>
      <c r="G872" s="30"/>
      <c r="H872" s="30">
        <f t="shared" si="7"/>
        <v>0</v>
      </c>
      <c r="I872" s="26" t="str">
        <f t="shared" si="3"/>
        <v/>
      </c>
      <c r="J872" s="85"/>
      <c r="K872" s="26"/>
      <c r="L872" s="30"/>
    </row>
    <row r="873" ht="22.5" customHeight="1">
      <c r="A873" s="25"/>
      <c r="B873" s="23"/>
      <c r="C873" s="24"/>
      <c r="D873" s="24"/>
      <c r="E873" s="24"/>
      <c r="F873" s="26"/>
      <c r="G873" s="30"/>
      <c r="H873" s="30">
        <f t="shared" si="7"/>
        <v>0</v>
      </c>
      <c r="I873" s="26" t="str">
        <f t="shared" si="3"/>
        <v/>
      </c>
      <c r="J873" s="85"/>
      <c r="K873" s="26"/>
      <c r="L873" s="30"/>
    </row>
    <row r="874" ht="22.5" customHeight="1">
      <c r="A874" s="25"/>
      <c r="B874" s="23"/>
      <c r="C874" s="24"/>
      <c r="D874" s="24"/>
      <c r="E874" s="24"/>
      <c r="F874" s="26"/>
      <c r="G874" s="30"/>
      <c r="H874" s="30">
        <f t="shared" si="7"/>
        <v>0</v>
      </c>
      <c r="I874" s="26" t="str">
        <f t="shared" si="3"/>
        <v/>
      </c>
      <c r="J874" s="85"/>
      <c r="K874" s="26"/>
      <c r="L874" s="30"/>
    </row>
    <row r="875" ht="22.5" customHeight="1">
      <c r="A875" s="25"/>
      <c r="B875" s="23"/>
      <c r="C875" s="24"/>
      <c r="D875" s="24"/>
      <c r="E875" s="24"/>
      <c r="F875" s="26"/>
      <c r="G875" s="30"/>
      <c r="H875" s="30">
        <f t="shared" si="7"/>
        <v>0</v>
      </c>
      <c r="I875" s="26" t="str">
        <f t="shared" si="3"/>
        <v/>
      </c>
      <c r="J875" s="85"/>
      <c r="K875" s="26"/>
      <c r="L875" s="30"/>
    </row>
    <row r="876" ht="22.5" customHeight="1">
      <c r="A876" s="25"/>
      <c r="B876" s="23"/>
      <c r="C876" s="24"/>
      <c r="D876" s="24"/>
      <c r="E876" s="24"/>
      <c r="F876" s="26"/>
      <c r="G876" s="30"/>
      <c r="H876" s="30">
        <f t="shared" si="7"/>
        <v>0</v>
      </c>
      <c r="I876" s="26" t="str">
        <f t="shared" si="3"/>
        <v/>
      </c>
      <c r="J876" s="85"/>
      <c r="K876" s="26"/>
      <c r="L876" s="30"/>
    </row>
    <row r="877" ht="22.5" customHeight="1">
      <c r="A877" s="25"/>
      <c r="B877" s="23"/>
      <c r="C877" s="24"/>
      <c r="D877" s="24"/>
      <c r="E877" s="24"/>
      <c r="F877" s="26"/>
      <c r="G877" s="30"/>
      <c r="H877" s="30">
        <f t="shared" si="7"/>
        <v>0</v>
      </c>
      <c r="I877" s="26" t="str">
        <f t="shared" si="3"/>
        <v/>
      </c>
      <c r="J877" s="85"/>
      <c r="K877" s="26"/>
      <c r="L877" s="30"/>
    </row>
    <row r="878" ht="22.5" customHeight="1">
      <c r="A878" s="25"/>
      <c r="B878" s="23"/>
      <c r="C878" s="24"/>
      <c r="D878" s="24"/>
      <c r="E878" s="24"/>
      <c r="F878" s="26"/>
      <c r="G878" s="30"/>
      <c r="H878" s="30">
        <f t="shared" si="7"/>
        <v>0</v>
      </c>
      <c r="I878" s="26" t="str">
        <f t="shared" si="3"/>
        <v/>
      </c>
      <c r="J878" s="85"/>
      <c r="K878" s="26"/>
      <c r="L878" s="30"/>
    </row>
    <row r="879" ht="22.5" customHeight="1">
      <c r="A879" s="25"/>
      <c r="B879" s="23"/>
      <c r="C879" s="24"/>
      <c r="D879" s="24"/>
      <c r="E879" s="24"/>
      <c r="F879" s="26"/>
      <c r="G879" s="30"/>
      <c r="H879" s="30">
        <f t="shared" si="7"/>
        <v>0</v>
      </c>
      <c r="I879" s="26" t="str">
        <f t="shared" si="3"/>
        <v/>
      </c>
      <c r="J879" s="85"/>
      <c r="K879" s="26"/>
      <c r="L879" s="30"/>
    </row>
    <row r="880" ht="22.5" customHeight="1">
      <c r="A880" s="25"/>
      <c r="B880" s="23"/>
      <c r="C880" s="24"/>
      <c r="D880" s="24"/>
      <c r="E880" s="24"/>
      <c r="F880" s="26"/>
      <c r="G880" s="30"/>
      <c r="H880" s="30">
        <f t="shared" si="7"/>
        <v>0</v>
      </c>
      <c r="I880" s="26" t="str">
        <f t="shared" si="3"/>
        <v/>
      </c>
      <c r="J880" s="85"/>
      <c r="K880" s="26"/>
      <c r="L880" s="30"/>
    </row>
    <row r="881" ht="22.5" customHeight="1">
      <c r="A881" s="25"/>
      <c r="B881" s="23"/>
      <c r="C881" s="24"/>
      <c r="D881" s="24"/>
      <c r="E881" s="24"/>
      <c r="F881" s="26"/>
      <c r="G881" s="30"/>
      <c r="H881" s="30">
        <f t="shared" si="7"/>
        <v>0</v>
      </c>
      <c r="I881" s="26" t="str">
        <f t="shared" si="3"/>
        <v/>
      </c>
      <c r="J881" s="85"/>
      <c r="K881" s="26"/>
      <c r="L881" s="30"/>
    </row>
    <row r="882" ht="22.5" customHeight="1">
      <c r="A882" s="25"/>
      <c r="B882" s="23"/>
      <c r="C882" s="24"/>
      <c r="D882" s="24"/>
      <c r="E882" s="24"/>
      <c r="F882" s="26"/>
      <c r="G882" s="30"/>
      <c r="H882" s="30">
        <f t="shared" si="7"/>
        <v>0</v>
      </c>
      <c r="I882" s="26" t="str">
        <f t="shared" si="3"/>
        <v/>
      </c>
      <c r="J882" s="85"/>
      <c r="K882" s="26"/>
      <c r="L882" s="30"/>
    </row>
    <row r="883" ht="22.5" customHeight="1">
      <c r="A883" s="25"/>
      <c r="B883" s="23"/>
      <c r="C883" s="24"/>
      <c r="D883" s="24"/>
      <c r="E883" s="24"/>
      <c r="F883" s="26"/>
      <c r="G883" s="30"/>
      <c r="H883" s="30">
        <f t="shared" si="7"/>
        <v>0</v>
      </c>
      <c r="I883" s="26" t="str">
        <f t="shared" si="3"/>
        <v/>
      </c>
      <c r="J883" s="85"/>
      <c r="K883" s="26"/>
      <c r="L883" s="30"/>
    </row>
    <row r="884" ht="22.5" customHeight="1">
      <c r="A884" s="25"/>
      <c r="B884" s="23"/>
      <c r="C884" s="24"/>
      <c r="D884" s="24"/>
      <c r="E884" s="24"/>
      <c r="F884" s="26"/>
      <c r="G884" s="30"/>
      <c r="H884" s="30">
        <f t="shared" si="7"/>
        <v>0</v>
      </c>
      <c r="I884" s="26" t="str">
        <f t="shared" si="3"/>
        <v/>
      </c>
      <c r="J884" s="85"/>
      <c r="K884" s="26"/>
      <c r="L884" s="30"/>
    </row>
    <row r="885" ht="22.5" customHeight="1">
      <c r="A885" s="25"/>
      <c r="B885" s="23"/>
      <c r="C885" s="24"/>
      <c r="D885" s="24"/>
      <c r="E885" s="24"/>
      <c r="F885" s="26"/>
      <c r="G885" s="30"/>
      <c r="H885" s="30">
        <f t="shared" si="7"/>
        <v>0</v>
      </c>
      <c r="I885" s="26" t="str">
        <f t="shared" si="3"/>
        <v/>
      </c>
      <c r="J885" s="85"/>
      <c r="K885" s="26"/>
      <c r="L885" s="30"/>
    </row>
    <row r="886" ht="22.5" customHeight="1">
      <c r="A886" s="25"/>
      <c r="B886" s="23"/>
      <c r="C886" s="24"/>
      <c r="D886" s="24"/>
      <c r="E886" s="24"/>
      <c r="F886" s="26"/>
      <c r="G886" s="30"/>
      <c r="H886" s="30">
        <f t="shared" si="7"/>
        <v>0</v>
      </c>
      <c r="I886" s="26" t="str">
        <f t="shared" si="3"/>
        <v/>
      </c>
      <c r="J886" s="85"/>
      <c r="K886" s="26"/>
      <c r="L886" s="30"/>
    </row>
    <row r="887" ht="22.5" customHeight="1">
      <c r="A887" s="25"/>
      <c r="B887" s="23"/>
      <c r="C887" s="24"/>
      <c r="D887" s="24"/>
      <c r="E887" s="24"/>
      <c r="F887" s="26"/>
      <c r="G887" s="30"/>
      <c r="H887" s="30">
        <f t="shared" si="7"/>
        <v>0</v>
      </c>
      <c r="I887" s="26" t="str">
        <f t="shared" si="3"/>
        <v/>
      </c>
      <c r="J887" s="85"/>
      <c r="K887" s="26"/>
      <c r="L887" s="30"/>
    </row>
    <row r="888" ht="22.5" customHeight="1">
      <c r="A888" s="25"/>
      <c r="B888" s="23"/>
      <c r="C888" s="24"/>
      <c r="D888" s="24"/>
      <c r="E888" s="24"/>
      <c r="F888" s="26"/>
      <c r="G888" s="30"/>
      <c r="H888" s="30">
        <f t="shared" si="7"/>
        <v>0</v>
      </c>
      <c r="I888" s="26" t="str">
        <f t="shared" si="3"/>
        <v/>
      </c>
      <c r="J888" s="85"/>
      <c r="K888" s="26"/>
      <c r="L888" s="30"/>
    </row>
    <row r="889" ht="22.5" customHeight="1">
      <c r="A889" s="25"/>
      <c r="B889" s="23"/>
      <c r="C889" s="24"/>
      <c r="D889" s="24"/>
      <c r="E889" s="24"/>
      <c r="F889" s="26"/>
      <c r="G889" s="30"/>
      <c r="H889" s="30">
        <f t="shared" si="7"/>
        <v>0</v>
      </c>
      <c r="I889" s="26" t="str">
        <f t="shared" si="3"/>
        <v/>
      </c>
      <c r="J889" s="85"/>
      <c r="K889" s="26"/>
      <c r="L889" s="30"/>
    </row>
    <row r="890" ht="22.5" customHeight="1">
      <c r="A890" s="25"/>
      <c r="B890" s="23"/>
      <c r="C890" s="24"/>
      <c r="D890" s="24"/>
      <c r="E890" s="24"/>
      <c r="F890" s="26"/>
      <c r="G890" s="30"/>
      <c r="H890" s="30">
        <f t="shared" si="7"/>
        <v>0</v>
      </c>
      <c r="I890" s="26" t="str">
        <f t="shared" si="3"/>
        <v/>
      </c>
      <c r="J890" s="85"/>
      <c r="K890" s="26"/>
      <c r="L890" s="30"/>
    </row>
    <row r="891" ht="22.5" customHeight="1">
      <c r="A891" s="25"/>
      <c r="B891" s="23"/>
      <c r="C891" s="24"/>
      <c r="D891" s="24"/>
      <c r="E891" s="24"/>
      <c r="F891" s="26"/>
      <c r="G891" s="30"/>
      <c r="H891" s="30">
        <f t="shared" si="7"/>
        <v>0</v>
      </c>
      <c r="I891" s="26" t="str">
        <f t="shared" si="3"/>
        <v/>
      </c>
      <c r="J891" s="85"/>
      <c r="K891" s="26"/>
      <c r="L891" s="30"/>
    </row>
    <row r="892" ht="22.5" customHeight="1">
      <c r="A892" s="25"/>
      <c r="B892" s="23"/>
      <c r="C892" s="24"/>
      <c r="D892" s="24"/>
      <c r="E892" s="24"/>
      <c r="F892" s="26"/>
      <c r="G892" s="30"/>
      <c r="H892" s="30">
        <f t="shared" si="7"/>
        <v>0</v>
      </c>
      <c r="I892" s="26" t="str">
        <f t="shared" si="3"/>
        <v/>
      </c>
      <c r="J892" s="85"/>
      <c r="K892" s="26"/>
      <c r="L892" s="30"/>
    </row>
    <row r="893" ht="22.5" customHeight="1">
      <c r="A893" s="25"/>
      <c r="B893" s="23"/>
      <c r="C893" s="24"/>
      <c r="D893" s="24"/>
      <c r="E893" s="24"/>
      <c r="F893" s="26"/>
      <c r="G893" s="30"/>
      <c r="H893" s="30">
        <f t="shared" si="7"/>
        <v>0</v>
      </c>
      <c r="I893" s="26" t="str">
        <f t="shared" si="3"/>
        <v/>
      </c>
      <c r="J893" s="85"/>
      <c r="K893" s="26"/>
      <c r="L893" s="30"/>
    </row>
    <row r="894" ht="22.5" customHeight="1">
      <c r="A894" s="25"/>
      <c r="B894" s="23"/>
      <c r="C894" s="24"/>
      <c r="D894" s="24"/>
      <c r="E894" s="24"/>
      <c r="F894" s="26"/>
      <c r="G894" s="30"/>
      <c r="H894" s="30">
        <f t="shared" si="7"/>
        <v>0</v>
      </c>
      <c r="I894" s="26" t="str">
        <f t="shared" si="3"/>
        <v/>
      </c>
      <c r="J894" s="85"/>
      <c r="K894" s="26"/>
      <c r="L894" s="30"/>
    </row>
    <row r="895" ht="22.5" customHeight="1">
      <c r="A895" s="25"/>
      <c r="B895" s="23"/>
      <c r="C895" s="24"/>
      <c r="D895" s="24"/>
      <c r="E895" s="24"/>
      <c r="F895" s="26"/>
      <c r="G895" s="30"/>
      <c r="H895" s="30">
        <f t="shared" si="7"/>
        <v>0</v>
      </c>
      <c r="I895" s="26" t="str">
        <f t="shared" si="3"/>
        <v/>
      </c>
      <c r="J895" s="85"/>
      <c r="K895" s="26"/>
      <c r="L895" s="30"/>
    </row>
    <row r="896" ht="22.5" customHeight="1">
      <c r="A896" s="25"/>
      <c r="B896" s="23"/>
      <c r="C896" s="24"/>
      <c r="D896" s="24"/>
      <c r="E896" s="24"/>
      <c r="F896" s="26"/>
      <c r="G896" s="30"/>
      <c r="H896" s="30">
        <f t="shared" si="7"/>
        <v>0</v>
      </c>
      <c r="I896" s="26" t="str">
        <f t="shared" si="3"/>
        <v/>
      </c>
      <c r="J896" s="85"/>
      <c r="K896" s="26"/>
      <c r="L896" s="30"/>
    </row>
    <row r="897" ht="22.5" customHeight="1">
      <c r="A897" s="25"/>
      <c r="B897" s="23"/>
      <c r="C897" s="24"/>
      <c r="D897" s="24"/>
      <c r="E897" s="24"/>
      <c r="F897" s="26"/>
      <c r="G897" s="30"/>
      <c r="H897" s="30">
        <f t="shared" si="7"/>
        <v>0</v>
      </c>
      <c r="I897" s="26" t="str">
        <f t="shared" si="3"/>
        <v/>
      </c>
      <c r="J897" s="85"/>
      <c r="K897" s="26"/>
      <c r="L897" s="30"/>
    </row>
    <row r="898" ht="22.5" customHeight="1">
      <c r="A898" s="25"/>
      <c r="B898" s="23"/>
      <c r="C898" s="24"/>
      <c r="D898" s="24"/>
      <c r="E898" s="24"/>
      <c r="F898" s="26"/>
      <c r="G898" s="30"/>
      <c r="H898" s="30">
        <f t="shared" si="7"/>
        <v>0</v>
      </c>
      <c r="I898" s="26" t="str">
        <f t="shared" si="3"/>
        <v/>
      </c>
      <c r="J898" s="85"/>
      <c r="K898" s="26"/>
      <c r="L898" s="30"/>
    </row>
    <row r="899" ht="22.5" customHeight="1">
      <c r="A899" s="25"/>
      <c r="B899" s="23"/>
      <c r="C899" s="24"/>
      <c r="D899" s="24"/>
      <c r="E899" s="24"/>
      <c r="F899" s="26"/>
      <c r="G899" s="30"/>
      <c r="H899" s="30">
        <f t="shared" si="7"/>
        <v>0</v>
      </c>
      <c r="I899" s="26" t="str">
        <f t="shared" si="3"/>
        <v/>
      </c>
      <c r="J899" s="85"/>
      <c r="K899" s="26"/>
      <c r="L899" s="30"/>
    </row>
    <row r="900" ht="22.5" customHeight="1">
      <c r="A900" s="25"/>
      <c r="B900" s="23"/>
      <c r="C900" s="24"/>
      <c r="D900" s="24"/>
      <c r="E900" s="24"/>
      <c r="F900" s="26"/>
      <c r="G900" s="30"/>
      <c r="H900" s="30">
        <f t="shared" si="7"/>
        <v>0</v>
      </c>
      <c r="I900" s="26" t="str">
        <f t="shared" si="3"/>
        <v/>
      </c>
      <c r="J900" s="85"/>
      <c r="K900" s="26"/>
      <c r="L900" s="30"/>
    </row>
    <row r="901" ht="22.5" customHeight="1">
      <c r="A901" s="25"/>
      <c r="B901" s="23"/>
      <c r="C901" s="24"/>
      <c r="D901" s="24"/>
      <c r="E901" s="24"/>
      <c r="F901" s="26"/>
      <c r="G901" s="30"/>
      <c r="H901" s="30">
        <f t="shared" si="7"/>
        <v>0</v>
      </c>
      <c r="I901" s="26" t="str">
        <f t="shared" si="3"/>
        <v/>
      </c>
      <c r="J901" s="85"/>
      <c r="K901" s="26"/>
      <c r="L901" s="30"/>
    </row>
    <row r="902" ht="22.5" customHeight="1">
      <c r="A902" s="25"/>
      <c r="B902" s="23"/>
      <c r="C902" s="24"/>
      <c r="D902" s="24"/>
      <c r="E902" s="24"/>
      <c r="F902" s="26"/>
      <c r="G902" s="30"/>
      <c r="H902" s="30">
        <f t="shared" si="7"/>
        <v>0</v>
      </c>
      <c r="I902" s="26" t="str">
        <f t="shared" si="3"/>
        <v/>
      </c>
      <c r="J902" s="85"/>
      <c r="K902" s="26"/>
      <c r="L902" s="30"/>
    </row>
    <row r="903" ht="22.5" customHeight="1">
      <c r="A903" s="25"/>
      <c r="B903" s="23"/>
      <c r="C903" s="24"/>
      <c r="D903" s="24"/>
      <c r="E903" s="24"/>
      <c r="F903" s="26"/>
      <c r="G903" s="30"/>
      <c r="H903" s="30">
        <f t="shared" si="7"/>
        <v>0</v>
      </c>
      <c r="I903" s="26" t="str">
        <f t="shared" si="3"/>
        <v/>
      </c>
      <c r="J903" s="85"/>
      <c r="K903" s="26"/>
      <c r="L903" s="30"/>
    </row>
    <row r="904" ht="22.5" customHeight="1">
      <c r="A904" s="25"/>
      <c r="B904" s="23"/>
      <c r="C904" s="24"/>
      <c r="D904" s="24"/>
      <c r="E904" s="24"/>
      <c r="F904" s="26"/>
      <c r="G904" s="30"/>
      <c r="H904" s="30">
        <f t="shared" si="7"/>
        <v>0</v>
      </c>
      <c r="I904" s="26" t="str">
        <f t="shared" si="3"/>
        <v/>
      </c>
      <c r="J904" s="85"/>
      <c r="K904" s="26"/>
      <c r="L904" s="30"/>
    </row>
    <row r="905" ht="22.5" customHeight="1">
      <c r="A905" s="25"/>
      <c r="B905" s="23"/>
      <c r="C905" s="24"/>
      <c r="D905" s="24"/>
      <c r="E905" s="24"/>
      <c r="F905" s="26"/>
      <c r="G905" s="30"/>
      <c r="H905" s="30">
        <f t="shared" si="7"/>
        <v>0</v>
      </c>
      <c r="I905" s="26" t="str">
        <f t="shared" si="3"/>
        <v/>
      </c>
      <c r="J905" s="85"/>
      <c r="K905" s="26"/>
      <c r="L905" s="30"/>
    </row>
    <row r="906" ht="22.5" customHeight="1">
      <c r="A906" s="25"/>
      <c r="B906" s="23"/>
      <c r="C906" s="24"/>
      <c r="D906" s="24"/>
      <c r="E906" s="24"/>
      <c r="F906" s="26"/>
      <c r="G906" s="30"/>
      <c r="H906" s="30">
        <f t="shared" si="7"/>
        <v>0</v>
      </c>
      <c r="I906" s="26" t="str">
        <f t="shared" si="3"/>
        <v/>
      </c>
      <c r="J906" s="85"/>
      <c r="K906" s="26"/>
      <c r="L906" s="30"/>
    </row>
    <row r="907" ht="22.5" customHeight="1">
      <c r="A907" s="25"/>
      <c r="B907" s="23"/>
      <c r="C907" s="24"/>
      <c r="D907" s="24"/>
      <c r="E907" s="24"/>
      <c r="F907" s="26"/>
      <c r="G907" s="30"/>
      <c r="H907" s="30">
        <f t="shared" si="7"/>
        <v>0</v>
      </c>
      <c r="I907" s="26" t="str">
        <f t="shared" si="3"/>
        <v/>
      </c>
      <c r="J907" s="85"/>
      <c r="K907" s="26"/>
      <c r="L907" s="30"/>
    </row>
    <row r="908" ht="22.5" customHeight="1">
      <c r="A908" s="25"/>
      <c r="B908" s="23"/>
      <c r="C908" s="24"/>
      <c r="D908" s="24"/>
      <c r="E908" s="24"/>
      <c r="F908" s="26"/>
      <c r="G908" s="30"/>
      <c r="H908" s="30">
        <f t="shared" si="7"/>
        <v>0</v>
      </c>
      <c r="I908" s="26" t="str">
        <f t="shared" si="3"/>
        <v/>
      </c>
      <c r="J908" s="85"/>
      <c r="K908" s="26"/>
      <c r="L908" s="30"/>
    </row>
    <row r="909" ht="22.5" customHeight="1">
      <c r="A909" s="25"/>
      <c r="B909" s="23"/>
      <c r="C909" s="24"/>
      <c r="D909" s="24"/>
      <c r="E909" s="24"/>
      <c r="F909" s="26"/>
      <c r="G909" s="30"/>
      <c r="H909" s="30">
        <f t="shared" si="7"/>
        <v>0</v>
      </c>
      <c r="I909" s="26" t="str">
        <f t="shared" si="3"/>
        <v/>
      </c>
      <c r="J909" s="85"/>
      <c r="K909" s="26"/>
      <c r="L909" s="30"/>
    </row>
    <row r="910" ht="22.5" customHeight="1">
      <c r="A910" s="25"/>
      <c r="B910" s="23"/>
      <c r="C910" s="24"/>
      <c r="D910" s="24"/>
      <c r="E910" s="24"/>
      <c r="F910" s="26"/>
      <c r="G910" s="30"/>
      <c r="H910" s="30">
        <f t="shared" si="7"/>
        <v>0</v>
      </c>
      <c r="I910" s="26" t="str">
        <f t="shared" si="3"/>
        <v/>
      </c>
      <c r="J910" s="85"/>
      <c r="K910" s="26"/>
      <c r="L910" s="30"/>
    </row>
    <row r="911" ht="22.5" customHeight="1">
      <c r="A911" s="25"/>
      <c r="B911" s="23"/>
      <c r="C911" s="24"/>
      <c r="D911" s="24"/>
      <c r="E911" s="24"/>
      <c r="F911" s="26"/>
      <c r="G911" s="30"/>
      <c r="H911" s="30">
        <f t="shared" si="7"/>
        <v>0</v>
      </c>
      <c r="I911" s="26" t="str">
        <f t="shared" si="3"/>
        <v/>
      </c>
      <c r="J911" s="85"/>
      <c r="K911" s="26"/>
      <c r="L911" s="30"/>
    </row>
    <row r="912" ht="22.5" customHeight="1">
      <c r="A912" s="25"/>
      <c r="B912" s="23"/>
      <c r="C912" s="24"/>
      <c r="D912" s="24"/>
      <c r="E912" s="24"/>
      <c r="F912" s="26"/>
      <c r="G912" s="30"/>
      <c r="H912" s="30">
        <f t="shared" si="7"/>
        <v>0</v>
      </c>
      <c r="I912" s="26" t="str">
        <f t="shared" si="3"/>
        <v/>
      </c>
      <c r="J912" s="85"/>
      <c r="K912" s="26"/>
      <c r="L912" s="30"/>
    </row>
    <row r="913" ht="22.5" customHeight="1">
      <c r="A913" s="25"/>
      <c r="B913" s="23"/>
      <c r="C913" s="24"/>
      <c r="D913" s="24"/>
      <c r="E913" s="24"/>
      <c r="F913" s="26"/>
      <c r="G913" s="30"/>
      <c r="H913" s="30">
        <f t="shared" si="7"/>
        <v>0</v>
      </c>
      <c r="I913" s="26" t="str">
        <f t="shared" si="3"/>
        <v/>
      </c>
      <c r="J913" s="85"/>
      <c r="K913" s="26"/>
      <c r="L913" s="30"/>
    </row>
    <row r="914" ht="22.5" customHeight="1">
      <c r="A914" s="25"/>
      <c r="B914" s="23"/>
      <c r="C914" s="24"/>
      <c r="D914" s="24"/>
      <c r="E914" s="24"/>
      <c r="F914" s="26"/>
      <c r="G914" s="30"/>
      <c r="H914" s="30">
        <f t="shared" si="7"/>
        <v>0</v>
      </c>
      <c r="I914" s="26" t="str">
        <f t="shared" si="3"/>
        <v/>
      </c>
      <c r="J914" s="85"/>
      <c r="K914" s="26"/>
      <c r="L914" s="30"/>
    </row>
    <row r="915" ht="22.5" customHeight="1">
      <c r="A915" s="25"/>
      <c r="B915" s="23"/>
      <c r="C915" s="24"/>
      <c r="D915" s="24"/>
      <c r="E915" s="24"/>
      <c r="F915" s="26"/>
      <c r="G915" s="30"/>
      <c r="H915" s="30">
        <f t="shared" si="7"/>
        <v>0</v>
      </c>
      <c r="I915" s="26" t="str">
        <f t="shared" si="3"/>
        <v/>
      </c>
      <c r="J915" s="85"/>
      <c r="K915" s="26"/>
      <c r="L915" s="30"/>
    </row>
    <row r="916" ht="22.5" customHeight="1">
      <c r="A916" s="25"/>
      <c r="B916" s="23"/>
      <c r="C916" s="24"/>
      <c r="D916" s="24"/>
      <c r="E916" s="24"/>
      <c r="F916" s="26"/>
      <c r="G916" s="30"/>
      <c r="H916" s="30">
        <f t="shared" si="7"/>
        <v>0</v>
      </c>
      <c r="I916" s="26" t="str">
        <f t="shared" si="3"/>
        <v/>
      </c>
      <c r="J916" s="85"/>
      <c r="K916" s="26"/>
      <c r="L916" s="30"/>
    </row>
    <row r="917" ht="22.5" customHeight="1">
      <c r="A917" s="25"/>
      <c r="B917" s="23"/>
      <c r="C917" s="24"/>
      <c r="D917" s="24"/>
      <c r="E917" s="24"/>
      <c r="F917" s="26"/>
      <c r="G917" s="30"/>
      <c r="H917" s="30">
        <f t="shared" si="7"/>
        <v>0</v>
      </c>
      <c r="I917" s="26" t="str">
        <f t="shared" si="3"/>
        <v/>
      </c>
      <c r="J917" s="85"/>
      <c r="K917" s="26"/>
      <c r="L917" s="30"/>
    </row>
    <row r="918" ht="22.5" customHeight="1">
      <c r="A918" s="25"/>
      <c r="B918" s="23"/>
      <c r="C918" s="24"/>
      <c r="D918" s="24"/>
      <c r="E918" s="24"/>
      <c r="F918" s="26"/>
      <c r="G918" s="30"/>
      <c r="H918" s="30">
        <f t="shared" si="7"/>
        <v>0</v>
      </c>
      <c r="I918" s="26" t="str">
        <f t="shared" si="3"/>
        <v/>
      </c>
      <c r="J918" s="85"/>
      <c r="K918" s="26"/>
      <c r="L918" s="30"/>
    </row>
    <row r="919" ht="22.5" customHeight="1">
      <c r="A919" s="25"/>
      <c r="B919" s="23"/>
      <c r="C919" s="24"/>
      <c r="D919" s="24"/>
      <c r="E919" s="24"/>
      <c r="F919" s="26"/>
      <c r="G919" s="30"/>
      <c r="H919" s="30">
        <f t="shared" si="7"/>
        <v>0</v>
      </c>
      <c r="I919" s="26" t="str">
        <f t="shared" si="3"/>
        <v/>
      </c>
      <c r="J919" s="85"/>
      <c r="K919" s="26"/>
      <c r="L919" s="30"/>
    </row>
    <row r="920" ht="22.5" customHeight="1">
      <c r="A920" s="25"/>
      <c r="B920" s="23"/>
      <c r="C920" s="24"/>
      <c r="D920" s="24"/>
      <c r="E920" s="24"/>
      <c r="F920" s="26"/>
      <c r="G920" s="30"/>
      <c r="H920" s="30">
        <f t="shared" si="7"/>
        <v>0</v>
      </c>
      <c r="I920" s="26" t="str">
        <f t="shared" si="3"/>
        <v/>
      </c>
      <c r="J920" s="85"/>
      <c r="K920" s="26"/>
      <c r="L920" s="30"/>
    </row>
    <row r="921" ht="22.5" customHeight="1">
      <c r="A921" s="25"/>
      <c r="B921" s="23"/>
      <c r="C921" s="24"/>
      <c r="D921" s="24"/>
      <c r="E921" s="24"/>
      <c r="F921" s="26"/>
      <c r="G921" s="30"/>
      <c r="H921" s="30">
        <f t="shared" si="7"/>
        <v>0</v>
      </c>
      <c r="I921" s="26" t="str">
        <f t="shared" si="3"/>
        <v/>
      </c>
      <c r="J921" s="85"/>
      <c r="K921" s="26"/>
      <c r="L921" s="30"/>
    </row>
    <row r="922" ht="22.5" customHeight="1">
      <c r="A922" s="25"/>
      <c r="B922" s="23"/>
      <c r="C922" s="24"/>
      <c r="D922" s="24"/>
      <c r="E922" s="24"/>
      <c r="F922" s="26"/>
      <c r="G922" s="30"/>
      <c r="H922" s="30">
        <f t="shared" si="7"/>
        <v>0</v>
      </c>
      <c r="I922" s="26" t="str">
        <f t="shared" si="3"/>
        <v/>
      </c>
      <c r="J922" s="85"/>
      <c r="K922" s="26"/>
      <c r="L922" s="30"/>
    </row>
    <row r="923" ht="22.5" customHeight="1">
      <c r="A923" s="25"/>
      <c r="B923" s="23"/>
      <c r="C923" s="24"/>
      <c r="D923" s="24"/>
      <c r="E923" s="24"/>
      <c r="F923" s="26"/>
      <c r="G923" s="30"/>
      <c r="H923" s="30">
        <f t="shared" si="7"/>
        <v>0</v>
      </c>
      <c r="I923" s="26" t="str">
        <f t="shared" si="3"/>
        <v/>
      </c>
      <c r="J923" s="85"/>
      <c r="K923" s="26"/>
      <c r="L923" s="30"/>
    </row>
    <row r="924" ht="22.5" customHeight="1">
      <c r="A924" s="25"/>
      <c r="B924" s="23"/>
      <c r="C924" s="24"/>
      <c r="D924" s="24"/>
      <c r="E924" s="24"/>
      <c r="F924" s="26"/>
      <c r="G924" s="30"/>
      <c r="H924" s="30">
        <f t="shared" si="7"/>
        <v>0</v>
      </c>
      <c r="I924" s="26" t="str">
        <f t="shared" si="3"/>
        <v/>
      </c>
      <c r="J924" s="85"/>
      <c r="K924" s="26"/>
      <c r="L924" s="30"/>
    </row>
    <row r="925" ht="22.5" customHeight="1">
      <c r="A925" s="25"/>
      <c r="B925" s="23"/>
      <c r="C925" s="24"/>
      <c r="D925" s="24"/>
      <c r="E925" s="24"/>
      <c r="F925" s="26"/>
      <c r="G925" s="30"/>
      <c r="H925" s="30">
        <f t="shared" si="7"/>
        <v>0</v>
      </c>
      <c r="I925" s="26" t="str">
        <f t="shared" si="3"/>
        <v/>
      </c>
      <c r="J925" s="85"/>
      <c r="K925" s="26"/>
      <c r="L925" s="30"/>
    </row>
    <row r="926" ht="22.5" customHeight="1">
      <c r="A926" s="25"/>
      <c r="B926" s="23"/>
      <c r="C926" s="24"/>
      <c r="D926" s="24"/>
      <c r="E926" s="24"/>
      <c r="F926" s="26"/>
      <c r="G926" s="30"/>
      <c r="H926" s="30">
        <f t="shared" si="7"/>
        <v>0</v>
      </c>
      <c r="I926" s="26" t="str">
        <f t="shared" si="3"/>
        <v/>
      </c>
      <c r="J926" s="85"/>
      <c r="K926" s="26"/>
      <c r="L926" s="30"/>
    </row>
    <row r="927" ht="22.5" customHeight="1">
      <c r="A927" s="25"/>
      <c r="B927" s="23"/>
      <c r="C927" s="24"/>
      <c r="D927" s="24"/>
      <c r="E927" s="24"/>
      <c r="F927" s="26"/>
      <c r="G927" s="30"/>
      <c r="H927" s="30">
        <f t="shared" si="7"/>
        <v>0</v>
      </c>
      <c r="I927" s="26" t="str">
        <f t="shared" si="3"/>
        <v/>
      </c>
      <c r="J927" s="85"/>
      <c r="K927" s="26"/>
      <c r="L927" s="30"/>
    </row>
    <row r="928" ht="22.5" customHeight="1">
      <c r="A928" s="25"/>
      <c r="B928" s="23"/>
      <c r="C928" s="24"/>
      <c r="D928" s="24"/>
      <c r="E928" s="24"/>
      <c r="F928" s="26"/>
      <c r="G928" s="30"/>
      <c r="H928" s="30">
        <f t="shared" si="7"/>
        <v>0</v>
      </c>
      <c r="I928" s="26" t="str">
        <f t="shared" si="3"/>
        <v/>
      </c>
      <c r="J928" s="85"/>
      <c r="K928" s="26"/>
      <c r="L928" s="30"/>
    </row>
    <row r="929" ht="22.5" customHeight="1">
      <c r="A929" s="25"/>
      <c r="B929" s="23"/>
      <c r="C929" s="24"/>
      <c r="D929" s="24"/>
      <c r="E929" s="24"/>
      <c r="F929" s="26"/>
      <c r="G929" s="30"/>
      <c r="H929" s="30">
        <f t="shared" si="7"/>
        <v>0</v>
      </c>
      <c r="I929" s="26" t="str">
        <f t="shared" si="3"/>
        <v/>
      </c>
      <c r="J929" s="85"/>
      <c r="K929" s="26"/>
      <c r="L929" s="30"/>
    </row>
    <row r="930" ht="22.5" customHeight="1">
      <c r="A930" s="25"/>
      <c r="B930" s="23"/>
      <c r="C930" s="24"/>
      <c r="D930" s="24"/>
      <c r="E930" s="24"/>
      <c r="F930" s="26"/>
      <c r="G930" s="30"/>
      <c r="H930" s="30">
        <f t="shared" si="7"/>
        <v>0</v>
      </c>
      <c r="I930" s="26" t="str">
        <f t="shared" si="3"/>
        <v/>
      </c>
      <c r="J930" s="85"/>
      <c r="K930" s="26"/>
      <c r="L930" s="30"/>
    </row>
    <row r="931" ht="22.5" customHeight="1">
      <c r="A931" s="25"/>
      <c r="B931" s="23"/>
      <c r="C931" s="24"/>
      <c r="D931" s="24"/>
      <c r="E931" s="24"/>
      <c r="F931" s="26"/>
      <c r="G931" s="30"/>
      <c r="H931" s="30">
        <f t="shared" si="7"/>
        <v>0</v>
      </c>
      <c r="I931" s="26" t="str">
        <f t="shared" si="3"/>
        <v/>
      </c>
      <c r="J931" s="85"/>
      <c r="K931" s="26"/>
      <c r="L931" s="30"/>
    </row>
    <row r="932" ht="22.5" customHeight="1">
      <c r="A932" s="25"/>
      <c r="B932" s="23"/>
      <c r="C932" s="24"/>
      <c r="D932" s="24"/>
      <c r="E932" s="24"/>
      <c r="F932" s="26"/>
      <c r="G932" s="30"/>
      <c r="H932" s="30">
        <f t="shared" si="7"/>
        <v>0</v>
      </c>
      <c r="I932" s="26" t="str">
        <f t="shared" si="3"/>
        <v/>
      </c>
      <c r="J932" s="85"/>
      <c r="K932" s="26"/>
      <c r="L932" s="30"/>
    </row>
    <row r="933" ht="22.5" customHeight="1">
      <c r="A933" s="25"/>
      <c r="B933" s="23"/>
      <c r="C933" s="24"/>
      <c r="D933" s="24"/>
      <c r="E933" s="24"/>
      <c r="F933" s="26"/>
      <c r="G933" s="30"/>
      <c r="H933" s="30">
        <f t="shared" si="7"/>
        <v>0</v>
      </c>
      <c r="I933" s="26" t="str">
        <f t="shared" si="3"/>
        <v/>
      </c>
      <c r="J933" s="85"/>
      <c r="K933" s="26"/>
      <c r="L933" s="30"/>
    </row>
    <row r="934" ht="22.5" customHeight="1">
      <c r="A934" s="25"/>
      <c r="B934" s="23"/>
      <c r="C934" s="24"/>
      <c r="D934" s="24"/>
      <c r="E934" s="24"/>
      <c r="F934" s="26"/>
      <c r="G934" s="30"/>
      <c r="H934" s="30">
        <f t="shared" si="7"/>
        <v>0</v>
      </c>
      <c r="I934" s="26" t="str">
        <f t="shared" si="3"/>
        <v/>
      </c>
      <c r="J934" s="85"/>
      <c r="K934" s="26"/>
      <c r="L934" s="30"/>
    </row>
    <row r="935" ht="22.5" customHeight="1">
      <c r="A935" s="25"/>
      <c r="B935" s="23"/>
      <c r="C935" s="24"/>
      <c r="D935" s="24"/>
      <c r="E935" s="24"/>
      <c r="F935" s="26"/>
      <c r="G935" s="30"/>
      <c r="H935" s="30">
        <f t="shared" si="7"/>
        <v>0</v>
      </c>
      <c r="I935" s="26" t="str">
        <f t="shared" si="3"/>
        <v/>
      </c>
      <c r="J935" s="85"/>
      <c r="K935" s="26"/>
      <c r="L935" s="30"/>
    </row>
    <row r="936" ht="22.5" customHeight="1">
      <c r="A936" s="25"/>
      <c r="B936" s="23"/>
      <c r="C936" s="24"/>
      <c r="D936" s="24"/>
      <c r="E936" s="24"/>
      <c r="F936" s="26"/>
      <c r="G936" s="30"/>
      <c r="H936" s="30">
        <f t="shared" si="7"/>
        <v>0</v>
      </c>
      <c r="I936" s="26" t="str">
        <f t="shared" si="3"/>
        <v/>
      </c>
      <c r="J936" s="85"/>
      <c r="K936" s="26"/>
      <c r="L936" s="30"/>
    </row>
    <row r="937" ht="22.5" customHeight="1">
      <c r="A937" s="25"/>
      <c r="B937" s="23"/>
      <c r="C937" s="24"/>
      <c r="D937" s="24"/>
      <c r="E937" s="24"/>
      <c r="F937" s="26"/>
      <c r="G937" s="30"/>
      <c r="H937" s="30">
        <f t="shared" si="7"/>
        <v>0</v>
      </c>
      <c r="I937" s="26" t="str">
        <f t="shared" si="3"/>
        <v/>
      </c>
      <c r="J937" s="85"/>
      <c r="K937" s="26"/>
      <c r="L937" s="30"/>
    </row>
    <row r="938" ht="22.5" customHeight="1">
      <c r="A938" s="25"/>
      <c r="B938" s="23"/>
      <c r="C938" s="24"/>
      <c r="D938" s="24"/>
      <c r="E938" s="24"/>
      <c r="F938" s="26"/>
      <c r="G938" s="30"/>
      <c r="H938" s="30">
        <f t="shared" si="7"/>
        <v>0</v>
      </c>
      <c r="I938" s="26" t="str">
        <f t="shared" si="3"/>
        <v/>
      </c>
      <c r="J938" s="85"/>
      <c r="K938" s="26"/>
      <c r="L938" s="30"/>
    </row>
    <row r="939" ht="22.5" customHeight="1">
      <c r="A939" s="25"/>
      <c r="B939" s="23"/>
      <c r="C939" s="24"/>
      <c r="D939" s="24"/>
      <c r="E939" s="24"/>
      <c r="F939" s="26"/>
      <c r="G939" s="30"/>
      <c r="H939" s="30">
        <f t="shared" si="7"/>
        <v>0</v>
      </c>
      <c r="I939" s="26" t="str">
        <f t="shared" si="3"/>
        <v/>
      </c>
      <c r="J939" s="85"/>
      <c r="K939" s="26"/>
      <c r="L939" s="30"/>
    </row>
    <row r="940" ht="22.5" customHeight="1">
      <c r="A940" s="25"/>
      <c r="B940" s="23"/>
      <c r="C940" s="24"/>
      <c r="D940" s="24"/>
      <c r="E940" s="24"/>
      <c r="F940" s="26"/>
      <c r="G940" s="30"/>
      <c r="H940" s="30">
        <f t="shared" si="7"/>
        <v>0</v>
      </c>
      <c r="I940" s="26" t="str">
        <f t="shared" si="3"/>
        <v/>
      </c>
      <c r="J940" s="85"/>
      <c r="K940" s="26"/>
      <c r="L940" s="30"/>
    </row>
    <row r="941" ht="22.5" customHeight="1">
      <c r="A941" s="25"/>
      <c r="B941" s="23"/>
      <c r="C941" s="24"/>
      <c r="D941" s="24"/>
      <c r="E941" s="24"/>
      <c r="F941" s="26"/>
      <c r="G941" s="30"/>
      <c r="H941" s="30">
        <f t="shared" si="7"/>
        <v>0</v>
      </c>
      <c r="I941" s="26" t="str">
        <f t="shared" si="3"/>
        <v/>
      </c>
      <c r="J941" s="85"/>
      <c r="K941" s="26"/>
      <c r="L941" s="30"/>
    </row>
    <row r="942" ht="22.5" customHeight="1">
      <c r="A942" s="25"/>
      <c r="B942" s="23"/>
      <c r="C942" s="24"/>
      <c r="D942" s="24"/>
      <c r="E942" s="24"/>
      <c r="F942" s="26"/>
      <c r="G942" s="30"/>
      <c r="H942" s="30">
        <f t="shared" si="7"/>
        <v>0</v>
      </c>
      <c r="I942" s="26" t="str">
        <f t="shared" si="3"/>
        <v/>
      </c>
      <c r="J942" s="85"/>
      <c r="K942" s="26"/>
      <c r="L942" s="30"/>
    </row>
    <row r="943" ht="22.5" customHeight="1">
      <c r="A943" s="25"/>
      <c r="B943" s="23"/>
      <c r="C943" s="24"/>
      <c r="D943" s="24"/>
      <c r="E943" s="24"/>
      <c r="F943" s="26"/>
      <c r="G943" s="30"/>
      <c r="H943" s="30">
        <f t="shared" si="7"/>
        <v>0</v>
      </c>
      <c r="I943" s="26" t="str">
        <f t="shared" si="3"/>
        <v/>
      </c>
      <c r="J943" s="85"/>
      <c r="K943" s="26"/>
      <c r="L943" s="30"/>
    </row>
    <row r="944" ht="22.5" customHeight="1">
      <c r="A944" s="25"/>
      <c r="B944" s="23"/>
      <c r="C944" s="24"/>
      <c r="D944" s="24"/>
      <c r="E944" s="24"/>
      <c r="F944" s="26"/>
      <c r="G944" s="30"/>
      <c r="H944" s="30">
        <f t="shared" si="7"/>
        <v>0</v>
      </c>
      <c r="I944" s="26" t="str">
        <f t="shared" si="3"/>
        <v/>
      </c>
      <c r="J944" s="85"/>
      <c r="K944" s="26"/>
      <c r="L944" s="30"/>
    </row>
    <row r="945" ht="22.5" customHeight="1">
      <c r="A945" s="25"/>
      <c r="B945" s="23"/>
      <c r="C945" s="24"/>
      <c r="D945" s="24"/>
      <c r="E945" s="24"/>
      <c r="F945" s="26"/>
      <c r="G945" s="30"/>
      <c r="H945" s="30">
        <f t="shared" si="7"/>
        <v>0</v>
      </c>
      <c r="I945" s="26" t="str">
        <f t="shared" si="3"/>
        <v/>
      </c>
      <c r="J945" s="85"/>
      <c r="K945" s="26"/>
      <c r="L945" s="30"/>
    </row>
    <row r="946" ht="22.5" customHeight="1">
      <c r="A946" s="25"/>
      <c r="B946" s="23"/>
      <c r="C946" s="24"/>
      <c r="D946" s="24"/>
      <c r="E946" s="24"/>
      <c r="F946" s="26"/>
      <c r="G946" s="30"/>
      <c r="H946" s="30">
        <f t="shared" si="7"/>
        <v>0</v>
      </c>
      <c r="I946" s="26" t="str">
        <f t="shared" si="3"/>
        <v/>
      </c>
      <c r="J946" s="85"/>
      <c r="K946" s="26"/>
      <c r="L946" s="30"/>
    </row>
    <row r="947" ht="22.5" customHeight="1">
      <c r="A947" s="25"/>
      <c r="B947" s="23"/>
      <c r="C947" s="24"/>
      <c r="D947" s="24"/>
      <c r="E947" s="24"/>
      <c r="F947" s="26"/>
      <c r="G947" s="30"/>
      <c r="H947" s="30">
        <f t="shared" si="7"/>
        <v>0</v>
      </c>
      <c r="I947" s="26" t="str">
        <f t="shared" si="3"/>
        <v/>
      </c>
      <c r="J947" s="85"/>
      <c r="K947" s="26"/>
      <c r="L947" s="30"/>
    </row>
    <row r="948" ht="22.5" customHeight="1">
      <c r="A948" s="25"/>
      <c r="B948" s="23"/>
      <c r="C948" s="24"/>
      <c r="D948" s="24"/>
      <c r="E948" s="24"/>
      <c r="F948" s="26"/>
      <c r="G948" s="30"/>
      <c r="H948" s="30">
        <f t="shared" si="7"/>
        <v>0</v>
      </c>
      <c r="I948" s="26" t="str">
        <f t="shared" si="3"/>
        <v/>
      </c>
      <c r="J948" s="85"/>
      <c r="K948" s="26"/>
      <c r="L948" s="30"/>
    </row>
    <row r="949" ht="22.5" customHeight="1">
      <c r="A949" s="25"/>
      <c r="B949" s="23"/>
      <c r="C949" s="24"/>
      <c r="D949" s="24"/>
      <c r="E949" s="24"/>
      <c r="F949" s="26"/>
      <c r="G949" s="30"/>
      <c r="H949" s="30">
        <f t="shared" si="7"/>
        <v>0</v>
      </c>
      <c r="I949" s="26" t="str">
        <f t="shared" si="3"/>
        <v/>
      </c>
      <c r="J949" s="85"/>
      <c r="K949" s="26"/>
      <c r="L949" s="30"/>
    </row>
    <row r="950" ht="22.5" customHeight="1">
      <c r="A950" s="25"/>
      <c r="B950" s="23"/>
      <c r="C950" s="24"/>
      <c r="D950" s="24"/>
      <c r="E950" s="24"/>
      <c r="F950" s="26"/>
      <c r="G950" s="30"/>
      <c r="H950" s="30">
        <f t="shared" si="7"/>
        <v>0</v>
      </c>
      <c r="I950" s="26" t="str">
        <f t="shared" si="3"/>
        <v/>
      </c>
      <c r="J950" s="85"/>
      <c r="K950" s="26"/>
      <c r="L950" s="30"/>
    </row>
    <row r="951" ht="22.5" customHeight="1">
      <c r="A951" s="25"/>
      <c r="B951" s="23"/>
      <c r="C951" s="24"/>
      <c r="D951" s="24"/>
      <c r="E951" s="24"/>
      <c r="F951" s="26"/>
      <c r="G951" s="30"/>
      <c r="H951" s="30">
        <f t="shared" si="7"/>
        <v>0</v>
      </c>
      <c r="I951" s="26" t="str">
        <f t="shared" si="3"/>
        <v/>
      </c>
      <c r="J951" s="85"/>
      <c r="K951" s="26"/>
      <c r="L951" s="30"/>
    </row>
    <row r="952" ht="22.5" customHeight="1">
      <c r="A952" s="25"/>
      <c r="B952" s="23"/>
      <c r="C952" s="24"/>
      <c r="D952" s="24"/>
      <c r="E952" s="24"/>
      <c r="F952" s="26"/>
      <c r="G952" s="30"/>
      <c r="H952" s="30">
        <f t="shared" si="7"/>
        <v>0</v>
      </c>
      <c r="I952" s="26" t="str">
        <f t="shared" si="3"/>
        <v/>
      </c>
      <c r="J952" s="85"/>
      <c r="K952" s="26"/>
      <c r="L952" s="30"/>
    </row>
    <row r="953" ht="22.5" customHeight="1">
      <c r="A953" s="25"/>
      <c r="B953" s="23"/>
      <c r="C953" s="24"/>
      <c r="D953" s="24"/>
      <c r="E953" s="24"/>
      <c r="F953" s="26"/>
      <c r="G953" s="30"/>
      <c r="H953" s="30">
        <f t="shared" si="7"/>
        <v>0</v>
      </c>
      <c r="I953" s="26" t="str">
        <f t="shared" si="3"/>
        <v/>
      </c>
      <c r="J953" s="85"/>
      <c r="K953" s="26"/>
      <c r="L953" s="30"/>
    </row>
    <row r="954" ht="22.5" customHeight="1">
      <c r="A954" s="25"/>
      <c r="B954" s="23"/>
      <c r="C954" s="24"/>
      <c r="D954" s="24"/>
      <c r="E954" s="24"/>
      <c r="F954" s="26"/>
      <c r="G954" s="30"/>
      <c r="H954" s="30">
        <f t="shared" si="7"/>
        <v>0</v>
      </c>
      <c r="I954" s="26" t="str">
        <f t="shared" si="3"/>
        <v/>
      </c>
      <c r="J954" s="85"/>
      <c r="K954" s="26"/>
      <c r="L954" s="30"/>
    </row>
    <row r="955" ht="22.5" customHeight="1">
      <c r="A955" s="25"/>
      <c r="B955" s="23"/>
      <c r="C955" s="24"/>
      <c r="D955" s="24"/>
      <c r="E955" s="24"/>
      <c r="F955" s="26"/>
      <c r="G955" s="30"/>
      <c r="H955" s="30">
        <f t="shared" si="7"/>
        <v>0</v>
      </c>
      <c r="I955" s="26" t="str">
        <f t="shared" si="3"/>
        <v/>
      </c>
      <c r="J955" s="85"/>
      <c r="K955" s="26"/>
      <c r="L955" s="30"/>
    </row>
    <row r="956" ht="22.5" customHeight="1">
      <c r="A956" s="25"/>
      <c r="B956" s="23"/>
      <c r="C956" s="24"/>
      <c r="D956" s="24"/>
      <c r="E956" s="24"/>
      <c r="F956" s="26"/>
      <c r="G956" s="30"/>
      <c r="H956" s="30">
        <f t="shared" si="7"/>
        <v>0</v>
      </c>
      <c r="I956" s="26" t="str">
        <f t="shared" si="3"/>
        <v/>
      </c>
      <c r="J956" s="85"/>
      <c r="K956" s="26"/>
      <c r="L956" s="30"/>
    </row>
    <row r="957" ht="22.5" customHeight="1">
      <c r="A957" s="25"/>
      <c r="B957" s="23"/>
      <c r="C957" s="24"/>
      <c r="D957" s="24"/>
      <c r="E957" s="24"/>
      <c r="F957" s="26"/>
      <c r="G957" s="30"/>
      <c r="H957" s="30">
        <f t="shared" si="7"/>
        <v>0</v>
      </c>
      <c r="I957" s="26" t="str">
        <f t="shared" si="3"/>
        <v/>
      </c>
      <c r="J957" s="85"/>
      <c r="K957" s="26"/>
      <c r="L957" s="30"/>
    </row>
    <row r="958" ht="22.5" customHeight="1">
      <c r="A958" s="25"/>
      <c r="B958" s="23"/>
      <c r="C958" s="24"/>
      <c r="D958" s="24"/>
      <c r="E958" s="24"/>
      <c r="F958" s="26"/>
      <c r="G958" s="30"/>
      <c r="H958" s="30">
        <f t="shared" si="7"/>
        <v>0</v>
      </c>
      <c r="I958" s="26" t="str">
        <f t="shared" si="3"/>
        <v/>
      </c>
      <c r="J958" s="85"/>
      <c r="K958" s="26"/>
      <c r="L958" s="30"/>
    </row>
    <row r="959" ht="22.5" customHeight="1">
      <c r="A959" s="25"/>
      <c r="B959" s="23"/>
      <c r="C959" s="24"/>
      <c r="D959" s="24"/>
      <c r="E959" s="24"/>
      <c r="F959" s="26"/>
      <c r="G959" s="30"/>
      <c r="H959" s="30">
        <f t="shared" si="7"/>
        <v>0</v>
      </c>
      <c r="I959" s="26" t="str">
        <f t="shared" si="3"/>
        <v/>
      </c>
      <c r="J959" s="85"/>
      <c r="K959" s="26"/>
      <c r="L959" s="30"/>
    </row>
    <row r="960" ht="22.5" customHeight="1">
      <c r="A960" s="25"/>
      <c r="B960" s="23"/>
      <c r="C960" s="24"/>
      <c r="D960" s="24"/>
      <c r="E960" s="24"/>
      <c r="F960" s="26"/>
      <c r="G960" s="30"/>
      <c r="H960" s="30">
        <f t="shared" si="7"/>
        <v>0</v>
      </c>
      <c r="I960" s="26" t="str">
        <f t="shared" si="3"/>
        <v/>
      </c>
      <c r="J960" s="85"/>
      <c r="K960" s="26"/>
      <c r="L960" s="30"/>
    </row>
    <row r="961" ht="22.5" customHeight="1">
      <c r="A961" s="25"/>
      <c r="B961" s="23"/>
      <c r="C961" s="24"/>
      <c r="D961" s="24"/>
      <c r="E961" s="24"/>
      <c r="F961" s="26"/>
      <c r="G961" s="30"/>
      <c r="H961" s="30">
        <f t="shared" si="7"/>
        <v>0</v>
      </c>
      <c r="I961" s="26" t="str">
        <f t="shared" si="3"/>
        <v/>
      </c>
      <c r="J961" s="85"/>
      <c r="K961" s="26"/>
      <c r="L961" s="30"/>
    </row>
    <row r="962" ht="22.5" customHeight="1">
      <c r="A962" s="25"/>
      <c r="B962" s="23"/>
      <c r="C962" s="24"/>
      <c r="D962" s="24"/>
      <c r="E962" s="24"/>
      <c r="F962" s="26"/>
      <c r="G962" s="30"/>
      <c r="H962" s="30">
        <f t="shared" si="7"/>
        <v>0</v>
      </c>
      <c r="I962" s="26" t="str">
        <f t="shared" si="3"/>
        <v/>
      </c>
      <c r="J962" s="85"/>
      <c r="K962" s="26"/>
      <c r="L962" s="30"/>
    </row>
    <row r="963" ht="22.5" customHeight="1">
      <c r="A963" s="25"/>
      <c r="B963" s="23"/>
      <c r="C963" s="24"/>
      <c r="D963" s="24"/>
      <c r="E963" s="24"/>
      <c r="F963" s="26"/>
      <c r="G963" s="30"/>
      <c r="H963" s="30">
        <f t="shared" si="7"/>
        <v>0</v>
      </c>
      <c r="I963" s="26" t="str">
        <f t="shared" si="3"/>
        <v/>
      </c>
      <c r="J963" s="85"/>
      <c r="K963" s="26"/>
      <c r="L963" s="30"/>
    </row>
    <row r="964" ht="22.5" customHeight="1">
      <c r="A964" s="25"/>
      <c r="B964" s="23"/>
      <c r="C964" s="24"/>
      <c r="D964" s="24"/>
      <c r="E964" s="24"/>
      <c r="F964" s="26"/>
      <c r="G964" s="30"/>
      <c r="H964" s="30">
        <f t="shared" si="7"/>
        <v>0</v>
      </c>
      <c r="I964" s="26" t="str">
        <f t="shared" si="3"/>
        <v/>
      </c>
      <c r="J964" s="85"/>
      <c r="K964" s="26"/>
      <c r="L964" s="30"/>
    </row>
    <row r="965" ht="22.5" customHeight="1">
      <c r="A965" s="25"/>
      <c r="B965" s="23"/>
      <c r="C965" s="24"/>
      <c r="D965" s="24"/>
      <c r="E965" s="24"/>
      <c r="F965" s="26"/>
      <c r="G965" s="30"/>
      <c r="H965" s="30">
        <f t="shared" si="7"/>
        <v>0</v>
      </c>
      <c r="I965" s="26" t="str">
        <f t="shared" si="3"/>
        <v/>
      </c>
      <c r="J965" s="85"/>
      <c r="K965" s="26"/>
      <c r="L965" s="30"/>
    </row>
    <row r="966" ht="22.5" customHeight="1">
      <c r="A966" s="25"/>
      <c r="B966" s="23"/>
      <c r="C966" s="24"/>
      <c r="D966" s="24"/>
      <c r="E966" s="24"/>
      <c r="F966" s="26"/>
      <c r="G966" s="30"/>
      <c r="H966" s="30">
        <f t="shared" si="7"/>
        <v>0</v>
      </c>
      <c r="I966" s="26" t="str">
        <f t="shared" si="3"/>
        <v/>
      </c>
      <c r="J966" s="85"/>
      <c r="K966" s="26"/>
      <c r="L966" s="30"/>
    </row>
    <row r="967" ht="22.5" customHeight="1">
      <c r="A967" s="25"/>
      <c r="B967" s="23"/>
      <c r="C967" s="24"/>
      <c r="D967" s="24"/>
      <c r="E967" s="24"/>
      <c r="F967" s="26"/>
      <c r="G967" s="30"/>
      <c r="H967" s="30">
        <f t="shared" si="7"/>
        <v>0</v>
      </c>
      <c r="I967" s="26" t="str">
        <f t="shared" si="3"/>
        <v/>
      </c>
      <c r="J967" s="85"/>
      <c r="K967" s="26"/>
      <c r="L967" s="30"/>
    </row>
    <row r="968" ht="22.5" customHeight="1">
      <c r="A968" s="25"/>
      <c r="B968" s="23"/>
      <c r="C968" s="24"/>
      <c r="D968" s="24"/>
      <c r="E968" s="24"/>
      <c r="F968" s="26"/>
      <c r="G968" s="30"/>
      <c r="H968" s="30">
        <f t="shared" si="7"/>
        <v>0</v>
      </c>
      <c r="I968" s="26" t="str">
        <f t="shared" si="3"/>
        <v/>
      </c>
      <c r="J968" s="85"/>
      <c r="K968" s="26"/>
      <c r="L968" s="30"/>
    </row>
    <row r="969" ht="22.5" customHeight="1">
      <c r="A969" s="25"/>
      <c r="B969" s="23"/>
      <c r="C969" s="24"/>
      <c r="D969" s="24"/>
      <c r="E969" s="24"/>
      <c r="F969" s="26"/>
      <c r="G969" s="30"/>
      <c r="H969" s="30">
        <f t="shared" si="7"/>
        <v>0</v>
      </c>
      <c r="I969" s="26" t="str">
        <f t="shared" si="3"/>
        <v/>
      </c>
      <c r="J969" s="85"/>
      <c r="K969" s="26"/>
      <c r="L969" s="30"/>
    </row>
    <row r="970" ht="22.5" customHeight="1">
      <c r="A970" s="25"/>
      <c r="B970" s="23"/>
      <c r="C970" s="24"/>
      <c r="D970" s="24"/>
      <c r="E970" s="24"/>
      <c r="F970" s="26"/>
      <c r="G970" s="30"/>
      <c r="H970" s="30">
        <f t="shared" si="7"/>
        <v>0</v>
      </c>
      <c r="I970" s="26" t="str">
        <f t="shared" si="3"/>
        <v/>
      </c>
      <c r="J970" s="85"/>
      <c r="K970" s="26"/>
      <c r="L970" s="30"/>
    </row>
    <row r="971" ht="22.5" customHeight="1">
      <c r="A971" s="25"/>
      <c r="B971" s="23"/>
      <c r="C971" s="24"/>
      <c r="D971" s="24"/>
      <c r="E971" s="24"/>
      <c r="F971" s="26"/>
      <c r="G971" s="30"/>
      <c r="H971" s="30">
        <f t="shared" si="7"/>
        <v>0</v>
      </c>
      <c r="I971" s="26" t="str">
        <f t="shared" si="3"/>
        <v/>
      </c>
      <c r="J971" s="85"/>
      <c r="K971" s="26"/>
      <c r="L971" s="30"/>
    </row>
    <row r="972" ht="22.5" customHeight="1">
      <c r="A972" s="25"/>
      <c r="B972" s="23"/>
      <c r="C972" s="24"/>
      <c r="D972" s="24"/>
      <c r="E972" s="24"/>
      <c r="F972" s="26"/>
      <c r="G972" s="30"/>
      <c r="H972" s="30">
        <f t="shared" si="7"/>
        <v>0</v>
      </c>
      <c r="I972" s="26" t="str">
        <f t="shared" si="3"/>
        <v/>
      </c>
      <c r="J972" s="85"/>
      <c r="K972" s="26"/>
      <c r="L972" s="30"/>
    </row>
    <row r="973" ht="22.5" customHeight="1">
      <c r="A973" s="25"/>
      <c r="B973" s="23"/>
      <c r="C973" s="24"/>
      <c r="D973" s="24"/>
      <c r="E973" s="24"/>
      <c r="F973" s="26"/>
      <c r="G973" s="30"/>
      <c r="H973" s="30">
        <f t="shared" si="7"/>
        <v>0</v>
      </c>
      <c r="I973" s="26" t="str">
        <f t="shared" si="3"/>
        <v/>
      </c>
      <c r="J973" s="85"/>
      <c r="K973" s="26"/>
      <c r="L973" s="30"/>
    </row>
    <row r="974" ht="22.5" customHeight="1">
      <c r="A974" s="25"/>
      <c r="B974" s="23"/>
      <c r="C974" s="24"/>
      <c r="D974" s="24"/>
      <c r="E974" s="24"/>
      <c r="F974" s="26"/>
      <c r="G974" s="30"/>
      <c r="H974" s="30">
        <f t="shared" si="7"/>
        <v>0</v>
      </c>
      <c r="I974" s="26" t="str">
        <f t="shared" si="3"/>
        <v/>
      </c>
      <c r="J974" s="85"/>
      <c r="K974" s="26"/>
      <c r="L974" s="30"/>
    </row>
    <row r="975" ht="22.5" customHeight="1">
      <c r="A975" s="25"/>
      <c r="B975" s="23"/>
      <c r="C975" s="24"/>
      <c r="D975" s="24"/>
      <c r="E975" s="24"/>
      <c r="F975" s="26"/>
      <c r="G975" s="30"/>
      <c r="H975" s="30">
        <f t="shared" si="7"/>
        <v>0</v>
      </c>
      <c r="I975" s="26" t="str">
        <f t="shared" si="3"/>
        <v/>
      </c>
      <c r="J975" s="85"/>
      <c r="K975" s="26"/>
      <c r="L975" s="30"/>
    </row>
    <row r="976" ht="22.5" customHeight="1">
      <c r="A976" s="25"/>
      <c r="B976" s="23"/>
      <c r="C976" s="24"/>
      <c r="D976" s="24"/>
      <c r="E976" s="24"/>
      <c r="F976" s="26"/>
      <c r="G976" s="30"/>
      <c r="H976" s="30">
        <f t="shared" si="7"/>
        <v>0</v>
      </c>
      <c r="I976" s="26" t="str">
        <f t="shared" si="3"/>
        <v/>
      </c>
      <c r="J976" s="85"/>
      <c r="K976" s="26"/>
      <c r="L976" s="30"/>
    </row>
    <row r="977" ht="22.5" customHeight="1">
      <c r="A977" s="25"/>
      <c r="B977" s="23"/>
      <c r="C977" s="24"/>
      <c r="D977" s="24"/>
      <c r="E977" s="24"/>
      <c r="F977" s="26"/>
      <c r="G977" s="30"/>
      <c r="H977" s="30">
        <f t="shared" si="7"/>
        <v>0</v>
      </c>
      <c r="I977" s="26" t="str">
        <f t="shared" si="3"/>
        <v/>
      </c>
      <c r="J977" s="85"/>
      <c r="K977" s="26"/>
      <c r="L977" s="30"/>
    </row>
    <row r="978" ht="22.5" customHeight="1">
      <c r="A978" s="25"/>
      <c r="B978" s="23"/>
      <c r="C978" s="24"/>
      <c r="D978" s="24"/>
      <c r="E978" s="24"/>
      <c r="F978" s="26"/>
      <c r="G978" s="30"/>
      <c r="H978" s="30">
        <f t="shared" si="7"/>
        <v>0</v>
      </c>
      <c r="I978" s="26" t="str">
        <f t="shared" si="3"/>
        <v/>
      </c>
      <c r="J978" s="85"/>
      <c r="K978" s="26"/>
      <c r="L978" s="30"/>
    </row>
    <row r="979" ht="22.5" customHeight="1">
      <c r="A979" s="25"/>
      <c r="B979" s="23"/>
      <c r="C979" s="24"/>
      <c r="D979" s="24"/>
      <c r="E979" s="24"/>
      <c r="F979" s="26"/>
      <c r="G979" s="30"/>
      <c r="H979" s="30">
        <f t="shared" si="7"/>
        <v>0</v>
      </c>
      <c r="I979" s="26" t="str">
        <f t="shared" si="3"/>
        <v/>
      </c>
      <c r="J979" s="85"/>
      <c r="K979" s="26"/>
      <c r="L979" s="30"/>
    </row>
    <row r="980" ht="22.5" customHeight="1">
      <c r="A980" s="25"/>
      <c r="B980" s="23"/>
      <c r="C980" s="24"/>
      <c r="D980" s="24"/>
      <c r="E980" s="24"/>
      <c r="F980" s="26"/>
      <c r="G980" s="30"/>
      <c r="H980" s="30">
        <f t="shared" si="7"/>
        <v>0</v>
      </c>
      <c r="I980" s="26" t="str">
        <f t="shared" si="3"/>
        <v/>
      </c>
      <c r="J980" s="85"/>
      <c r="K980" s="26"/>
      <c r="L980" s="30"/>
    </row>
    <row r="981" ht="22.5" customHeight="1">
      <c r="A981" s="25"/>
      <c r="B981" s="23"/>
      <c r="C981" s="24"/>
      <c r="D981" s="24"/>
      <c r="E981" s="24"/>
      <c r="F981" s="26"/>
      <c r="G981" s="30"/>
      <c r="H981" s="30">
        <f t="shared" si="7"/>
        <v>0</v>
      </c>
      <c r="I981" s="26" t="str">
        <f t="shared" si="3"/>
        <v/>
      </c>
      <c r="J981" s="85"/>
      <c r="K981" s="26"/>
      <c r="L981" s="30"/>
    </row>
    <row r="982" ht="22.5" customHeight="1">
      <c r="A982" s="25"/>
      <c r="B982" s="23"/>
      <c r="C982" s="24"/>
      <c r="D982" s="24"/>
      <c r="E982" s="24"/>
      <c r="F982" s="26"/>
      <c r="G982" s="30"/>
      <c r="H982" s="30">
        <f t="shared" si="7"/>
        <v>0</v>
      </c>
      <c r="I982" s="26" t="str">
        <f t="shared" si="3"/>
        <v/>
      </c>
      <c r="J982" s="85"/>
      <c r="K982" s="26"/>
      <c r="L982" s="30"/>
    </row>
    <row r="983" ht="22.5" customHeight="1">
      <c r="A983" s="25"/>
      <c r="B983" s="23"/>
      <c r="C983" s="24"/>
      <c r="D983" s="24"/>
      <c r="E983" s="24"/>
      <c r="F983" s="26"/>
      <c r="G983" s="30"/>
      <c r="H983" s="30">
        <f t="shared" si="7"/>
        <v>0</v>
      </c>
      <c r="I983" s="26" t="str">
        <f t="shared" si="3"/>
        <v/>
      </c>
      <c r="J983" s="85"/>
      <c r="K983" s="26"/>
      <c r="L983" s="30"/>
    </row>
    <row r="984" ht="22.5" customHeight="1">
      <c r="A984" s="25"/>
      <c r="B984" s="23"/>
      <c r="C984" s="24"/>
      <c r="D984" s="24"/>
      <c r="E984" s="24"/>
      <c r="F984" s="26"/>
      <c r="G984" s="30"/>
      <c r="H984" s="30">
        <f t="shared" si="7"/>
        <v>0</v>
      </c>
      <c r="I984" s="26" t="str">
        <f t="shared" si="3"/>
        <v/>
      </c>
      <c r="J984" s="85"/>
      <c r="K984" s="26"/>
      <c r="L984" s="30"/>
    </row>
    <row r="985" ht="22.5" customHeight="1">
      <c r="A985" s="25"/>
      <c r="B985" s="23"/>
      <c r="C985" s="24"/>
      <c r="D985" s="24"/>
      <c r="E985" s="24"/>
      <c r="F985" s="26"/>
      <c r="G985" s="30"/>
      <c r="H985" s="30">
        <f t="shared" si="7"/>
        <v>0</v>
      </c>
      <c r="I985" s="26" t="str">
        <f t="shared" si="3"/>
        <v/>
      </c>
      <c r="J985" s="85"/>
      <c r="K985" s="26"/>
      <c r="L985" s="30"/>
    </row>
    <row r="986" ht="22.5" customHeight="1">
      <c r="A986" s="25"/>
      <c r="B986" s="23"/>
      <c r="C986" s="24"/>
      <c r="D986" s="24"/>
      <c r="E986" s="24"/>
      <c r="F986" s="26"/>
      <c r="G986" s="30"/>
      <c r="H986" s="30">
        <f t="shared" si="7"/>
        <v>0</v>
      </c>
      <c r="I986" s="26" t="str">
        <f t="shared" si="3"/>
        <v/>
      </c>
      <c r="J986" s="85"/>
      <c r="K986" s="26"/>
      <c r="L986" s="30"/>
    </row>
    <row r="987" ht="22.5" customHeight="1">
      <c r="A987" s="25"/>
      <c r="B987" s="23"/>
      <c r="C987" s="24"/>
      <c r="D987" s="24"/>
      <c r="E987" s="24"/>
      <c r="F987" s="26"/>
      <c r="G987" s="30"/>
      <c r="H987" s="30">
        <f t="shared" si="7"/>
        <v>0</v>
      </c>
      <c r="I987" s="26" t="str">
        <f t="shared" si="3"/>
        <v/>
      </c>
      <c r="J987" s="85"/>
      <c r="K987" s="26"/>
      <c r="L987" s="30"/>
    </row>
    <row r="988" ht="22.5" customHeight="1">
      <c r="A988" s="25"/>
      <c r="B988" s="23"/>
      <c r="C988" s="24"/>
      <c r="D988" s="24"/>
      <c r="E988" s="24"/>
      <c r="F988" s="26"/>
      <c r="G988" s="30"/>
      <c r="H988" s="30">
        <f t="shared" si="7"/>
        <v>0</v>
      </c>
      <c r="I988" s="26" t="str">
        <f t="shared" si="3"/>
        <v/>
      </c>
      <c r="J988" s="85"/>
      <c r="K988" s="26"/>
      <c r="L988" s="30"/>
    </row>
    <row r="989" ht="22.5" customHeight="1">
      <c r="A989" s="25"/>
      <c r="B989" s="23"/>
      <c r="C989" s="24"/>
      <c r="D989" s="24"/>
      <c r="E989" s="24"/>
      <c r="F989" s="26"/>
      <c r="G989" s="30"/>
      <c r="H989" s="30">
        <f t="shared" si="7"/>
        <v>0</v>
      </c>
      <c r="I989" s="26" t="str">
        <f t="shared" si="3"/>
        <v/>
      </c>
      <c r="J989" s="85"/>
      <c r="K989" s="26"/>
      <c r="L989" s="30"/>
    </row>
    <row r="990" ht="22.5" customHeight="1">
      <c r="A990" s="25"/>
      <c r="B990" s="23"/>
      <c r="C990" s="24"/>
      <c r="D990" s="24"/>
      <c r="E990" s="24"/>
      <c r="F990" s="26"/>
      <c r="G990" s="30"/>
      <c r="H990" s="30">
        <f t="shared" si="7"/>
        <v>0</v>
      </c>
      <c r="I990" s="26" t="str">
        <f t="shared" si="3"/>
        <v/>
      </c>
      <c r="J990" s="85"/>
      <c r="K990" s="26"/>
      <c r="L990" s="30"/>
    </row>
    <row r="991" ht="22.5" customHeight="1">
      <c r="A991" s="25"/>
      <c r="B991" s="23"/>
      <c r="C991" s="24"/>
      <c r="D991" s="24"/>
      <c r="E991" s="24"/>
      <c r="F991" s="26"/>
      <c r="G991" s="30"/>
      <c r="H991" s="30">
        <f t="shared" si="7"/>
        <v>0</v>
      </c>
      <c r="I991" s="26" t="str">
        <f t="shared" si="3"/>
        <v/>
      </c>
      <c r="J991" s="85"/>
      <c r="K991" s="26"/>
      <c r="L991" s="30"/>
    </row>
    <row r="992" ht="22.5" customHeight="1">
      <c r="A992" s="25"/>
      <c r="B992" s="23"/>
      <c r="C992" s="24"/>
      <c r="D992" s="24"/>
      <c r="E992" s="24"/>
      <c r="F992" s="26"/>
      <c r="G992" s="30"/>
      <c r="H992" s="30">
        <f t="shared" si="7"/>
        <v>0</v>
      </c>
      <c r="I992" s="26" t="str">
        <f t="shared" si="3"/>
        <v/>
      </c>
      <c r="J992" s="85"/>
      <c r="K992" s="26"/>
      <c r="L992" s="30"/>
    </row>
    <row r="993" ht="22.5" customHeight="1">
      <c r="A993" s="25"/>
      <c r="B993" s="23"/>
      <c r="C993" s="24"/>
      <c r="D993" s="24"/>
      <c r="E993" s="24"/>
      <c r="F993" s="26"/>
      <c r="G993" s="30"/>
      <c r="H993" s="30">
        <f t="shared" si="7"/>
        <v>0</v>
      </c>
      <c r="I993" s="26" t="str">
        <f t="shared" si="3"/>
        <v/>
      </c>
      <c r="J993" s="85"/>
      <c r="K993" s="26"/>
      <c r="L993" s="30"/>
    </row>
    <row r="994" ht="22.5" customHeight="1">
      <c r="A994" s="25"/>
      <c r="B994" s="23"/>
      <c r="C994" s="24"/>
      <c r="D994" s="24"/>
      <c r="E994" s="24"/>
      <c r="F994" s="26"/>
      <c r="G994" s="30"/>
      <c r="H994" s="30">
        <f t="shared" si="7"/>
        <v>0</v>
      </c>
      <c r="I994" s="26" t="str">
        <f t="shared" si="3"/>
        <v/>
      </c>
      <c r="J994" s="85"/>
      <c r="K994" s="26"/>
      <c r="L994" s="30"/>
    </row>
    <row r="995" ht="22.5" customHeight="1">
      <c r="A995" s="25"/>
      <c r="B995" s="23"/>
      <c r="C995" s="24"/>
      <c r="D995" s="24"/>
      <c r="E995" s="24"/>
      <c r="F995" s="26"/>
      <c r="G995" s="30"/>
      <c r="H995" s="30">
        <f t="shared" si="7"/>
        <v>0</v>
      </c>
      <c r="I995" s="26" t="str">
        <f t="shared" si="3"/>
        <v/>
      </c>
      <c r="J995" s="85"/>
      <c r="K995" s="26"/>
      <c r="L995" s="30"/>
    </row>
    <row r="996" ht="22.5" customHeight="1">
      <c r="A996" s="25"/>
      <c r="B996" s="23"/>
      <c r="C996" s="24"/>
      <c r="D996" s="24"/>
      <c r="E996" s="24"/>
      <c r="F996" s="26"/>
      <c r="G996" s="30"/>
      <c r="H996" s="30">
        <f t="shared" si="7"/>
        <v>0</v>
      </c>
      <c r="I996" s="26" t="str">
        <f t="shared" si="3"/>
        <v/>
      </c>
      <c r="J996" s="85"/>
      <c r="K996" s="26"/>
      <c r="L996" s="30"/>
    </row>
    <row r="997" ht="22.5" customHeight="1">
      <c r="A997" s="25"/>
      <c r="B997" s="23"/>
      <c r="C997" s="24"/>
      <c r="D997" s="24"/>
      <c r="E997" s="24"/>
      <c r="F997" s="26"/>
      <c r="G997" s="30"/>
      <c r="H997" s="30">
        <f t="shared" si="7"/>
        <v>0</v>
      </c>
      <c r="I997" s="26" t="str">
        <f t="shared" si="3"/>
        <v/>
      </c>
      <c r="J997" s="85"/>
      <c r="K997" s="26"/>
      <c r="L997" s="30"/>
    </row>
    <row r="998" ht="22.5" customHeight="1">
      <c r="A998" s="25"/>
      <c r="B998" s="23"/>
      <c r="C998" s="24"/>
      <c r="D998" s="24"/>
      <c r="E998" s="24"/>
      <c r="F998" s="26"/>
      <c r="G998" s="30"/>
      <c r="H998" s="30">
        <f t="shared" si="7"/>
        <v>0</v>
      </c>
      <c r="I998" s="26" t="str">
        <f t="shared" si="3"/>
        <v/>
      </c>
      <c r="J998" s="85"/>
      <c r="K998" s="26"/>
      <c r="L998" s="30"/>
    </row>
    <row r="999" ht="22.5" customHeight="1">
      <c r="A999" s="25"/>
      <c r="B999" s="23"/>
      <c r="C999" s="24"/>
      <c r="D999" s="24"/>
      <c r="E999" s="24"/>
      <c r="F999" s="26"/>
      <c r="G999" s="30"/>
      <c r="H999" s="30">
        <f t="shared" si="7"/>
        <v>0</v>
      </c>
      <c r="I999" s="26" t="str">
        <f t="shared" si="3"/>
        <v/>
      </c>
      <c r="J999" s="85"/>
      <c r="K999" s="26"/>
      <c r="L999" s="30"/>
    </row>
    <row r="1000" ht="22.5" customHeight="1">
      <c r="A1000" s="25"/>
      <c r="B1000" s="23"/>
      <c r="C1000" s="24"/>
      <c r="D1000" s="24"/>
      <c r="E1000" s="24"/>
      <c r="F1000" s="26"/>
      <c r="G1000" s="30"/>
      <c r="H1000" s="30">
        <f t="shared" si="7"/>
        <v>0</v>
      </c>
      <c r="I1000" s="26" t="str">
        <f t="shared" si="3"/>
        <v/>
      </c>
      <c r="J1000" s="85"/>
      <c r="K1000" s="26"/>
      <c r="L1000" s="30"/>
    </row>
    <row r="1001" ht="22.5" customHeight="1">
      <c r="A1001" s="25"/>
      <c r="B1001" s="23"/>
      <c r="C1001" s="24"/>
      <c r="D1001" s="24"/>
      <c r="E1001" s="24"/>
      <c r="F1001" s="26"/>
      <c r="G1001" s="30"/>
      <c r="H1001" s="30">
        <f t="shared" si="7"/>
        <v>0</v>
      </c>
      <c r="I1001" s="26" t="str">
        <f t="shared" si="3"/>
        <v/>
      </c>
      <c r="J1001" s="85"/>
      <c r="K1001" s="26"/>
      <c r="L1001" s="30"/>
    </row>
    <row r="1002" ht="22.5" customHeight="1">
      <c r="A1002" s="25"/>
      <c r="B1002" s="23"/>
      <c r="C1002" s="24"/>
      <c r="D1002" s="24"/>
      <c r="E1002" s="24"/>
      <c r="F1002" s="26"/>
      <c r="G1002" s="30"/>
      <c r="H1002" s="30">
        <f t="shared" si="7"/>
        <v>0</v>
      </c>
      <c r="I1002" s="26" t="str">
        <f t="shared" si="3"/>
        <v/>
      </c>
      <c r="J1002" s="85"/>
      <c r="K1002" s="26"/>
      <c r="L1002" s="30"/>
    </row>
    <row r="1003" ht="22.5" customHeight="1">
      <c r="A1003" s="25"/>
      <c r="B1003" s="23"/>
      <c r="C1003" s="24"/>
      <c r="D1003" s="24"/>
      <c r="E1003" s="24"/>
      <c r="F1003" s="26"/>
      <c r="G1003" s="30"/>
      <c r="H1003" s="30">
        <f t="shared" si="7"/>
        <v>0</v>
      </c>
      <c r="I1003" s="26" t="str">
        <f t="shared" si="3"/>
        <v/>
      </c>
      <c r="J1003" s="85"/>
      <c r="K1003" s="26"/>
      <c r="L1003" s="30"/>
    </row>
    <row r="1004" ht="22.5" customHeight="1">
      <c r="A1004" s="25"/>
      <c r="B1004" s="23"/>
      <c r="C1004" s="24"/>
      <c r="D1004" s="24"/>
      <c r="E1004" s="24"/>
      <c r="F1004" s="26"/>
      <c r="G1004" s="30"/>
      <c r="H1004" s="30">
        <f t="shared" si="7"/>
        <v>0</v>
      </c>
      <c r="I1004" s="26" t="str">
        <f t="shared" si="3"/>
        <v/>
      </c>
      <c r="J1004" s="85"/>
      <c r="K1004" s="26"/>
      <c r="L1004" s="30"/>
    </row>
    <row r="1005" ht="22.5" customHeight="1">
      <c r="A1005" s="25"/>
      <c r="B1005" s="23"/>
      <c r="C1005" s="24"/>
      <c r="D1005" s="24"/>
      <c r="E1005" s="24"/>
      <c r="F1005" s="26"/>
      <c r="G1005" s="30"/>
      <c r="H1005" s="30">
        <f t="shared" si="7"/>
        <v>0</v>
      </c>
      <c r="I1005" s="26" t="str">
        <f t="shared" si="3"/>
        <v/>
      </c>
      <c r="J1005" s="85"/>
      <c r="K1005" s="26"/>
      <c r="L1005" s="30"/>
    </row>
    <row r="1006" ht="22.5" customHeight="1">
      <c r="A1006" s="25"/>
      <c r="B1006" s="23"/>
      <c r="C1006" s="24"/>
      <c r="D1006" s="24"/>
      <c r="E1006" s="24"/>
      <c r="F1006" s="26"/>
      <c r="G1006" s="30"/>
      <c r="H1006" s="30">
        <f t="shared" si="7"/>
        <v>0</v>
      </c>
      <c r="I1006" s="26" t="str">
        <f t="shared" si="3"/>
        <v/>
      </c>
      <c r="J1006" s="85"/>
      <c r="K1006" s="26"/>
      <c r="L1006" s="30"/>
    </row>
    <row r="1007" ht="22.5" customHeight="1">
      <c r="A1007" s="25"/>
      <c r="B1007" s="23"/>
      <c r="C1007" s="24"/>
      <c r="D1007" s="24"/>
      <c r="E1007" s="24"/>
      <c r="F1007" s="26"/>
      <c r="G1007" s="30"/>
      <c r="H1007" s="30">
        <f t="shared" si="7"/>
        <v>0</v>
      </c>
      <c r="I1007" s="26" t="str">
        <f t="shared" si="3"/>
        <v/>
      </c>
      <c r="J1007" s="85"/>
      <c r="K1007" s="26"/>
      <c r="L1007" s="30"/>
    </row>
    <row r="1008" ht="22.5" customHeight="1">
      <c r="A1008" s="25"/>
      <c r="B1008" s="23"/>
      <c r="C1008" s="24"/>
      <c r="D1008" s="24"/>
      <c r="E1008" s="24"/>
      <c r="F1008" s="26"/>
      <c r="G1008" s="30"/>
      <c r="H1008" s="30">
        <f t="shared" si="7"/>
        <v>0</v>
      </c>
      <c r="I1008" s="26" t="str">
        <f t="shared" si="3"/>
        <v/>
      </c>
      <c r="J1008" s="85"/>
      <c r="K1008" s="26"/>
      <c r="L1008" s="30"/>
    </row>
    <row r="1009" ht="22.5" customHeight="1">
      <c r="A1009" s="25"/>
      <c r="B1009" s="23"/>
      <c r="C1009" s="24"/>
      <c r="D1009" s="24"/>
      <c r="E1009" s="24"/>
      <c r="F1009" s="26"/>
      <c r="G1009" s="30"/>
      <c r="H1009" s="30">
        <f t="shared" si="7"/>
        <v>0</v>
      </c>
      <c r="I1009" s="26" t="str">
        <f t="shared" si="3"/>
        <v/>
      </c>
      <c r="J1009" s="85"/>
      <c r="K1009" s="26"/>
      <c r="L1009" s="30"/>
    </row>
    <row r="1010" ht="22.5" customHeight="1">
      <c r="A1010" s="25"/>
      <c r="B1010" s="23"/>
      <c r="C1010" s="24"/>
      <c r="D1010" s="24"/>
      <c r="E1010" s="24"/>
      <c r="F1010" s="26"/>
      <c r="G1010" s="30"/>
      <c r="H1010" s="30">
        <f t="shared" si="7"/>
        <v>0</v>
      </c>
      <c r="I1010" s="26" t="str">
        <f t="shared" si="3"/>
        <v/>
      </c>
      <c r="J1010" s="85"/>
      <c r="K1010" s="26"/>
      <c r="L1010" s="30"/>
    </row>
    <row r="1011" ht="22.5" customHeight="1">
      <c r="A1011" s="25"/>
      <c r="B1011" s="23"/>
      <c r="C1011" s="24"/>
      <c r="D1011" s="24"/>
      <c r="E1011" s="24"/>
      <c r="F1011" s="26"/>
      <c r="G1011" s="30"/>
      <c r="H1011" s="30">
        <f t="shared" si="7"/>
        <v>0</v>
      </c>
      <c r="I1011" s="26" t="str">
        <f t="shared" si="3"/>
        <v/>
      </c>
      <c r="J1011" s="85"/>
      <c r="K1011" s="26"/>
      <c r="L1011" s="30"/>
    </row>
    <row r="1012" ht="22.5" customHeight="1">
      <c r="A1012" s="25"/>
      <c r="B1012" s="23"/>
      <c r="C1012" s="24"/>
      <c r="D1012" s="24"/>
      <c r="E1012" s="24"/>
      <c r="F1012" s="26"/>
      <c r="G1012" s="30"/>
      <c r="H1012" s="30">
        <f t="shared" si="7"/>
        <v>0</v>
      </c>
      <c r="I1012" s="26" t="str">
        <f t="shared" si="3"/>
        <v/>
      </c>
      <c r="J1012" s="85"/>
      <c r="K1012" s="26"/>
      <c r="L1012" s="30"/>
    </row>
    <row r="1013" ht="22.5" customHeight="1">
      <c r="A1013" s="25"/>
      <c r="B1013" s="23"/>
      <c r="C1013" s="24"/>
      <c r="D1013" s="24"/>
      <c r="E1013" s="24"/>
      <c r="F1013" s="26"/>
      <c r="G1013" s="30"/>
      <c r="H1013" s="30">
        <f t="shared" si="7"/>
        <v>0</v>
      </c>
      <c r="I1013" s="26" t="str">
        <f t="shared" si="3"/>
        <v/>
      </c>
      <c r="J1013" s="85"/>
      <c r="K1013" s="26"/>
      <c r="L1013" s="30"/>
    </row>
    <row r="1014" ht="22.5" customHeight="1">
      <c r="A1014" s="25"/>
      <c r="B1014" s="23"/>
      <c r="C1014" s="24"/>
      <c r="D1014" s="24"/>
      <c r="E1014" s="24"/>
      <c r="F1014" s="26"/>
      <c r="G1014" s="30"/>
      <c r="H1014" s="30">
        <f t="shared" si="7"/>
        <v>0</v>
      </c>
      <c r="I1014" s="26" t="str">
        <f t="shared" si="3"/>
        <v/>
      </c>
      <c r="J1014" s="85"/>
      <c r="K1014" s="26"/>
      <c r="L1014" s="30"/>
    </row>
    <row r="1015" ht="22.5" customHeight="1">
      <c r="A1015" s="25"/>
      <c r="B1015" s="23"/>
      <c r="C1015" s="24"/>
      <c r="D1015" s="24"/>
      <c r="E1015" s="24"/>
      <c r="F1015" s="26"/>
      <c r="G1015" s="30"/>
      <c r="H1015" s="30">
        <f t="shared" si="7"/>
        <v>0</v>
      </c>
      <c r="I1015" s="26" t="str">
        <f t="shared" si="3"/>
        <v/>
      </c>
      <c r="J1015" s="85"/>
      <c r="K1015" s="26"/>
      <c r="L1015" s="30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custom" allowBlank="1" showDropDown="1" sqref="C2:L10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25.13"/>
  </cols>
  <sheetData>
    <row r="1" ht="22.5" customHeight="1">
      <c r="A1" s="10" t="s">
        <v>4</v>
      </c>
      <c r="B1" s="10" t="s">
        <v>5</v>
      </c>
      <c r="C1" s="11" t="s">
        <v>6</v>
      </c>
      <c r="D1" s="10" t="s">
        <v>29</v>
      </c>
      <c r="E1" s="10" t="s">
        <v>36</v>
      </c>
      <c r="F1" s="10" t="s">
        <v>37</v>
      </c>
      <c r="G1" s="11" t="s">
        <v>38</v>
      </c>
      <c r="H1" s="10" t="s">
        <v>15</v>
      </c>
    </row>
    <row r="2" ht="22.5" customHeight="1">
      <c r="A2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2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2" s="24" t="s">
        <v>16</v>
      </c>
      <c r="D2" s="78">
        <v>101.0</v>
      </c>
      <c r="E2" s="78">
        <v>22400.0</v>
      </c>
      <c r="F2" s="30">
        <f t="shared" ref="F2:F19" si="1">D2*E2</f>
        <v>2262400</v>
      </c>
      <c r="G2" s="25">
        <v>45697.0</v>
      </c>
      <c r="H2" s="24" t="s">
        <v>17</v>
      </c>
    </row>
    <row r="3" ht="22.5" customHeight="1">
      <c r="A3" s="24"/>
      <c r="B3" s="23"/>
      <c r="C3" s="24" t="s">
        <v>18</v>
      </c>
      <c r="D3" s="78">
        <v>1.0</v>
      </c>
      <c r="E3" s="78">
        <v>134000.0</v>
      </c>
      <c r="F3" s="30">
        <f t="shared" si="1"/>
        <v>134000</v>
      </c>
      <c r="G3" s="25">
        <v>45697.0</v>
      </c>
      <c r="H3" s="24" t="s">
        <v>17</v>
      </c>
    </row>
    <row r="4" ht="22.5" customHeight="1">
      <c r="A4" s="24"/>
      <c r="B4" s="23"/>
      <c r="C4" s="24" t="s">
        <v>18</v>
      </c>
      <c r="D4" s="78">
        <v>1.5</v>
      </c>
      <c r="E4" s="78">
        <v>223000.0</v>
      </c>
      <c r="F4" s="30">
        <f t="shared" si="1"/>
        <v>334500</v>
      </c>
      <c r="G4" s="25">
        <v>45697.0</v>
      </c>
      <c r="H4" s="24" t="s">
        <v>17</v>
      </c>
      <c r="J4" s="9"/>
    </row>
    <row r="5" ht="22.5" customHeight="1">
      <c r="A5" s="24"/>
      <c r="B5" s="23"/>
      <c r="C5" s="24" t="s">
        <v>18</v>
      </c>
      <c r="D5" s="78">
        <v>1.5</v>
      </c>
      <c r="E5" s="78">
        <v>158000.0</v>
      </c>
      <c r="F5" s="30">
        <f t="shared" si="1"/>
        <v>237000</v>
      </c>
      <c r="G5" s="25">
        <v>45697.0</v>
      </c>
      <c r="H5" s="24" t="s">
        <v>17</v>
      </c>
    </row>
    <row r="6" ht="22.5" customHeight="1">
      <c r="A6" s="24"/>
      <c r="B6" s="23"/>
      <c r="C6" s="24" t="s">
        <v>19</v>
      </c>
      <c r="D6" s="78">
        <v>3830.0</v>
      </c>
      <c r="E6" s="78">
        <f>288000/5000</f>
        <v>57.6</v>
      </c>
      <c r="F6" s="30">
        <f t="shared" si="1"/>
        <v>220608</v>
      </c>
      <c r="G6" s="25">
        <v>45697.0</v>
      </c>
      <c r="H6" s="24" t="s">
        <v>17</v>
      </c>
    </row>
    <row r="7" ht="22.5" customHeight="1">
      <c r="A7" s="24"/>
      <c r="B7" s="23"/>
      <c r="C7" s="24" t="s">
        <v>19</v>
      </c>
      <c r="D7" s="78">
        <v>140.0</v>
      </c>
      <c r="E7" s="78">
        <f>35000/750</f>
        <v>46.66666667</v>
      </c>
      <c r="F7" s="30">
        <f t="shared" si="1"/>
        <v>6533.333333</v>
      </c>
      <c r="G7" s="25">
        <v>45697.0</v>
      </c>
      <c r="H7" s="24" t="s">
        <v>17</v>
      </c>
    </row>
    <row r="8" ht="22.5" customHeight="1">
      <c r="A8" s="24"/>
      <c r="B8" s="23"/>
      <c r="C8" s="24" t="s">
        <v>19</v>
      </c>
      <c r="D8" s="78">
        <v>8130.0</v>
      </c>
      <c r="E8" s="78">
        <f>312500/5000</f>
        <v>62.5</v>
      </c>
      <c r="F8" s="30">
        <f t="shared" si="1"/>
        <v>508125</v>
      </c>
      <c r="G8" s="25">
        <v>45697.0</v>
      </c>
      <c r="H8" s="24" t="s">
        <v>17</v>
      </c>
    </row>
    <row r="9" ht="22.5" customHeight="1">
      <c r="A9" s="24"/>
      <c r="B9" s="23"/>
      <c r="C9" s="24" t="s">
        <v>20</v>
      </c>
      <c r="D9" s="78">
        <v>3.0</v>
      </c>
      <c r="E9" s="78">
        <v>60000.0</v>
      </c>
      <c r="F9" s="30">
        <f t="shared" si="1"/>
        <v>180000</v>
      </c>
      <c r="G9" s="25">
        <v>45697.0</v>
      </c>
      <c r="H9" s="24" t="s">
        <v>17</v>
      </c>
    </row>
    <row r="10" ht="22.5" customHeight="1">
      <c r="A10" s="24"/>
      <c r="B10" s="23"/>
      <c r="C10" s="24" t="s">
        <v>19</v>
      </c>
      <c r="D10" s="78">
        <v>7030.0</v>
      </c>
      <c r="E10" s="78">
        <f>250000/5000</f>
        <v>50</v>
      </c>
      <c r="F10" s="30">
        <f t="shared" si="1"/>
        <v>351500</v>
      </c>
      <c r="G10" s="25">
        <v>45697.0</v>
      </c>
      <c r="H10" s="24" t="s">
        <v>17</v>
      </c>
    </row>
    <row r="11" ht="22.5" customHeight="1">
      <c r="A11" s="24"/>
      <c r="B11" s="23"/>
      <c r="C11" s="24" t="s">
        <v>19</v>
      </c>
      <c r="D11" s="78">
        <v>658.0</v>
      </c>
      <c r="E11" s="78">
        <f>35000/750</f>
        <v>46.66666667</v>
      </c>
      <c r="F11" s="30">
        <f t="shared" si="1"/>
        <v>30706.66667</v>
      </c>
      <c r="G11" s="25">
        <v>45697.0</v>
      </c>
      <c r="H11" s="24" t="s">
        <v>17</v>
      </c>
    </row>
    <row r="12" ht="22.5" customHeight="1">
      <c r="A12" s="24"/>
      <c r="B12" s="23"/>
      <c r="C12" s="24" t="s">
        <v>19</v>
      </c>
      <c r="D12" s="78">
        <v>7800.0</v>
      </c>
      <c r="E12" s="78">
        <f>276000/5000</f>
        <v>55.2</v>
      </c>
      <c r="F12" s="30">
        <f t="shared" si="1"/>
        <v>430560</v>
      </c>
      <c r="G12" s="25">
        <v>45697.0</v>
      </c>
      <c r="H12" s="24" t="s">
        <v>17</v>
      </c>
    </row>
    <row r="13" ht="22.5" customHeight="1">
      <c r="A13" s="24"/>
      <c r="B13" s="23"/>
      <c r="C13" s="24" t="s">
        <v>19</v>
      </c>
      <c r="D13" s="78">
        <v>410.0</v>
      </c>
      <c r="E13" s="78">
        <f>35000/750</f>
        <v>46.66666667</v>
      </c>
      <c r="F13" s="30">
        <f t="shared" si="1"/>
        <v>19133.33333</v>
      </c>
      <c r="G13" s="25">
        <v>45697.0</v>
      </c>
      <c r="H13" s="24" t="s">
        <v>17</v>
      </c>
    </row>
    <row r="14" ht="22.5" customHeight="1">
      <c r="A14" s="24"/>
      <c r="B14" s="23"/>
      <c r="C14" s="24" t="s">
        <v>19</v>
      </c>
      <c r="D14" s="78">
        <v>7620.0</v>
      </c>
      <c r="E14" s="78">
        <f>350000/5000</f>
        <v>70</v>
      </c>
      <c r="F14" s="30">
        <f t="shared" si="1"/>
        <v>533400</v>
      </c>
      <c r="G14" s="25">
        <v>45697.0</v>
      </c>
      <c r="H14" s="24" t="s">
        <v>17</v>
      </c>
    </row>
    <row r="15" ht="22.5" customHeight="1">
      <c r="A15" s="24"/>
      <c r="B15" s="23"/>
      <c r="C15" s="24" t="s">
        <v>19</v>
      </c>
      <c r="D15" s="78">
        <v>370.0</v>
      </c>
      <c r="E15" s="78">
        <f>41000/450</f>
        <v>91.11111111</v>
      </c>
      <c r="F15" s="30">
        <f t="shared" si="1"/>
        <v>33711.11111</v>
      </c>
      <c r="G15" s="25">
        <v>45697.0</v>
      </c>
      <c r="H15" s="24" t="s">
        <v>17</v>
      </c>
    </row>
    <row r="16" ht="22.5" customHeight="1">
      <c r="A16" s="24"/>
      <c r="B16" s="23"/>
      <c r="C16" s="24" t="s">
        <v>19</v>
      </c>
      <c r="D16" s="78">
        <v>5000.0</v>
      </c>
      <c r="E16" s="78">
        <f>288000/5000</f>
        <v>57.6</v>
      </c>
      <c r="F16" s="30">
        <f t="shared" si="1"/>
        <v>288000</v>
      </c>
      <c r="G16" s="25">
        <v>45697.0</v>
      </c>
      <c r="H16" s="24" t="s">
        <v>17</v>
      </c>
    </row>
    <row r="17" ht="22.5" customHeight="1">
      <c r="A17" s="24"/>
      <c r="B17" s="23"/>
      <c r="C17" s="24" t="s">
        <v>19</v>
      </c>
      <c r="D17" s="78">
        <v>450.0</v>
      </c>
      <c r="E17" s="78">
        <f>35000/450</f>
        <v>77.77777778</v>
      </c>
      <c r="F17" s="30">
        <f t="shared" si="1"/>
        <v>35000</v>
      </c>
      <c r="G17" s="25">
        <v>45697.0</v>
      </c>
      <c r="H17" s="24" t="s">
        <v>17</v>
      </c>
    </row>
    <row r="18" ht="22.5" customHeight="1">
      <c r="A18" s="24"/>
      <c r="B18" s="23"/>
      <c r="C18" s="24" t="s">
        <v>18</v>
      </c>
      <c r="D18" s="78">
        <v>0.0</v>
      </c>
      <c r="E18" s="78">
        <v>15000.0</v>
      </c>
      <c r="F18" s="30">
        <f t="shared" si="1"/>
        <v>0</v>
      </c>
      <c r="G18" s="25">
        <v>45697.0</v>
      </c>
      <c r="H18" s="24" t="s">
        <v>39</v>
      </c>
      <c r="K18" s="9"/>
    </row>
    <row r="19" ht="22.5" customHeight="1">
      <c r="A19" s="24"/>
      <c r="B19" s="23"/>
      <c r="C19" s="24" t="s">
        <v>18</v>
      </c>
      <c r="D19" s="78">
        <v>0.0</v>
      </c>
      <c r="E19" s="78">
        <v>153000.0</v>
      </c>
      <c r="F19" s="30">
        <f t="shared" si="1"/>
        <v>0</v>
      </c>
      <c r="G19" s="25">
        <v>45697.0</v>
      </c>
      <c r="H19" s="24" t="s">
        <v>39</v>
      </c>
    </row>
    <row r="20" ht="15.75" customHeight="1">
      <c r="A20" s="42"/>
      <c r="B20" s="42"/>
      <c r="D20" s="42"/>
      <c r="E20" s="42"/>
      <c r="F20" s="42"/>
      <c r="H20" s="42"/>
    </row>
    <row r="21" ht="15.75" customHeight="1">
      <c r="A21" s="42"/>
      <c r="B21" s="42"/>
      <c r="D21" s="42"/>
      <c r="E21" s="42"/>
      <c r="F21" s="42"/>
      <c r="H21" s="42"/>
    </row>
    <row r="22" ht="15.75" customHeight="1">
      <c r="A22" s="42"/>
      <c r="B22" s="42"/>
      <c r="D22" s="42"/>
      <c r="E22" s="42"/>
      <c r="F22" s="42"/>
      <c r="H22" s="42"/>
    </row>
    <row r="23" ht="15.75" customHeight="1">
      <c r="A23" s="42"/>
      <c r="B23" s="42"/>
      <c r="D23" s="42"/>
      <c r="E23" s="42"/>
      <c r="F23" s="42"/>
      <c r="H23" s="42"/>
    </row>
    <row r="24" ht="15.75" customHeight="1">
      <c r="A24" s="42"/>
      <c r="B24" s="42"/>
      <c r="D24" s="42"/>
      <c r="E24" s="42"/>
      <c r="F24" s="42"/>
      <c r="H24" s="42"/>
    </row>
    <row r="25" ht="15.75" customHeight="1">
      <c r="A25" s="42"/>
      <c r="B25" s="42"/>
      <c r="D25" s="42"/>
      <c r="E25" s="42"/>
      <c r="F25" s="42"/>
      <c r="H25" s="42"/>
    </row>
    <row r="26" ht="15.75" customHeight="1">
      <c r="A26" s="42"/>
      <c r="B26" s="42"/>
      <c r="D26" s="42"/>
      <c r="E26" s="42"/>
      <c r="F26" s="42"/>
      <c r="H26" s="42"/>
    </row>
    <row r="27" ht="15.75" customHeight="1">
      <c r="A27" s="42"/>
      <c r="B27" s="42"/>
      <c r="D27" s="42"/>
      <c r="E27" s="42"/>
      <c r="F27" s="42"/>
      <c r="H27" s="42"/>
    </row>
    <row r="28" ht="15.75" customHeight="1">
      <c r="A28" s="42"/>
      <c r="B28" s="42"/>
      <c r="D28" s="42"/>
      <c r="E28" s="42"/>
      <c r="F28" s="42"/>
      <c r="H28" s="42"/>
    </row>
    <row r="29" ht="15.75" customHeight="1">
      <c r="A29" s="42"/>
      <c r="B29" s="42"/>
      <c r="D29" s="42"/>
      <c r="E29" s="42"/>
      <c r="F29" s="42"/>
      <c r="H29" s="42"/>
    </row>
    <row r="30" ht="15.75" customHeight="1">
      <c r="A30" s="42"/>
      <c r="B30" s="42"/>
      <c r="D30" s="42"/>
      <c r="E30" s="42"/>
      <c r="F30" s="42"/>
      <c r="H30" s="42"/>
    </row>
    <row r="31" ht="15.75" customHeight="1">
      <c r="A31" s="42"/>
      <c r="B31" s="42"/>
      <c r="D31" s="42"/>
      <c r="E31" s="42"/>
      <c r="F31" s="42"/>
      <c r="H31" s="42"/>
    </row>
    <row r="32" ht="15.75" customHeight="1">
      <c r="A32" s="42"/>
      <c r="B32" s="42"/>
      <c r="D32" s="42"/>
      <c r="E32" s="42"/>
      <c r="F32" s="42"/>
      <c r="H32" s="42"/>
    </row>
    <row r="33" ht="15.75" customHeight="1">
      <c r="A33" s="42"/>
      <c r="B33" s="42"/>
      <c r="D33" s="42"/>
      <c r="E33" s="42"/>
      <c r="F33" s="42"/>
      <c r="H33" s="42"/>
    </row>
    <row r="34" ht="15.75" customHeight="1">
      <c r="A34" s="42"/>
      <c r="B34" s="42"/>
      <c r="D34" s="42"/>
      <c r="E34" s="42"/>
      <c r="F34" s="42"/>
      <c r="H34" s="42"/>
    </row>
    <row r="35" ht="15.75" customHeight="1">
      <c r="A35" s="42"/>
      <c r="B35" s="42"/>
      <c r="D35" s="42"/>
      <c r="E35" s="42"/>
      <c r="F35" s="42"/>
      <c r="H35" s="42"/>
    </row>
    <row r="36" ht="15.75" customHeight="1">
      <c r="A36" s="42"/>
      <c r="B36" s="42"/>
      <c r="D36" s="42"/>
      <c r="E36" s="42"/>
      <c r="F36" s="42"/>
      <c r="H36" s="42"/>
    </row>
    <row r="37" ht="15.75" customHeight="1">
      <c r="A37" s="42"/>
      <c r="B37" s="42"/>
      <c r="D37" s="42"/>
      <c r="E37" s="42"/>
      <c r="F37" s="42"/>
      <c r="H37" s="42"/>
    </row>
    <row r="38" ht="15.75" customHeight="1">
      <c r="A38" s="42"/>
      <c r="B38" s="42"/>
      <c r="D38" s="42"/>
      <c r="E38" s="42"/>
      <c r="F38" s="42"/>
      <c r="H38" s="42"/>
    </row>
    <row r="39" ht="15.75" customHeight="1">
      <c r="A39" s="42"/>
      <c r="B39" s="42"/>
      <c r="D39" s="42"/>
      <c r="E39" s="42"/>
      <c r="F39" s="42"/>
      <c r="H39" s="42"/>
    </row>
    <row r="40" ht="15.75" customHeight="1">
      <c r="A40" s="42"/>
      <c r="B40" s="42"/>
      <c r="D40" s="42"/>
      <c r="E40" s="42"/>
      <c r="F40" s="42"/>
      <c r="H40" s="42"/>
    </row>
    <row r="41" ht="15.75" customHeight="1">
      <c r="A41" s="42"/>
      <c r="B41" s="42"/>
      <c r="D41" s="42"/>
      <c r="E41" s="42"/>
      <c r="F41" s="42"/>
      <c r="H41" s="42"/>
    </row>
    <row r="42" ht="15.75" customHeight="1">
      <c r="A42" s="42"/>
      <c r="B42" s="42"/>
      <c r="D42" s="42"/>
      <c r="E42" s="42"/>
      <c r="F42" s="42"/>
      <c r="H42" s="42"/>
    </row>
    <row r="43" ht="15.75" customHeight="1">
      <c r="A43" s="42"/>
      <c r="B43" s="42"/>
      <c r="D43" s="42"/>
      <c r="E43" s="42"/>
      <c r="F43" s="42"/>
      <c r="H43" s="42"/>
    </row>
    <row r="44" ht="15.75" customHeight="1">
      <c r="A44" s="42"/>
      <c r="B44" s="42"/>
      <c r="D44" s="42"/>
      <c r="E44" s="42"/>
      <c r="F44" s="42"/>
      <c r="H44" s="4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F19">
      <formula1>AND(ISNUMBER(D2),(NOT(OR(NOT(ISERROR(DATEVALUE(D2))), AND(ISNUMBER(D2), LEFT(CELL("format", D2))="D")))))</formula1>
    </dataValidation>
    <dataValidation type="list" allowBlank="1" sqref="H2:H19">
      <formula1>"In stock,Temporarily unavailable,Re-purchase needed,Sold out"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18.75"/>
    <col customWidth="1" min="9" max="9" width="24.5"/>
    <col customWidth="1" min="10" max="10" width="25.13"/>
  </cols>
  <sheetData>
    <row r="1" ht="15.75" customHeight="1">
      <c r="A1" s="90"/>
      <c r="B1" s="90"/>
      <c r="C1" s="1"/>
      <c r="D1" s="90"/>
      <c r="E1" s="90"/>
      <c r="F1" s="90"/>
      <c r="G1" s="1"/>
      <c r="H1" s="1"/>
      <c r="I1" s="1"/>
      <c r="J1" s="90"/>
    </row>
    <row r="2" ht="15.75" customHeight="1">
      <c r="A2" s="90"/>
      <c r="B2" s="90"/>
      <c r="C2" s="1"/>
      <c r="D2" s="90"/>
      <c r="E2" s="91" t="s">
        <v>40</v>
      </c>
      <c r="F2" s="92">
        <f>SUM(OBR_Mar_2025!$F$4:$F$21)</f>
        <v>9965463.779</v>
      </c>
      <c r="G2" s="1"/>
      <c r="H2" s="1"/>
      <c r="I2" s="1"/>
      <c r="J2" s="90"/>
    </row>
    <row r="3" ht="22.5" customHeight="1">
      <c r="A3" s="10" t="s">
        <v>4</v>
      </c>
      <c r="B3" s="10" t="s">
        <v>5</v>
      </c>
      <c r="C3" s="11" t="s">
        <v>6</v>
      </c>
      <c r="D3" s="10" t="s">
        <v>29</v>
      </c>
      <c r="E3" s="10" t="s">
        <v>11</v>
      </c>
      <c r="F3" s="10" t="s">
        <v>37</v>
      </c>
      <c r="G3" s="11" t="s">
        <v>38</v>
      </c>
      <c r="H3" s="11" t="s">
        <v>41</v>
      </c>
      <c r="I3" s="11" t="s">
        <v>42</v>
      </c>
      <c r="J3" s="10" t="s">
        <v>15</v>
      </c>
    </row>
    <row r="4" ht="22.5" customHeight="1">
      <c r="A4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4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4" s="24" t="s">
        <v>16</v>
      </c>
      <c r="D4" s="78">
        <v>226.0</v>
      </c>
      <c r="E4" s="78">
        <v>20875.083056478405</v>
      </c>
      <c r="F4" s="30">
        <f t="shared" ref="F4:F21" si="1">D4*E4</f>
        <v>4717768.771</v>
      </c>
      <c r="G4" s="93">
        <v>45717.0</v>
      </c>
      <c r="H4" s="29">
        <f>D4-OBR_Feb_2025!D2</f>
        <v>125</v>
      </c>
      <c r="I4" s="94">
        <f>E4/OBR_Feb_2025!E2-1</f>
        <v>-0.06807664926</v>
      </c>
      <c r="J4" s="24" t="s">
        <v>17</v>
      </c>
      <c r="L4" s="73"/>
    </row>
    <row r="5" ht="22.5" customHeight="1">
      <c r="A5" s="24"/>
      <c r="B5" s="23"/>
      <c r="C5" s="24" t="s">
        <v>18</v>
      </c>
      <c r="D5" s="78">
        <v>12.0</v>
      </c>
      <c r="E5" s="78">
        <v>135768.60273277212</v>
      </c>
      <c r="F5" s="30">
        <f t="shared" si="1"/>
        <v>1629223.233</v>
      </c>
      <c r="G5" s="93">
        <v>45717.0</v>
      </c>
      <c r="H5" s="29">
        <f>D5-OBR_Feb_2025!D3</f>
        <v>11</v>
      </c>
      <c r="I5" s="94">
        <f>E5/OBR_Feb_2025!E3-1</f>
        <v>0.01319852786</v>
      </c>
      <c r="J5" s="24" t="s">
        <v>17</v>
      </c>
      <c r="L5" s="73"/>
    </row>
    <row r="6" ht="22.5" customHeight="1">
      <c r="A6" s="24"/>
      <c r="B6" s="23"/>
      <c r="C6" s="24" t="s">
        <v>18</v>
      </c>
      <c r="D6" s="78">
        <v>1.5</v>
      </c>
      <c r="E6" s="78">
        <v>224236.17411904054</v>
      </c>
      <c r="F6" s="30">
        <f t="shared" si="1"/>
        <v>336354.2612</v>
      </c>
      <c r="G6" s="93">
        <v>45717.0</v>
      </c>
      <c r="H6" s="29">
        <f>D6-OBR_Feb_2025!D4</f>
        <v>0</v>
      </c>
      <c r="I6" s="94">
        <f>E6/OBR_Feb_2025!E4-1</f>
        <v>0.0055433817</v>
      </c>
      <c r="J6" s="24" t="s">
        <v>17</v>
      </c>
      <c r="L6" s="73"/>
    </row>
    <row r="7" ht="22.5" customHeight="1">
      <c r="A7" s="24"/>
      <c r="B7" s="23"/>
      <c r="C7" s="24" t="s">
        <v>18</v>
      </c>
      <c r="D7" s="78">
        <v>2.5</v>
      </c>
      <c r="E7" s="78">
        <v>159459.75718092982</v>
      </c>
      <c r="F7" s="30">
        <f t="shared" si="1"/>
        <v>398649.393</v>
      </c>
      <c r="G7" s="93">
        <v>45717.0</v>
      </c>
      <c r="H7" s="29">
        <f>D7-OBR_Feb_2025!D5</f>
        <v>1</v>
      </c>
      <c r="I7" s="94">
        <f>E7/OBR_Feb_2025!E5-1</f>
        <v>0.0092389695</v>
      </c>
      <c r="J7" s="24" t="s">
        <v>17</v>
      </c>
      <c r="L7" s="73"/>
    </row>
    <row r="8" ht="22.5" customHeight="1">
      <c r="A8" s="24"/>
      <c r="B8" s="23"/>
      <c r="C8" s="24" t="s">
        <v>19</v>
      </c>
      <c r="D8" s="78">
        <v>6610.0</v>
      </c>
      <c r="E8" s="78">
        <v>64.95612066302893</v>
      </c>
      <c r="F8" s="30">
        <f t="shared" si="1"/>
        <v>429359.9576</v>
      </c>
      <c r="G8" s="93">
        <v>45717.0</v>
      </c>
      <c r="H8" s="29">
        <f>D8-OBR_Feb_2025!D6</f>
        <v>2780</v>
      </c>
      <c r="I8" s="94">
        <f>E8/OBR_Feb_2025!E6-1</f>
        <v>0.1277104282</v>
      </c>
      <c r="J8" s="24" t="s">
        <v>17</v>
      </c>
      <c r="L8" s="73"/>
    </row>
    <row r="9" ht="22.5" customHeight="1">
      <c r="A9" s="24"/>
      <c r="B9" s="23"/>
      <c r="C9" s="24" t="s">
        <v>19</v>
      </c>
      <c r="D9" s="78">
        <v>288.0</v>
      </c>
      <c r="E9" s="78">
        <v>46.9986380660538</v>
      </c>
      <c r="F9" s="30">
        <f t="shared" si="1"/>
        <v>13535.60776</v>
      </c>
      <c r="G9" s="93">
        <v>45717.0</v>
      </c>
      <c r="H9" s="29">
        <f>D9-OBR_Feb_2025!D7</f>
        <v>148</v>
      </c>
      <c r="I9" s="94">
        <f>E9/OBR_Feb_2025!E7-1</f>
        <v>0.007113672844</v>
      </c>
      <c r="J9" s="24" t="s">
        <v>17</v>
      </c>
      <c r="L9" s="73"/>
    </row>
    <row r="10" ht="22.5" customHeight="1">
      <c r="A10" s="24"/>
      <c r="B10" s="23"/>
      <c r="C10" s="24" t="s">
        <v>19</v>
      </c>
      <c r="D10" s="78">
        <v>6890.0</v>
      </c>
      <c r="E10" s="78">
        <v>62.5</v>
      </c>
      <c r="F10" s="30">
        <f t="shared" si="1"/>
        <v>430625</v>
      </c>
      <c r="G10" s="93">
        <v>45717.0</v>
      </c>
      <c r="H10" s="29">
        <f>D10-OBR_Feb_2025!D8</f>
        <v>-1240</v>
      </c>
      <c r="I10" s="94">
        <f>E10/OBR_Feb_2025!E8-1</f>
        <v>0</v>
      </c>
      <c r="J10" s="24" t="s">
        <v>17</v>
      </c>
      <c r="L10" s="73"/>
    </row>
    <row r="11" ht="22.5" customHeight="1">
      <c r="A11" s="24"/>
      <c r="B11" s="23"/>
      <c r="C11" s="24" t="s">
        <v>20</v>
      </c>
      <c r="D11" s="78">
        <v>2.85</v>
      </c>
      <c r="E11" s="78">
        <v>60000.0</v>
      </c>
      <c r="F11" s="30">
        <f t="shared" si="1"/>
        <v>171000</v>
      </c>
      <c r="G11" s="93">
        <v>45717.0</v>
      </c>
      <c r="H11" s="29">
        <f>D11-OBR_Feb_2025!D9</f>
        <v>-0.15</v>
      </c>
      <c r="I11" s="94">
        <f>E11/OBR_Feb_2025!E9-1</f>
        <v>0</v>
      </c>
      <c r="J11" s="24" t="s">
        <v>17</v>
      </c>
      <c r="L11" s="73"/>
    </row>
    <row r="12" ht="22.5" customHeight="1">
      <c r="A12" s="24"/>
      <c r="B12" s="23"/>
      <c r="C12" s="24" t="s">
        <v>19</v>
      </c>
      <c r="D12" s="78">
        <v>4648.0</v>
      </c>
      <c r="E12" s="78">
        <v>50.0</v>
      </c>
      <c r="F12" s="30">
        <f t="shared" si="1"/>
        <v>232400</v>
      </c>
      <c r="G12" s="93">
        <v>45717.0</v>
      </c>
      <c r="H12" s="29">
        <f>D12-OBR_Feb_2025!D10</f>
        <v>-2382</v>
      </c>
      <c r="I12" s="94">
        <f>E12/OBR_Feb_2025!E10-1</f>
        <v>0</v>
      </c>
      <c r="J12" s="24" t="s">
        <v>17</v>
      </c>
      <c r="L12" s="73"/>
    </row>
    <row r="13" ht="22.5" customHeight="1">
      <c r="A13" s="24"/>
      <c r="B13" s="23"/>
      <c r="C13" s="24" t="s">
        <v>19</v>
      </c>
      <c r="D13" s="78">
        <v>342.0</v>
      </c>
      <c r="E13" s="78">
        <v>46.666666666666664</v>
      </c>
      <c r="F13" s="30">
        <f t="shared" si="1"/>
        <v>15960</v>
      </c>
      <c r="G13" s="93">
        <v>45717.0</v>
      </c>
      <c r="H13" s="29">
        <f>D13-OBR_Feb_2025!D11</f>
        <v>-316</v>
      </c>
      <c r="I13" s="94">
        <f>E13/OBR_Feb_2025!E11-1</f>
        <v>0</v>
      </c>
      <c r="J13" s="24" t="s">
        <v>17</v>
      </c>
      <c r="L13" s="73"/>
    </row>
    <row r="14" ht="22.5" customHeight="1">
      <c r="A14" s="24"/>
      <c r="B14" s="23"/>
      <c r="C14" s="24" t="s">
        <v>19</v>
      </c>
      <c r="D14" s="78">
        <v>6760.0</v>
      </c>
      <c r="E14" s="78">
        <v>55.2</v>
      </c>
      <c r="F14" s="30">
        <f t="shared" si="1"/>
        <v>373152</v>
      </c>
      <c r="G14" s="93">
        <v>45717.0</v>
      </c>
      <c r="H14" s="29">
        <f>D14-OBR_Feb_2025!D12</f>
        <v>-1040</v>
      </c>
      <c r="I14" s="94">
        <f>E14/OBR_Feb_2025!E12-1</f>
        <v>0</v>
      </c>
      <c r="J14" s="24" t="s">
        <v>17</v>
      </c>
      <c r="L14" s="73"/>
    </row>
    <row r="15" ht="22.5" customHeight="1">
      <c r="A15" s="24"/>
      <c r="B15" s="23"/>
      <c r="C15" s="24" t="s">
        <v>19</v>
      </c>
      <c r="D15" s="78">
        <v>276.0</v>
      </c>
      <c r="E15" s="78">
        <v>46.666666666666664</v>
      </c>
      <c r="F15" s="30">
        <f t="shared" si="1"/>
        <v>12880</v>
      </c>
      <c r="G15" s="93">
        <v>45717.0</v>
      </c>
      <c r="H15" s="29">
        <f>D15-OBR_Feb_2025!D13</f>
        <v>-134</v>
      </c>
      <c r="I15" s="94">
        <f>E15/OBR_Feb_2025!E13-1</f>
        <v>0</v>
      </c>
      <c r="J15" s="24" t="s">
        <v>17</v>
      </c>
      <c r="L15" s="73"/>
    </row>
    <row r="16" ht="22.5" customHeight="1">
      <c r="A16" s="24"/>
      <c r="B16" s="23"/>
      <c r="C16" s="24" t="s">
        <v>19</v>
      </c>
      <c r="D16" s="78">
        <v>4430.0</v>
      </c>
      <c r="E16" s="78">
        <v>70.0</v>
      </c>
      <c r="F16" s="30">
        <f t="shared" si="1"/>
        <v>310100</v>
      </c>
      <c r="G16" s="93">
        <v>45717.0</v>
      </c>
      <c r="H16" s="29">
        <f>D16-OBR_Feb_2025!D14</f>
        <v>-3190</v>
      </c>
      <c r="I16" s="94">
        <f>E16/OBR_Feb_2025!E14-1</f>
        <v>0</v>
      </c>
      <c r="J16" s="24" t="s">
        <v>17</v>
      </c>
      <c r="L16" s="73"/>
    </row>
    <row r="17" ht="22.5" customHeight="1">
      <c r="A17" s="24"/>
      <c r="B17" s="23"/>
      <c r="C17" s="24" t="s">
        <v>19</v>
      </c>
      <c r="D17" s="78">
        <v>230.0</v>
      </c>
      <c r="E17" s="78">
        <v>91.1111111111111</v>
      </c>
      <c r="F17" s="30">
        <f t="shared" si="1"/>
        <v>20955.55556</v>
      </c>
      <c r="G17" s="93">
        <v>45717.0</v>
      </c>
      <c r="H17" s="29">
        <f>D17-OBR_Feb_2025!D15</f>
        <v>-140</v>
      </c>
      <c r="I17" s="94">
        <f>E17/OBR_Feb_2025!E15-1</f>
        <v>0</v>
      </c>
      <c r="J17" s="24" t="s">
        <v>17</v>
      </c>
      <c r="L17" s="73"/>
    </row>
    <row r="18" ht="22.5" customHeight="1">
      <c r="A18" s="24"/>
      <c r="B18" s="23"/>
      <c r="C18" s="24" t="s">
        <v>19</v>
      </c>
      <c r="D18" s="78">
        <v>5000.0</v>
      </c>
      <c r="E18" s="78">
        <v>57.6</v>
      </c>
      <c r="F18" s="30">
        <f t="shared" si="1"/>
        <v>288000</v>
      </c>
      <c r="G18" s="93">
        <v>45717.0</v>
      </c>
      <c r="H18" s="29">
        <f>D18-OBR_Feb_2025!D16</f>
        <v>0</v>
      </c>
      <c r="I18" s="94">
        <f>E18/OBR_Feb_2025!E16-1</f>
        <v>0</v>
      </c>
      <c r="J18" s="24" t="s">
        <v>17</v>
      </c>
      <c r="L18" s="73"/>
    </row>
    <row r="19" ht="22.5" customHeight="1">
      <c r="A19" s="24"/>
      <c r="B19" s="23"/>
      <c r="C19" s="24" t="s">
        <v>19</v>
      </c>
      <c r="D19" s="78">
        <v>450.0</v>
      </c>
      <c r="E19" s="78">
        <v>77.77777777777777</v>
      </c>
      <c r="F19" s="30">
        <f t="shared" si="1"/>
        <v>35000</v>
      </c>
      <c r="G19" s="93">
        <v>45717.0</v>
      </c>
      <c r="H19" s="29">
        <f>D19-OBR_Feb_2025!D17</f>
        <v>0</v>
      </c>
      <c r="I19" s="94">
        <f>E19/OBR_Feb_2025!E17-1</f>
        <v>0</v>
      </c>
      <c r="J19" s="24" t="s">
        <v>17</v>
      </c>
      <c r="L19" s="73"/>
    </row>
    <row r="20" ht="22.5" customHeight="1">
      <c r="A20" s="24"/>
      <c r="B20" s="23"/>
      <c r="C20" s="24" t="s">
        <v>18</v>
      </c>
      <c r="D20" s="78">
        <v>1.0</v>
      </c>
      <c r="E20" s="78">
        <v>15000.0</v>
      </c>
      <c r="F20" s="30">
        <f t="shared" si="1"/>
        <v>15000</v>
      </c>
      <c r="G20" s="93">
        <v>45717.0</v>
      </c>
      <c r="H20" s="29">
        <f>D20-OBR_Feb_2025!D18</f>
        <v>1</v>
      </c>
      <c r="I20" s="94">
        <f>E20/OBR_Feb_2025!E18-1</f>
        <v>0</v>
      </c>
      <c r="J20" s="24" t="s">
        <v>39</v>
      </c>
      <c r="L20" s="73"/>
    </row>
    <row r="21" ht="22.5" customHeight="1">
      <c r="A21" s="24"/>
      <c r="B21" s="23"/>
      <c r="C21" s="24" t="s">
        <v>18</v>
      </c>
      <c r="D21" s="78">
        <v>3.5</v>
      </c>
      <c r="E21" s="78">
        <v>153000.0</v>
      </c>
      <c r="F21" s="30">
        <f t="shared" si="1"/>
        <v>535500</v>
      </c>
      <c r="G21" s="93">
        <v>45717.0</v>
      </c>
      <c r="H21" s="29">
        <f>D21-OBR_Feb_2025!D19</f>
        <v>3.5</v>
      </c>
      <c r="I21" s="94">
        <f>E21/OBR_Feb_2025!E19-1</f>
        <v>0</v>
      </c>
      <c r="J21" s="24" t="s">
        <v>39</v>
      </c>
      <c r="L21" s="73"/>
    </row>
    <row r="22" ht="15.75" customHeight="1">
      <c r="A22" s="42"/>
      <c r="B22" s="42"/>
      <c r="D22" s="42"/>
      <c r="E22" s="42"/>
      <c r="F22" s="42"/>
      <c r="J22" s="42"/>
    </row>
    <row r="23" ht="15.75" customHeight="1">
      <c r="A23" s="42"/>
      <c r="B23" s="42"/>
      <c r="D23" s="42"/>
      <c r="E23" s="42"/>
      <c r="F23" s="42"/>
      <c r="J23" s="42"/>
    </row>
    <row r="24" ht="15.75" customHeight="1">
      <c r="A24" s="42"/>
      <c r="B24" s="42"/>
      <c r="D24" s="42"/>
      <c r="E24" s="42"/>
      <c r="F24" s="42"/>
      <c r="J24" s="42"/>
    </row>
    <row r="25" ht="15.75" customHeight="1">
      <c r="A25" s="42"/>
      <c r="B25" s="42"/>
      <c r="D25" s="42"/>
      <c r="E25" s="42"/>
      <c r="F25" s="42"/>
      <c r="J25" s="42"/>
    </row>
    <row r="26" ht="15.75" customHeight="1">
      <c r="A26" s="42"/>
      <c r="B26" s="42"/>
      <c r="D26" s="42"/>
      <c r="E26" s="42"/>
      <c r="F26" s="42"/>
      <c r="J26" s="42"/>
    </row>
    <row r="27" ht="15.75" customHeight="1">
      <c r="A27" s="42"/>
      <c r="B27" s="42"/>
      <c r="D27" s="42"/>
      <c r="E27" s="42"/>
      <c r="F27" s="42"/>
      <c r="J27" s="42"/>
    </row>
    <row r="28" ht="15.75" customHeight="1">
      <c r="A28" s="42"/>
      <c r="B28" s="42"/>
      <c r="D28" s="42"/>
      <c r="E28" s="42"/>
      <c r="F28" s="42"/>
      <c r="J28" s="42"/>
    </row>
    <row r="29" ht="15.75" customHeight="1">
      <c r="A29" s="42"/>
      <c r="B29" s="42"/>
      <c r="D29" s="42"/>
      <c r="E29" s="42"/>
      <c r="F29" s="42"/>
      <c r="J29" s="42"/>
    </row>
    <row r="30" ht="15.75" customHeight="1">
      <c r="A30" s="42"/>
      <c r="B30" s="42"/>
      <c r="D30" s="42"/>
      <c r="E30" s="42"/>
      <c r="F30" s="42"/>
      <c r="J30" s="42"/>
    </row>
    <row r="31" ht="15.75" customHeight="1">
      <c r="A31" s="42"/>
      <c r="B31" s="42"/>
      <c r="D31" s="42"/>
      <c r="E31" s="42"/>
      <c r="F31" s="42"/>
      <c r="J31" s="42"/>
    </row>
    <row r="32" ht="15.75" customHeight="1">
      <c r="A32" s="42"/>
      <c r="B32" s="42"/>
      <c r="D32" s="42"/>
      <c r="E32" s="42"/>
      <c r="F32" s="42"/>
      <c r="J32" s="42"/>
    </row>
    <row r="33" ht="15.75" customHeight="1">
      <c r="A33" s="42"/>
      <c r="B33" s="42"/>
      <c r="D33" s="42"/>
      <c r="E33" s="42"/>
      <c r="F33" s="42"/>
      <c r="J33" s="42"/>
    </row>
    <row r="34" ht="15.75" customHeight="1">
      <c r="A34" s="42"/>
      <c r="B34" s="42"/>
      <c r="D34" s="42"/>
      <c r="E34" s="42"/>
      <c r="F34" s="42"/>
      <c r="J34" s="42"/>
    </row>
    <row r="35" ht="15.75" customHeight="1">
      <c r="A35" s="42"/>
      <c r="B35" s="42"/>
      <c r="D35" s="42"/>
      <c r="E35" s="42"/>
      <c r="F35" s="42"/>
      <c r="J35" s="42"/>
    </row>
    <row r="36" ht="15.75" customHeight="1">
      <c r="A36" s="42"/>
      <c r="B36" s="42"/>
      <c r="D36" s="42"/>
      <c r="E36" s="42"/>
      <c r="F36" s="42"/>
      <c r="J36" s="42"/>
    </row>
    <row r="37" ht="15.75" customHeight="1">
      <c r="A37" s="42"/>
      <c r="B37" s="42"/>
      <c r="D37" s="42"/>
      <c r="E37" s="42"/>
      <c r="F37" s="42"/>
      <c r="J37" s="42"/>
    </row>
    <row r="38" ht="15.75" customHeight="1">
      <c r="A38" s="42"/>
      <c r="B38" s="42"/>
      <c r="D38" s="42"/>
      <c r="E38" s="42"/>
      <c r="F38" s="42"/>
      <c r="J38" s="42"/>
    </row>
    <row r="39" ht="15.75" customHeight="1">
      <c r="A39" s="42"/>
      <c r="B39" s="42"/>
      <c r="D39" s="42"/>
      <c r="E39" s="42"/>
      <c r="F39" s="42"/>
      <c r="J39" s="42"/>
    </row>
    <row r="40" ht="15.75" customHeight="1">
      <c r="A40" s="42"/>
      <c r="B40" s="42"/>
      <c r="D40" s="42"/>
      <c r="E40" s="42"/>
      <c r="F40" s="42"/>
      <c r="J40" s="42"/>
    </row>
    <row r="41" ht="15.75" customHeight="1">
      <c r="A41" s="42"/>
      <c r="B41" s="42"/>
      <c r="D41" s="42"/>
      <c r="E41" s="42"/>
      <c r="F41" s="42"/>
      <c r="J41" s="42"/>
    </row>
    <row r="42" ht="15.75" customHeight="1">
      <c r="A42" s="42"/>
      <c r="B42" s="42"/>
      <c r="D42" s="42"/>
      <c r="E42" s="42"/>
      <c r="F42" s="42"/>
      <c r="J42" s="42"/>
    </row>
    <row r="43" ht="15.75" customHeight="1">
      <c r="A43" s="42"/>
      <c r="B43" s="42"/>
      <c r="D43" s="42"/>
      <c r="E43" s="42"/>
      <c r="F43" s="42"/>
      <c r="J43" s="42"/>
    </row>
    <row r="44" ht="15.75" customHeight="1">
      <c r="A44" s="42"/>
      <c r="B44" s="42"/>
      <c r="D44" s="42"/>
      <c r="E44" s="42"/>
      <c r="F44" s="42"/>
      <c r="J44" s="42"/>
    </row>
    <row r="45" ht="15.75" customHeight="1">
      <c r="A45" s="42"/>
      <c r="B45" s="42"/>
      <c r="D45" s="42"/>
      <c r="E45" s="42"/>
      <c r="F45" s="42"/>
      <c r="J45" s="42"/>
    </row>
    <row r="46" ht="15.75" customHeight="1">
      <c r="A46" s="42"/>
      <c r="B46" s="42"/>
      <c r="D46" s="42"/>
      <c r="E46" s="42"/>
      <c r="F46" s="42"/>
      <c r="J46" s="42"/>
    </row>
    <row r="47" ht="15.75" customHeight="1">
      <c r="A47" s="42"/>
      <c r="B47" s="42"/>
      <c r="D47" s="42"/>
      <c r="E47" s="42"/>
      <c r="F47" s="42"/>
      <c r="J47" s="4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4:H21">
    <cfRule type="cellIs" dxfId="7" priority="1" operator="greaterThan">
      <formula>0</formula>
    </cfRule>
  </conditionalFormatting>
  <conditionalFormatting sqref="H4:H21">
    <cfRule type="cellIs" dxfId="8" priority="2" operator="lessThan">
      <formula>0</formula>
    </cfRule>
  </conditionalFormatting>
  <conditionalFormatting sqref="I4:I21">
    <cfRule type="cellIs" dxfId="7" priority="3" operator="greaterThan">
      <formula>0</formula>
    </cfRule>
  </conditionalFormatting>
  <conditionalFormatting sqref="I4:I21">
    <cfRule type="cellIs" dxfId="9" priority="4" operator="lessThan">
      <formula>0</formula>
    </cfRule>
  </conditionalFormatting>
  <dataValidations>
    <dataValidation type="custom" allowBlank="1" showDropDown="1" sqref="D4:F21 H4:I21">
      <formula1>AND(ISNUMBER(D4),(NOT(OR(NOT(ISERROR(DATEVALUE(D4))), AND(ISNUMBER(D4), LEFT(CELL("format", D4))="D")))))</formula1>
    </dataValidation>
    <dataValidation type="list" allowBlank="1" sqref="J4:J21">
      <formula1>"In stock,Temporarily unavailable,Re-purchase needed,Sold out"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18.75"/>
    <col customWidth="1" min="9" max="9" width="24.5"/>
    <col customWidth="1" min="10" max="10" width="25.13"/>
  </cols>
  <sheetData>
    <row r="1" ht="15.75" customHeight="1">
      <c r="A1" s="90"/>
      <c r="B1" s="90"/>
      <c r="C1" s="1"/>
      <c r="D1" s="90"/>
      <c r="E1" s="90"/>
      <c r="F1" s="90"/>
      <c r="G1" s="1"/>
      <c r="H1" s="1"/>
      <c r="I1" s="1"/>
      <c r="J1" s="90"/>
    </row>
    <row r="2" ht="15.75" customHeight="1">
      <c r="A2" s="90"/>
      <c r="B2" s="90"/>
      <c r="C2" s="1"/>
      <c r="D2" s="90"/>
      <c r="E2" s="91" t="s">
        <v>40</v>
      </c>
      <c r="F2" s="92">
        <f>SUM(OBR_April_2025!$F$4:$F$21)</f>
        <v>8136940.831</v>
      </c>
      <c r="G2" s="1"/>
      <c r="H2" s="1"/>
      <c r="I2" s="1"/>
      <c r="J2" s="90"/>
    </row>
    <row r="3" ht="22.5" customHeight="1">
      <c r="A3" s="10" t="s">
        <v>4</v>
      </c>
      <c r="B3" s="10" t="s">
        <v>5</v>
      </c>
      <c r="C3" s="11" t="s">
        <v>6</v>
      </c>
      <c r="D3" s="10" t="s">
        <v>29</v>
      </c>
      <c r="E3" s="10" t="s">
        <v>43</v>
      </c>
      <c r="F3" s="10" t="s">
        <v>37</v>
      </c>
      <c r="G3" s="11" t="s">
        <v>38</v>
      </c>
      <c r="H3" s="11" t="s">
        <v>41</v>
      </c>
      <c r="I3" s="11" t="s">
        <v>42</v>
      </c>
      <c r="J3" s="10" t="s">
        <v>15</v>
      </c>
    </row>
    <row r="4" ht="22.5" customHeight="1">
      <c r="A4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4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4" s="24" t="s">
        <v>16</v>
      </c>
      <c r="D4" s="85">
        <v>116.0</v>
      </c>
      <c r="E4" s="78">
        <v>20875.0830564784</v>
      </c>
      <c r="F4" s="30">
        <f t="shared" ref="F4:F21" si="1">D4*E4</f>
        <v>2421509.635</v>
      </c>
      <c r="G4" s="93">
        <v>45717.0</v>
      </c>
      <c r="H4" s="29">
        <f>D4-OBR_Mar_2025!D4</f>
        <v>-110</v>
      </c>
      <c r="I4" s="94">
        <f>E4/OBR_Mar_2025!E4-1</f>
        <v>0</v>
      </c>
      <c r="J4" s="24" t="s">
        <v>17</v>
      </c>
      <c r="L4" s="73"/>
    </row>
    <row r="5" ht="22.5" customHeight="1">
      <c r="A5" s="24"/>
      <c r="B5" s="23"/>
      <c r="C5" s="24" t="s">
        <v>18</v>
      </c>
      <c r="D5" s="85">
        <v>7.0</v>
      </c>
      <c r="E5" s="78">
        <v>133652.09750334165</v>
      </c>
      <c r="F5" s="30">
        <f t="shared" si="1"/>
        <v>935564.6825</v>
      </c>
      <c r="G5" s="93">
        <v>45717.0</v>
      </c>
      <c r="H5" s="29">
        <f>D5-OBR_Mar_2025!D5</f>
        <v>-5</v>
      </c>
      <c r="I5" s="94">
        <f>E5/OBR_Mar_2025!E5-1</f>
        <v>-0.01558906247</v>
      </c>
      <c r="J5" s="24" t="s">
        <v>17</v>
      </c>
      <c r="L5" s="73"/>
    </row>
    <row r="6" ht="22.5" customHeight="1">
      <c r="A6" s="24"/>
      <c r="B6" s="23"/>
      <c r="C6" s="24" t="s">
        <v>18</v>
      </c>
      <c r="D6" s="85">
        <v>2.0</v>
      </c>
      <c r="E6" s="78">
        <v>223506.57153649474</v>
      </c>
      <c r="F6" s="30">
        <f t="shared" si="1"/>
        <v>447013.1431</v>
      </c>
      <c r="G6" s="93">
        <v>45717.0</v>
      </c>
      <c r="H6" s="29">
        <f>D6-OBR_Mar_2025!D6</f>
        <v>0.5</v>
      </c>
      <c r="I6" s="94">
        <f>E6/OBR_Mar_2025!E6-1</f>
        <v>-0.003253723827</v>
      </c>
      <c r="J6" s="24" t="s">
        <v>17</v>
      </c>
      <c r="L6" s="73"/>
    </row>
    <row r="7" ht="22.5" customHeight="1">
      <c r="A7" s="24"/>
      <c r="B7" s="23"/>
      <c r="C7" s="24" t="s">
        <v>18</v>
      </c>
      <c r="D7" s="85">
        <v>4.0</v>
      </c>
      <c r="E7" s="78">
        <v>156788.15198207213</v>
      </c>
      <c r="F7" s="30">
        <f t="shared" si="1"/>
        <v>627152.6079</v>
      </c>
      <c r="G7" s="93">
        <v>45717.0</v>
      </c>
      <c r="H7" s="29">
        <f>D7-OBR_Mar_2025!D7</f>
        <v>1.5</v>
      </c>
      <c r="I7" s="94">
        <f>E7/OBR_Mar_2025!E7-1</f>
        <v>-0.01675410302</v>
      </c>
      <c r="J7" s="24" t="s">
        <v>17</v>
      </c>
      <c r="L7" s="73"/>
    </row>
    <row r="8" ht="22.5" customHeight="1">
      <c r="A8" s="24"/>
      <c r="B8" s="23"/>
      <c r="C8" s="24" t="s">
        <v>19</v>
      </c>
      <c r="D8" s="85">
        <v>26530.0</v>
      </c>
      <c r="E8" s="78">
        <v>64.0715745021849</v>
      </c>
      <c r="F8" s="30">
        <f t="shared" si="1"/>
        <v>1699818.872</v>
      </c>
      <c r="G8" s="93">
        <v>45717.0</v>
      </c>
      <c r="H8" s="29">
        <f>D8-OBR_Mar_2025!D8</f>
        <v>19920</v>
      </c>
      <c r="I8" s="94">
        <f>E8/OBR_Mar_2025!E8-1</f>
        <v>-0.01361759526</v>
      </c>
      <c r="J8" s="24" t="s">
        <v>17</v>
      </c>
      <c r="L8" s="73"/>
    </row>
    <row r="9" ht="22.5" customHeight="1">
      <c r="A9" s="24"/>
      <c r="B9" s="23"/>
      <c r="C9" s="24" t="s">
        <v>19</v>
      </c>
      <c r="D9" s="85">
        <v>520.0</v>
      </c>
      <c r="E9" s="78">
        <v>46.9283423001922</v>
      </c>
      <c r="F9" s="30">
        <f t="shared" si="1"/>
        <v>24402.738</v>
      </c>
      <c r="G9" s="93">
        <v>45717.0</v>
      </c>
      <c r="H9" s="29">
        <f>D9-OBR_Mar_2025!D9</f>
        <v>232</v>
      </c>
      <c r="I9" s="94">
        <f>E9/OBR_Mar_2025!E9-1</f>
        <v>-0.001495697934</v>
      </c>
      <c r="J9" s="24" t="s">
        <v>17</v>
      </c>
      <c r="L9" s="73"/>
    </row>
    <row r="10" ht="22.5" customHeight="1">
      <c r="A10" s="24"/>
      <c r="B10" s="23"/>
      <c r="C10" s="24" t="s">
        <v>19</v>
      </c>
      <c r="D10" s="85">
        <v>4820.0</v>
      </c>
      <c r="E10" s="78">
        <v>62.5</v>
      </c>
      <c r="F10" s="30">
        <f t="shared" si="1"/>
        <v>301250</v>
      </c>
      <c r="G10" s="93">
        <v>45717.0</v>
      </c>
      <c r="H10" s="29">
        <f>D10-OBR_Mar_2025!D10</f>
        <v>-2070</v>
      </c>
      <c r="I10" s="94">
        <f>E10/OBR_Mar_2025!E10-1</f>
        <v>0</v>
      </c>
      <c r="J10" s="24" t="s">
        <v>17</v>
      </c>
      <c r="L10" s="73"/>
    </row>
    <row r="11" ht="22.5" customHeight="1">
      <c r="A11" s="24"/>
      <c r="B11" s="23"/>
      <c r="C11" s="24" t="s">
        <v>20</v>
      </c>
      <c r="D11" s="85">
        <v>1.36</v>
      </c>
      <c r="E11" s="78">
        <v>54860.44797991741</v>
      </c>
      <c r="F11" s="30">
        <f t="shared" si="1"/>
        <v>74610.20925</v>
      </c>
      <c r="G11" s="93">
        <v>45717.0</v>
      </c>
      <c r="H11" s="29">
        <f>D11-OBR_Mar_2025!D11</f>
        <v>-1.49</v>
      </c>
      <c r="I11" s="94">
        <f>E11/OBR_Mar_2025!E11-1</f>
        <v>-0.08565920033</v>
      </c>
      <c r="J11" s="24" t="s">
        <v>17</v>
      </c>
      <c r="L11" s="73"/>
    </row>
    <row r="12" ht="22.5" customHeight="1">
      <c r="A12" s="24"/>
      <c r="B12" s="23"/>
      <c r="C12" s="24" t="s">
        <v>19</v>
      </c>
      <c r="D12" s="85">
        <v>2630.0</v>
      </c>
      <c r="E12" s="78">
        <v>50.0</v>
      </c>
      <c r="F12" s="30">
        <f t="shared" si="1"/>
        <v>131500</v>
      </c>
      <c r="G12" s="93">
        <v>45717.0</v>
      </c>
      <c r="H12" s="29">
        <f>D12-OBR_Mar_2025!D12</f>
        <v>-2018</v>
      </c>
      <c r="I12" s="94">
        <f>E12/OBR_Mar_2025!E12-1</f>
        <v>0</v>
      </c>
      <c r="J12" s="24" t="s">
        <v>17</v>
      </c>
      <c r="L12" s="73"/>
    </row>
    <row r="13" ht="22.5" customHeight="1">
      <c r="A13" s="24"/>
      <c r="B13" s="23"/>
      <c r="C13" s="24" t="s">
        <v>19</v>
      </c>
      <c r="D13" s="85">
        <v>88.0</v>
      </c>
      <c r="E13" s="78">
        <v>46.666666666666664</v>
      </c>
      <c r="F13" s="30">
        <f t="shared" si="1"/>
        <v>4106.666667</v>
      </c>
      <c r="G13" s="93">
        <v>45717.0</v>
      </c>
      <c r="H13" s="29">
        <f>D13-OBR_Mar_2025!D13</f>
        <v>-254</v>
      </c>
      <c r="I13" s="94">
        <f>E13/OBR_Mar_2025!E13-1</f>
        <v>0</v>
      </c>
      <c r="J13" s="24" t="s">
        <v>17</v>
      </c>
      <c r="L13" s="73"/>
    </row>
    <row r="14" ht="22.5" customHeight="1">
      <c r="A14" s="24"/>
      <c r="B14" s="23"/>
      <c r="C14" s="24" t="s">
        <v>19</v>
      </c>
      <c r="D14" s="85">
        <v>10000.0</v>
      </c>
      <c r="E14" s="78">
        <v>58.248442195952315</v>
      </c>
      <c r="F14" s="30">
        <f t="shared" si="1"/>
        <v>582484.422</v>
      </c>
      <c r="G14" s="93">
        <v>45717.0</v>
      </c>
      <c r="H14" s="29">
        <f>D14-OBR_Mar_2025!D14</f>
        <v>3240</v>
      </c>
      <c r="I14" s="94">
        <f>E14/OBR_Mar_2025!E14-1</f>
        <v>0.0552254021</v>
      </c>
      <c r="J14" s="24" t="s">
        <v>17</v>
      </c>
      <c r="L14" s="73"/>
    </row>
    <row r="15" ht="22.5" customHeight="1">
      <c r="A15" s="24"/>
      <c r="B15" s="23"/>
      <c r="C15" s="24" t="s">
        <v>19</v>
      </c>
      <c r="D15" s="85">
        <v>950.0</v>
      </c>
      <c r="E15" s="78">
        <v>33.290897205017416</v>
      </c>
      <c r="F15" s="30">
        <f t="shared" si="1"/>
        <v>31626.35234</v>
      </c>
      <c r="G15" s="93">
        <v>45717.0</v>
      </c>
      <c r="H15" s="29">
        <f>D15-OBR_Mar_2025!D15</f>
        <v>674</v>
      </c>
      <c r="I15" s="94">
        <f>E15/OBR_Mar_2025!E15-1</f>
        <v>-0.2866236313</v>
      </c>
      <c r="J15" s="24" t="s">
        <v>17</v>
      </c>
      <c r="L15" s="73"/>
    </row>
    <row r="16" ht="22.5" customHeight="1">
      <c r="A16" s="24"/>
      <c r="B16" s="23"/>
      <c r="C16" s="24" t="s">
        <v>19</v>
      </c>
      <c r="D16" s="85">
        <v>6090.0</v>
      </c>
      <c r="E16" s="78">
        <v>70.46390632223068</v>
      </c>
      <c r="F16" s="30">
        <f t="shared" si="1"/>
        <v>429125.1895</v>
      </c>
      <c r="G16" s="93">
        <v>45717.0</v>
      </c>
      <c r="H16" s="29">
        <f>D16-OBR_Mar_2025!D16</f>
        <v>1660</v>
      </c>
      <c r="I16" s="94">
        <f>E16/OBR_Mar_2025!E16-1</f>
        <v>0.006627233175</v>
      </c>
      <c r="J16" s="24" t="s">
        <v>17</v>
      </c>
      <c r="L16" s="73"/>
    </row>
    <row r="17" ht="22.5" customHeight="1">
      <c r="A17" s="24"/>
      <c r="B17" s="23"/>
      <c r="C17" s="24" t="s">
        <v>19</v>
      </c>
      <c r="D17" s="85">
        <v>520.0</v>
      </c>
      <c r="E17" s="78">
        <v>59.469193792596975</v>
      </c>
      <c r="F17" s="30">
        <f t="shared" si="1"/>
        <v>30923.98077</v>
      </c>
      <c r="G17" s="93">
        <v>45717.0</v>
      </c>
      <c r="H17" s="29">
        <f>D17-OBR_Mar_2025!D17</f>
        <v>290</v>
      </c>
      <c r="I17" s="94">
        <f>E17/OBR_Mar_2025!E17-1</f>
        <v>-0.3472893364</v>
      </c>
      <c r="J17" s="24" t="s">
        <v>17</v>
      </c>
      <c r="L17" s="73"/>
    </row>
    <row r="18" ht="22.5" customHeight="1">
      <c r="A18" s="24"/>
      <c r="B18" s="23"/>
      <c r="C18" s="24" t="s">
        <v>19</v>
      </c>
      <c r="D18" s="85">
        <v>5000.0</v>
      </c>
      <c r="E18" s="78">
        <v>57.6</v>
      </c>
      <c r="F18" s="30">
        <f t="shared" si="1"/>
        <v>288000</v>
      </c>
      <c r="G18" s="93">
        <v>45717.0</v>
      </c>
      <c r="H18" s="29">
        <f>D18-OBR_Mar_2025!D18</f>
        <v>0</v>
      </c>
      <c r="I18" s="94">
        <f>E18/OBR_Mar_2025!E18-1</f>
        <v>0</v>
      </c>
      <c r="J18" s="24" t="s">
        <v>17</v>
      </c>
      <c r="L18" s="73"/>
    </row>
    <row r="19" ht="22.5" customHeight="1">
      <c r="A19" s="24"/>
      <c r="B19" s="23"/>
      <c r="C19" s="24" t="s">
        <v>19</v>
      </c>
      <c r="D19" s="85">
        <v>450.0</v>
      </c>
      <c r="E19" s="78">
        <v>77.77777777777777</v>
      </c>
      <c r="F19" s="30">
        <f t="shared" si="1"/>
        <v>35000</v>
      </c>
      <c r="G19" s="93">
        <v>45717.0</v>
      </c>
      <c r="H19" s="29">
        <f>D19-OBR_Mar_2025!D19</f>
        <v>0</v>
      </c>
      <c r="I19" s="94">
        <f>E19/OBR_Mar_2025!E19-1</f>
        <v>0</v>
      </c>
      <c r="J19" s="24" t="s">
        <v>17</v>
      </c>
      <c r="L19" s="73"/>
    </row>
    <row r="20" ht="22.5" customHeight="1">
      <c r="A20" s="24"/>
      <c r="B20" s="23"/>
      <c r="C20" s="24" t="s">
        <v>18</v>
      </c>
      <c r="D20" s="85">
        <v>1.0</v>
      </c>
      <c r="E20" s="78">
        <v>18333.333333333332</v>
      </c>
      <c r="F20" s="30">
        <f t="shared" si="1"/>
        <v>18333.33333</v>
      </c>
      <c r="G20" s="93">
        <v>45717.0</v>
      </c>
      <c r="H20" s="29">
        <f>D20-OBR_Mar_2025!D20</f>
        <v>0</v>
      </c>
      <c r="I20" s="94">
        <f>E20/OBR_Mar_2025!E20-1</f>
        <v>0.2222222222</v>
      </c>
      <c r="J20" s="24" t="s">
        <v>39</v>
      </c>
      <c r="L20" s="73"/>
    </row>
    <row r="21" ht="22.5" customHeight="1">
      <c r="A21" s="24"/>
      <c r="B21" s="23"/>
      <c r="C21" s="24" t="s">
        <v>18</v>
      </c>
      <c r="D21" s="85">
        <v>0.35633333333333334</v>
      </c>
      <c r="E21" s="78">
        <v>153000.0</v>
      </c>
      <c r="F21" s="30">
        <f t="shared" si="1"/>
        <v>54519</v>
      </c>
      <c r="G21" s="93">
        <v>45717.0</v>
      </c>
      <c r="H21" s="29">
        <f>D21-OBR_Mar_2025!D21</f>
        <v>-3.143666667</v>
      </c>
      <c r="I21" s="94">
        <f>E21/OBR_Mar_2025!E21-1</f>
        <v>0</v>
      </c>
      <c r="J21" s="24" t="s">
        <v>39</v>
      </c>
      <c r="L21" s="73"/>
    </row>
    <row r="22" ht="15.75" customHeight="1">
      <c r="A22" s="42"/>
      <c r="B22" s="42"/>
      <c r="D22" s="42"/>
      <c r="E22" s="42"/>
      <c r="F22" s="42"/>
      <c r="J22" s="42"/>
    </row>
    <row r="23" ht="15.75" customHeight="1">
      <c r="A23" s="42"/>
      <c r="B23" s="42"/>
      <c r="D23" s="42"/>
      <c r="E23" s="42"/>
      <c r="F23" s="42"/>
      <c r="J23" s="42"/>
    </row>
    <row r="24" ht="15.75" customHeight="1">
      <c r="A24" s="42"/>
      <c r="B24" s="42"/>
      <c r="D24" s="42"/>
      <c r="E24" s="42"/>
      <c r="F24" s="42"/>
      <c r="J24" s="42"/>
    </row>
    <row r="25" ht="15.75" customHeight="1">
      <c r="A25" s="42"/>
      <c r="B25" s="42"/>
      <c r="D25" s="42"/>
      <c r="E25" s="42"/>
      <c r="F25" s="42"/>
      <c r="J25" s="42"/>
    </row>
    <row r="26" ht="15.75" customHeight="1">
      <c r="A26" s="42"/>
      <c r="B26" s="42"/>
      <c r="D26" s="42"/>
      <c r="E26" s="42"/>
      <c r="F26" s="42"/>
      <c r="J26" s="42"/>
    </row>
    <row r="27" ht="15.75" customHeight="1">
      <c r="A27" s="42"/>
      <c r="B27" s="42"/>
      <c r="D27" s="42"/>
      <c r="E27" s="42"/>
      <c r="F27" s="42"/>
      <c r="J27" s="42"/>
    </row>
    <row r="28" ht="15.75" customHeight="1">
      <c r="A28" s="42"/>
      <c r="B28" s="42"/>
      <c r="D28" s="42"/>
      <c r="E28" s="42"/>
      <c r="F28" s="42"/>
      <c r="J28" s="42"/>
    </row>
    <row r="29" ht="15.75" customHeight="1">
      <c r="A29" s="42"/>
      <c r="B29" s="42"/>
      <c r="D29" s="42"/>
      <c r="E29" s="42"/>
      <c r="F29" s="42"/>
      <c r="J29" s="42"/>
    </row>
    <row r="30" ht="15.75" customHeight="1">
      <c r="A30" s="42"/>
      <c r="B30" s="42"/>
      <c r="D30" s="42"/>
      <c r="E30" s="42"/>
      <c r="F30" s="42"/>
      <c r="J30" s="42"/>
    </row>
    <row r="31" ht="15.75" customHeight="1">
      <c r="A31" s="42"/>
      <c r="B31" s="42"/>
      <c r="D31" s="42"/>
      <c r="E31" s="42"/>
      <c r="F31" s="42"/>
      <c r="J31" s="42"/>
    </row>
    <row r="32" ht="15.75" customHeight="1">
      <c r="A32" s="42"/>
      <c r="B32" s="42"/>
      <c r="D32" s="42"/>
      <c r="E32" s="42"/>
      <c r="F32" s="42"/>
      <c r="J32" s="42"/>
    </row>
    <row r="33" ht="15.75" customHeight="1">
      <c r="A33" s="42"/>
      <c r="B33" s="42"/>
      <c r="D33" s="42"/>
      <c r="E33" s="42"/>
      <c r="F33" s="42"/>
      <c r="J33" s="42"/>
    </row>
    <row r="34" ht="15.75" customHeight="1">
      <c r="A34" s="42"/>
      <c r="B34" s="42"/>
      <c r="D34" s="42"/>
      <c r="E34" s="42"/>
      <c r="F34" s="42"/>
      <c r="J34" s="42"/>
    </row>
    <row r="35" ht="15.75" customHeight="1">
      <c r="A35" s="42"/>
      <c r="B35" s="42"/>
      <c r="D35" s="42"/>
      <c r="E35" s="42"/>
      <c r="F35" s="42"/>
      <c r="J35" s="42"/>
    </row>
    <row r="36" ht="15.75" customHeight="1">
      <c r="A36" s="42"/>
      <c r="B36" s="42"/>
      <c r="D36" s="42"/>
      <c r="E36" s="42"/>
      <c r="F36" s="42"/>
      <c r="J36" s="42"/>
    </row>
    <row r="37" ht="15.75" customHeight="1">
      <c r="A37" s="42"/>
      <c r="B37" s="42"/>
      <c r="D37" s="42"/>
      <c r="E37" s="42"/>
      <c r="F37" s="42"/>
      <c r="J37" s="42"/>
    </row>
    <row r="38" ht="15.75" customHeight="1">
      <c r="A38" s="42"/>
      <c r="B38" s="42"/>
      <c r="D38" s="42"/>
      <c r="E38" s="42"/>
      <c r="F38" s="42"/>
      <c r="J38" s="42"/>
    </row>
    <row r="39" ht="15.75" customHeight="1">
      <c r="A39" s="42"/>
      <c r="B39" s="42"/>
      <c r="D39" s="42"/>
      <c r="E39" s="42"/>
      <c r="F39" s="42"/>
      <c r="J39" s="42"/>
    </row>
    <row r="40" ht="15.75" customHeight="1">
      <c r="A40" s="42"/>
      <c r="B40" s="42"/>
      <c r="D40" s="42"/>
      <c r="E40" s="42"/>
      <c r="F40" s="42"/>
      <c r="J40" s="42"/>
    </row>
    <row r="41" ht="15.75" customHeight="1">
      <c r="A41" s="42"/>
      <c r="B41" s="42"/>
      <c r="D41" s="42"/>
      <c r="E41" s="42"/>
      <c r="F41" s="42"/>
      <c r="J41" s="42"/>
    </row>
    <row r="42" ht="15.75" customHeight="1">
      <c r="A42" s="42"/>
      <c r="B42" s="42"/>
      <c r="D42" s="42"/>
      <c r="E42" s="42"/>
      <c r="F42" s="42"/>
      <c r="J42" s="42"/>
    </row>
    <row r="43" ht="15.75" customHeight="1">
      <c r="A43" s="42"/>
      <c r="B43" s="42"/>
      <c r="D43" s="42"/>
      <c r="E43" s="42"/>
      <c r="F43" s="42"/>
      <c r="J43" s="42"/>
    </row>
    <row r="44" ht="15.75" customHeight="1">
      <c r="A44" s="42"/>
      <c r="B44" s="42"/>
      <c r="D44" s="42"/>
      <c r="E44" s="42"/>
      <c r="F44" s="42"/>
      <c r="J44" s="42"/>
    </row>
    <row r="45" ht="15.75" customHeight="1">
      <c r="A45" s="42"/>
      <c r="B45" s="42"/>
      <c r="D45" s="42"/>
      <c r="E45" s="42"/>
      <c r="F45" s="42"/>
      <c r="J45" s="42"/>
    </row>
    <row r="46" ht="15.75" customHeight="1">
      <c r="A46" s="42"/>
      <c r="B46" s="42"/>
      <c r="D46" s="42"/>
      <c r="E46" s="42"/>
      <c r="F46" s="42"/>
      <c r="J46" s="4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4:H21">
    <cfRule type="cellIs" dxfId="7" priority="1" operator="greaterThan">
      <formula>0</formula>
    </cfRule>
  </conditionalFormatting>
  <conditionalFormatting sqref="H4:H21">
    <cfRule type="cellIs" dxfId="8" priority="2" operator="lessThan">
      <formula>0</formula>
    </cfRule>
  </conditionalFormatting>
  <conditionalFormatting sqref="I4:I21">
    <cfRule type="cellIs" dxfId="7" priority="3" operator="greaterThan">
      <formula>0</formula>
    </cfRule>
  </conditionalFormatting>
  <conditionalFormatting sqref="I4:I21">
    <cfRule type="cellIs" dxfId="9" priority="4" operator="lessThan">
      <formula>0</formula>
    </cfRule>
  </conditionalFormatting>
  <dataValidations>
    <dataValidation type="custom" allowBlank="1" showDropDown="1" sqref="D4:F21 H4:I21">
      <formula1>AND(ISNUMBER(D4),(NOT(OR(NOT(ISERROR(DATEVALUE(D4))), AND(ISNUMBER(D4), LEFT(CELL("format", D4))="D")))))</formula1>
    </dataValidation>
    <dataValidation type="list" allowBlank="1" sqref="J4:J21">
      <formula1>"In stock,Temporarily unavailable,Re-purchase needed,Sold out"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18.75"/>
    <col customWidth="1" min="9" max="9" width="24.5"/>
    <col customWidth="1" min="10" max="10" width="25.13"/>
  </cols>
  <sheetData>
    <row r="1" ht="15.75" customHeight="1">
      <c r="A1" s="90"/>
      <c r="B1" s="90"/>
      <c r="C1" s="1"/>
      <c r="D1" s="90"/>
      <c r="E1" s="90"/>
      <c r="F1" s="90"/>
      <c r="G1" s="1"/>
      <c r="H1" s="1"/>
      <c r="I1" s="1"/>
      <c r="J1" s="90"/>
    </row>
    <row r="2" ht="15.75" customHeight="1">
      <c r="A2" s="90"/>
      <c r="B2" s="90"/>
      <c r="C2" s="1"/>
      <c r="D2" s="90"/>
      <c r="E2" s="91" t="s">
        <v>40</v>
      </c>
      <c r="F2" s="92">
        <f>SUM(OBR_May_2025!$F$4:$F$21)</f>
        <v>8212072.363</v>
      </c>
      <c r="G2" s="1"/>
      <c r="H2" s="1"/>
      <c r="I2" s="1"/>
      <c r="J2" s="90"/>
    </row>
    <row r="3" ht="22.5" customHeight="1">
      <c r="A3" s="10" t="s">
        <v>4</v>
      </c>
      <c r="B3" s="10" t="s">
        <v>5</v>
      </c>
      <c r="C3" s="11" t="s">
        <v>6</v>
      </c>
      <c r="D3" s="10" t="s">
        <v>29</v>
      </c>
      <c r="E3" s="10" t="s">
        <v>43</v>
      </c>
      <c r="F3" s="10" t="s">
        <v>37</v>
      </c>
      <c r="G3" s="11" t="s">
        <v>38</v>
      </c>
      <c r="H3" s="11" t="s">
        <v>41</v>
      </c>
      <c r="I3" s="11" t="s">
        <v>42</v>
      </c>
      <c r="J3" s="10" t="s">
        <v>15</v>
      </c>
    </row>
    <row r="4" ht="22.5" customHeight="1">
      <c r="A4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4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4" s="24" t="s">
        <v>16</v>
      </c>
      <c r="D4" s="85">
        <v>60.0</v>
      </c>
      <c r="E4" s="78">
        <v>20875.0830564784</v>
      </c>
      <c r="F4" s="30">
        <f t="shared" ref="F4:F21" si="1">D4*E4</f>
        <v>1252504.983</v>
      </c>
      <c r="G4" s="93">
        <v>45717.0</v>
      </c>
      <c r="H4" s="29">
        <f>D4-OBR_Mar_2025!D4</f>
        <v>-166</v>
      </c>
      <c r="I4" s="94">
        <f>E4/OBR_Mar_2025!E4-1</f>
        <v>0</v>
      </c>
      <c r="J4" s="24" t="s">
        <v>17</v>
      </c>
      <c r="L4" s="73"/>
    </row>
    <row r="5" ht="22.5" customHeight="1">
      <c r="A5" s="24"/>
      <c r="B5" s="23"/>
      <c r="C5" s="24" t="s">
        <v>18</v>
      </c>
      <c r="D5" s="85">
        <v>16.0</v>
      </c>
      <c r="E5" s="78">
        <v>130889.30375106326</v>
      </c>
      <c r="F5" s="30">
        <f t="shared" si="1"/>
        <v>2094228.86</v>
      </c>
      <c r="G5" s="93">
        <v>45717.0</v>
      </c>
      <c r="H5" s="29">
        <f>D5-OBR_Mar_2025!D5</f>
        <v>4</v>
      </c>
      <c r="I5" s="94">
        <f>E5/OBR_Mar_2025!E5-1</f>
        <v>-0.03593834571</v>
      </c>
      <c r="J5" s="24" t="s">
        <v>17</v>
      </c>
      <c r="L5" s="73"/>
    </row>
    <row r="6" ht="22.5" customHeight="1">
      <c r="A6" s="24"/>
      <c r="B6" s="23"/>
      <c r="C6" s="24" t="s">
        <v>18</v>
      </c>
      <c r="D6" s="85">
        <v>1.0</v>
      </c>
      <c r="E6" s="78">
        <v>223506.57153649474</v>
      </c>
      <c r="F6" s="30">
        <f t="shared" si="1"/>
        <v>223506.5715</v>
      </c>
      <c r="G6" s="93">
        <v>45717.0</v>
      </c>
      <c r="H6" s="29">
        <f>D6-OBR_Mar_2025!D6</f>
        <v>-0.5</v>
      </c>
      <c r="I6" s="94">
        <f>E6/OBR_Mar_2025!E6-1</f>
        <v>-0.003253723827</v>
      </c>
      <c r="J6" s="24" t="s">
        <v>17</v>
      </c>
      <c r="L6" s="73"/>
    </row>
    <row r="7" ht="22.5" customHeight="1">
      <c r="A7" s="24"/>
      <c r="B7" s="23"/>
      <c r="C7" s="24" t="s">
        <v>18</v>
      </c>
      <c r="D7" s="85">
        <v>2.0</v>
      </c>
      <c r="E7" s="78">
        <v>156788.15198207213</v>
      </c>
      <c r="F7" s="30">
        <f t="shared" si="1"/>
        <v>313576.304</v>
      </c>
      <c r="G7" s="93">
        <v>45717.0</v>
      </c>
      <c r="H7" s="29">
        <f>D7-OBR_Mar_2025!D7</f>
        <v>-0.5</v>
      </c>
      <c r="I7" s="94">
        <f>E7/OBR_Mar_2025!E7-1</f>
        <v>-0.01675410302</v>
      </c>
      <c r="J7" s="24" t="s">
        <v>17</v>
      </c>
      <c r="L7" s="73"/>
    </row>
    <row r="8" ht="22.5" customHeight="1">
      <c r="A8" s="24"/>
      <c r="B8" s="23"/>
      <c r="C8" s="24" t="s">
        <v>19</v>
      </c>
      <c r="D8" s="85">
        <v>21500.0</v>
      </c>
      <c r="E8" s="78">
        <v>64.0715745021849</v>
      </c>
      <c r="F8" s="30">
        <f t="shared" si="1"/>
        <v>1377538.852</v>
      </c>
      <c r="G8" s="93">
        <v>45717.0</v>
      </c>
      <c r="H8" s="29">
        <f>D8-OBR_Mar_2025!D8</f>
        <v>14890</v>
      </c>
      <c r="I8" s="94">
        <f>E8/OBR_Mar_2025!E8-1</f>
        <v>-0.01361759526</v>
      </c>
      <c r="J8" s="24" t="s">
        <v>17</v>
      </c>
      <c r="L8" s="73"/>
    </row>
    <row r="9" ht="22.5" customHeight="1">
      <c r="A9" s="24"/>
      <c r="B9" s="23"/>
      <c r="C9" s="24" t="s">
        <v>19</v>
      </c>
      <c r="D9" s="85">
        <v>736.0</v>
      </c>
      <c r="E9" s="78">
        <v>55.166371945264</v>
      </c>
      <c r="F9" s="30">
        <f t="shared" si="1"/>
        <v>40602.44975</v>
      </c>
      <c r="G9" s="93">
        <v>45717.0</v>
      </c>
      <c r="H9" s="29">
        <f>D9-OBR_Mar_2025!D9</f>
        <v>448</v>
      </c>
      <c r="I9" s="94">
        <f>E9/OBR_Mar_2025!E9-1</f>
        <v>0.1737866078</v>
      </c>
      <c r="J9" s="24" t="s">
        <v>17</v>
      </c>
      <c r="L9" s="73"/>
    </row>
    <row r="10" ht="22.5" customHeight="1">
      <c r="A10" s="24"/>
      <c r="B10" s="23"/>
      <c r="C10" s="24" t="s">
        <v>19</v>
      </c>
      <c r="D10" s="85">
        <v>8800.0</v>
      </c>
      <c r="E10" s="78">
        <v>68.56245756958587</v>
      </c>
      <c r="F10" s="30">
        <f t="shared" si="1"/>
        <v>603349.6266</v>
      </c>
      <c r="G10" s="93">
        <v>45717.0</v>
      </c>
      <c r="H10" s="29">
        <f>D10-OBR_Mar_2025!D10</f>
        <v>1910</v>
      </c>
      <c r="I10" s="94">
        <f>E10/OBR_Mar_2025!E10-1</f>
        <v>0.09699932111</v>
      </c>
      <c r="J10" s="24" t="s">
        <v>17</v>
      </c>
      <c r="L10" s="73"/>
    </row>
    <row r="11" ht="22.5" customHeight="1">
      <c r="A11" s="24"/>
      <c r="B11" s="23"/>
      <c r="C11" s="24" t="s">
        <v>20</v>
      </c>
      <c r="D11" s="85">
        <v>5.61</v>
      </c>
      <c r="E11" s="78">
        <v>47428.22996635551</v>
      </c>
      <c r="F11" s="30">
        <f t="shared" si="1"/>
        <v>266072.3701</v>
      </c>
      <c r="G11" s="93">
        <v>45717.0</v>
      </c>
      <c r="H11" s="29">
        <f>D11-OBR_Mar_2025!D11</f>
        <v>2.76</v>
      </c>
      <c r="I11" s="94">
        <f>E11/OBR_Mar_2025!E11-1</f>
        <v>-0.2095295006</v>
      </c>
      <c r="J11" s="24" t="s">
        <v>17</v>
      </c>
      <c r="L11" s="73"/>
    </row>
    <row r="12" ht="22.5" customHeight="1">
      <c r="A12" s="24"/>
      <c r="B12" s="23"/>
      <c r="C12" s="24" t="s">
        <v>19</v>
      </c>
      <c r="D12" s="85">
        <v>7100.0</v>
      </c>
      <c r="E12" s="78">
        <v>55.50895587592835</v>
      </c>
      <c r="F12" s="30">
        <f t="shared" si="1"/>
        <v>394113.5867</v>
      </c>
      <c r="G12" s="93">
        <v>45717.0</v>
      </c>
      <c r="H12" s="29">
        <f>D12-OBR_Mar_2025!D12</f>
        <v>2452</v>
      </c>
      <c r="I12" s="94">
        <f>E12/OBR_Mar_2025!E12-1</f>
        <v>0.1101791175</v>
      </c>
      <c r="J12" s="24" t="s">
        <v>17</v>
      </c>
      <c r="L12" s="73"/>
    </row>
    <row r="13" ht="22.5" customHeight="1">
      <c r="A13" s="24"/>
      <c r="B13" s="23"/>
      <c r="C13" s="24" t="s">
        <v>19</v>
      </c>
      <c r="D13" s="85">
        <v>520.0</v>
      </c>
      <c r="E13" s="78">
        <v>83.98550724637681</v>
      </c>
      <c r="F13" s="30">
        <f t="shared" si="1"/>
        <v>43672.46377</v>
      </c>
      <c r="G13" s="93">
        <v>45717.0</v>
      </c>
      <c r="H13" s="29">
        <f>D13-OBR_Mar_2025!D13</f>
        <v>178</v>
      </c>
      <c r="I13" s="94">
        <f>E13/OBR_Mar_2025!E13-1</f>
        <v>0.799689441</v>
      </c>
      <c r="J13" s="24" t="s">
        <v>17</v>
      </c>
      <c r="L13" s="73"/>
    </row>
    <row r="14" ht="22.5" customHeight="1">
      <c r="A14" s="24"/>
      <c r="B14" s="23"/>
      <c r="C14" s="24" t="s">
        <v>19</v>
      </c>
      <c r="D14" s="85">
        <v>9500.0</v>
      </c>
      <c r="E14" s="78">
        <v>58.248442195952315</v>
      </c>
      <c r="F14" s="30">
        <f t="shared" si="1"/>
        <v>553360.2009</v>
      </c>
      <c r="G14" s="93">
        <v>45717.0</v>
      </c>
      <c r="H14" s="29">
        <f>D14-OBR_Mar_2025!D14</f>
        <v>2740</v>
      </c>
      <c r="I14" s="94">
        <f>E14/OBR_Mar_2025!E14-1</f>
        <v>0.0552254021</v>
      </c>
      <c r="J14" s="24" t="s">
        <v>17</v>
      </c>
      <c r="L14" s="73"/>
    </row>
    <row r="15" ht="22.5" customHeight="1">
      <c r="A15" s="24"/>
      <c r="B15" s="23"/>
      <c r="C15" s="24" t="s">
        <v>19</v>
      </c>
      <c r="D15" s="85">
        <v>900.0</v>
      </c>
      <c r="E15" s="78">
        <v>33.290897205017416</v>
      </c>
      <c r="F15" s="30">
        <f t="shared" si="1"/>
        <v>29961.80748</v>
      </c>
      <c r="G15" s="93">
        <v>45717.0</v>
      </c>
      <c r="H15" s="29">
        <f>D15-OBR_Mar_2025!D15</f>
        <v>624</v>
      </c>
      <c r="I15" s="94">
        <f>E15/OBR_Mar_2025!E15-1</f>
        <v>-0.2866236313</v>
      </c>
      <c r="J15" s="24" t="s">
        <v>17</v>
      </c>
      <c r="L15" s="73"/>
    </row>
    <row r="16" ht="22.5" customHeight="1">
      <c r="A16" s="24"/>
      <c r="B16" s="23"/>
      <c r="C16" s="24" t="s">
        <v>19</v>
      </c>
      <c r="D16" s="85">
        <v>4700.0</v>
      </c>
      <c r="E16" s="78">
        <v>70.46390632223068</v>
      </c>
      <c r="F16" s="30">
        <f t="shared" si="1"/>
        <v>331180.3597</v>
      </c>
      <c r="G16" s="93">
        <v>45717.0</v>
      </c>
      <c r="H16" s="29">
        <f>D16-OBR_Mar_2025!D16</f>
        <v>270</v>
      </c>
      <c r="I16" s="94">
        <f>E16/OBR_Mar_2025!E16-1</f>
        <v>0.006627233175</v>
      </c>
      <c r="J16" s="24" t="s">
        <v>17</v>
      </c>
      <c r="L16" s="73"/>
    </row>
    <row r="17" ht="22.5" customHeight="1">
      <c r="A17" s="24"/>
      <c r="B17" s="23"/>
      <c r="C17" s="24" t="s">
        <v>19</v>
      </c>
      <c r="D17" s="85">
        <v>850.0</v>
      </c>
      <c r="E17" s="78">
        <v>59.469193792596975</v>
      </c>
      <c r="F17" s="30">
        <f t="shared" si="1"/>
        <v>50548.81472</v>
      </c>
      <c r="G17" s="93">
        <v>45717.0</v>
      </c>
      <c r="H17" s="29">
        <f>D17-OBR_Mar_2025!D17</f>
        <v>620</v>
      </c>
      <c r="I17" s="94">
        <f>E17/OBR_Mar_2025!E17-1</f>
        <v>-0.3472893364</v>
      </c>
      <c r="J17" s="24" t="s">
        <v>17</v>
      </c>
      <c r="L17" s="73"/>
    </row>
    <row r="18" ht="22.5" customHeight="1">
      <c r="A18" s="24"/>
      <c r="B18" s="23"/>
      <c r="C18" s="24" t="s">
        <v>19</v>
      </c>
      <c r="D18" s="85">
        <v>5000.0</v>
      </c>
      <c r="E18" s="78">
        <v>57.6</v>
      </c>
      <c r="F18" s="30">
        <f t="shared" si="1"/>
        <v>288000</v>
      </c>
      <c r="G18" s="93">
        <v>45717.0</v>
      </c>
      <c r="H18" s="29">
        <f>D18-OBR_Mar_2025!D18</f>
        <v>0</v>
      </c>
      <c r="I18" s="94">
        <f>E18/OBR_Mar_2025!E18-1</f>
        <v>0</v>
      </c>
      <c r="J18" s="24" t="s">
        <v>17</v>
      </c>
      <c r="L18" s="73"/>
    </row>
    <row r="19" ht="22.5" customHeight="1">
      <c r="A19" s="24"/>
      <c r="B19" s="23"/>
      <c r="C19" s="24" t="s">
        <v>19</v>
      </c>
      <c r="D19" s="85">
        <v>450.0</v>
      </c>
      <c r="E19" s="78">
        <v>77.77777777777777</v>
      </c>
      <c r="F19" s="30">
        <f t="shared" si="1"/>
        <v>35000</v>
      </c>
      <c r="G19" s="93">
        <v>45717.0</v>
      </c>
      <c r="H19" s="29">
        <f>D19-OBR_Mar_2025!D19</f>
        <v>0</v>
      </c>
      <c r="I19" s="94">
        <f>E19/OBR_Mar_2025!E19-1</f>
        <v>0</v>
      </c>
      <c r="J19" s="24" t="s">
        <v>17</v>
      </c>
      <c r="L19" s="73"/>
    </row>
    <row r="20" ht="22.5" customHeight="1">
      <c r="A20" s="24"/>
      <c r="B20" s="23"/>
      <c r="C20" s="24" t="s">
        <v>18</v>
      </c>
      <c r="D20" s="85">
        <f>10.5/30</f>
        <v>0.35</v>
      </c>
      <c r="E20" s="78">
        <v>23166.666666666664</v>
      </c>
      <c r="F20" s="30">
        <f t="shared" si="1"/>
        <v>8108.333333</v>
      </c>
      <c r="G20" s="93">
        <v>45717.0</v>
      </c>
      <c r="H20" s="29">
        <f>D20-OBR_Mar_2025!D20</f>
        <v>-0.65</v>
      </c>
      <c r="I20" s="94">
        <f>E20/OBR_Mar_2025!E20-1</f>
        <v>0.5444444444</v>
      </c>
      <c r="J20" s="24" t="s">
        <v>39</v>
      </c>
      <c r="L20" s="73"/>
    </row>
    <row r="21" ht="22.5" customHeight="1">
      <c r="A21" s="24"/>
      <c r="B21" s="23"/>
      <c r="C21" s="24" t="s">
        <v>18</v>
      </c>
      <c r="D21" s="85">
        <f>60/30</f>
        <v>2</v>
      </c>
      <c r="E21" s="78">
        <v>153373.38975667433</v>
      </c>
      <c r="F21" s="30">
        <f t="shared" si="1"/>
        <v>306746.7795</v>
      </c>
      <c r="G21" s="93">
        <v>45717.0</v>
      </c>
      <c r="H21" s="29">
        <f>D21-OBR_Mar_2025!D21</f>
        <v>-1.5</v>
      </c>
      <c r="I21" s="94">
        <f>E21/OBR_Mar_2025!E21-1</f>
        <v>0.002440455926</v>
      </c>
      <c r="J21" s="24" t="s">
        <v>39</v>
      </c>
      <c r="L21" s="73"/>
    </row>
    <row r="22" ht="15.75" customHeight="1">
      <c r="A22" s="42"/>
      <c r="B22" s="42"/>
      <c r="D22" s="42"/>
      <c r="E22" s="42"/>
      <c r="F22" s="42"/>
      <c r="J22" s="42"/>
    </row>
    <row r="23" ht="15.75" customHeight="1">
      <c r="A23" s="42"/>
      <c r="B23" s="42"/>
      <c r="D23" s="42"/>
      <c r="E23" s="42"/>
      <c r="F23" s="42"/>
      <c r="J23" s="42"/>
    </row>
    <row r="24" ht="15.75" customHeight="1">
      <c r="A24" s="42"/>
      <c r="B24" s="42"/>
      <c r="D24" s="42"/>
      <c r="E24" s="42"/>
      <c r="F24" s="42"/>
      <c r="J24" s="42"/>
    </row>
    <row r="25" ht="15.75" customHeight="1">
      <c r="A25" s="42"/>
      <c r="B25" s="42"/>
      <c r="D25" s="42"/>
      <c r="E25" s="42"/>
      <c r="F25" s="42"/>
      <c r="J25" s="42"/>
    </row>
    <row r="26" ht="15.75" customHeight="1">
      <c r="A26" s="42"/>
      <c r="B26" s="42"/>
      <c r="D26" s="42"/>
      <c r="E26" s="42"/>
      <c r="F26" s="42"/>
      <c r="J26" s="42"/>
    </row>
    <row r="27" ht="15.75" customHeight="1">
      <c r="A27" s="42"/>
      <c r="B27" s="42"/>
      <c r="D27" s="42"/>
      <c r="E27" s="42"/>
      <c r="F27" s="42"/>
      <c r="J27" s="42"/>
    </row>
    <row r="28" ht="15.75" customHeight="1">
      <c r="A28" s="42"/>
      <c r="B28" s="42"/>
      <c r="D28" s="42"/>
      <c r="E28" s="42"/>
      <c r="F28" s="42"/>
      <c r="J28" s="42"/>
    </row>
    <row r="29" ht="15.75" customHeight="1">
      <c r="A29" s="42"/>
      <c r="B29" s="42"/>
      <c r="D29" s="42"/>
      <c r="E29" s="42"/>
      <c r="F29" s="42"/>
      <c r="J29" s="42"/>
    </row>
    <row r="30" ht="15.75" customHeight="1">
      <c r="A30" s="42"/>
      <c r="B30" s="42"/>
      <c r="D30" s="42"/>
      <c r="E30" s="42"/>
      <c r="F30" s="42"/>
      <c r="J30" s="42"/>
    </row>
    <row r="31" ht="15.75" customHeight="1">
      <c r="A31" s="42"/>
      <c r="B31" s="42"/>
      <c r="D31" s="42"/>
      <c r="E31" s="42"/>
      <c r="F31" s="42"/>
      <c r="J31" s="42"/>
    </row>
    <row r="32" ht="15.75" customHeight="1">
      <c r="A32" s="42"/>
      <c r="B32" s="42"/>
      <c r="D32" s="42"/>
      <c r="E32" s="42"/>
      <c r="F32" s="42"/>
      <c r="J32" s="42"/>
    </row>
    <row r="33" ht="15.75" customHeight="1">
      <c r="A33" s="42"/>
      <c r="B33" s="42"/>
      <c r="D33" s="42"/>
      <c r="E33" s="42"/>
      <c r="F33" s="42"/>
      <c r="J33" s="42"/>
    </row>
    <row r="34" ht="15.75" customHeight="1">
      <c r="A34" s="42"/>
      <c r="B34" s="42"/>
      <c r="D34" s="42"/>
      <c r="E34" s="42"/>
      <c r="F34" s="42"/>
      <c r="J34" s="42"/>
    </row>
    <row r="35" ht="15.75" customHeight="1">
      <c r="A35" s="42"/>
      <c r="B35" s="42"/>
      <c r="D35" s="42"/>
      <c r="E35" s="42"/>
      <c r="F35" s="42"/>
      <c r="J35" s="42"/>
    </row>
    <row r="36" ht="15.75" customHeight="1">
      <c r="A36" s="42"/>
      <c r="B36" s="42"/>
      <c r="D36" s="42"/>
      <c r="E36" s="42"/>
      <c r="F36" s="42"/>
      <c r="J36" s="42"/>
    </row>
    <row r="37" ht="15.75" customHeight="1">
      <c r="A37" s="42"/>
      <c r="B37" s="42"/>
      <c r="D37" s="42"/>
      <c r="E37" s="42"/>
      <c r="F37" s="42"/>
      <c r="J37" s="42"/>
    </row>
    <row r="38" ht="15.75" customHeight="1">
      <c r="A38" s="42"/>
      <c r="B38" s="42"/>
      <c r="D38" s="42"/>
      <c r="E38" s="42"/>
      <c r="F38" s="42"/>
      <c r="J38" s="42"/>
    </row>
    <row r="39" ht="15.75" customHeight="1">
      <c r="A39" s="42"/>
      <c r="B39" s="42"/>
      <c r="D39" s="42"/>
      <c r="E39" s="42"/>
      <c r="F39" s="42"/>
      <c r="J39" s="42"/>
    </row>
    <row r="40" ht="15.75" customHeight="1">
      <c r="A40" s="42"/>
      <c r="B40" s="42"/>
      <c r="D40" s="42"/>
      <c r="E40" s="42"/>
      <c r="F40" s="42"/>
      <c r="J40" s="42"/>
    </row>
    <row r="41" ht="15.75" customHeight="1">
      <c r="A41" s="42"/>
      <c r="B41" s="42"/>
      <c r="D41" s="42"/>
      <c r="E41" s="42"/>
      <c r="F41" s="42"/>
      <c r="J41" s="42"/>
    </row>
    <row r="42" ht="15.75" customHeight="1">
      <c r="A42" s="42"/>
      <c r="B42" s="42"/>
      <c r="D42" s="42"/>
      <c r="E42" s="42"/>
      <c r="F42" s="42"/>
      <c r="J42" s="42"/>
    </row>
    <row r="43" ht="15.75" customHeight="1">
      <c r="A43" s="42"/>
      <c r="B43" s="42"/>
      <c r="D43" s="42"/>
      <c r="E43" s="42"/>
      <c r="F43" s="42"/>
      <c r="J43" s="42"/>
    </row>
    <row r="44" ht="15.75" customHeight="1">
      <c r="A44" s="42"/>
      <c r="B44" s="42"/>
      <c r="D44" s="42"/>
      <c r="E44" s="42"/>
      <c r="F44" s="42"/>
      <c r="J44" s="42"/>
    </row>
    <row r="45" ht="15.75" customHeight="1">
      <c r="A45" s="42"/>
      <c r="B45" s="42"/>
      <c r="D45" s="42"/>
      <c r="E45" s="42"/>
      <c r="F45" s="42"/>
      <c r="J45" s="42"/>
    </row>
    <row r="46" ht="15.75" customHeight="1">
      <c r="A46" s="42"/>
      <c r="B46" s="42"/>
      <c r="D46" s="42"/>
      <c r="E46" s="42"/>
      <c r="F46" s="42"/>
      <c r="J46" s="4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4:H21">
    <cfRule type="cellIs" dxfId="7" priority="1" operator="greaterThan">
      <formula>0</formula>
    </cfRule>
  </conditionalFormatting>
  <conditionalFormatting sqref="H4:H21">
    <cfRule type="cellIs" dxfId="8" priority="2" operator="lessThan">
      <formula>0</formula>
    </cfRule>
  </conditionalFormatting>
  <conditionalFormatting sqref="I4:I21">
    <cfRule type="cellIs" dxfId="7" priority="3" operator="greaterThan">
      <formula>0</formula>
    </cfRule>
  </conditionalFormatting>
  <conditionalFormatting sqref="I4:I21">
    <cfRule type="cellIs" dxfId="9" priority="4" operator="lessThan">
      <formula>0</formula>
    </cfRule>
  </conditionalFormatting>
  <dataValidations>
    <dataValidation type="custom" allowBlank="1" showDropDown="1" sqref="D4:F21 H4:I21">
      <formula1>AND(ISNUMBER(D4),(NOT(OR(NOT(ISERROR(DATEVALUE(D4))), AND(ISNUMBER(D4), LEFT(CELL("format", D4))="D")))))</formula1>
    </dataValidation>
    <dataValidation type="list" allowBlank="1" sqref="J4:J21">
      <formula1>"In stock,Temporarily unavailable,Re-purchase needed,Sold out"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18.75"/>
    <col customWidth="1" min="9" max="9" width="24.5"/>
    <col customWidth="1" min="10" max="10" width="25.13"/>
  </cols>
  <sheetData>
    <row r="1" ht="15.75" customHeight="1">
      <c r="A1" s="90"/>
      <c r="B1" s="90"/>
      <c r="C1" s="1"/>
      <c r="D1" s="90"/>
      <c r="E1" s="90"/>
      <c r="F1" s="90"/>
      <c r="G1" s="1"/>
      <c r="H1" s="1"/>
      <c r="I1" s="1"/>
      <c r="J1" s="90"/>
    </row>
    <row r="2" ht="15.75" customHeight="1">
      <c r="A2" s="90"/>
      <c r="B2" s="90"/>
      <c r="C2" s="1"/>
      <c r="D2" s="90"/>
      <c r="E2" s="91" t="s">
        <v>40</v>
      </c>
      <c r="F2" s="92">
        <f>SUM(OBR_June_2025!$F$4:$F$21)</f>
        <v>5597336.052</v>
      </c>
      <c r="G2" s="1"/>
      <c r="H2" s="1"/>
      <c r="I2" s="1"/>
      <c r="J2" s="90"/>
    </row>
    <row r="3" ht="22.5" customHeight="1">
      <c r="A3" s="10" t="s">
        <v>4</v>
      </c>
      <c r="B3" s="10" t="s">
        <v>5</v>
      </c>
      <c r="C3" s="11" t="s">
        <v>6</v>
      </c>
      <c r="D3" s="10" t="s">
        <v>29</v>
      </c>
      <c r="E3" s="10" t="s">
        <v>43</v>
      </c>
      <c r="F3" s="10" t="s">
        <v>37</v>
      </c>
      <c r="G3" s="11" t="s">
        <v>38</v>
      </c>
      <c r="H3" s="11" t="s">
        <v>41</v>
      </c>
      <c r="I3" s="11" t="s">
        <v>42</v>
      </c>
      <c r="J3" s="10" t="s">
        <v>15</v>
      </c>
    </row>
    <row r="4" ht="22.5" customHeight="1">
      <c r="A4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4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4" s="24" t="s">
        <v>16</v>
      </c>
      <c r="D4" s="85">
        <v>86.0</v>
      </c>
      <c r="E4" s="78">
        <v>21101.173013033476</v>
      </c>
      <c r="F4" s="30">
        <f t="shared" ref="F4:F21" si="1">D4*E4</f>
        <v>1814700.879</v>
      </c>
      <c r="G4" s="93">
        <v>45717.0</v>
      </c>
      <c r="H4" s="29">
        <f>D4-OBR_Mar_2025!D4</f>
        <v>-140</v>
      </c>
      <c r="I4" s="94">
        <f>E4/OBR_Mar_2025!E4-1</f>
        <v>0.01083061351</v>
      </c>
      <c r="J4" s="24" t="s">
        <v>17</v>
      </c>
      <c r="L4" s="73"/>
    </row>
    <row r="5" ht="22.5" customHeight="1">
      <c r="A5" s="24"/>
      <c r="B5" s="23"/>
      <c r="C5" s="24" t="s">
        <v>18</v>
      </c>
      <c r="D5" s="85">
        <v>4.5</v>
      </c>
      <c r="E5" s="78">
        <v>131296.61238176248</v>
      </c>
      <c r="F5" s="30">
        <f t="shared" si="1"/>
        <v>590834.7557</v>
      </c>
      <c r="G5" s="93">
        <v>45717.0</v>
      </c>
      <c r="H5" s="29">
        <f>D5-OBR_Mar_2025!D5</f>
        <v>-7.5</v>
      </c>
      <c r="I5" s="94">
        <f>E5/OBR_Mar_2025!E5-1</f>
        <v>-0.03293832492</v>
      </c>
      <c r="J5" s="24" t="s">
        <v>17</v>
      </c>
      <c r="L5" s="73"/>
    </row>
    <row r="6" ht="22.5" customHeight="1">
      <c r="A6" s="24"/>
      <c r="B6" s="23"/>
      <c r="C6" s="24" t="s">
        <v>18</v>
      </c>
      <c r="D6" s="85">
        <v>1.0</v>
      </c>
      <c r="E6" s="78">
        <v>226601.82591423276</v>
      </c>
      <c r="F6" s="30">
        <f t="shared" si="1"/>
        <v>226601.8259</v>
      </c>
      <c r="G6" s="93">
        <v>45717.0</v>
      </c>
      <c r="H6" s="29">
        <f>D6-OBR_Mar_2025!D6</f>
        <v>-0.5</v>
      </c>
      <c r="I6" s="94">
        <f>E6/OBR_Mar_2025!E6-1</f>
        <v>0.01054982232</v>
      </c>
      <c r="J6" s="24" t="s">
        <v>17</v>
      </c>
      <c r="L6" s="73"/>
    </row>
    <row r="7" ht="22.5" customHeight="1">
      <c r="A7" s="24"/>
      <c r="B7" s="23"/>
      <c r="C7" s="24" t="s">
        <v>18</v>
      </c>
      <c r="D7" s="85">
        <v>0.0</v>
      </c>
      <c r="E7" s="78">
        <v>154959.769421693</v>
      </c>
      <c r="F7" s="30">
        <f t="shared" si="1"/>
        <v>0</v>
      </c>
      <c r="G7" s="93">
        <v>45717.0</v>
      </c>
      <c r="H7" s="29">
        <f>D7-OBR_Mar_2025!D7</f>
        <v>-2.5</v>
      </c>
      <c r="I7" s="94">
        <f>E7/OBR_Mar_2025!E7-1</f>
        <v>-0.02822020953</v>
      </c>
      <c r="J7" s="24" t="s">
        <v>17</v>
      </c>
      <c r="L7" s="73"/>
    </row>
    <row r="8" ht="22.5" customHeight="1">
      <c r="A8" s="24"/>
      <c r="B8" s="23"/>
      <c r="C8" s="24" t="s">
        <v>19</v>
      </c>
      <c r="D8" s="85">
        <v>10750.0</v>
      </c>
      <c r="E8" s="78">
        <v>64.0715745021849</v>
      </c>
      <c r="F8" s="30">
        <f t="shared" si="1"/>
        <v>688769.4259</v>
      </c>
      <c r="G8" s="93">
        <v>45717.0</v>
      </c>
      <c r="H8" s="29">
        <f>D8-OBR_Mar_2025!D8</f>
        <v>4140</v>
      </c>
      <c r="I8" s="94">
        <f>E8/OBR_Mar_2025!E8-1</f>
        <v>-0.01361759526</v>
      </c>
      <c r="J8" s="24" t="s">
        <v>17</v>
      </c>
      <c r="L8" s="73"/>
    </row>
    <row r="9" ht="22.5" customHeight="1">
      <c r="A9" s="24"/>
      <c r="B9" s="23"/>
      <c r="C9" s="24" t="s">
        <v>19</v>
      </c>
      <c r="D9" s="85">
        <v>3180.0</v>
      </c>
      <c r="E9" s="78">
        <v>50.117962263116034</v>
      </c>
      <c r="F9" s="30">
        <f t="shared" si="1"/>
        <v>159375.12</v>
      </c>
      <c r="G9" s="93">
        <v>45717.0</v>
      </c>
      <c r="H9" s="29">
        <f>D9-OBR_Mar_2025!D9</f>
        <v>2892</v>
      </c>
      <c r="I9" s="94">
        <f>E9/OBR_Mar_2025!E9-1</f>
        <v>0.06637052318</v>
      </c>
      <c r="J9" s="24" t="s">
        <v>17</v>
      </c>
      <c r="L9" s="73"/>
    </row>
    <row r="10" ht="22.5" customHeight="1">
      <c r="A10" s="24"/>
      <c r="B10" s="23"/>
      <c r="C10" s="24" t="s">
        <v>19</v>
      </c>
      <c r="D10" s="85">
        <v>5430.0</v>
      </c>
      <c r="E10" s="78">
        <v>68.56245756958587</v>
      </c>
      <c r="F10" s="30">
        <f t="shared" si="1"/>
        <v>372294.1446</v>
      </c>
      <c r="G10" s="93">
        <v>45717.0</v>
      </c>
      <c r="H10" s="29">
        <f>D10-OBR_Mar_2025!D10</f>
        <v>-1460</v>
      </c>
      <c r="I10" s="94">
        <f>E10/OBR_Mar_2025!E10-1</f>
        <v>0.09699932111</v>
      </c>
      <c r="J10" s="24" t="s">
        <v>17</v>
      </c>
      <c r="L10" s="73"/>
    </row>
    <row r="11" ht="22.5" customHeight="1">
      <c r="A11" s="24"/>
      <c r="B11" s="23"/>
      <c r="C11" s="24" t="s">
        <v>20</v>
      </c>
      <c r="D11" s="85">
        <v>3.18</v>
      </c>
      <c r="E11" s="78">
        <v>47428.22996635552</v>
      </c>
      <c r="F11" s="30">
        <f t="shared" si="1"/>
        <v>150821.7713</v>
      </c>
      <c r="G11" s="93">
        <v>45717.0</v>
      </c>
      <c r="H11" s="29">
        <f>D11-OBR_Mar_2025!D11</f>
        <v>0.33</v>
      </c>
      <c r="I11" s="94">
        <f>E11/OBR_Mar_2025!E11-1</f>
        <v>-0.2095295006</v>
      </c>
      <c r="J11" s="24" t="s">
        <v>17</v>
      </c>
      <c r="L11" s="73"/>
    </row>
    <row r="12" ht="22.5" customHeight="1">
      <c r="A12" s="24"/>
      <c r="B12" s="23"/>
      <c r="C12" s="24" t="s">
        <v>19</v>
      </c>
      <c r="D12" s="85">
        <v>5200.0</v>
      </c>
      <c r="E12" s="78">
        <v>55.50895587592835</v>
      </c>
      <c r="F12" s="30">
        <f t="shared" si="1"/>
        <v>288646.5706</v>
      </c>
      <c r="G12" s="93">
        <v>45717.0</v>
      </c>
      <c r="H12" s="29">
        <f>D12-OBR_Mar_2025!D12</f>
        <v>552</v>
      </c>
      <c r="I12" s="94">
        <f>E12/OBR_Mar_2025!E12-1</f>
        <v>0.1101791175</v>
      </c>
      <c r="J12" s="24" t="s">
        <v>17</v>
      </c>
      <c r="L12" s="73"/>
    </row>
    <row r="13" ht="22.5" customHeight="1">
      <c r="A13" s="24"/>
      <c r="B13" s="23"/>
      <c r="C13" s="24" t="s">
        <v>19</v>
      </c>
      <c r="D13" s="85">
        <v>760.0</v>
      </c>
      <c r="E13" s="78">
        <v>83.98550724637681</v>
      </c>
      <c r="F13" s="30">
        <f t="shared" si="1"/>
        <v>63828.98551</v>
      </c>
      <c r="G13" s="93">
        <v>45717.0</v>
      </c>
      <c r="H13" s="29">
        <f>D13-OBR_Mar_2025!D13</f>
        <v>418</v>
      </c>
      <c r="I13" s="94">
        <f>E13/OBR_Mar_2025!E13-1</f>
        <v>0.799689441</v>
      </c>
      <c r="J13" s="24" t="s">
        <v>17</v>
      </c>
      <c r="L13" s="73"/>
    </row>
    <row r="14" ht="22.5" customHeight="1">
      <c r="A14" s="24"/>
      <c r="B14" s="23"/>
      <c r="C14" s="24" t="s">
        <v>19</v>
      </c>
      <c r="D14" s="85">
        <v>7850.0</v>
      </c>
      <c r="E14" s="78">
        <v>58.24844219595232</v>
      </c>
      <c r="F14" s="30">
        <f t="shared" si="1"/>
        <v>457250.2712</v>
      </c>
      <c r="G14" s="93">
        <v>45717.0</v>
      </c>
      <c r="H14" s="29">
        <f>D14-OBR_Mar_2025!D14</f>
        <v>1090</v>
      </c>
      <c r="I14" s="94">
        <f>E14/OBR_Mar_2025!E14-1</f>
        <v>0.0552254021</v>
      </c>
      <c r="J14" s="24" t="s">
        <v>17</v>
      </c>
      <c r="L14" s="73"/>
    </row>
    <row r="15" ht="22.5" customHeight="1">
      <c r="A15" s="24"/>
      <c r="B15" s="23"/>
      <c r="C15" s="24" t="s">
        <v>19</v>
      </c>
      <c r="D15" s="85">
        <v>490.0</v>
      </c>
      <c r="E15" s="78">
        <v>33.290897205017416</v>
      </c>
      <c r="F15" s="30">
        <f t="shared" si="1"/>
        <v>16312.53963</v>
      </c>
      <c r="G15" s="93">
        <v>45717.0</v>
      </c>
      <c r="H15" s="29">
        <f>D15-OBR_Mar_2025!D15</f>
        <v>214</v>
      </c>
      <c r="I15" s="94">
        <f>E15/OBR_Mar_2025!E15-1</f>
        <v>-0.2866236313</v>
      </c>
      <c r="J15" s="24" t="s">
        <v>17</v>
      </c>
      <c r="L15" s="73"/>
    </row>
    <row r="16" ht="22.5" customHeight="1">
      <c r="A16" s="24"/>
      <c r="B16" s="23"/>
      <c r="C16" s="24" t="s">
        <v>19</v>
      </c>
      <c r="D16" s="85">
        <v>3080.0</v>
      </c>
      <c r="E16" s="78">
        <v>69.7433849159743</v>
      </c>
      <c r="F16" s="30">
        <f t="shared" si="1"/>
        <v>214809.6255</v>
      </c>
      <c r="G16" s="93">
        <v>45717.0</v>
      </c>
      <c r="H16" s="29">
        <f>D16-OBR_Mar_2025!D16</f>
        <v>-1350</v>
      </c>
      <c r="I16" s="94">
        <f>E16/OBR_Mar_2025!E16-1</f>
        <v>-0.003665929772</v>
      </c>
      <c r="J16" s="24" t="s">
        <v>17</v>
      </c>
      <c r="L16" s="73"/>
    </row>
    <row r="17" ht="22.5" customHeight="1">
      <c r="A17" s="24"/>
      <c r="B17" s="23"/>
      <c r="C17" s="24" t="s">
        <v>19</v>
      </c>
      <c r="D17" s="85">
        <v>200.0</v>
      </c>
      <c r="E17" s="78">
        <v>58.51593271840493</v>
      </c>
      <c r="F17" s="30">
        <f t="shared" si="1"/>
        <v>11703.18654</v>
      </c>
      <c r="G17" s="93">
        <v>45717.0</v>
      </c>
      <c r="H17" s="29">
        <f>D17-OBR_Mar_2025!D17</f>
        <v>-30</v>
      </c>
      <c r="I17" s="94">
        <f>E17/OBR_Mar_2025!E17-1</f>
        <v>-0.357751958</v>
      </c>
      <c r="J17" s="24" t="s">
        <v>17</v>
      </c>
      <c r="L17" s="73"/>
    </row>
    <row r="18" ht="22.5" customHeight="1">
      <c r="A18" s="24"/>
      <c r="B18" s="23"/>
      <c r="C18" s="24" t="s">
        <v>19</v>
      </c>
      <c r="D18" s="85">
        <v>5000.0</v>
      </c>
      <c r="E18" s="78">
        <v>57.6</v>
      </c>
      <c r="F18" s="30">
        <f t="shared" si="1"/>
        <v>288000</v>
      </c>
      <c r="G18" s="93">
        <v>45717.0</v>
      </c>
      <c r="H18" s="29">
        <f>D18-OBR_Mar_2025!D18</f>
        <v>0</v>
      </c>
      <c r="I18" s="94">
        <f>E18/OBR_Mar_2025!E18-1</f>
        <v>0</v>
      </c>
      <c r="J18" s="24" t="s">
        <v>17</v>
      </c>
      <c r="L18" s="73"/>
    </row>
    <row r="19" ht="22.5" customHeight="1">
      <c r="A19" s="24"/>
      <c r="B19" s="23"/>
      <c r="C19" s="24" t="s">
        <v>19</v>
      </c>
      <c r="D19" s="85">
        <v>450.0</v>
      </c>
      <c r="E19" s="78">
        <v>77.77777777777777</v>
      </c>
      <c r="F19" s="30">
        <f t="shared" si="1"/>
        <v>35000</v>
      </c>
      <c r="G19" s="93">
        <v>45717.0</v>
      </c>
      <c r="H19" s="29">
        <f>D19-OBR_Mar_2025!D19</f>
        <v>0</v>
      </c>
      <c r="I19" s="94">
        <f>E19/OBR_Mar_2025!E19-1</f>
        <v>0</v>
      </c>
      <c r="J19" s="24" t="s">
        <v>17</v>
      </c>
      <c r="L19" s="73"/>
    </row>
    <row r="20" ht="22.5" customHeight="1">
      <c r="A20" s="24"/>
      <c r="B20" s="23"/>
      <c r="C20" s="24" t="s">
        <v>18</v>
      </c>
      <c r="D20" s="85">
        <v>2.0</v>
      </c>
      <c r="E20" s="78">
        <v>32668.58237547893</v>
      </c>
      <c r="F20" s="30">
        <f t="shared" si="1"/>
        <v>65337.16475</v>
      </c>
      <c r="G20" s="93">
        <v>45717.0</v>
      </c>
      <c r="H20" s="29">
        <f>D20-OBR_Mar_2025!D20</f>
        <v>1</v>
      </c>
      <c r="I20" s="94">
        <f>E20/OBR_Mar_2025!E20-1</f>
        <v>1.177905492</v>
      </c>
      <c r="J20" s="24" t="s">
        <v>39</v>
      </c>
      <c r="L20" s="73"/>
    </row>
    <row r="21" ht="22.5" customHeight="1">
      <c r="A21" s="24"/>
      <c r="B21" s="23"/>
      <c r="C21" s="24" t="s">
        <v>18</v>
      </c>
      <c r="D21" s="85">
        <v>1.0</v>
      </c>
      <c r="E21" s="78">
        <v>153049.78530088993</v>
      </c>
      <c r="F21" s="30">
        <f t="shared" si="1"/>
        <v>153049.7853</v>
      </c>
      <c r="G21" s="93">
        <v>45717.0</v>
      </c>
      <c r="H21" s="29">
        <f>D21-OBR_Mar_2025!D21</f>
        <v>-2.5</v>
      </c>
      <c r="I21" s="94">
        <f>E21/OBR_Mar_2025!E21-1</f>
        <v>0.0003253941235</v>
      </c>
      <c r="J21" s="24" t="s">
        <v>39</v>
      </c>
      <c r="L21" s="73"/>
    </row>
    <row r="22" ht="15.75" customHeight="1">
      <c r="A22" s="42"/>
      <c r="B22" s="42"/>
      <c r="D22" s="42"/>
      <c r="E22" s="42"/>
      <c r="F22" s="42"/>
      <c r="J22" s="42"/>
    </row>
    <row r="23" ht="15.75" customHeight="1">
      <c r="A23" s="42"/>
      <c r="B23" s="42"/>
      <c r="D23" s="42"/>
      <c r="E23" s="42"/>
      <c r="F23" s="42"/>
      <c r="J23" s="42"/>
    </row>
    <row r="24" ht="15.75" customHeight="1">
      <c r="A24" s="42"/>
      <c r="B24" s="42"/>
      <c r="D24" s="42"/>
      <c r="E24" s="42"/>
      <c r="F24" s="42"/>
      <c r="J24" s="42"/>
    </row>
    <row r="25" ht="15.75" customHeight="1">
      <c r="A25" s="42"/>
      <c r="B25" s="42"/>
      <c r="D25" s="42"/>
      <c r="E25" s="42"/>
      <c r="F25" s="42"/>
      <c r="J25" s="42"/>
    </row>
    <row r="26" ht="15.75" customHeight="1">
      <c r="A26" s="42"/>
      <c r="B26" s="42"/>
      <c r="D26" s="42"/>
      <c r="E26" s="42"/>
      <c r="F26" s="42"/>
      <c r="J26" s="42"/>
    </row>
    <row r="27" ht="15.75" customHeight="1">
      <c r="A27" s="42"/>
      <c r="B27" s="42"/>
      <c r="D27" s="42"/>
      <c r="E27" s="42"/>
      <c r="F27" s="42"/>
      <c r="J27" s="42"/>
    </row>
    <row r="28" ht="15.75" customHeight="1">
      <c r="A28" s="42"/>
      <c r="B28" s="42"/>
      <c r="D28" s="42"/>
      <c r="E28" s="42"/>
      <c r="F28" s="42"/>
      <c r="J28" s="42"/>
    </row>
    <row r="29" ht="15.75" customHeight="1">
      <c r="A29" s="42"/>
      <c r="B29" s="42"/>
      <c r="D29" s="42"/>
      <c r="E29" s="42"/>
      <c r="F29" s="42"/>
      <c r="J29" s="42"/>
    </row>
    <row r="30" ht="15.75" customHeight="1">
      <c r="A30" s="42"/>
      <c r="B30" s="42"/>
      <c r="D30" s="42"/>
      <c r="E30" s="42"/>
      <c r="F30" s="42"/>
      <c r="J30" s="42"/>
    </row>
    <row r="31" ht="15.75" customHeight="1">
      <c r="A31" s="42"/>
      <c r="B31" s="42"/>
      <c r="D31" s="42"/>
      <c r="E31" s="42"/>
      <c r="F31" s="42"/>
      <c r="J31" s="42"/>
    </row>
    <row r="32" ht="15.75" customHeight="1">
      <c r="A32" s="42"/>
      <c r="B32" s="42"/>
      <c r="D32" s="42"/>
      <c r="E32" s="42"/>
      <c r="F32" s="42"/>
      <c r="J32" s="42"/>
    </row>
    <row r="33" ht="15.75" customHeight="1">
      <c r="A33" s="42"/>
      <c r="B33" s="42"/>
      <c r="D33" s="42"/>
      <c r="E33" s="42"/>
      <c r="F33" s="42"/>
      <c r="J33" s="42"/>
    </row>
    <row r="34" ht="15.75" customHeight="1">
      <c r="A34" s="42"/>
      <c r="B34" s="42"/>
      <c r="D34" s="42"/>
      <c r="E34" s="42"/>
      <c r="F34" s="42"/>
      <c r="J34" s="42"/>
    </row>
    <row r="35" ht="15.75" customHeight="1">
      <c r="A35" s="42"/>
      <c r="B35" s="42"/>
      <c r="D35" s="42"/>
      <c r="E35" s="42"/>
      <c r="F35" s="42"/>
      <c r="J35" s="42"/>
    </row>
    <row r="36" ht="15.75" customHeight="1">
      <c r="A36" s="42"/>
      <c r="B36" s="42"/>
      <c r="D36" s="42"/>
      <c r="E36" s="42"/>
      <c r="F36" s="42"/>
      <c r="J36" s="42"/>
    </row>
    <row r="37" ht="15.75" customHeight="1">
      <c r="A37" s="42"/>
      <c r="B37" s="42"/>
      <c r="D37" s="42"/>
      <c r="E37" s="42"/>
      <c r="F37" s="42"/>
      <c r="J37" s="42"/>
    </row>
    <row r="38" ht="15.75" customHeight="1">
      <c r="A38" s="42"/>
      <c r="B38" s="42"/>
      <c r="D38" s="42"/>
      <c r="E38" s="42"/>
      <c r="F38" s="42"/>
      <c r="J38" s="42"/>
    </row>
    <row r="39" ht="15.75" customHeight="1">
      <c r="A39" s="42"/>
      <c r="B39" s="42"/>
      <c r="D39" s="42"/>
      <c r="E39" s="42"/>
      <c r="F39" s="42"/>
      <c r="J39" s="42"/>
    </row>
    <row r="40" ht="15.75" customHeight="1">
      <c r="A40" s="42"/>
      <c r="B40" s="42"/>
      <c r="D40" s="42"/>
      <c r="E40" s="42"/>
      <c r="F40" s="42"/>
      <c r="J40" s="42"/>
    </row>
    <row r="41" ht="15.75" customHeight="1">
      <c r="A41" s="42"/>
      <c r="B41" s="42"/>
      <c r="D41" s="42"/>
      <c r="E41" s="42"/>
      <c r="F41" s="42"/>
      <c r="J41" s="42"/>
    </row>
    <row r="42" ht="15.75" customHeight="1">
      <c r="A42" s="42"/>
      <c r="B42" s="42"/>
      <c r="D42" s="42"/>
      <c r="E42" s="42"/>
      <c r="F42" s="42"/>
      <c r="J42" s="42"/>
    </row>
    <row r="43" ht="15.75" customHeight="1">
      <c r="A43" s="42"/>
      <c r="B43" s="42"/>
      <c r="D43" s="42"/>
      <c r="E43" s="42"/>
      <c r="F43" s="42"/>
      <c r="J43" s="42"/>
    </row>
    <row r="44" ht="15.75" customHeight="1">
      <c r="A44" s="42"/>
      <c r="B44" s="42"/>
      <c r="D44" s="42"/>
      <c r="E44" s="42"/>
      <c r="F44" s="42"/>
      <c r="J44" s="42"/>
    </row>
    <row r="45" ht="15.75" customHeight="1">
      <c r="A45" s="42"/>
      <c r="B45" s="42"/>
      <c r="D45" s="42"/>
      <c r="E45" s="42"/>
      <c r="F45" s="42"/>
      <c r="J45" s="42"/>
    </row>
    <row r="46" ht="15.75" customHeight="1">
      <c r="A46" s="42"/>
      <c r="B46" s="42"/>
      <c r="D46" s="42"/>
      <c r="E46" s="42"/>
      <c r="F46" s="42"/>
      <c r="J46" s="4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4:H21">
    <cfRule type="cellIs" dxfId="7" priority="1" operator="greaterThan">
      <formula>0</formula>
    </cfRule>
  </conditionalFormatting>
  <conditionalFormatting sqref="H4:H21">
    <cfRule type="cellIs" dxfId="8" priority="2" operator="lessThan">
      <formula>0</formula>
    </cfRule>
  </conditionalFormatting>
  <conditionalFormatting sqref="I4:I21">
    <cfRule type="cellIs" dxfId="7" priority="3" operator="greaterThan">
      <formula>0</formula>
    </cfRule>
  </conditionalFormatting>
  <conditionalFormatting sqref="I4:I21">
    <cfRule type="cellIs" dxfId="9" priority="4" operator="lessThan">
      <formula>0</formula>
    </cfRule>
  </conditionalFormatting>
  <dataValidations>
    <dataValidation type="custom" allowBlank="1" showDropDown="1" sqref="D4:F21 H4:I21">
      <formula1>AND(ISNUMBER(D4),(NOT(OR(NOT(ISERROR(DATEVALUE(D4))), AND(ISNUMBER(D4), LEFT(CELL("format", D4))="D")))))</formula1>
    </dataValidation>
    <dataValidation type="list" allowBlank="1" sqref="J4:J21">
      <formula1>"In stock,Temporarily unavailable,Re-purchase needed,Sold out"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18.75"/>
    <col customWidth="1" min="9" max="9" width="24.5"/>
    <col customWidth="1" min="10" max="10" width="25.13"/>
  </cols>
  <sheetData>
    <row r="1" ht="15.75" customHeight="1">
      <c r="A1" s="90"/>
      <c r="B1" s="90"/>
      <c r="C1" s="1"/>
      <c r="D1" s="90"/>
      <c r="E1" s="90"/>
      <c r="F1" s="90"/>
      <c r="G1" s="1"/>
      <c r="H1" s="1"/>
      <c r="I1" s="1"/>
      <c r="J1" s="90"/>
    </row>
    <row r="2" ht="15.75" customHeight="1">
      <c r="A2" s="90"/>
      <c r="B2" s="90"/>
      <c r="C2" s="1"/>
      <c r="D2" s="90"/>
      <c r="E2" s="91" t="s">
        <v>40</v>
      </c>
      <c r="F2" s="92">
        <f>SUM(OBR_July_2025!$F$4:$F$21)</f>
        <v>5914124.072</v>
      </c>
      <c r="G2" s="1"/>
      <c r="H2" s="1"/>
      <c r="I2" s="1"/>
      <c r="J2" s="90"/>
    </row>
    <row r="3" ht="22.5" customHeight="1">
      <c r="A3" s="10" t="s">
        <v>4</v>
      </c>
      <c r="B3" s="10" t="s">
        <v>5</v>
      </c>
      <c r="C3" s="11" t="s">
        <v>6</v>
      </c>
      <c r="D3" s="10" t="s">
        <v>29</v>
      </c>
      <c r="E3" s="10" t="s">
        <v>43</v>
      </c>
      <c r="F3" s="10" t="s">
        <v>37</v>
      </c>
      <c r="G3" s="11" t="s">
        <v>38</v>
      </c>
      <c r="H3" s="11" t="s">
        <v>41</v>
      </c>
      <c r="I3" s="11" t="s">
        <v>42</v>
      </c>
      <c r="J3" s="10" t="s">
        <v>15</v>
      </c>
    </row>
    <row r="4" ht="22.5" customHeight="1">
      <c r="A4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4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4" s="24" t="s">
        <v>16</v>
      </c>
      <c r="D4" s="85">
        <v>94.0</v>
      </c>
      <c r="E4" s="78">
        <v>21107.44801724976</v>
      </c>
      <c r="F4" s="30">
        <f t="shared" ref="F4:F21" si="1">D4*E4</f>
        <v>1984100.114</v>
      </c>
      <c r="G4" s="93">
        <v>45717.0</v>
      </c>
      <c r="H4" s="29">
        <f>D4-OBR_Mar_2025!D4</f>
        <v>-132</v>
      </c>
      <c r="I4" s="94">
        <f>E4/OBR_Mar_2025!E4-1</f>
        <v>0.01113121132</v>
      </c>
      <c r="J4" s="24" t="s">
        <v>17</v>
      </c>
      <c r="L4" s="73"/>
    </row>
    <row r="5" ht="22.5" customHeight="1">
      <c r="A5" s="24"/>
      <c r="B5" s="23"/>
      <c r="C5" s="24" t="s">
        <v>18</v>
      </c>
      <c r="D5" s="85">
        <v>3.0</v>
      </c>
      <c r="E5" s="78">
        <v>131945.67184253162</v>
      </c>
      <c r="F5" s="30">
        <f t="shared" si="1"/>
        <v>395837.0155</v>
      </c>
      <c r="G5" s="93">
        <v>45717.0</v>
      </c>
      <c r="H5" s="29">
        <f>D5-OBR_Mar_2025!D5</f>
        <v>-9</v>
      </c>
      <c r="I5" s="94">
        <f>E5/OBR_Mar_2025!E5-1</f>
        <v>-0.02815769488</v>
      </c>
      <c r="J5" s="24" t="s">
        <v>17</v>
      </c>
      <c r="L5" s="73"/>
    </row>
    <row r="6" ht="22.5" customHeight="1">
      <c r="A6" s="24"/>
      <c r="B6" s="23"/>
      <c r="C6" s="24" t="s">
        <v>18</v>
      </c>
      <c r="D6" s="85">
        <v>2.16</v>
      </c>
      <c r="E6" s="78">
        <v>227274.25392477124</v>
      </c>
      <c r="F6" s="30">
        <f t="shared" si="1"/>
        <v>490912.3885</v>
      </c>
      <c r="G6" s="93">
        <v>45717.0</v>
      </c>
      <c r="H6" s="29">
        <f>D6-OBR_Mar_2025!D6</f>
        <v>0.66</v>
      </c>
      <c r="I6" s="94">
        <f>E6/OBR_Mar_2025!E6-1</f>
        <v>0.01354857136</v>
      </c>
      <c r="J6" s="24" t="s">
        <v>17</v>
      </c>
      <c r="L6" s="73"/>
    </row>
    <row r="7" ht="22.5" customHeight="1">
      <c r="A7" s="24"/>
      <c r="B7" s="23"/>
      <c r="C7" s="24" t="s">
        <v>18</v>
      </c>
      <c r="D7" s="85">
        <v>1.28</v>
      </c>
      <c r="E7" s="78">
        <v>148642.29928284066</v>
      </c>
      <c r="F7" s="30">
        <f t="shared" si="1"/>
        <v>190262.1431</v>
      </c>
      <c r="G7" s="93">
        <v>45717.0</v>
      </c>
      <c r="H7" s="29">
        <f>D7-OBR_Mar_2025!D7</f>
        <v>-1.22</v>
      </c>
      <c r="I7" s="94">
        <f>E7/OBR_Mar_2025!E7-1</f>
        <v>-0.06783816863</v>
      </c>
      <c r="J7" s="24" t="s">
        <v>17</v>
      </c>
      <c r="L7" s="73"/>
    </row>
    <row r="8" ht="22.5" customHeight="1">
      <c r="A8" s="24"/>
      <c r="B8" s="23"/>
      <c r="C8" s="24" t="s">
        <v>19</v>
      </c>
      <c r="D8" s="85">
        <v>10060.0</v>
      </c>
      <c r="E8" s="78">
        <v>64.93710640625319</v>
      </c>
      <c r="F8" s="30">
        <f t="shared" si="1"/>
        <v>653267.2904</v>
      </c>
      <c r="G8" s="93">
        <v>45717.0</v>
      </c>
      <c r="H8" s="29">
        <f>D8-OBR_Mar_2025!D8</f>
        <v>3450</v>
      </c>
      <c r="I8" s="94">
        <f>E8/OBR_Mar_2025!E8-1</f>
        <v>-0.000292724636</v>
      </c>
      <c r="J8" s="24" t="s">
        <v>17</v>
      </c>
      <c r="L8" s="73"/>
    </row>
    <row r="9" ht="22.5" customHeight="1">
      <c r="A9" s="24"/>
      <c r="B9" s="23"/>
      <c r="C9" s="24" t="s">
        <v>19</v>
      </c>
      <c r="D9" s="85">
        <v>1100.0</v>
      </c>
      <c r="E9" s="78">
        <v>52.38917799299498</v>
      </c>
      <c r="F9" s="30">
        <f t="shared" si="1"/>
        <v>57628.09579</v>
      </c>
      <c r="G9" s="93">
        <v>45717.0</v>
      </c>
      <c r="H9" s="29">
        <f>D9-OBR_Mar_2025!D9</f>
        <v>812</v>
      </c>
      <c r="I9" s="94">
        <f>E9/OBR_Mar_2025!E9-1</f>
        <v>0.1146956624</v>
      </c>
      <c r="J9" s="24" t="s">
        <v>17</v>
      </c>
      <c r="L9" s="73"/>
    </row>
    <row r="10" ht="22.5" customHeight="1">
      <c r="A10" s="24"/>
      <c r="B10" s="23"/>
      <c r="C10" s="24" t="s">
        <v>19</v>
      </c>
      <c r="D10" s="85">
        <v>3680.0</v>
      </c>
      <c r="E10" s="78">
        <v>68.56245756958587</v>
      </c>
      <c r="F10" s="30">
        <f t="shared" si="1"/>
        <v>252309.8439</v>
      </c>
      <c r="G10" s="93">
        <v>45717.0</v>
      </c>
      <c r="H10" s="29">
        <f>D10-OBR_Mar_2025!D10</f>
        <v>-3210</v>
      </c>
      <c r="I10" s="94">
        <f>E10/OBR_Mar_2025!E10-1</f>
        <v>0.09699932111</v>
      </c>
      <c r="J10" s="24" t="s">
        <v>17</v>
      </c>
      <c r="L10" s="73"/>
    </row>
    <row r="11" ht="22.5" customHeight="1">
      <c r="A11" s="24"/>
      <c r="B11" s="23"/>
      <c r="C11" s="24" t="s">
        <v>20</v>
      </c>
      <c r="D11" s="85">
        <v>1.652</v>
      </c>
      <c r="E11" s="78">
        <v>47428.229966355524</v>
      </c>
      <c r="F11" s="30">
        <f t="shared" si="1"/>
        <v>78351.4359</v>
      </c>
      <c r="G11" s="93">
        <v>45717.0</v>
      </c>
      <c r="H11" s="29">
        <f>D11-OBR_Mar_2025!D11</f>
        <v>-1.198</v>
      </c>
      <c r="I11" s="94">
        <f>E11/OBR_Mar_2025!E11-1</f>
        <v>-0.2095295006</v>
      </c>
      <c r="J11" s="24" t="s">
        <v>17</v>
      </c>
      <c r="L11" s="73"/>
    </row>
    <row r="12" ht="22.5" customHeight="1">
      <c r="A12" s="24"/>
      <c r="B12" s="23"/>
      <c r="C12" s="24" t="s">
        <v>19</v>
      </c>
      <c r="D12" s="85">
        <v>3380.0</v>
      </c>
      <c r="E12" s="78">
        <v>55.50895587592834</v>
      </c>
      <c r="F12" s="30">
        <f t="shared" si="1"/>
        <v>187620.2709</v>
      </c>
      <c r="G12" s="93">
        <v>45717.0</v>
      </c>
      <c r="H12" s="29">
        <f>D12-OBR_Mar_2025!D12</f>
        <v>-1268</v>
      </c>
      <c r="I12" s="94">
        <f>E12/OBR_Mar_2025!E12-1</f>
        <v>0.1101791175</v>
      </c>
      <c r="J12" s="24" t="s">
        <v>17</v>
      </c>
      <c r="L12" s="73"/>
    </row>
    <row r="13" ht="22.5" customHeight="1">
      <c r="A13" s="24"/>
      <c r="B13" s="23"/>
      <c r="C13" s="24" t="s">
        <v>19</v>
      </c>
      <c r="D13" s="85">
        <v>500.0</v>
      </c>
      <c r="E13" s="78">
        <v>83.98550724637681</v>
      </c>
      <c r="F13" s="30">
        <f t="shared" si="1"/>
        <v>41992.75362</v>
      </c>
      <c r="G13" s="93">
        <v>45717.0</v>
      </c>
      <c r="H13" s="29">
        <f>D13-OBR_Mar_2025!D13</f>
        <v>158</v>
      </c>
      <c r="I13" s="94">
        <f>E13/OBR_Mar_2025!E13-1</f>
        <v>0.799689441</v>
      </c>
      <c r="J13" s="24" t="s">
        <v>17</v>
      </c>
      <c r="L13" s="73"/>
    </row>
    <row r="14" ht="22.5" customHeight="1">
      <c r="A14" s="24"/>
      <c r="B14" s="23"/>
      <c r="C14" s="24" t="s">
        <v>19</v>
      </c>
      <c r="D14" s="85">
        <v>6780.0</v>
      </c>
      <c r="E14" s="78">
        <v>58.24844219595232</v>
      </c>
      <c r="F14" s="30">
        <f t="shared" si="1"/>
        <v>394924.4381</v>
      </c>
      <c r="G14" s="93">
        <v>45717.0</v>
      </c>
      <c r="H14" s="29">
        <f>D14-OBR_Mar_2025!D14</f>
        <v>20</v>
      </c>
      <c r="I14" s="94">
        <f>E14/OBR_Mar_2025!E14-1</f>
        <v>0.0552254021</v>
      </c>
      <c r="J14" s="24" t="s">
        <v>17</v>
      </c>
      <c r="L14" s="73"/>
    </row>
    <row r="15" ht="22.5" customHeight="1">
      <c r="A15" s="24"/>
      <c r="B15" s="23"/>
      <c r="C15" s="24" t="s">
        <v>19</v>
      </c>
      <c r="D15" s="85">
        <v>490.0</v>
      </c>
      <c r="E15" s="78">
        <v>33.290897205017416</v>
      </c>
      <c r="F15" s="30">
        <f t="shared" si="1"/>
        <v>16312.53963</v>
      </c>
      <c r="G15" s="93">
        <v>45717.0</v>
      </c>
      <c r="H15" s="29">
        <f>D15-OBR_Mar_2025!D15</f>
        <v>214</v>
      </c>
      <c r="I15" s="94">
        <f>E15/OBR_Mar_2025!E15-1</f>
        <v>-0.2866236313</v>
      </c>
      <c r="J15" s="24" t="s">
        <v>17</v>
      </c>
      <c r="L15" s="73"/>
    </row>
    <row r="16" ht="22.5" customHeight="1">
      <c r="A16" s="24"/>
      <c r="B16" s="23"/>
      <c r="C16" s="24" t="s">
        <v>19</v>
      </c>
      <c r="D16" s="85">
        <v>7320.0</v>
      </c>
      <c r="E16" s="78">
        <v>69.65341900262386</v>
      </c>
      <c r="F16" s="30">
        <f t="shared" si="1"/>
        <v>509863.0271</v>
      </c>
      <c r="G16" s="93">
        <v>45717.0</v>
      </c>
      <c r="H16" s="29">
        <f>D16-OBR_Mar_2025!D16</f>
        <v>2890</v>
      </c>
      <c r="I16" s="94">
        <f>E16/OBR_Mar_2025!E16-1</f>
        <v>-0.004951157105</v>
      </c>
      <c r="J16" s="24" t="s">
        <v>17</v>
      </c>
      <c r="L16" s="73"/>
    </row>
    <row r="17" ht="22.5" customHeight="1">
      <c r="A17" s="24"/>
      <c r="B17" s="23"/>
      <c r="C17" s="24" t="s">
        <v>19</v>
      </c>
      <c r="D17" s="85">
        <v>900.0</v>
      </c>
      <c r="E17" s="78">
        <v>51.539260494255444</v>
      </c>
      <c r="F17" s="30">
        <f t="shared" si="1"/>
        <v>46385.33444</v>
      </c>
      <c r="G17" s="93">
        <v>45717.0</v>
      </c>
      <c r="H17" s="29">
        <f>D17-OBR_Mar_2025!D17</f>
        <v>670</v>
      </c>
      <c r="I17" s="94">
        <f>E17/OBR_Mar_2025!E17-1</f>
        <v>-0.4343251897</v>
      </c>
      <c r="J17" s="24" t="s">
        <v>17</v>
      </c>
      <c r="L17" s="73"/>
    </row>
    <row r="18" ht="22.5" customHeight="1">
      <c r="A18" s="24"/>
      <c r="B18" s="23"/>
      <c r="C18" s="24" t="s">
        <v>19</v>
      </c>
      <c r="D18" s="85">
        <v>5000.0</v>
      </c>
      <c r="E18" s="78">
        <v>57.6</v>
      </c>
      <c r="F18" s="30">
        <f t="shared" si="1"/>
        <v>288000</v>
      </c>
      <c r="G18" s="93">
        <v>45717.0</v>
      </c>
      <c r="H18" s="29">
        <f>D18-OBR_Mar_2025!D18</f>
        <v>0</v>
      </c>
      <c r="I18" s="94">
        <f>E18/OBR_Mar_2025!E18-1</f>
        <v>0</v>
      </c>
      <c r="J18" s="24" t="s">
        <v>17</v>
      </c>
      <c r="L18" s="73"/>
    </row>
    <row r="19" ht="22.5" customHeight="1">
      <c r="A19" s="24"/>
      <c r="B19" s="23"/>
      <c r="C19" s="24" t="s">
        <v>19</v>
      </c>
      <c r="D19" s="85">
        <v>450.0</v>
      </c>
      <c r="E19" s="78">
        <v>77.77777777777777</v>
      </c>
      <c r="F19" s="30">
        <f t="shared" si="1"/>
        <v>35000</v>
      </c>
      <c r="G19" s="93">
        <v>45717.0</v>
      </c>
      <c r="H19" s="29">
        <f>D19-OBR_Mar_2025!D19</f>
        <v>0</v>
      </c>
      <c r="I19" s="94">
        <f>E19/OBR_Mar_2025!E19-1</f>
        <v>0</v>
      </c>
      <c r="J19" s="24" t="s">
        <v>17</v>
      </c>
      <c r="L19" s="73"/>
    </row>
    <row r="20" ht="22.5" customHeight="1">
      <c r="A20" s="24"/>
      <c r="B20" s="23"/>
      <c r="C20" s="24" t="s">
        <v>18</v>
      </c>
      <c r="D20" s="85">
        <v>1.828</v>
      </c>
      <c r="E20" s="78">
        <v>33834.291187739465</v>
      </c>
      <c r="F20" s="30">
        <f t="shared" si="1"/>
        <v>61849.08429</v>
      </c>
      <c r="G20" s="93">
        <v>45717.0</v>
      </c>
      <c r="H20" s="29">
        <f>D20-OBR_Mar_2025!D20</f>
        <v>0.828</v>
      </c>
      <c r="I20" s="94">
        <f>E20/OBR_Mar_2025!E20-1</f>
        <v>1.255619413</v>
      </c>
      <c r="J20" s="24" t="s">
        <v>39</v>
      </c>
      <c r="L20" s="73"/>
    </row>
    <row r="21" ht="22.5" customHeight="1">
      <c r="A21" s="24"/>
      <c r="B21" s="23"/>
      <c r="C21" s="24" t="s">
        <v>18</v>
      </c>
      <c r="D21" s="85">
        <v>1.5</v>
      </c>
      <c r="E21" s="78">
        <v>153005.5317000989</v>
      </c>
      <c r="F21" s="30">
        <f t="shared" si="1"/>
        <v>229508.2976</v>
      </c>
      <c r="G21" s="93">
        <v>45717.0</v>
      </c>
      <c r="H21" s="29">
        <f>D21-OBR_Mar_2025!D21</f>
        <v>-2</v>
      </c>
      <c r="I21" s="94">
        <f>E21/OBR_Mar_2025!E21-1</f>
        <v>0.00003615490261</v>
      </c>
      <c r="J21" s="24" t="s">
        <v>39</v>
      </c>
      <c r="L21" s="73"/>
    </row>
    <row r="22" ht="15.75" customHeight="1">
      <c r="A22" s="42"/>
      <c r="B22" s="42"/>
      <c r="D22" s="42"/>
      <c r="E22" s="42"/>
      <c r="F22" s="42"/>
      <c r="J22" s="42"/>
    </row>
    <row r="23" ht="15.75" customHeight="1">
      <c r="A23" s="42"/>
      <c r="B23" s="42"/>
      <c r="D23" s="42"/>
      <c r="E23" s="42"/>
      <c r="F23" s="42"/>
      <c r="J23" s="42"/>
    </row>
    <row r="24" ht="15.75" customHeight="1">
      <c r="A24" s="42"/>
      <c r="B24" s="42"/>
      <c r="D24" s="42"/>
      <c r="E24" s="42"/>
      <c r="F24" s="42"/>
      <c r="J24" s="42"/>
    </row>
    <row r="25" ht="15.75" customHeight="1">
      <c r="A25" s="42"/>
      <c r="B25" s="42"/>
      <c r="D25" s="42"/>
      <c r="E25" s="42"/>
      <c r="F25" s="42"/>
      <c r="J25" s="42"/>
    </row>
    <row r="26" ht="15.75" customHeight="1">
      <c r="A26" s="42"/>
      <c r="B26" s="42"/>
      <c r="D26" s="42"/>
      <c r="E26" s="42"/>
      <c r="F26" s="42"/>
      <c r="J26" s="42"/>
    </row>
    <row r="27" ht="15.75" customHeight="1">
      <c r="A27" s="42"/>
      <c r="B27" s="42"/>
      <c r="D27" s="42"/>
      <c r="E27" s="42"/>
      <c r="F27" s="42"/>
      <c r="J27" s="42"/>
    </row>
    <row r="28" ht="15.75" customHeight="1">
      <c r="A28" s="42"/>
      <c r="B28" s="42"/>
      <c r="D28" s="42"/>
      <c r="E28" s="42"/>
      <c r="F28" s="42"/>
      <c r="J28" s="42"/>
    </row>
    <row r="29" ht="15.75" customHeight="1">
      <c r="A29" s="42"/>
      <c r="B29" s="42"/>
      <c r="D29" s="42"/>
      <c r="E29" s="42"/>
      <c r="F29" s="42"/>
      <c r="J29" s="42"/>
    </row>
    <row r="30" ht="15.75" customHeight="1">
      <c r="A30" s="42"/>
      <c r="B30" s="42"/>
      <c r="D30" s="42"/>
      <c r="E30" s="42"/>
      <c r="F30" s="42"/>
      <c r="J30" s="42"/>
    </row>
    <row r="31" ht="15.75" customHeight="1">
      <c r="A31" s="42"/>
      <c r="B31" s="42"/>
      <c r="D31" s="42"/>
      <c r="E31" s="42"/>
      <c r="F31" s="42"/>
      <c r="J31" s="42"/>
    </row>
    <row r="32" ht="15.75" customHeight="1">
      <c r="A32" s="42"/>
      <c r="B32" s="42"/>
      <c r="D32" s="42"/>
      <c r="E32" s="42"/>
      <c r="F32" s="42"/>
      <c r="J32" s="42"/>
    </row>
    <row r="33" ht="15.75" customHeight="1">
      <c r="A33" s="42"/>
      <c r="B33" s="42"/>
      <c r="D33" s="42"/>
      <c r="E33" s="42"/>
      <c r="F33" s="42"/>
      <c r="J33" s="42"/>
    </row>
    <row r="34" ht="15.75" customHeight="1">
      <c r="A34" s="42"/>
      <c r="B34" s="42"/>
      <c r="D34" s="42"/>
      <c r="E34" s="42"/>
      <c r="F34" s="42"/>
      <c r="J34" s="42"/>
    </row>
    <row r="35" ht="15.75" customHeight="1">
      <c r="A35" s="42"/>
      <c r="B35" s="42"/>
      <c r="D35" s="42"/>
      <c r="E35" s="42"/>
      <c r="F35" s="42"/>
      <c r="J35" s="42"/>
    </row>
    <row r="36" ht="15.75" customHeight="1">
      <c r="A36" s="42"/>
      <c r="B36" s="42"/>
      <c r="D36" s="42"/>
      <c r="E36" s="42"/>
      <c r="F36" s="42"/>
      <c r="J36" s="42"/>
    </row>
    <row r="37" ht="15.75" customHeight="1">
      <c r="A37" s="42"/>
      <c r="B37" s="42"/>
      <c r="D37" s="42"/>
      <c r="E37" s="42"/>
      <c r="F37" s="42"/>
      <c r="J37" s="42"/>
    </row>
    <row r="38" ht="15.75" customHeight="1">
      <c r="A38" s="42"/>
      <c r="B38" s="42"/>
      <c r="D38" s="42"/>
      <c r="E38" s="42"/>
      <c r="F38" s="42"/>
      <c r="J38" s="42"/>
    </row>
    <row r="39" ht="15.75" customHeight="1">
      <c r="A39" s="42"/>
      <c r="B39" s="42"/>
      <c r="D39" s="42"/>
      <c r="E39" s="42"/>
      <c r="F39" s="42"/>
      <c r="J39" s="42"/>
    </row>
    <row r="40" ht="15.75" customHeight="1">
      <c r="A40" s="42"/>
      <c r="B40" s="42"/>
      <c r="D40" s="42"/>
      <c r="E40" s="42"/>
      <c r="F40" s="42"/>
      <c r="J40" s="42"/>
    </row>
    <row r="41" ht="15.75" customHeight="1">
      <c r="A41" s="42"/>
      <c r="B41" s="42"/>
      <c r="D41" s="42"/>
      <c r="E41" s="42"/>
      <c r="F41" s="42"/>
      <c r="J41" s="42"/>
    </row>
    <row r="42" ht="15.75" customHeight="1">
      <c r="A42" s="42"/>
      <c r="B42" s="42"/>
      <c r="D42" s="42"/>
      <c r="E42" s="42"/>
      <c r="F42" s="42"/>
      <c r="J42" s="42"/>
    </row>
    <row r="43" ht="15.75" customHeight="1">
      <c r="A43" s="42"/>
      <c r="B43" s="42"/>
      <c r="D43" s="42"/>
      <c r="E43" s="42"/>
      <c r="F43" s="42"/>
      <c r="J43" s="42"/>
    </row>
    <row r="44" ht="15.75" customHeight="1">
      <c r="A44" s="42"/>
      <c r="B44" s="42"/>
      <c r="D44" s="42"/>
      <c r="E44" s="42"/>
      <c r="F44" s="42"/>
      <c r="J44" s="42"/>
    </row>
    <row r="45" ht="15.75" customHeight="1">
      <c r="A45" s="42"/>
      <c r="B45" s="42"/>
      <c r="D45" s="42"/>
      <c r="E45" s="42"/>
      <c r="F45" s="42"/>
      <c r="J45" s="42"/>
    </row>
    <row r="46" ht="15.75" customHeight="1">
      <c r="A46" s="42"/>
      <c r="B46" s="42"/>
      <c r="D46" s="42"/>
      <c r="E46" s="42"/>
      <c r="F46" s="42"/>
      <c r="J46" s="4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4:H21">
    <cfRule type="cellIs" dxfId="7" priority="1" operator="greaterThan">
      <formula>0</formula>
    </cfRule>
  </conditionalFormatting>
  <conditionalFormatting sqref="H4:H21">
    <cfRule type="cellIs" dxfId="8" priority="2" operator="lessThan">
      <formula>0</formula>
    </cfRule>
  </conditionalFormatting>
  <conditionalFormatting sqref="I4:I21">
    <cfRule type="cellIs" dxfId="7" priority="3" operator="greaterThan">
      <formula>0</formula>
    </cfRule>
  </conditionalFormatting>
  <conditionalFormatting sqref="I4:I21">
    <cfRule type="cellIs" dxfId="9" priority="4" operator="lessThan">
      <formula>0</formula>
    </cfRule>
  </conditionalFormatting>
  <dataValidations>
    <dataValidation type="custom" allowBlank="1" showDropDown="1" sqref="D4:F21 H4:I21">
      <formula1>AND(ISNUMBER(D4),(NOT(OR(NOT(ISERROR(DATEVALUE(D4))), AND(ISNUMBER(D4), LEFT(CELL("format", D4))="D")))))</formula1>
    </dataValidation>
    <dataValidation type="list" allowBlank="1" sqref="J4:J21">
      <formula1>"In stock,Temporarily unavailable,Re-purchase needed,Sold out"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18.75"/>
    <col customWidth="1" min="9" max="9" width="24.5"/>
    <col customWidth="1" min="10" max="10" width="25.13"/>
  </cols>
  <sheetData>
    <row r="1" ht="15.75" customHeight="1">
      <c r="A1" s="90"/>
      <c r="B1" s="90"/>
      <c r="C1" s="1"/>
      <c r="D1" s="90"/>
      <c r="E1" s="90"/>
      <c r="F1" s="90"/>
      <c r="G1" s="1"/>
      <c r="H1" s="1"/>
      <c r="I1" s="1"/>
      <c r="J1" s="90"/>
    </row>
    <row r="2" ht="15.75" customHeight="1">
      <c r="A2" s="90"/>
      <c r="B2" s="90"/>
      <c r="C2" s="1"/>
      <c r="D2" s="90"/>
      <c r="E2" s="91" t="s">
        <v>40</v>
      </c>
      <c r="F2" s="92">
        <f>SUM(OBR_Aug_2025!$F$4:$F$21)</f>
        <v>4790395.091</v>
      </c>
      <c r="G2" s="1"/>
      <c r="H2" s="1"/>
      <c r="I2" s="1"/>
      <c r="J2" s="90"/>
    </row>
    <row r="3" ht="22.5" customHeight="1">
      <c r="A3" s="10" t="s">
        <v>4</v>
      </c>
      <c r="B3" s="10" t="s">
        <v>5</v>
      </c>
      <c r="C3" s="11" t="s">
        <v>6</v>
      </c>
      <c r="D3" s="10" t="s">
        <v>29</v>
      </c>
      <c r="E3" s="10" t="s">
        <v>43</v>
      </c>
      <c r="F3" s="10" t="s">
        <v>37</v>
      </c>
      <c r="G3" s="11" t="s">
        <v>38</v>
      </c>
      <c r="H3" s="11" t="s">
        <v>41</v>
      </c>
      <c r="I3" s="11" t="s">
        <v>42</v>
      </c>
      <c r="J3" s="10" t="s">
        <v>15</v>
      </c>
    </row>
    <row r="4" ht="22.5" customHeight="1">
      <c r="A4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4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4" s="24" t="s">
        <v>16</v>
      </c>
      <c r="D4" s="85">
        <v>40.0</v>
      </c>
      <c r="E4" s="78">
        <v>21107.44801724976</v>
      </c>
      <c r="F4" s="30">
        <f t="shared" ref="F4:F21" si="1">D4*E4</f>
        <v>844297.9207</v>
      </c>
      <c r="G4" s="93">
        <v>45717.0</v>
      </c>
      <c r="H4" s="29">
        <f>D4-OBR_Mar_2025!D4</f>
        <v>-186</v>
      </c>
      <c r="I4" s="94">
        <f>E4/OBR_Mar_2025!E4-1</f>
        <v>0.01113121132</v>
      </c>
      <c r="J4" s="24" t="s">
        <v>17</v>
      </c>
      <c r="L4" s="73"/>
    </row>
    <row r="5" ht="22.5" customHeight="1">
      <c r="A5" s="24"/>
      <c r="B5" s="23"/>
      <c r="C5" s="24" t="s">
        <v>18</v>
      </c>
      <c r="D5" s="85">
        <v>8.48</v>
      </c>
      <c r="E5" s="78">
        <v>130509.78682339963</v>
      </c>
      <c r="F5" s="30">
        <f t="shared" si="1"/>
        <v>1106722.992</v>
      </c>
      <c r="G5" s="93">
        <v>45717.0</v>
      </c>
      <c r="H5" s="29">
        <f>D5-OBR_Mar_2025!D5</f>
        <v>-3.52</v>
      </c>
      <c r="I5" s="94">
        <f>E5/OBR_Mar_2025!E5-1</f>
        <v>-0.03873366746</v>
      </c>
      <c r="J5" s="24" t="s">
        <v>17</v>
      </c>
      <c r="L5" s="73"/>
    </row>
    <row r="6" ht="22.5" customHeight="1">
      <c r="A6" s="24"/>
      <c r="B6" s="23"/>
      <c r="C6" s="24" t="s">
        <v>18</v>
      </c>
      <c r="D6" s="85">
        <v>2.44</v>
      </c>
      <c r="E6" s="78">
        <v>227967.18871304343</v>
      </c>
      <c r="F6" s="30">
        <f t="shared" si="1"/>
        <v>556239.9405</v>
      </c>
      <c r="G6" s="93">
        <v>45717.0</v>
      </c>
      <c r="H6" s="29">
        <f>D6-OBR_Mar_2025!D6</f>
        <v>0.94</v>
      </c>
      <c r="I6" s="94">
        <f>E6/OBR_Mar_2025!E6-1</f>
        <v>0.01663877208</v>
      </c>
      <c r="J6" s="24" t="s">
        <v>17</v>
      </c>
      <c r="L6" s="73"/>
    </row>
    <row r="7" ht="22.5" customHeight="1">
      <c r="A7" s="24"/>
      <c r="B7" s="23"/>
      <c r="C7" s="24" t="s">
        <v>18</v>
      </c>
      <c r="D7" s="85">
        <v>1.6</v>
      </c>
      <c r="E7" s="78">
        <v>145999.01595748568</v>
      </c>
      <c r="F7" s="30">
        <f t="shared" si="1"/>
        <v>233598.4255</v>
      </c>
      <c r="G7" s="93">
        <v>45717.0</v>
      </c>
      <c r="H7" s="29">
        <f>D7-OBR_Mar_2025!D7</f>
        <v>-0.9</v>
      </c>
      <c r="I7" s="94">
        <f>E7/OBR_Mar_2025!E7-1</f>
        <v>-0.08441466023</v>
      </c>
      <c r="J7" s="24" t="s">
        <v>17</v>
      </c>
      <c r="L7" s="73"/>
    </row>
    <row r="8" ht="22.5" customHeight="1">
      <c r="A8" s="24"/>
      <c r="B8" s="23"/>
      <c r="C8" s="24" t="s">
        <v>19</v>
      </c>
      <c r="D8" s="85">
        <v>5640.0</v>
      </c>
      <c r="E8" s="78">
        <v>64.93710640625319</v>
      </c>
      <c r="F8" s="30">
        <f t="shared" si="1"/>
        <v>366245.2801</v>
      </c>
      <c r="G8" s="93">
        <v>45717.0</v>
      </c>
      <c r="H8" s="29">
        <f>D8-OBR_Mar_2025!D8</f>
        <v>-970</v>
      </c>
      <c r="I8" s="94">
        <f>E8/OBR_Mar_2025!E8-1</f>
        <v>-0.000292724636</v>
      </c>
      <c r="J8" s="24" t="s">
        <v>17</v>
      </c>
      <c r="L8" s="73"/>
    </row>
    <row r="9" ht="22.5" customHeight="1">
      <c r="A9" s="24"/>
      <c r="B9" s="23"/>
      <c r="C9" s="24" t="s">
        <v>19</v>
      </c>
      <c r="D9" s="85">
        <v>312.0</v>
      </c>
      <c r="E9" s="78">
        <v>52.38917799299498</v>
      </c>
      <c r="F9" s="30">
        <f t="shared" si="1"/>
        <v>16345.42353</v>
      </c>
      <c r="G9" s="93">
        <v>45717.0</v>
      </c>
      <c r="H9" s="29">
        <f>D9-OBR_Mar_2025!D9</f>
        <v>24</v>
      </c>
      <c r="I9" s="94">
        <f>E9/OBR_Mar_2025!E9-1</f>
        <v>0.1146956624</v>
      </c>
      <c r="J9" s="24" t="s">
        <v>17</v>
      </c>
      <c r="L9" s="73"/>
    </row>
    <row r="10" ht="22.5" customHeight="1">
      <c r="A10" s="24"/>
      <c r="B10" s="23"/>
      <c r="C10" s="24" t="s">
        <v>19</v>
      </c>
      <c r="D10" s="85">
        <v>3200.0</v>
      </c>
      <c r="E10" s="78">
        <v>68.56245756958587</v>
      </c>
      <c r="F10" s="30">
        <f t="shared" si="1"/>
        <v>219399.8642</v>
      </c>
      <c r="G10" s="93">
        <v>45717.0</v>
      </c>
      <c r="H10" s="29">
        <f>D10-OBR_Mar_2025!D10</f>
        <v>-3690</v>
      </c>
      <c r="I10" s="94">
        <f>E10/OBR_Mar_2025!E10-1</f>
        <v>0.09699932111</v>
      </c>
      <c r="J10" s="24" t="s">
        <v>17</v>
      </c>
      <c r="L10" s="73"/>
    </row>
    <row r="11" ht="22.5" customHeight="1">
      <c r="A11" s="24"/>
      <c r="B11" s="23"/>
      <c r="C11" s="24" t="s">
        <v>20</v>
      </c>
      <c r="D11" s="85">
        <v>1.41</v>
      </c>
      <c r="E11" s="78">
        <v>47428.229966355524</v>
      </c>
      <c r="F11" s="30">
        <f t="shared" si="1"/>
        <v>66873.80425</v>
      </c>
      <c r="G11" s="93">
        <v>45717.0</v>
      </c>
      <c r="H11" s="29">
        <f>D11-OBR_Mar_2025!D11</f>
        <v>-1.44</v>
      </c>
      <c r="I11" s="94">
        <f>E11/OBR_Mar_2025!E11-1</f>
        <v>-0.2095295006</v>
      </c>
      <c r="J11" s="24" t="s">
        <v>17</v>
      </c>
      <c r="L11" s="73"/>
    </row>
    <row r="12" ht="22.5" customHeight="1">
      <c r="A12" s="24"/>
      <c r="B12" s="23"/>
      <c r="C12" s="24" t="s">
        <v>19</v>
      </c>
      <c r="D12" s="85">
        <v>2100.0</v>
      </c>
      <c r="E12" s="78">
        <v>55.50895587592834</v>
      </c>
      <c r="F12" s="30">
        <f t="shared" si="1"/>
        <v>116568.8073</v>
      </c>
      <c r="G12" s="93">
        <v>45717.0</v>
      </c>
      <c r="H12" s="29">
        <f>D12-OBR_Mar_2025!D12</f>
        <v>-2548</v>
      </c>
      <c r="I12" s="94">
        <f>E12/OBR_Mar_2025!E12-1</f>
        <v>0.1101791175</v>
      </c>
      <c r="J12" s="24" t="s">
        <v>17</v>
      </c>
      <c r="L12" s="73"/>
    </row>
    <row r="13" ht="22.5" customHeight="1">
      <c r="A13" s="24"/>
      <c r="B13" s="23"/>
      <c r="C13" s="24" t="s">
        <v>19</v>
      </c>
      <c r="D13" s="85">
        <v>324.0</v>
      </c>
      <c r="E13" s="78">
        <v>83.98550724637681</v>
      </c>
      <c r="F13" s="30">
        <f t="shared" si="1"/>
        <v>27211.30435</v>
      </c>
      <c r="G13" s="93">
        <v>45717.0</v>
      </c>
      <c r="H13" s="29">
        <f>D13-OBR_Mar_2025!D13</f>
        <v>-18</v>
      </c>
      <c r="I13" s="94">
        <f>E13/OBR_Mar_2025!E13-1</f>
        <v>0.799689441</v>
      </c>
      <c r="J13" s="24" t="s">
        <v>17</v>
      </c>
      <c r="L13" s="73"/>
    </row>
    <row r="14" ht="22.5" customHeight="1">
      <c r="A14" s="24"/>
      <c r="B14" s="23"/>
      <c r="C14" s="24" t="s">
        <v>19</v>
      </c>
      <c r="D14" s="85">
        <v>6100.0</v>
      </c>
      <c r="E14" s="78">
        <v>58.24844219595232</v>
      </c>
      <c r="F14" s="30">
        <f t="shared" si="1"/>
        <v>355315.4974</v>
      </c>
      <c r="G14" s="93">
        <v>45717.0</v>
      </c>
      <c r="H14" s="29">
        <f>D14-OBR_Mar_2025!D14</f>
        <v>-660</v>
      </c>
      <c r="I14" s="94">
        <f>E14/OBR_Mar_2025!E14-1</f>
        <v>0.0552254021</v>
      </c>
      <c r="J14" s="24" t="s">
        <v>17</v>
      </c>
      <c r="L14" s="73"/>
    </row>
    <row r="15" ht="22.5" customHeight="1">
      <c r="A15" s="24"/>
      <c r="B15" s="23"/>
      <c r="C15" s="24" t="s">
        <v>19</v>
      </c>
      <c r="D15" s="85">
        <v>490.0</v>
      </c>
      <c r="E15" s="78">
        <v>33.290897205017416</v>
      </c>
      <c r="F15" s="30">
        <f t="shared" si="1"/>
        <v>16312.53963</v>
      </c>
      <c r="G15" s="93">
        <v>45717.0</v>
      </c>
      <c r="H15" s="29">
        <f>D15-OBR_Mar_2025!D15</f>
        <v>214</v>
      </c>
      <c r="I15" s="94">
        <f>E15/OBR_Mar_2025!E15-1</f>
        <v>-0.2866236313</v>
      </c>
      <c r="J15" s="24" t="s">
        <v>17</v>
      </c>
      <c r="L15" s="73"/>
    </row>
    <row r="16" ht="22.5" customHeight="1">
      <c r="A16" s="24"/>
      <c r="B16" s="23"/>
      <c r="C16" s="24" t="s">
        <v>19</v>
      </c>
      <c r="D16" s="85">
        <v>7000.0</v>
      </c>
      <c r="E16" s="78">
        <v>69.65341900262386</v>
      </c>
      <c r="F16" s="30">
        <f t="shared" si="1"/>
        <v>487573.933</v>
      </c>
      <c r="G16" s="93">
        <v>45717.0</v>
      </c>
      <c r="H16" s="29">
        <f>D16-OBR_Mar_2025!D16</f>
        <v>2570</v>
      </c>
      <c r="I16" s="94">
        <f>E16/OBR_Mar_2025!E16-1</f>
        <v>-0.004951157105</v>
      </c>
      <c r="J16" s="24" t="s">
        <v>17</v>
      </c>
      <c r="L16" s="73"/>
    </row>
    <row r="17" ht="22.5" customHeight="1">
      <c r="A17" s="24"/>
      <c r="B17" s="23"/>
      <c r="C17" s="24" t="s">
        <v>19</v>
      </c>
      <c r="D17" s="85">
        <v>900.0</v>
      </c>
      <c r="E17" s="78">
        <v>51.53926049425545</v>
      </c>
      <c r="F17" s="30">
        <f t="shared" si="1"/>
        <v>46385.33444</v>
      </c>
      <c r="G17" s="93">
        <v>45717.0</v>
      </c>
      <c r="H17" s="29">
        <f>D17-OBR_Mar_2025!D17</f>
        <v>670</v>
      </c>
      <c r="I17" s="94">
        <f>E17/OBR_Mar_2025!E17-1</f>
        <v>-0.4343251897</v>
      </c>
      <c r="J17" s="24" t="s">
        <v>17</v>
      </c>
      <c r="L17" s="73"/>
    </row>
    <row r="18" ht="22.5" customHeight="1">
      <c r="A18" s="24"/>
      <c r="B18" s="23"/>
      <c r="C18" s="24" t="s">
        <v>19</v>
      </c>
      <c r="D18" s="85">
        <v>5000.0</v>
      </c>
      <c r="E18" s="78">
        <v>57.6</v>
      </c>
      <c r="F18" s="30">
        <f t="shared" si="1"/>
        <v>288000</v>
      </c>
      <c r="G18" s="93">
        <v>45717.0</v>
      </c>
      <c r="H18" s="29">
        <f>D18-OBR_Mar_2025!D18</f>
        <v>0</v>
      </c>
      <c r="I18" s="94">
        <f>E18/OBR_Mar_2025!E18-1</f>
        <v>0</v>
      </c>
      <c r="J18" s="24" t="s">
        <v>17</v>
      </c>
      <c r="L18" s="73"/>
    </row>
    <row r="19" ht="22.5" customHeight="1">
      <c r="A19" s="24"/>
      <c r="B19" s="23"/>
      <c r="C19" s="24" t="s">
        <v>19</v>
      </c>
      <c r="D19" s="85">
        <v>450.0</v>
      </c>
      <c r="E19" s="78">
        <v>77.77777777777777</v>
      </c>
      <c r="F19" s="30">
        <f t="shared" si="1"/>
        <v>35000</v>
      </c>
      <c r="G19" s="93">
        <v>45717.0</v>
      </c>
      <c r="H19" s="29">
        <f>D19-OBR_Mar_2025!D19</f>
        <v>0</v>
      </c>
      <c r="I19" s="94">
        <f>E19/OBR_Mar_2025!E19-1</f>
        <v>0</v>
      </c>
      <c r="J19" s="24" t="s">
        <v>17</v>
      </c>
      <c r="L19" s="73"/>
    </row>
    <row r="20" ht="22.5" customHeight="1">
      <c r="A20" s="24"/>
      <c r="B20" s="23"/>
      <c r="C20" s="24" t="s">
        <v>18</v>
      </c>
      <c r="D20" s="85">
        <v>0.24</v>
      </c>
      <c r="E20" s="78">
        <v>34600.10052729411</v>
      </c>
      <c r="F20" s="30">
        <f t="shared" si="1"/>
        <v>8304.024127</v>
      </c>
      <c r="G20" s="93">
        <v>45717.0</v>
      </c>
      <c r="H20" s="29">
        <f>D20-OBR_Mar_2025!D20</f>
        <v>-0.76</v>
      </c>
      <c r="I20" s="94">
        <f>E20/OBR_Mar_2025!E20-1</f>
        <v>1.306673368</v>
      </c>
      <c r="J20" s="24" t="s">
        <v>39</v>
      </c>
      <c r="L20" s="73"/>
    </row>
    <row r="21" ht="22.5" customHeight="1">
      <c r="A21" s="24"/>
      <c r="B21" s="23"/>
      <c r="C21" s="24" t="s">
        <v>18</v>
      </c>
      <c r="D21" s="85">
        <v>0.0</v>
      </c>
      <c r="E21" s="78">
        <v>145001.84390003295</v>
      </c>
      <c r="F21" s="30">
        <f t="shared" si="1"/>
        <v>0</v>
      </c>
      <c r="G21" s="93">
        <v>45717.0</v>
      </c>
      <c r="H21" s="29">
        <f>D21-OBR_Mar_2025!D21</f>
        <v>-3.5</v>
      </c>
      <c r="I21" s="94">
        <f>E21/OBR_Mar_2025!E21-1</f>
        <v>-0.05227553007</v>
      </c>
      <c r="J21" s="24" t="s">
        <v>39</v>
      </c>
      <c r="L21" s="73"/>
    </row>
    <row r="22" ht="15.75" customHeight="1">
      <c r="A22" s="42"/>
      <c r="B22" s="42"/>
      <c r="D22" s="42"/>
      <c r="E22" s="42"/>
      <c r="F22" s="42"/>
      <c r="J22" s="42"/>
    </row>
    <row r="23" ht="15.75" customHeight="1">
      <c r="A23" s="42"/>
      <c r="B23" s="42"/>
      <c r="D23" s="42"/>
      <c r="E23" s="42"/>
      <c r="F23" s="42"/>
      <c r="J23" s="42"/>
    </row>
    <row r="24" ht="15.75" customHeight="1">
      <c r="A24" s="42"/>
      <c r="B24" s="42"/>
      <c r="D24" s="42"/>
      <c r="E24" s="42"/>
      <c r="F24" s="42"/>
      <c r="J24" s="42"/>
    </row>
    <row r="25" ht="15.75" customHeight="1">
      <c r="A25" s="42"/>
      <c r="B25" s="42"/>
      <c r="D25" s="42"/>
      <c r="E25" s="42"/>
      <c r="F25" s="42"/>
      <c r="J25" s="42"/>
    </row>
    <row r="26" ht="15.75" customHeight="1">
      <c r="A26" s="42"/>
      <c r="B26" s="42"/>
      <c r="D26" s="42"/>
      <c r="E26" s="42"/>
      <c r="F26" s="42"/>
      <c r="J26" s="42"/>
    </row>
    <row r="27" ht="15.75" customHeight="1">
      <c r="A27" s="42"/>
      <c r="B27" s="42"/>
      <c r="D27" s="42"/>
      <c r="E27" s="42"/>
      <c r="F27" s="42"/>
      <c r="J27" s="42"/>
    </row>
    <row r="28" ht="15.75" customHeight="1">
      <c r="A28" s="42"/>
      <c r="B28" s="42"/>
      <c r="D28" s="42"/>
      <c r="E28" s="42"/>
      <c r="F28" s="42"/>
      <c r="J28" s="42"/>
    </row>
    <row r="29" ht="15.75" customHeight="1">
      <c r="A29" s="42"/>
      <c r="B29" s="42"/>
      <c r="D29" s="42"/>
      <c r="E29" s="42"/>
      <c r="F29" s="42"/>
      <c r="J29" s="42"/>
    </row>
    <row r="30" ht="15.75" customHeight="1">
      <c r="A30" s="42"/>
      <c r="B30" s="42"/>
      <c r="D30" s="42"/>
      <c r="E30" s="42"/>
      <c r="F30" s="42"/>
      <c r="J30" s="42"/>
    </row>
    <row r="31" ht="15.75" customHeight="1">
      <c r="A31" s="42"/>
      <c r="B31" s="42"/>
      <c r="D31" s="42"/>
      <c r="E31" s="42"/>
      <c r="F31" s="42"/>
      <c r="J31" s="42"/>
    </row>
    <row r="32" ht="15.75" customHeight="1">
      <c r="A32" s="42"/>
      <c r="B32" s="42"/>
      <c r="D32" s="42"/>
      <c r="E32" s="42"/>
      <c r="F32" s="42"/>
      <c r="J32" s="42"/>
    </row>
    <row r="33" ht="15.75" customHeight="1">
      <c r="A33" s="42"/>
      <c r="B33" s="42"/>
      <c r="D33" s="42"/>
      <c r="E33" s="42"/>
      <c r="F33" s="42"/>
      <c r="J33" s="42"/>
    </row>
    <row r="34" ht="15.75" customHeight="1">
      <c r="A34" s="42"/>
      <c r="B34" s="42"/>
      <c r="D34" s="42"/>
      <c r="E34" s="42"/>
      <c r="F34" s="42"/>
      <c r="J34" s="42"/>
    </row>
    <row r="35" ht="15.75" customHeight="1">
      <c r="A35" s="42"/>
      <c r="B35" s="42"/>
      <c r="D35" s="42"/>
      <c r="E35" s="42"/>
      <c r="F35" s="42"/>
      <c r="J35" s="42"/>
    </row>
    <row r="36" ht="15.75" customHeight="1">
      <c r="A36" s="42"/>
      <c r="B36" s="42"/>
      <c r="D36" s="42"/>
      <c r="E36" s="42"/>
      <c r="F36" s="42"/>
      <c r="J36" s="42"/>
    </row>
    <row r="37" ht="15.75" customHeight="1">
      <c r="A37" s="42"/>
      <c r="B37" s="42"/>
      <c r="D37" s="42"/>
      <c r="E37" s="42"/>
      <c r="F37" s="42"/>
      <c r="J37" s="42"/>
    </row>
    <row r="38" ht="15.75" customHeight="1">
      <c r="A38" s="42"/>
      <c r="B38" s="42"/>
      <c r="D38" s="42"/>
      <c r="E38" s="42"/>
      <c r="F38" s="42"/>
      <c r="J38" s="42"/>
    </row>
    <row r="39" ht="15.75" customHeight="1">
      <c r="A39" s="42"/>
      <c r="B39" s="42"/>
      <c r="D39" s="42"/>
      <c r="E39" s="42"/>
      <c r="F39" s="42"/>
      <c r="J39" s="42"/>
    </row>
    <row r="40" ht="15.75" customHeight="1">
      <c r="A40" s="42"/>
      <c r="B40" s="42"/>
      <c r="D40" s="42"/>
      <c r="E40" s="42"/>
      <c r="F40" s="42"/>
      <c r="J40" s="42"/>
    </row>
    <row r="41" ht="15.75" customHeight="1">
      <c r="A41" s="42"/>
      <c r="B41" s="42"/>
      <c r="D41" s="42"/>
      <c r="E41" s="42"/>
      <c r="F41" s="42"/>
      <c r="J41" s="42"/>
    </row>
    <row r="42" ht="15.75" customHeight="1">
      <c r="A42" s="42"/>
      <c r="B42" s="42"/>
      <c r="D42" s="42"/>
      <c r="E42" s="42"/>
      <c r="F42" s="42"/>
      <c r="J42" s="42"/>
    </row>
    <row r="43" ht="15.75" customHeight="1">
      <c r="A43" s="42"/>
      <c r="B43" s="42"/>
      <c r="D43" s="42"/>
      <c r="E43" s="42"/>
      <c r="F43" s="42"/>
      <c r="J43" s="42"/>
    </row>
    <row r="44" ht="15.75" customHeight="1">
      <c r="A44" s="42"/>
      <c r="B44" s="42"/>
      <c r="D44" s="42"/>
      <c r="E44" s="42"/>
      <c r="F44" s="42"/>
      <c r="J44" s="42"/>
    </row>
    <row r="45" ht="15.75" customHeight="1">
      <c r="A45" s="42"/>
      <c r="B45" s="42"/>
      <c r="D45" s="42"/>
      <c r="E45" s="42"/>
      <c r="F45" s="42"/>
      <c r="J45" s="42"/>
    </row>
    <row r="46" ht="15.75" customHeight="1">
      <c r="A46" s="42"/>
      <c r="B46" s="42"/>
      <c r="D46" s="42"/>
      <c r="E46" s="42"/>
      <c r="F46" s="42"/>
      <c r="J46" s="4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4:H21">
    <cfRule type="cellIs" dxfId="7" priority="1" operator="greaterThan">
      <formula>0</formula>
    </cfRule>
  </conditionalFormatting>
  <conditionalFormatting sqref="H4:H21">
    <cfRule type="cellIs" dxfId="8" priority="2" operator="lessThan">
      <formula>0</formula>
    </cfRule>
  </conditionalFormatting>
  <conditionalFormatting sqref="I4:I21">
    <cfRule type="cellIs" dxfId="7" priority="3" operator="greaterThan">
      <formula>0</formula>
    </cfRule>
  </conditionalFormatting>
  <conditionalFormatting sqref="I4:I21">
    <cfRule type="cellIs" dxfId="9" priority="4" operator="lessThan">
      <formula>0</formula>
    </cfRule>
  </conditionalFormatting>
  <dataValidations>
    <dataValidation type="custom" allowBlank="1" showDropDown="1" sqref="D4:F21 H4:I21">
      <formula1>AND(ISNUMBER(D4),(NOT(OR(NOT(ISERROR(DATEVALUE(D4))), AND(ISNUMBER(D4), LEFT(CELL("format", D4))="D")))))</formula1>
    </dataValidation>
    <dataValidation type="list" allowBlank="1" sqref="J4:J21">
      <formula1>"In stock,Temporarily unavailable,Re-purchase needed,Sold out"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18.75"/>
    <col customWidth="1" min="9" max="9" width="24.5"/>
    <col customWidth="1" min="10" max="10" width="25.13"/>
  </cols>
  <sheetData>
    <row r="1" ht="15.75" customHeight="1">
      <c r="A1" s="90"/>
      <c r="B1" s="90"/>
      <c r="C1" s="1"/>
      <c r="D1" s="90"/>
      <c r="E1" s="90"/>
      <c r="F1" s="90"/>
      <c r="G1" s="1"/>
      <c r="H1" s="1"/>
      <c r="I1" s="1"/>
      <c r="J1" s="90"/>
    </row>
    <row r="2" ht="15.75" customHeight="1">
      <c r="A2" s="90"/>
      <c r="B2" s="90"/>
      <c r="C2" s="1"/>
      <c r="D2" s="90"/>
      <c r="E2" s="91" t="s">
        <v>40</v>
      </c>
      <c r="F2" s="92">
        <f>SUM(OBR_Sept_2025!$F$4:$F$21)</f>
        <v>7190701.069</v>
      </c>
      <c r="G2" s="1"/>
      <c r="H2" s="1"/>
      <c r="I2" s="1"/>
      <c r="J2" s="90"/>
    </row>
    <row r="3" ht="22.5" customHeight="1">
      <c r="A3" s="10" t="s">
        <v>4</v>
      </c>
      <c r="B3" s="10" t="s">
        <v>5</v>
      </c>
      <c r="C3" s="11" t="s">
        <v>6</v>
      </c>
      <c r="D3" s="10" t="s">
        <v>29</v>
      </c>
      <c r="E3" s="10" t="s">
        <v>43</v>
      </c>
      <c r="F3" s="10" t="s">
        <v>37</v>
      </c>
      <c r="G3" s="11" t="s">
        <v>38</v>
      </c>
      <c r="H3" s="11" t="s">
        <v>41</v>
      </c>
      <c r="I3" s="11" t="s">
        <v>42</v>
      </c>
      <c r="J3" s="10" t="s">
        <v>15</v>
      </c>
    </row>
    <row r="4" ht="22.5" customHeight="1">
      <c r="A4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4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4" s="24" t="s">
        <v>16</v>
      </c>
      <c r="D4" s="85">
        <v>98.0</v>
      </c>
      <c r="E4" s="78">
        <v>21317.643305484416</v>
      </c>
      <c r="F4" s="30">
        <f t="shared" ref="F4:F21" si="1">D4*E4</f>
        <v>2089129.044</v>
      </c>
      <c r="G4" s="93">
        <v>45717.0</v>
      </c>
      <c r="H4" s="29">
        <f>D4-OBR_Mar_2025!D4</f>
        <v>-128</v>
      </c>
      <c r="I4" s="94">
        <f>E4/OBR_Aug_2025!E4-1</f>
        <v>0.009958346839</v>
      </c>
      <c r="J4" s="24" t="s">
        <v>17</v>
      </c>
      <c r="L4" s="73"/>
    </row>
    <row r="5" ht="22.5" customHeight="1">
      <c r="A5" s="24"/>
      <c r="B5" s="23"/>
      <c r="C5" s="24" t="s">
        <v>18</v>
      </c>
      <c r="D5" s="85">
        <v>12.6</v>
      </c>
      <c r="E5" s="78">
        <v>129649.45484125831</v>
      </c>
      <c r="F5" s="30">
        <f t="shared" si="1"/>
        <v>1633583.131</v>
      </c>
      <c r="G5" s="93">
        <v>45717.0</v>
      </c>
      <c r="H5" s="29">
        <f>D5-OBR_Mar_2025!D5</f>
        <v>0.6</v>
      </c>
      <c r="I5" s="94">
        <f>E5/OBR_Aug_2025!E5-1</f>
        <v>-0.006592087866</v>
      </c>
      <c r="J5" s="24" t="s">
        <v>17</v>
      </c>
      <c r="L5" s="73"/>
    </row>
    <row r="6" ht="22.5" customHeight="1">
      <c r="A6" s="24"/>
      <c r="B6" s="23"/>
      <c r="C6" s="24" t="s">
        <v>18</v>
      </c>
      <c r="D6" s="85">
        <v>1.92</v>
      </c>
      <c r="E6" s="78">
        <v>227967.1887130434</v>
      </c>
      <c r="F6" s="30">
        <f t="shared" si="1"/>
        <v>437697.0023</v>
      </c>
      <c r="G6" s="93">
        <v>45717.0</v>
      </c>
      <c r="H6" s="29">
        <f>D6-OBR_Mar_2025!D6</f>
        <v>0.42</v>
      </c>
      <c r="I6" s="94">
        <f>E6/OBR_Aug_2025!E6-1</f>
        <v>0</v>
      </c>
      <c r="J6" s="24" t="s">
        <v>17</v>
      </c>
      <c r="L6" s="73"/>
    </row>
    <row r="7" ht="22.5" customHeight="1">
      <c r="A7" s="24"/>
      <c r="B7" s="23"/>
      <c r="C7" s="24" t="s">
        <v>18</v>
      </c>
      <c r="D7" s="85">
        <v>2.4</v>
      </c>
      <c r="E7" s="78">
        <v>145444.00709221585</v>
      </c>
      <c r="F7" s="30">
        <f t="shared" si="1"/>
        <v>349065.617</v>
      </c>
      <c r="G7" s="93">
        <v>45717.0</v>
      </c>
      <c r="H7" s="29">
        <f>D7-OBR_Mar_2025!D7</f>
        <v>-0.1</v>
      </c>
      <c r="I7" s="94">
        <f>E7/OBR_Aug_2025!E7-1</f>
        <v>-0.003801456206</v>
      </c>
      <c r="J7" s="24" t="s">
        <v>17</v>
      </c>
      <c r="L7" s="73"/>
    </row>
    <row r="8" ht="22.5" customHeight="1">
      <c r="A8" s="24"/>
      <c r="B8" s="23"/>
      <c r="C8" s="24" t="s">
        <v>19</v>
      </c>
      <c r="D8" s="85">
        <v>8582.0</v>
      </c>
      <c r="E8" s="78">
        <v>66.84636091459286</v>
      </c>
      <c r="F8" s="30">
        <f t="shared" si="1"/>
        <v>573675.4694</v>
      </c>
      <c r="G8" s="93">
        <v>45717.0</v>
      </c>
      <c r="H8" s="29">
        <f>D8-OBR_Mar_2025!D8</f>
        <v>1972</v>
      </c>
      <c r="I8" s="94">
        <f>E8/OBR_Aug_2025!E8-1</f>
        <v>0.02940159508</v>
      </c>
      <c r="J8" s="24" t="s">
        <v>17</v>
      </c>
      <c r="L8" s="73"/>
    </row>
    <row r="9" ht="22.5" customHeight="1">
      <c r="A9" s="24"/>
      <c r="B9" s="23"/>
      <c r="C9" s="24" t="s">
        <v>19</v>
      </c>
      <c r="D9" s="85">
        <v>1000.0</v>
      </c>
      <c r="E9" s="78">
        <v>39.13523135199271</v>
      </c>
      <c r="F9" s="30">
        <f t="shared" si="1"/>
        <v>39135.23135</v>
      </c>
      <c r="G9" s="93">
        <v>45717.0</v>
      </c>
      <c r="H9" s="29">
        <f>D9-OBR_Mar_2025!D9</f>
        <v>712</v>
      </c>
      <c r="I9" s="94">
        <f>E9/OBR_Aug_2025!E9-1</f>
        <v>-0.2529901623</v>
      </c>
      <c r="J9" s="24" t="s">
        <v>17</v>
      </c>
      <c r="L9" s="73"/>
    </row>
    <row r="10" ht="22.5" customHeight="1">
      <c r="A10" s="24"/>
      <c r="B10" s="23"/>
      <c r="C10" s="24" t="s">
        <v>19</v>
      </c>
      <c r="D10" s="85">
        <v>6862.0</v>
      </c>
      <c r="E10" s="78">
        <v>70.65852002715548</v>
      </c>
      <c r="F10" s="30">
        <f t="shared" si="1"/>
        <v>484858.7644</v>
      </c>
      <c r="G10" s="93">
        <v>45717.0</v>
      </c>
      <c r="H10" s="29">
        <f>D10-OBR_Mar_2025!D10</f>
        <v>-28</v>
      </c>
      <c r="I10" s="94">
        <f>E10/OBR_Aug_2025!E10-1</f>
        <v>0.0305715771</v>
      </c>
      <c r="J10" s="24" t="s">
        <v>17</v>
      </c>
      <c r="L10" s="73"/>
    </row>
    <row r="11" ht="22.5" customHeight="1">
      <c r="A11" s="24"/>
      <c r="B11" s="23"/>
      <c r="C11" s="24" t="s">
        <v>20</v>
      </c>
      <c r="D11" s="85">
        <v>1.232</v>
      </c>
      <c r="E11" s="78">
        <v>44760.91462761879</v>
      </c>
      <c r="F11" s="30">
        <f t="shared" si="1"/>
        <v>55145.44682</v>
      </c>
      <c r="G11" s="93">
        <v>45717.0</v>
      </c>
      <c r="H11" s="29">
        <f>D11-OBR_Mar_2025!D11</f>
        <v>-1.618</v>
      </c>
      <c r="I11" s="94">
        <f>E11/OBR_Aug_2025!E11-1</f>
        <v>-0.05623898131</v>
      </c>
      <c r="J11" s="24" t="s">
        <v>17</v>
      </c>
      <c r="L11" s="73"/>
    </row>
    <row r="12" ht="22.5" customHeight="1">
      <c r="A12" s="24"/>
      <c r="B12" s="23"/>
      <c r="C12" s="24" t="s">
        <v>19</v>
      </c>
      <c r="D12" s="85">
        <v>6364.0</v>
      </c>
      <c r="E12" s="78">
        <v>55.854761597105565</v>
      </c>
      <c r="F12" s="30">
        <f t="shared" si="1"/>
        <v>355459.7028</v>
      </c>
      <c r="G12" s="93">
        <v>45717.0</v>
      </c>
      <c r="H12" s="29">
        <f>D12-OBR_Mar_2025!D12</f>
        <v>1716</v>
      </c>
      <c r="I12" s="94">
        <f>E12/OBR_Aug_2025!E12-1</f>
        <v>0.006229728441</v>
      </c>
      <c r="J12" s="24" t="s">
        <v>17</v>
      </c>
      <c r="L12" s="73"/>
    </row>
    <row r="13" ht="22.5" customHeight="1">
      <c r="A13" s="24"/>
      <c r="B13" s="23"/>
      <c r="C13" s="24" t="s">
        <v>19</v>
      </c>
      <c r="D13" s="85">
        <v>224.0</v>
      </c>
      <c r="E13" s="78">
        <v>83.98550724637681</v>
      </c>
      <c r="F13" s="30">
        <f t="shared" si="1"/>
        <v>18812.75362</v>
      </c>
      <c r="G13" s="93">
        <v>45717.0</v>
      </c>
      <c r="H13" s="29">
        <f>D13-OBR_Mar_2025!D13</f>
        <v>-118</v>
      </c>
      <c r="I13" s="94">
        <f>E13/OBR_Aug_2025!E13-1</f>
        <v>0</v>
      </c>
      <c r="J13" s="24" t="s">
        <v>17</v>
      </c>
      <c r="L13" s="73"/>
    </row>
    <row r="14" ht="22.5" customHeight="1">
      <c r="A14" s="24"/>
      <c r="B14" s="23"/>
      <c r="C14" s="24" t="s">
        <v>19</v>
      </c>
      <c r="D14" s="85">
        <v>5096.0</v>
      </c>
      <c r="E14" s="78">
        <v>58.24844219595232</v>
      </c>
      <c r="F14" s="30">
        <f t="shared" si="1"/>
        <v>296834.0614</v>
      </c>
      <c r="G14" s="93">
        <v>45717.0</v>
      </c>
      <c r="H14" s="29">
        <f>D14-OBR_Mar_2025!D14</f>
        <v>-1664</v>
      </c>
      <c r="I14" s="94">
        <f>E14/OBR_Aug_2025!E14-1</f>
        <v>0</v>
      </c>
      <c r="J14" s="24" t="s">
        <v>17</v>
      </c>
      <c r="L14" s="73"/>
    </row>
    <row r="15" ht="22.5" customHeight="1">
      <c r="A15" s="24"/>
      <c r="B15" s="23"/>
      <c r="C15" s="24" t="s">
        <v>19</v>
      </c>
      <c r="D15" s="85">
        <v>368.0</v>
      </c>
      <c r="E15" s="78">
        <v>33.290897205017416</v>
      </c>
      <c r="F15" s="30">
        <f t="shared" si="1"/>
        <v>12251.05017</v>
      </c>
      <c r="G15" s="93">
        <v>45717.0</v>
      </c>
      <c r="H15" s="29">
        <f>D15-OBR_Mar_2025!D15</f>
        <v>92</v>
      </c>
      <c r="I15" s="94">
        <f>E15/OBR_Aug_2025!E15-1</f>
        <v>0</v>
      </c>
      <c r="J15" s="24" t="s">
        <v>17</v>
      </c>
      <c r="L15" s="73"/>
    </row>
    <row r="16" ht="22.5" customHeight="1">
      <c r="A16" s="24"/>
      <c r="B16" s="23"/>
      <c r="C16" s="24" t="s">
        <v>19</v>
      </c>
      <c r="D16" s="85">
        <v>6802.0</v>
      </c>
      <c r="E16" s="78">
        <v>69.65341900262386</v>
      </c>
      <c r="F16" s="30">
        <f t="shared" si="1"/>
        <v>473782.5561</v>
      </c>
      <c r="G16" s="93">
        <v>45717.0</v>
      </c>
      <c r="H16" s="29">
        <f>D16-OBR_Mar_2025!D16</f>
        <v>2372</v>
      </c>
      <c r="I16" s="94">
        <f>E16/OBR_Aug_2025!E16-1</f>
        <v>0</v>
      </c>
      <c r="J16" s="24" t="s">
        <v>17</v>
      </c>
      <c r="L16" s="73"/>
    </row>
    <row r="17" ht="22.5" customHeight="1">
      <c r="A17" s="24"/>
      <c r="B17" s="23"/>
      <c r="C17" s="24" t="s">
        <v>19</v>
      </c>
      <c r="D17" s="85">
        <v>382.0</v>
      </c>
      <c r="E17" s="78">
        <v>51.53926049425545</v>
      </c>
      <c r="F17" s="30">
        <f t="shared" si="1"/>
        <v>19687.99751</v>
      </c>
      <c r="G17" s="93">
        <v>45717.0</v>
      </c>
      <c r="H17" s="29">
        <f>D17-OBR_Mar_2025!D17</f>
        <v>152</v>
      </c>
      <c r="I17" s="94">
        <f>E17/OBR_Aug_2025!E17-1</f>
        <v>0</v>
      </c>
      <c r="J17" s="24" t="s">
        <v>17</v>
      </c>
      <c r="L17" s="73"/>
    </row>
    <row r="18" ht="22.5" customHeight="1">
      <c r="A18" s="24"/>
      <c r="B18" s="23"/>
      <c r="C18" s="24" t="s">
        <v>19</v>
      </c>
      <c r="D18" s="85">
        <v>5000.0</v>
      </c>
      <c r="E18" s="78">
        <v>57.6</v>
      </c>
      <c r="F18" s="30">
        <f t="shared" si="1"/>
        <v>288000</v>
      </c>
      <c r="G18" s="93">
        <v>45717.0</v>
      </c>
      <c r="H18" s="29">
        <f>D18-OBR_Mar_2025!D18</f>
        <v>0</v>
      </c>
      <c r="I18" s="94">
        <f>E18/OBR_Aug_2025!E18-1</f>
        <v>0</v>
      </c>
      <c r="J18" s="24" t="s">
        <v>17</v>
      </c>
      <c r="L18" s="73"/>
    </row>
    <row r="19" ht="22.5" customHeight="1">
      <c r="A19" s="24"/>
      <c r="B19" s="23"/>
      <c r="C19" s="24" t="s">
        <v>19</v>
      </c>
      <c r="D19" s="85">
        <v>450.0</v>
      </c>
      <c r="E19" s="78">
        <v>77.77777777777777</v>
      </c>
      <c r="F19" s="30">
        <f t="shared" si="1"/>
        <v>35000</v>
      </c>
      <c r="G19" s="93">
        <v>45717.0</v>
      </c>
      <c r="H19" s="29">
        <f>D19-OBR_Mar_2025!D19</f>
        <v>0</v>
      </c>
      <c r="I19" s="94">
        <f>E19/OBR_Aug_2025!E19-1</f>
        <v>0</v>
      </c>
      <c r="J19" s="24" t="s">
        <v>17</v>
      </c>
      <c r="L19" s="73"/>
    </row>
    <row r="20" ht="22.5" customHeight="1">
      <c r="A20" s="24"/>
      <c r="B20" s="23"/>
      <c r="C20" s="24" t="s">
        <v>18</v>
      </c>
      <c r="D20" s="85">
        <v>0.8</v>
      </c>
      <c r="E20" s="78">
        <v>35729.051714960144</v>
      </c>
      <c r="F20" s="30">
        <f t="shared" si="1"/>
        <v>28583.24137</v>
      </c>
      <c r="G20" s="93">
        <v>45717.0</v>
      </c>
      <c r="H20" s="29">
        <f>D20-OBR_Mar_2025!D20</f>
        <v>-0.2</v>
      </c>
      <c r="I20" s="94">
        <f>E20/OBR_Aug_2025!E20-1</f>
        <v>0.03262855224</v>
      </c>
      <c r="J20" s="24" t="s">
        <v>39</v>
      </c>
      <c r="L20" s="73"/>
    </row>
    <row r="21" ht="22.5" customHeight="1">
      <c r="A21" s="24"/>
      <c r="B21" s="23"/>
      <c r="C21" s="24" t="s">
        <v>18</v>
      </c>
      <c r="D21" s="85">
        <v>0.0</v>
      </c>
      <c r="E21" s="78">
        <v>141000.0</v>
      </c>
      <c r="F21" s="30">
        <f t="shared" si="1"/>
        <v>0</v>
      </c>
      <c r="G21" s="93">
        <v>45717.0</v>
      </c>
      <c r="H21" s="29">
        <f>D21-OBR_Mar_2025!D21</f>
        <v>-3.5</v>
      </c>
      <c r="I21" s="94">
        <f>E21/OBR_Aug_2025!E21-1</f>
        <v>-0.02759857249</v>
      </c>
      <c r="J21" s="24" t="s">
        <v>39</v>
      </c>
      <c r="L21" s="73"/>
    </row>
    <row r="22" ht="15.75" customHeight="1">
      <c r="A22" s="42"/>
      <c r="B22" s="42"/>
      <c r="D22" s="42"/>
      <c r="E22" s="42"/>
      <c r="F22" s="42"/>
      <c r="J22" s="42"/>
    </row>
    <row r="23" ht="15.75" customHeight="1">
      <c r="A23" s="42"/>
      <c r="B23" s="42"/>
      <c r="D23" s="42"/>
      <c r="E23" s="42"/>
      <c r="F23" s="42"/>
      <c r="J23" s="42"/>
    </row>
    <row r="24" ht="15.75" customHeight="1">
      <c r="A24" s="42"/>
      <c r="B24" s="42"/>
      <c r="D24" s="42"/>
      <c r="E24" s="42"/>
      <c r="F24" s="42"/>
      <c r="J24" s="42"/>
    </row>
    <row r="25" ht="15.75" customHeight="1">
      <c r="A25" s="42"/>
      <c r="B25" s="42"/>
      <c r="D25" s="42"/>
      <c r="E25" s="42"/>
      <c r="F25" s="42"/>
      <c r="J25" s="42"/>
    </row>
    <row r="26" ht="15.75" customHeight="1">
      <c r="A26" s="42"/>
      <c r="B26" s="42"/>
      <c r="D26" s="42"/>
      <c r="E26" s="42"/>
      <c r="F26" s="42"/>
      <c r="J26" s="42"/>
    </row>
    <row r="27" ht="15.75" customHeight="1">
      <c r="A27" s="42"/>
      <c r="B27" s="42"/>
      <c r="D27" s="42"/>
      <c r="E27" s="42"/>
      <c r="F27" s="42"/>
      <c r="J27" s="42"/>
    </row>
    <row r="28" ht="15.75" customHeight="1">
      <c r="A28" s="42"/>
      <c r="B28" s="42"/>
      <c r="D28" s="42"/>
      <c r="E28" s="42"/>
      <c r="F28" s="42"/>
      <c r="J28" s="42"/>
    </row>
    <row r="29" ht="15.75" customHeight="1">
      <c r="A29" s="42"/>
      <c r="B29" s="42"/>
      <c r="D29" s="42"/>
      <c r="E29" s="42"/>
      <c r="F29" s="42"/>
      <c r="J29" s="42"/>
    </row>
    <row r="30" ht="15.75" customHeight="1">
      <c r="A30" s="42"/>
      <c r="B30" s="42"/>
      <c r="D30" s="42"/>
      <c r="E30" s="42"/>
      <c r="F30" s="42"/>
      <c r="J30" s="42"/>
    </row>
    <row r="31" ht="15.75" customHeight="1">
      <c r="A31" s="42"/>
      <c r="B31" s="42"/>
      <c r="D31" s="42"/>
      <c r="E31" s="42"/>
      <c r="F31" s="42"/>
      <c r="J31" s="42"/>
    </row>
    <row r="32" ht="15.75" customHeight="1">
      <c r="A32" s="42"/>
      <c r="B32" s="42"/>
      <c r="D32" s="42"/>
      <c r="E32" s="42"/>
      <c r="F32" s="42"/>
      <c r="J32" s="42"/>
    </row>
    <row r="33" ht="15.75" customHeight="1">
      <c r="A33" s="42"/>
      <c r="B33" s="42"/>
      <c r="D33" s="42"/>
      <c r="E33" s="42"/>
      <c r="F33" s="42"/>
      <c r="J33" s="42"/>
    </row>
    <row r="34" ht="15.75" customHeight="1">
      <c r="A34" s="42"/>
      <c r="B34" s="42"/>
      <c r="D34" s="42"/>
      <c r="E34" s="42"/>
      <c r="F34" s="42"/>
      <c r="J34" s="42"/>
    </row>
    <row r="35" ht="15.75" customHeight="1">
      <c r="A35" s="42"/>
      <c r="B35" s="42"/>
      <c r="D35" s="42"/>
      <c r="E35" s="42"/>
      <c r="F35" s="42"/>
      <c r="J35" s="42"/>
    </row>
    <row r="36" ht="15.75" customHeight="1">
      <c r="A36" s="42"/>
      <c r="B36" s="42"/>
      <c r="D36" s="42"/>
      <c r="E36" s="42"/>
      <c r="F36" s="42"/>
      <c r="J36" s="42"/>
    </row>
    <row r="37" ht="15.75" customHeight="1">
      <c r="A37" s="42"/>
      <c r="B37" s="42"/>
      <c r="D37" s="42"/>
      <c r="E37" s="42"/>
      <c r="F37" s="42"/>
      <c r="J37" s="42"/>
    </row>
    <row r="38" ht="15.75" customHeight="1">
      <c r="A38" s="42"/>
      <c r="B38" s="42"/>
      <c r="D38" s="42"/>
      <c r="E38" s="42"/>
      <c r="F38" s="42"/>
      <c r="J38" s="42"/>
    </row>
    <row r="39" ht="15.75" customHeight="1">
      <c r="A39" s="42"/>
      <c r="B39" s="42"/>
      <c r="D39" s="42"/>
      <c r="E39" s="42"/>
      <c r="F39" s="42"/>
      <c r="J39" s="42"/>
    </row>
    <row r="40" ht="15.75" customHeight="1">
      <c r="A40" s="42"/>
      <c r="B40" s="42"/>
      <c r="D40" s="42"/>
      <c r="E40" s="42"/>
      <c r="F40" s="42"/>
      <c r="J40" s="42"/>
    </row>
    <row r="41" ht="15.75" customHeight="1">
      <c r="A41" s="42"/>
      <c r="B41" s="42"/>
      <c r="D41" s="42"/>
      <c r="E41" s="42"/>
      <c r="F41" s="42"/>
      <c r="J41" s="42"/>
    </row>
    <row r="42" ht="15.75" customHeight="1">
      <c r="A42" s="42"/>
      <c r="B42" s="42"/>
      <c r="D42" s="42"/>
      <c r="E42" s="42"/>
      <c r="F42" s="42"/>
      <c r="J42" s="42"/>
    </row>
    <row r="43" ht="15.75" customHeight="1">
      <c r="A43" s="42"/>
      <c r="B43" s="42"/>
      <c r="D43" s="42"/>
      <c r="E43" s="42"/>
      <c r="F43" s="42"/>
      <c r="J43" s="42"/>
    </row>
    <row r="44" ht="15.75" customHeight="1">
      <c r="A44" s="42"/>
      <c r="B44" s="42"/>
      <c r="D44" s="42"/>
      <c r="E44" s="42"/>
      <c r="F44" s="42"/>
      <c r="J44" s="42"/>
    </row>
    <row r="45" ht="15.75" customHeight="1">
      <c r="A45" s="42"/>
      <c r="B45" s="42"/>
      <c r="D45" s="42"/>
      <c r="E45" s="42"/>
      <c r="F45" s="42"/>
      <c r="J45" s="42"/>
    </row>
    <row r="46" ht="15.75" customHeight="1">
      <c r="A46" s="42"/>
      <c r="B46" s="42"/>
      <c r="D46" s="42"/>
      <c r="E46" s="42"/>
      <c r="F46" s="42"/>
      <c r="J46" s="4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4:H21">
    <cfRule type="cellIs" dxfId="7" priority="1" operator="greaterThan">
      <formula>0</formula>
    </cfRule>
  </conditionalFormatting>
  <conditionalFormatting sqref="H4:H21">
    <cfRule type="cellIs" dxfId="8" priority="2" operator="lessThan">
      <formula>0</formula>
    </cfRule>
  </conditionalFormatting>
  <conditionalFormatting sqref="I4:I21">
    <cfRule type="cellIs" dxfId="7" priority="3" operator="greaterThan">
      <formula>0</formula>
    </cfRule>
  </conditionalFormatting>
  <conditionalFormatting sqref="I4:I21">
    <cfRule type="cellIs" dxfId="9" priority="4" operator="lessThan">
      <formula>0</formula>
    </cfRule>
  </conditionalFormatting>
  <dataValidations>
    <dataValidation type="custom" allowBlank="1" showDropDown="1" sqref="D4:F21 H4:I21">
      <formula1>AND(ISNUMBER(D4),(NOT(OR(NOT(ISERROR(DATEVALUE(D4))), AND(ISNUMBER(D4), LEFT(CELL("format", D4))="D")))))</formula1>
    </dataValidation>
    <dataValidation type="list" allowBlank="1" sqref="J4:J21">
      <formula1>"In stock,Temporarily unavailable,Re-purchase needed,Sold out"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18.75"/>
    <col customWidth="1" min="9" max="9" width="24.5"/>
    <col customWidth="1" min="10" max="10" width="25.13"/>
  </cols>
  <sheetData>
    <row r="1" ht="15.75" customHeight="1">
      <c r="A1" s="90"/>
      <c r="B1" s="90"/>
      <c r="C1" s="1"/>
      <c r="D1" s="90"/>
      <c r="E1" s="90"/>
      <c r="F1" s="90"/>
      <c r="G1" s="1"/>
      <c r="H1" s="1"/>
      <c r="I1" s="1"/>
      <c r="J1" s="90"/>
    </row>
    <row r="2" ht="15.75" customHeight="1">
      <c r="A2" s="90"/>
      <c r="B2" s="90"/>
      <c r="C2" s="1"/>
      <c r="D2" s="90"/>
      <c r="E2" s="91" t="s">
        <v>40</v>
      </c>
      <c r="F2" s="92">
        <f>SUM(OBR_Oct_2025!$F$4:$F$21)</f>
        <v>6515831.831</v>
      </c>
      <c r="G2" s="1"/>
      <c r="H2" s="1"/>
      <c r="I2" s="1"/>
      <c r="J2" s="90"/>
    </row>
    <row r="3" ht="22.5" customHeight="1">
      <c r="A3" s="10" t="s">
        <v>4</v>
      </c>
      <c r="B3" s="10" t="s">
        <v>5</v>
      </c>
      <c r="C3" s="11" t="s">
        <v>6</v>
      </c>
      <c r="D3" s="10" t="s">
        <v>29</v>
      </c>
      <c r="E3" s="10" t="s">
        <v>43</v>
      </c>
      <c r="F3" s="10" t="s">
        <v>37</v>
      </c>
      <c r="G3" s="11" t="s">
        <v>38</v>
      </c>
      <c r="H3" s="11" t="s">
        <v>41</v>
      </c>
      <c r="I3" s="11" t="s">
        <v>42</v>
      </c>
      <c r="J3" s="10" t="s">
        <v>15</v>
      </c>
    </row>
    <row r="4" ht="22.5" customHeight="1">
      <c r="A4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4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4" s="24" t="s">
        <v>16</v>
      </c>
      <c r="D4" s="85">
        <v>84.0</v>
      </c>
      <c r="E4" s="78">
        <v>21317.643305484416</v>
      </c>
      <c r="F4" s="30">
        <f t="shared" ref="F4:F21" si="1">D4*E4</f>
        <v>1790682.038</v>
      </c>
      <c r="G4" s="93">
        <v>45717.0</v>
      </c>
      <c r="H4" s="29">
        <f>D4-OBR_Mar_2025!D4</f>
        <v>-142</v>
      </c>
      <c r="I4" s="94">
        <f>E4/OBR_Aug_2025!E4-1</f>
        <v>0.009958346839</v>
      </c>
      <c r="J4" s="24" t="s">
        <v>17</v>
      </c>
      <c r="L4" s="73"/>
    </row>
    <row r="5" ht="22.5" customHeight="1">
      <c r="A5" s="24"/>
      <c r="B5" s="23"/>
      <c r="C5" s="24" t="s">
        <v>18</v>
      </c>
      <c r="D5" s="85">
        <v>11.28</v>
      </c>
      <c r="E5" s="78">
        <v>129649.45484125832</v>
      </c>
      <c r="F5" s="30">
        <f t="shared" si="1"/>
        <v>1462445.851</v>
      </c>
      <c r="G5" s="93">
        <v>45717.0</v>
      </c>
      <c r="H5" s="29">
        <f>D5-OBR_Mar_2025!D5</f>
        <v>-0.72</v>
      </c>
      <c r="I5" s="94">
        <f>E5/OBR_Aug_2025!E5-1</f>
        <v>-0.006592087866</v>
      </c>
      <c r="J5" s="24" t="s">
        <v>17</v>
      </c>
      <c r="L5" s="73"/>
    </row>
    <row r="6" ht="22.5" customHeight="1">
      <c r="A6" s="24"/>
      <c r="B6" s="23"/>
      <c r="C6" s="24" t="s">
        <v>18</v>
      </c>
      <c r="D6" s="85">
        <v>1.48</v>
      </c>
      <c r="E6" s="78">
        <v>227967.1887130434</v>
      </c>
      <c r="F6" s="30">
        <f t="shared" si="1"/>
        <v>337391.4393</v>
      </c>
      <c r="G6" s="93">
        <v>45717.0</v>
      </c>
      <c r="H6" s="29">
        <f>D6-OBR_Mar_2025!D6</f>
        <v>-0.02</v>
      </c>
      <c r="I6" s="94">
        <f>E6/OBR_Aug_2025!E6-1</f>
        <v>0</v>
      </c>
      <c r="J6" s="24" t="s">
        <v>17</v>
      </c>
      <c r="L6" s="73"/>
    </row>
    <row r="7" ht="22.5" customHeight="1">
      <c r="A7" s="24"/>
      <c r="B7" s="23"/>
      <c r="C7" s="24" t="s">
        <v>18</v>
      </c>
      <c r="D7" s="85">
        <v>2.25</v>
      </c>
      <c r="E7" s="78">
        <v>145444.00709221585</v>
      </c>
      <c r="F7" s="30">
        <f t="shared" si="1"/>
        <v>327249.016</v>
      </c>
      <c r="G7" s="93">
        <v>45717.0</v>
      </c>
      <c r="H7" s="29">
        <f>D7-OBR_Mar_2025!D7</f>
        <v>-0.25</v>
      </c>
      <c r="I7" s="94">
        <f>E7/OBR_Aug_2025!E7-1</f>
        <v>-0.003801456206</v>
      </c>
      <c r="J7" s="24" t="s">
        <v>17</v>
      </c>
      <c r="L7" s="73"/>
    </row>
    <row r="8" ht="22.5" customHeight="1">
      <c r="A8" s="24"/>
      <c r="B8" s="23"/>
      <c r="C8" s="24" t="s">
        <v>19</v>
      </c>
      <c r="D8" s="85">
        <v>7590.0</v>
      </c>
      <c r="E8" s="78">
        <v>66.84636091459286</v>
      </c>
      <c r="F8" s="30">
        <f t="shared" si="1"/>
        <v>507363.8793</v>
      </c>
      <c r="G8" s="93">
        <v>45717.0</v>
      </c>
      <c r="H8" s="29">
        <f>D8-OBR_Mar_2025!D8</f>
        <v>980</v>
      </c>
      <c r="I8" s="94">
        <f>E8/OBR_Aug_2025!E8-1</f>
        <v>0.02940159508</v>
      </c>
      <c r="J8" s="24" t="s">
        <v>17</v>
      </c>
      <c r="L8" s="73"/>
    </row>
    <row r="9" ht="22.5" customHeight="1">
      <c r="A9" s="24"/>
      <c r="B9" s="23"/>
      <c r="C9" s="24" t="s">
        <v>19</v>
      </c>
      <c r="D9" s="85">
        <v>620.0</v>
      </c>
      <c r="E9" s="78">
        <v>39.13523135199271</v>
      </c>
      <c r="F9" s="30">
        <f t="shared" si="1"/>
        <v>24263.84344</v>
      </c>
      <c r="G9" s="93">
        <v>45717.0</v>
      </c>
      <c r="H9" s="29">
        <f>D9-OBR_Mar_2025!D9</f>
        <v>332</v>
      </c>
      <c r="I9" s="94">
        <f>E9/OBR_Aug_2025!E9-1</f>
        <v>-0.2529901623</v>
      </c>
      <c r="J9" s="24" t="s">
        <v>17</v>
      </c>
      <c r="L9" s="73"/>
    </row>
    <row r="10" ht="22.5" customHeight="1">
      <c r="A10" s="24"/>
      <c r="B10" s="23"/>
      <c r="C10" s="24" t="s">
        <v>19</v>
      </c>
      <c r="D10" s="85">
        <v>6500.0</v>
      </c>
      <c r="E10" s="78">
        <v>70.65852002715548</v>
      </c>
      <c r="F10" s="30">
        <f t="shared" si="1"/>
        <v>459280.3802</v>
      </c>
      <c r="G10" s="93">
        <v>45717.0</v>
      </c>
      <c r="H10" s="29">
        <f>D10-OBR_Mar_2025!D10</f>
        <v>-390</v>
      </c>
      <c r="I10" s="94">
        <f>E10/OBR_Aug_2025!E10-1</f>
        <v>0.0305715771</v>
      </c>
      <c r="J10" s="24" t="s">
        <v>17</v>
      </c>
      <c r="L10" s="73"/>
    </row>
    <row r="11" ht="22.5" customHeight="1">
      <c r="A11" s="24"/>
      <c r="B11" s="23"/>
      <c r="C11" s="24" t="s">
        <v>20</v>
      </c>
      <c r="D11" s="85">
        <v>0.755680168</v>
      </c>
      <c r="E11" s="78">
        <v>44760.91462761879</v>
      </c>
      <c r="F11" s="30">
        <f t="shared" si="1"/>
        <v>33824.93549</v>
      </c>
      <c r="G11" s="93">
        <v>45717.0</v>
      </c>
      <c r="H11" s="29">
        <f>D11-OBR_Mar_2025!D11</f>
        <v>-2.094319832</v>
      </c>
      <c r="I11" s="94">
        <f>E11/OBR_Aug_2025!E11-1</f>
        <v>-0.05623898131</v>
      </c>
      <c r="J11" s="24" t="s">
        <v>17</v>
      </c>
      <c r="L11" s="73"/>
    </row>
    <row r="12" ht="22.5" customHeight="1">
      <c r="A12" s="24"/>
      <c r="B12" s="23"/>
      <c r="C12" s="24" t="s">
        <v>19</v>
      </c>
      <c r="D12" s="85">
        <v>5900.0</v>
      </c>
      <c r="E12" s="78">
        <v>55.854761597105565</v>
      </c>
      <c r="F12" s="30">
        <f t="shared" si="1"/>
        <v>329543.0934</v>
      </c>
      <c r="G12" s="93">
        <v>45717.0</v>
      </c>
      <c r="H12" s="29">
        <f>D12-OBR_Mar_2025!D12</f>
        <v>1252</v>
      </c>
      <c r="I12" s="94">
        <f>E12/OBR_Aug_2025!E12-1</f>
        <v>0.006229728441</v>
      </c>
      <c r="J12" s="24" t="s">
        <v>17</v>
      </c>
      <c r="L12" s="73"/>
    </row>
    <row r="13" ht="22.5" customHeight="1">
      <c r="A13" s="24"/>
      <c r="B13" s="23"/>
      <c r="C13" s="24" t="s">
        <v>19</v>
      </c>
      <c r="D13" s="85">
        <v>120.0</v>
      </c>
      <c r="E13" s="78">
        <v>83.98550724637683</v>
      </c>
      <c r="F13" s="30">
        <f t="shared" si="1"/>
        <v>10078.26087</v>
      </c>
      <c r="G13" s="93">
        <v>45717.0</v>
      </c>
      <c r="H13" s="29">
        <f>D13-OBR_Mar_2025!D13</f>
        <v>-222</v>
      </c>
      <c r="I13" s="94">
        <f>E13/OBR_Aug_2025!E13-1</f>
        <v>0</v>
      </c>
      <c r="J13" s="24" t="s">
        <v>17</v>
      </c>
      <c r="L13" s="73"/>
    </row>
    <row r="14" ht="22.5" customHeight="1">
      <c r="A14" s="24"/>
      <c r="B14" s="23"/>
      <c r="C14" s="24" t="s">
        <v>19</v>
      </c>
      <c r="D14" s="85">
        <v>4420.0</v>
      </c>
      <c r="E14" s="78">
        <v>58.24844219595233</v>
      </c>
      <c r="F14" s="30">
        <f t="shared" si="1"/>
        <v>257458.1145</v>
      </c>
      <c r="G14" s="93">
        <v>45717.0</v>
      </c>
      <c r="H14" s="29">
        <f>D14-OBR_Mar_2025!D14</f>
        <v>-2340</v>
      </c>
      <c r="I14" s="94">
        <f>E14/OBR_Aug_2025!E14-1</f>
        <v>0</v>
      </c>
      <c r="J14" s="24" t="s">
        <v>17</v>
      </c>
      <c r="L14" s="73"/>
    </row>
    <row r="15" ht="22.5" customHeight="1">
      <c r="A15" s="24"/>
      <c r="B15" s="23"/>
      <c r="C15" s="24" t="s">
        <v>19</v>
      </c>
      <c r="D15" s="85">
        <v>270.0</v>
      </c>
      <c r="E15" s="78">
        <v>33.290897205017416</v>
      </c>
      <c r="F15" s="30">
        <f t="shared" si="1"/>
        <v>8988.542245</v>
      </c>
      <c r="G15" s="93">
        <v>45717.0</v>
      </c>
      <c r="H15" s="29">
        <f>D15-OBR_Mar_2025!D15</f>
        <v>-6</v>
      </c>
      <c r="I15" s="94">
        <f>E15/OBR_Aug_2025!E15-1</f>
        <v>0</v>
      </c>
      <c r="J15" s="24" t="s">
        <v>17</v>
      </c>
      <c r="L15" s="73"/>
    </row>
    <row r="16" ht="22.5" customHeight="1">
      <c r="A16" s="24"/>
      <c r="B16" s="23"/>
      <c r="C16" s="24" t="s">
        <v>19</v>
      </c>
      <c r="D16" s="85">
        <v>6200.0</v>
      </c>
      <c r="E16" s="78">
        <v>69.65341900262386</v>
      </c>
      <c r="F16" s="30">
        <f t="shared" si="1"/>
        <v>431851.1978</v>
      </c>
      <c r="G16" s="93">
        <v>45717.0</v>
      </c>
      <c r="H16" s="29">
        <f>D16-OBR_Mar_2025!D16</f>
        <v>1770</v>
      </c>
      <c r="I16" s="94">
        <f>E16/OBR_Aug_2025!E16-1</f>
        <v>0</v>
      </c>
      <c r="J16" s="24" t="s">
        <v>17</v>
      </c>
      <c r="L16" s="73"/>
    </row>
    <row r="17" ht="22.5" customHeight="1">
      <c r="A17" s="24"/>
      <c r="B17" s="23"/>
      <c r="C17" s="24" t="s">
        <v>19</v>
      </c>
      <c r="D17" s="85">
        <v>382.0</v>
      </c>
      <c r="E17" s="78">
        <v>51.53926049425545</v>
      </c>
      <c r="F17" s="30">
        <f t="shared" si="1"/>
        <v>19687.99751</v>
      </c>
      <c r="G17" s="93">
        <v>45717.0</v>
      </c>
      <c r="H17" s="29">
        <f>D17-OBR_Mar_2025!D17</f>
        <v>152</v>
      </c>
      <c r="I17" s="94">
        <f>E17/OBR_Aug_2025!E17-1</f>
        <v>0</v>
      </c>
      <c r="J17" s="24" t="s">
        <v>17</v>
      </c>
      <c r="L17" s="73"/>
    </row>
    <row r="18" ht="22.5" customHeight="1">
      <c r="A18" s="24"/>
      <c r="B18" s="23"/>
      <c r="C18" s="24" t="s">
        <v>19</v>
      </c>
      <c r="D18" s="85">
        <v>5000.0</v>
      </c>
      <c r="E18" s="78">
        <v>57.6</v>
      </c>
      <c r="F18" s="30">
        <f t="shared" si="1"/>
        <v>288000</v>
      </c>
      <c r="G18" s="93">
        <v>45717.0</v>
      </c>
      <c r="H18" s="29">
        <f>D18-OBR_Mar_2025!D18</f>
        <v>0</v>
      </c>
      <c r="I18" s="94">
        <f>E18/OBR_Aug_2025!E18-1</f>
        <v>0</v>
      </c>
      <c r="J18" s="24" t="s">
        <v>17</v>
      </c>
      <c r="L18" s="73"/>
    </row>
    <row r="19" ht="22.5" customHeight="1">
      <c r="A19" s="24"/>
      <c r="B19" s="23"/>
      <c r="C19" s="24" t="s">
        <v>19</v>
      </c>
      <c r="D19" s="85">
        <v>450.0</v>
      </c>
      <c r="E19" s="78">
        <v>77.77777777777777</v>
      </c>
      <c r="F19" s="30">
        <f t="shared" si="1"/>
        <v>35000</v>
      </c>
      <c r="G19" s="93">
        <v>45717.0</v>
      </c>
      <c r="H19" s="29">
        <f>D19-OBR_Mar_2025!D19</f>
        <v>0</v>
      </c>
      <c r="I19" s="94">
        <f>E19/OBR_Aug_2025!E19-1</f>
        <v>0</v>
      </c>
      <c r="J19" s="24" t="s">
        <v>17</v>
      </c>
      <c r="L19" s="73"/>
    </row>
    <row r="20" ht="22.5" customHeight="1">
      <c r="A20" s="24"/>
      <c r="B20" s="23"/>
      <c r="C20" s="24" t="s">
        <v>18</v>
      </c>
      <c r="D20" s="85">
        <v>1.418</v>
      </c>
      <c r="E20" s="78">
        <v>35879.578539982285</v>
      </c>
      <c r="F20" s="30">
        <f t="shared" si="1"/>
        <v>50877.24237</v>
      </c>
      <c r="G20" s="93">
        <v>45717.0</v>
      </c>
      <c r="H20" s="29">
        <f>D20-OBR_Mar_2025!D20</f>
        <v>0.418</v>
      </c>
      <c r="I20" s="94">
        <f>E20/OBR_Aug_2025!E20-1</f>
        <v>0.03697902588</v>
      </c>
      <c r="J20" s="24" t="s">
        <v>39</v>
      </c>
      <c r="L20" s="73"/>
    </row>
    <row r="21" ht="22.5" customHeight="1">
      <c r="A21" s="24"/>
      <c r="B21" s="23"/>
      <c r="C21" s="24" t="s">
        <v>18</v>
      </c>
      <c r="D21" s="85">
        <v>1.006</v>
      </c>
      <c r="E21" s="78">
        <v>141000.0</v>
      </c>
      <c r="F21" s="30">
        <f t="shared" si="1"/>
        <v>141846</v>
      </c>
      <c r="G21" s="93">
        <v>45717.0</v>
      </c>
      <c r="H21" s="29">
        <f>D21-OBR_Mar_2025!D21</f>
        <v>-2.494</v>
      </c>
      <c r="I21" s="94">
        <f>E21/OBR_Aug_2025!E21-1</f>
        <v>-0.02759857249</v>
      </c>
      <c r="J21" s="24" t="s">
        <v>39</v>
      </c>
      <c r="L21" s="73"/>
    </row>
    <row r="22" ht="15.75" customHeight="1">
      <c r="A22" s="42"/>
      <c r="B22" s="42"/>
      <c r="D22" s="42"/>
      <c r="E22" s="42"/>
      <c r="F22" s="42"/>
      <c r="J22" s="42"/>
    </row>
    <row r="23" ht="15.75" customHeight="1">
      <c r="A23" s="42"/>
      <c r="B23" s="42"/>
      <c r="D23" s="42"/>
      <c r="E23" s="42"/>
      <c r="F23" s="42"/>
      <c r="J23" s="42"/>
    </row>
    <row r="24" ht="15.75" customHeight="1">
      <c r="A24" s="42"/>
      <c r="B24" s="42"/>
      <c r="D24" s="42"/>
      <c r="E24" s="42"/>
      <c r="F24" s="42"/>
      <c r="J24" s="42"/>
    </row>
    <row r="25" ht="15.75" customHeight="1">
      <c r="A25" s="42"/>
      <c r="B25" s="42"/>
      <c r="D25" s="42"/>
      <c r="E25" s="42"/>
      <c r="F25" s="42"/>
      <c r="J25" s="42"/>
    </row>
    <row r="26" ht="15.75" customHeight="1">
      <c r="A26" s="42"/>
      <c r="B26" s="42"/>
      <c r="D26" s="42"/>
      <c r="E26" s="42"/>
      <c r="F26" s="42"/>
      <c r="J26" s="42"/>
    </row>
    <row r="27" ht="15.75" customHeight="1">
      <c r="A27" s="42"/>
      <c r="B27" s="42"/>
      <c r="D27" s="42"/>
      <c r="E27" s="42"/>
      <c r="F27" s="42"/>
      <c r="J27" s="42"/>
    </row>
    <row r="28" ht="15.75" customHeight="1">
      <c r="A28" s="42"/>
      <c r="B28" s="42"/>
      <c r="D28" s="42"/>
      <c r="E28" s="42"/>
      <c r="F28" s="42"/>
      <c r="J28" s="42"/>
    </row>
    <row r="29" ht="15.75" customHeight="1">
      <c r="A29" s="42"/>
      <c r="B29" s="42"/>
      <c r="D29" s="42"/>
      <c r="E29" s="42"/>
      <c r="F29" s="42"/>
      <c r="J29" s="42"/>
    </row>
    <row r="30" ht="15.75" customHeight="1">
      <c r="A30" s="42"/>
      <c r="B30" s="42"/>
      <c r="D30" s="42"/>
      <c r="E30" s="42"/>
      <c r="F30" s="42"/>
      <c r="J30" s="42"/>
    </row>
    <row r="31" ht="15.75" customHeight="1">
      <c r="A31" s="42"/>
      <c r="B31" s="42"/>
      <c r="D31" s="42"/>
      <c r="E31" s="42"/>
      <c r="F31" s="42"/>
      <c r="J31" s="42"/>
    </row>
    <row r="32" ht="15.75" customHeight="1">
      <c r="A32" s="42"/>
      <c r="B32" s="42"/>
      <c r="D32" s="42"/>
      <c r="E32" s="42"/>
      <c r="F32" s="42"/>
      <c r="J32" s="42"/>
    </row>
    <row r="33" ht="15.75" customHeight="1">
      <c r="A33" s="42"/>
      <c r="B33" s="42"/>
      <c r="D33" s="42"/>
      <c r="E33" s="42"/>
      <c r="F33" s="42"/>
      <c r="J33" s="42"/>
    </row>
    <row r="34" ht="15.75" customHeight="1">
      <c r="A34" s="42"/>
      <c r="B34" s="42"/>
      <c r="D34" s="42"/>
      <c r="E34" s="42"/>
      <c r="F34" s="42"/>
      <c r="J34" s="42"/>
    </row>
    <row r="35" ht="15.75" customHeight="1">
      <c r="A35" s="42"/>
      <c r="B35" s="42"/>
      <c r="D35" s="42"/>
      <c r="E35" s="42"/>
      <c r="F35" s="42"/>
      <c r="J35" s="42"/>
    </row>
    <row r="36" ht="15.75" customHeight="1">
      <c r="A36" s="42"/>
      <c r="B36" s="42"/>
      <c r="D36" s="42"/>
      <c r="E36" s="42"/>
      <c r="F36" s="42"/>
      <c r="J36" s="42"/>
    </row>
    <row r="37" ht="15.75" customHeight="1">
      <c r="A37" s="42"/>
      <c r="B37" s="42"/>
      <c r="D37" s="42"/>
      <c r="E37" s="42"/>
      <c r="F37" s="42"/>
      <c r="J37" s="42"/>
    </row>
    <row r="38" ht="15.75" customHeight="1">
      <c r="A38" s="42"/>
      <c r="B38" s="42"/>
      <c r="D38" s="42"/>
      <c r="E38" s="42"/>
      <c r="F38" s="42"/>
      <c r="J38" s="42"/>
    </row>
    <row r="39" ht="15.75" customHeight="1">
      <c r="A39" s="42"/>
      <c r="B39" s="42"/>
      <c r="D39" s="42"/>
      <c r="E39" s="42"/>
      <c r="F39" s="42"/>
      <c r="J39" s="42"/>
    </row>
    <row r="40" ht="15.75" customHeight="1">
      <c r="A40" s="42"/>
      <c r="B40" s="42"/>
      <c r="D40" s="42"/>
      <c r="E40" s="42"/>
      <c r="F40" s="42"/>
      <c r="J40" s="42"/>
    </row>
    <row r="41" ht="15.75" customHeight="1">
      <c r="A41" s="42"/>
      <c r="B41" s="42"/>
      <c r="D41" s="42"/>
      <c r="E41" s="42"/>
      <c r="F41" s="42"/>
      <c r="J41" s="42"/>
    </row>
    <row r="42" ht="15.75" customHeight="1">
      <c r="A42" s="42"/>
      <c r="B42" s="42"/>
      <c r="D42" s="42"/>
      <c r="E42" s="42"/>
      <c r="F42" s="42"/>
      <c r="J42" s="42"/>
    </row>
    <row r="43" ht="15.75" customHeight="1">
      <c r="A43" s="42"/>
      <c r="B43" s="42"/>
      <c r="D43" s="42"/>
      <c r="E43" s="42"/>
      <c r="F43" s="42"/>
      <c r="J43" s="42"/>
    </row>
    <row r="44" ht="15.75" customHeight="1">
      <c r="A44" s="42"/>
      <c r="B44" s="42"/>
      <c r="D44" s="42"/>
      <c r="E44" s="42"/>
      <c r="F44" s="42"/>
      <c r="J44" s="42"/>
    </row>
    <row r="45" ht="15.75" customHeight="1">
      <c r="A45" s="42"/>
      <c r="B45" s="42"/>
      <c r="D45" s="42"/>
      <c r="E45" s="42"/>
      <c r="F45" s="42"/>
      <c r="J45" s="42"/>
    </row>
    <row r="46" ht="15.75" customHeight="1">
      <c r="A46" s="42"/>
      <c r="B46" s="42"/>
      <c r="D46" s="42"/>
      <c r="E46" s="42"/>
      <c r="F46" s="42"/>
      <c r="J46" s="4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4:H21">
    <cfRule type="cellIs" dxfId="7" priority="1" operator="greaterThan">
      <formula>0</formula>
    </cfRule>
  </conditionalFormatting>
  <conditionalFormatting sqref="H4:H21">
    <cfRule type="cellIs" dxfId="8" priority="2" operator="lessThan">
      <formula>0</formula>
    </cfRule>
  </conditionalFormatting>
  <conditionalFormatting sqref="I4:I21">
    <cfRule type="cellIs" dxfId="7" priority="3" operator="greaterThan">
      <formula>0</formula>
    </cfRule>
  </conditionalFormatting>
  <conditionalFormatting sqref="I4:I21">
    <cfRule type="cellIs" dxfId="9" priority="4" operator="lessThan">
      <formula>0</formula>
    </cfRule>
  </conditionalFormatting>
  <dataValidations>
    <dataValidation type="custom" allowBlank="1" showDropDown="1" sqref="D4:F21 H4:I21">
      <formula1>AND(ISNUMBER(D4),(NOT(OR(NOT(ISERROR(DATEVALUE(D4))), AND(ISNUMBER(D4), LEFT(CELL("format", D4))="D")))))</formula1>
    </dataValidation>
    <dataValidation type="list" allowBlank="1" sqref="J4:J21">
      <formula1>"In stock,Temporarily unavailable,Re-purchase needed,Sold out"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88"/>
    <col customWidth="1" min="2" max="2" width="27.63"/>
    <col customWidth="1" min="3" max="3" width="15.63"/>
    <col customWidth="1" min="4" max="4" width="15.13"/>
    <col customWidth="1" min="5" max="5" width="22.5"/>
    <col customWidth="1" min="6" max="6" width="23.63"/>
    <col customWidth="1" min="8" max="8" width="18.75"/>
    <col customWidth="1" min="9" max="9" width="24.5"/>
    <col customWidth="1" min="10" max="10" width="25.13"/>
  </cols>
  <sheetData>
    <row r="1" ht="15.75" customHeight="1">
      <c r="A1" s="90"/>
      <c r="B1" s="90"/>
      <c r="C1" s="1"/>
      <c r="D1" s="90"/>
      <c r="E1" s="90"/>
      <c r="F1" s="90"/>
      <c r="G1" s="1"/>
      <c r="H1" s="1"/>
      <c r="I1" s="1"/>
      <c r="J1" s="90"/>
    </row>
    <row r="2" ht="15.75" customHeight="1">
      <c r="A2" s="90"/>
      <c r="B2" s="90"/>
      <c r="C2" s="1"/>
      <c r="D2" s="90"/>
      <c r="E2" s="91" t="s">
        <v>40</v>
      </c>
      <c r="F2" s="92">
        <f>SUM(OBR_Nov_2025!$F$4:$F$21)</f>
        <v>8507511.759</v>
      </c>
      <c r="G2" s="1"/>
      <c r="H2" s="1"/>
      <c r="I2" s="1"/>
      <c r="J2" s="90"/>
    </row>
    <row r="3" ht="22.5" customHeight="1">
      <c r="A3" s="10" t="s">
        <v>4</v>
      </c>
      <c r="B3" s="10" t="s">
        <v>5</v>
      </c>
      <c r="C3" s="11" t="s">
        <v>6</v>
      </c>
      <c r="D3" s="10" t="s">
        <v>29</v>
      </c>
      <c r="E3" s="10" t="s">
        <v>43</v>
      </c>
      <c r="F3" s="10" t="s">
        <v>37</v>
      </c>
      <c r="G3" s="11" t="s">
        <v>38</v>
      </c>
      <c r="H3" s="11" t="s">
        <v>41</v>
      </c>
      <c r="I3" s="11" t="s">
        <v>42</v>
      </c>
      <c r="J3" s="10" t="s">
        <v>15</v>
      </c>
    </row>
    <row r="4" ht="22.5" customHeight="1">
      <c r="A4" s="24" t="str">
        <f>IFERROR(__xludf.DUMMYFUNCTION("QUERY(IMPORTRANGE(""https://docs.google.com/spreadsheets/d/1sOBA95jI3gUTkNtq3pD8Ob7Zb_EY63WYXvHKt7aiQk8/edit?gid=0#gid=0"",""SKU Info &amp; Sales Channel &amp; Inventory Codes!B29:D50""),""SELECT Col1 WHERE Col1 &lt; 12100"",0)"),"#REF!")</f>
        <v>#REF!</v>
      </c>
      <c r="B4" s="23" t="str">
        <f>IFERROR(__xludf.DUMMYFUNCTION("QUERY(IMPORTRANGE(""https://docs.google.com/spreadsheets/d/1sOBA95jI3gUTkNtq3pD8Ob7Zb_EY63WYXvHKt7aiQk8/edit?gid=0#gid=0"",""SKU Info &amp; Sales Channel &amp; Inventory Codes!B29:D50""),""SELECT Col3 WHERE Col1 &lt; 12100"",0)"),"#REF!")</f>
        <v>#REF!</v>
      </c>
      <c r="C4" s="24" t="s">
        <v>16</v>
      </c>
      <c r="D4" s="85">
        <v>114.0</v>
      </c>
      <c r="E4" s="78">
        <v>24508.22626247589</v>
      </c>
      <c r="F4" s="30">
        <f t="shared" ref="F4:F21" si="1">D4*E4</f>
        <v>2793937.794</v>
      </c>
      <c r="G4" s="93">
        <v>45717.0</v>
      </c>
      <c r="H4" s="29">
        <f>D4-OBR_Mar_2025!D4</f>
        <v>-112</v>
      </c>
      <c r="I4" s="94">
        <f>E4/OBR_Aug_2025!E4-1</f>
        <v>0.1611174521</v>
      </c>
      <c r="J4" s="24" t="s">
        <v>17</v>
      </c>
      <c r="L4" s="73"/>
    </row>
    <row r="5" ht="22.5" customHeight="1">
      <c r="A5" s="24"/>
      <c r="B5" s="23"/>
      <c r="C5" s="24" t="s">
        <v>18</v>
      </c>
      <c r="D5" s="85">
        <v>7.32</v>
      </c>
      <c r="E5" s="78">
        <v>128855.83682522671</v>
      </c>
      <c r="F5" s="30">
        <f t="shared" si="1"/>
        <v>943224.7256</v>
      </c>
      <c r="G5" s="93">
        <v>45717.0</v>
      </c>
      <c r="H5" s="29">
        <f>D5-OBR_Mar_2025!D5</f>
        <v>-4.68</v>
      </c>
      <c r="I5" s="94">
        <f>E5/OBR_Aug_2025!E5-1</f>
        <v>-0.01267299594</v>
      </c>
      <c r="J5" s="24" t="s">
        <v>17</v>
      </c>
      <c r="L5" s="73"/>
    </row>
    <row r="6" ht="22.5" customHeight="1">
      <c r="A6" s="24"/>
      <c r="B6" s="23"/>
      <c r="C6" s="24" t="s">
        <v>18</v>
      </c>
      <c r="D6" s="85">
        <v>1.7</v>
      </c>
      <c r="E6" s="78">
        <v>225461.24607890984</v>
      </c>
      <c r="F6" s="30">
        <f t="shared" si="1"/>
        <v>383284.1183</v>
      </c>
      <c r="G6" s="93">
        <v>45717.0</v>
      </c>
      <c r="H6" s="29">
        <f>D6-OBR_Mar_2025!D6</f>
        <v>0.2</v>
      </c>
      <c r="I6" s="94">
        <f>E6/OBR_Aug_2025!E6-1</f>
        <v>-0.0109925584</v>
      </c>
      <c r="J6" s="24" t="s">
        <v>17</v>
      </c>
      <c r="L6" s="73"/>
    </row>
    <row r="7" ht="22.5" customHeight="1">
      <c r="A7" s="24"/>
      <c r="B7" s="23"/>
      <c r="C7" s="24" t="s">
        <v>18</v>
      </c>
      <c r="D7" s="85">
        <v>3.52</v>
      </c>
      <c r="E7" s="78">
        <v>146591.23874362736</v>
      </c>
      <c r="F7" s="30">
        <f t="shared" si="1"/>
        <v>516001.1604</v>
      </c>
      <c r="G7" s="93">
        <v>45717.0</v>
      </c>
      <c r="H7" s="29">
        <f>D7-OBR_Mar_2025!D7</f>
        <v>1.02</v>
      </c>
      <c r="I7" s="94">
        <f>E7/OBR_Aug_2025!E7-1</f>
        <v>0.004056347793</v>
      </c>
      <c r="J7" s="24" t="s">
        <v>17</v>
      </c>
      <c r="L7" s="73"/>
    </row>
    <row r="8" ht="22.5" customHeight="1">
      <c r="A8" s="24"/>
      <c r="B8" s="23"/>
      <c r="C8" s="24" t="s">
        <v>19</v>
      </c>
      <c r="D8" s="85">
        <v>17068.0</v>
      </c>
      <c r="E8" s="78">
        <v>69.31066179415649</v>
      </c>
      <c r="F8" s="30">
        <f t="shared" si="1"/>
        <v>1182994.376</v>
      </c>
      <c r="G8" s="93">
        <v>45717.0</v>
      </c>
      <c r="H8" s="29">
        <f>D8-OBR_Mar_2025!D8</f>
        <v>10458</v>
      </c>
      <c r="I8" s="94">
        <f>E8/OBR_Aug_2025!E8-1</f>
        <v>0.06735063556</v>
      </c>
      <c r="J8" s="24" t="s">
        <v>17</v>
      </c>
      <c r="L8" s="73"/>
    </row>
    <row r="9" ht="22.5" customHeight="1">
      <c r="A9" s="24"/>
      <c r="B9" s="23"/>
      <c r="C9" s="24" t="s">
        <v>19</v>
      </c>
      <c r="D9" s="85">
        <v>1824.0</v>
      </c>
      <c r="E9" s="78">
        <v>49.15210436120796</v>
      </c>
      <c r="F9" s="30">
        <f t="shared" si="1"/>
        <v>89653.43835</v>
      </c>
      <c r="G9" s="93">
        <v>45717.0</v>
      </c>
      <c r="H9" s="29">
        <f>D9-OBR_Mar_2025!D9</f>
        <v>1536</v>
      </c>
      <c r="I9" s="94">
        <f>E9/OBR_Aug_2025!E9-1</f>
        <v>-0.06178897543</v>
      </c>
      <c r="J9" s="24" t="s">
        <v>17</v>
      </c>
      <c r="L9" s="73"/>
    </row>
    <row r="10" ht="22.5" customHeight="1">
      <c r="A10" s="24"/>
      <c r="B10" s="23"/>
      <c r="C10" s="24" t="s">
        <v>19</v>
      </c>
      <c r="D10" s="85">
        <v>5158.0</v>
      </c>
      <c r="E10" s="78">
        <v>70.65852002715548</v>
      </c>
      <c r="F10" s="30">
        <f t="shared" si="1"/>
        <v>364456.6463</v>
      </c>
      <c r="G10" s="93">
        <v>45717.0</v>
      </c>
      <c r="H10" s="29">
        <f>D10-OBR_Mar_2025!D10</f>
        <v>-1732</v>
      </c>
      <c r="I10" s="94">
        <f>E10/OBR_Aug_2025!E10-1</f>
        <v>0.0305715771</v>
      </c>
      <c r="J10" s="24" t="s">
        <v>17</v>
      </c>
      <c r="L10" s="73"/>
    </row>
    <row r="11" ht="22.5" customHeight="1">
      <c r="A11" s="24"/>
      <c r="B11" s="23"/>
      <c r="C11" s="24" t="s">
        <v>20</v>
      </c>
      <c r="D11" s="85">
        <v>1.9</v>
      </c>
      <c r="E11" s="78">
        <v>45841.65352444218</v>
      </c>
      <c r="F11" s="30">
        <f t="shared" si="1"/>
        <v>87099.1417</v>
      </c>
      <c r="G11" s="93">
        <v>45717.0</v>
      </c>
      <c r="H11" s="29">
        <f>D11-OBR_Mar_2025!D11</f>
        <v>-0.95</v>
      </c>
      <c r="I11" s="94">
        <f>E11/OBR_Aug_2025!E11-1</f>
        <v>-0.03345215377</v>
      </c>
      <c r="J11" s="24" t="s">
        <v>17</v>
      </c>
      <c r="L11" s="73"/>
    </row>
    <row r="12" ht="22.5" customHeight="1">
      <c r="A12" s="24"/>
      <c r="B12" s="23"/>
      <c r="C12" s="24" t="s">
        <v>19</v>
      </c>
      <c r="D12" s="85">
        <v>4654.0</v>
      </c>
      <c r="E12" s="78">
        <v>55.854761597105565</v>
      </c>
      <c r="F12" s="30">
        <f t="shared" si="1"/>
        <v>259948.0605</v>
      </c>
      <c r="G12" s="93">
        <v>45717.0</v>
      </c>
      <c r="H12" s="29">
        <f>D12-OBR_Mar_2025!D12</f>
        <v>6</v>
      </c>
      <c r="I12" s="94">
        <f>E12/OBR_Aug_2025!E12-1</f>
        <v>0.006229728441</v>
      </c>
      <c r="J12" s="24" t="s">
        <v>17</v>
      </c>
      <c r="L12" s="73"/>
    </row>
    <row r="13" ht="22.5" customHeight="1">
      <c r="A13" s="24"/>
      <c r="B13" s="23"/>
      <c r="C13" s="24" t="s">
        <v>19</v>
      </c>
      <c r="D13" s="85">
        <v>450.0</v>
      </c>
      <c r="E13" s="78">
        <v>65.92677345537757</v>
      </c>
      <c r="F13" s="30">
        <f t="shared" si="1"/>
        <v>29667.04805</v>
      </c>
      <c r="G13" s="93">
        <v>45717.0</v>
      </c>
      <c r="H13" s="29">
        <f>D13-OBR_Mar_2025!D13</f>
        <v>108</v>
      </c>
      <c r="I13" s="94">
        <f>E13/OBR_Aug_2025!E13-1</f>
        <v>-0.2150220244</v>
      </c>
      <c r="J13" s="24" t="s">
        <v>17</v>
      </c>
      <c r="L13" s="73"/>
    </row>
    <row r="14" ht="22.5" customHeight="1">
      <c r="A14" s="24"/>
      <c r="B14" s="23"/>
      <c r="C14" s="24" t="s">
        <v>19</v>
      </c>
      <c r="D14" s="85">
        <v>8400.0</v>
      </c>
      <c r="E14" s="78">
        <v>62.641909870137745</v>
      </c>
      <c r="F14" s="30">
        <f t="shared" si="1"/>
        <v>526192.0429</v>
      </c>
      <c r="G14" s="93">
        <v>45717.0</v>
      </c>
      <c r="H14" s="29">
        <f>D14-OBR_Mar_2025!D14</f>
        <v>1640</v>
      </c>
      <c r="I14" s="94">
        <f>E14/OBR_Aug_2025!E14-1</f>
        <v>0.07542635491</v>
      </c>
      <c r="J14" s="24" t="s">
        <v>17</v>
      </c>
      <c r="L14" s="73"/>
    </row>
    <row r="15" ht="22.5" customHeight="1">
      <c r="A15" s="24"/>
      <c r="B15" s="23"/>
      <c r="C15" s="24" t="s">
        <v>19</v>
      </c>
      <c r="D15" s="85">
        <v>780.0</v>
      </c>
      <c r="E15" s="78">
        <v>35.77308063270068</v>
      </c>
      <c r="F15" s="30">
        <f t="shared" si="1"/>
        <v>27903.00289</v>
      </c>
      <c r="G15" s="93">
        <v>45717.0</v>
      </c>
      <c r="H15" s="29">
        <f>D15-OBR_Mar_2025!D15</f>
        <v>504</v>
      </c>
      <c r="I15" s="94">
        <f>E15/OBR_Aug_2025!E15-1</f>
        <v>0.0745604245</v>
      </c>
      <c r="J15" s="24" t="s">
        <v>17</v>
      </c>
      <c r="L15" s="73"/>
    </row>
    <row r="16" ht="22.5" customHeight="1">
      <c r="A16" s="24"/>
      <c r="B16" s="23"/>
      <c r="C16" s="24" t="s">
        <v>19</v>
      </c>
      <c r="D16" s="85">
        <v>11152.0</v>
      </c>
      <c r="E16" s="78">
        <v>70.95703972099031</v>
      </c>
      <c r="F16" s="30">
        <f t="shared" si="1"/>
        <v>791312.907</v>
      </c>
      <c r="G16" s="93">
        <v>45717.0</v>
      </c>
      <c r="H16" s="29">
        <f>D16-OBR_Mar_2025!D16</f>
        <v>6722</v>
      </c>
      <c r="I16" s="94">
        <f>E16/OBR_Aug_2025!E16-1</f>
        <v>0.01871581808</v>
      </c>
      <c r="J16" s="24" t="s">
        <v>17</v>
      </c>
      <c r="L16" s="73"/>
    </row>
    <row r="17" ht="22.5" customHeight="1">
      <c r="A17" s="24"/>
      <c r="B17" s="23"/>
      <c r="C17" s="24" t="s">
        <v>19</v>
      </c>
      <c r="D17" s="85">
        <v>382.0</v>
      </c>
      <c r="E17" s="78">
        <v>51.53926049425545</v>
      </c>
      <c r="F17" s="30">
        <f t="shared" si="1"/>
        <v>19687.99751</v>
      </c>
      <c r="G17" s="93">
        <v>45717.0</v>
      </c>
      <c r="H17" s="29">
        <f>D17-OBR_Mar_2025!D17</f>
        <v>152</v>
      </c>
      <c r="I17" s="94">
        <f>E17/OBR_Aug_2025!E17-1</f>
        <v>0</v>
      </c>
      <c r="J17" s="24" t="s">
        <v>17</v>
      </c>
      <c r="L17" s="73"/>
    </row>
    <row r="18" ht="22.5" customHeight="1">
      <c r="A18" s="24"/>
      <c r="B18" s="23"/>
      <c r="C18" s="24" t="s">
        <v>19</v>
      </c>
      <c r="D18" s="85">
        <v>5000.0</v>
      </c>
      <c r="E18" s="78">
        <v>57.6</v>
      </c>
      <c r="F18" s="30">
        <f t="shared" si="1"/>
        <v>288000</v>
      </c>
      <c r="G18" s="93">
        <v>45717.0</v>
      </c>
      <c r="H18" s="29">
        <f>D18-OBR_Mar_2025!D18</f>
        <v>0</v>
      </c>
      <c r="I18" s="94">
        <f>E18/OBR_Aug_2025!E18-1</f>
        <v>0</v>
      </c>
      <c r="J18" s="24" t="s">
        <v>17</v>
      </c>
      <c r="L18" s="73"/>
    </row>
    <row r="19" ht="22.5" customHeight="1">
      <c r="A19" s="24"/>
      <c r="B19" s="23"/>
      <c r="C19" s="24" t="s">
        <v>19</v>
      </c>
      <c r="D19" s="85">
        <v>450.0</v>
      </c>
      <c r="E19" s="78">
        <v>77.77777777777777</v>
      </c>
      <c r="F19" s="30">
        <f t="shared" si="1"/>
        <v>35000</v>
      </c>
      <c r="G19" s="93">
        <v>45717.0</v>
      </c>
      <c r="H19" s="29">
        <f>D19-OBR_Mar_2025!D19</f>
        <v>0</v>
      </c>
      <c r="I19" s="94">
        <f>E19/OBR_Aug_2025!E19-1</f>
        <v>0</v>
      </c>
      <c r="J19" s="24" t="s">
        <v>17</v>
      </c>
      <c r="L19" s="73"/>
    </row>
    <row r="20" ht="22.5" customHeight="1">
      <c r="A20" s="24"/>
      <c r="B20" s="23"/>
      <c r="C20" s="24" t="s">
        <v>18</v>
      </c>
      <c r="D20" s="85">
        <v>0.548</v>
      </c>
      <c r="E20" s="78">
        <v>35929.38063262815</v>
      </c>
      <c r="F20" s="30">
        <f t="shared" si="1"/>
        <v>19689.30059</v>
      </c>
      <c r="G20" s="93">
        <v>45717.0</v>
      </c>
      <c r="H20" s="29">
        <f>D20-OBR_Mar_2025!D20</f>
        <v>-0.452</v>
      </c>
      <c r="I20" s="94">
        <f>E20/OBR_Aug_2025!E20-1</f>
        <v>0.03841838853</v>
      </c>
      <c r="J20" s="24" t="s">
        <v>39</v>
      </c>
      <c r="L20" s="73"/>
    </row>
    <row r="21" ht="22.5" customHeight="1">
      <c r="A21" s="24"/>
      <c r="B21" s="23"/>
      <c r="C21" s="24" t="s">
        <v>18</v>
      </c>
      <c r="D21" s="85">
        <v>1.06</v>
      </c>
      <c r="E21" s="78">
        <v>141000.0</v>
      </c>
      <c r="F21" s="30">
        <f t="shared" si="1"/>
        <v>149460</v>
      </c>
      <c r="G21" s="93">
        <v>45717.0</v>
      </c>
      <c r="H21" s="29">
        <f>D21-OBR_Mar_2025!D21</f>
        <v>-2.44</v>
      </c>
      <c r="I21" s="94">
        <f>E21/OBR_Aug_2025!E21-1</f>
        <v>-0.02759857249</v>
      </c>
      <c r="J21" s="24" t="s">
        <v>39</v>
      </c>
      <c r="L21" s="73"/>
    </row>
    <row r="22" ht="15.75" customHeight="1">
      <c r="A22" s="42"/>
      <c r="B22" s="42"/>
      <c r="D22" s="42"/>
      <c r="E22" s="42"/>
      <c r="F22" s="42"/>
      <c r="J22" s="42"/>
    </row>
    <row r="23" ht="15.75" customHeight="1">
      <c r="A23" s="42"/>
      <c r="B23" s="42"/>
      <c r="D23" s="42"/>
      <c r="E23" s="42"/>
      <c r="F23" s="42"/>
      <c r="J23" s="42"/>
    </row>
    <row r="24" ht="15.75" customHeight="1">
      <c r="A24" s="42"/>
      <c r="B24" s="42"/>
      <c r="D24" s="42"/>
      <c r="E24" s="42"/>
      <c r="F24" s="42"/>
      <c r="J24" s="42"/>
    </row>
    <row r="25" ht="15.75" customHeight="1">
      <c r="A25" s="42"/>
      <c r="B25" s="42"/>
      <c r="D25" s="42"/>
      <c r="E25" s="42"/>
      <c r="F25" s="42"/>
      <c r="J25" s="42"/>
    </row>
    <row r="26" ht="15.75" customHeight="1">
      <c r="A26" s="42"/>
      <c r="B26" s="42"/>
      <c r="D26" s="42"/>
      <c r="E26" s="42"/>
      <c r="F26" s="42"/>
      <c r="J26" s="42"/>
    </row>
    <row r="27" ht="15.75" customHeight="1">
      <c r="A27" s="42"/>
      <c r="B27" s="42"/>
      <c r="D27" s="42"/>
      <c r="E27" s="42"/>
      <c r="F27" s="42"/>
      <c r="J27" s="42"/>
    </row>
    <row r="28" ht="15.75" customHeight="1">
      <c r="A28" s="42"/>
      <c r="B28" s="42"/>
      <c r="D28" s="42"/>
      <c r="E28" s="42"/>
      <c r="F28" s="42"/>
      <c r="J28" s="42"/>
    </row>
    <row r="29" ht="15.75" customHeight="1">
      <c r="A29" s="42"/>
      <c r="B29" s="42"/>
      <c r="D29" s="42"/>
      <c r="E29" s="42"/>
      <c r="F29" s="42"/>
      <c r="J29" s="42"/>
    </row>
    <row r="30" ht="15.75" customHeight="1">
      <c r="A30" s="42"/>
      <c r="B30" s="42"/>
      <c r="D30" s="42"/>
      <c r="E30" s="42"/>
      <c r="F30" s="42"/>
      <c r="J30" s="42"/>
    </row>
    <row r="31" ht="15.75" customHeight="1">
      <c r="A31" s="42"/>
      <c r="B31" s="42"/>
      <c r="D31" s="42"/>
      <c r="E31" s="42"/>
      <c r="F31" s="42"/>
      <c r="J31" s="42"/>
    </row>
    <row r="32" ht="15.75" customHeight="1">
      <c r="A32" s="42"/>
      <c r="B32" s="42"/>
      <c r="D32" s="42"/>
      <c r="E32" s="42"/>
      <c r="F32" s="42"/>
      <c r="J32" s="42"/>
    </row>
    <row r="33" ht="15.75" customHeight="1">
      <c r="A33" s="42"/>
      <c r="B33" s="42"/>
      <c r="D33" s="42"/>
      <c r="E33" s="42"/>
      <c r="F33" s="42"/>
      <c r="J33" s="42"/>
    </row>
    <row r="34" ht="15.75" customHeight="1">
      <c r="A34" s="42"/>
      <c r="B34" s="42"/>
      <c r="D34" s="42"/>
      <c r="E34" s="42"/>
      <c r="F34" s="42"/>
      <c r="J34" s="42"/>
    </row>
    <row r="35" ht="15.75" customHeight="1">
      <c r="A35" s="42"/>
      <c r="B35" s="42"/>
      <c r="D35" s="42"/>
      <c r="E35" s="42"/>
      <c r="F35" s="42"/>
      <c r="J35" s="42"/>
    </row>
    <row r="36" ht="15.75" customHeight="1">
      <c r="A36" s="42"/>
      <c r="B36" s="42"/>
      <c r="D36" s="42"/>
      <c r="E36" s="42"/>
      <c r="F36" s="42"/>
      <c r="J36" s="42"/>
    </row>
    <row r="37" ht="15.75" customHeight="1">
      <c r="A37" s="42"/>
      <c r="B37" s="42"/>
      <c r="D37" s="42"/>
      <c r="E37" s="42"/>
      <c r="F37" s="42"/>
      <c r="J37" s="42"/>
    </row>
    <row r="38" ht="15.75" customHeight="1">
      <c r="A38" s="42"/>
      <c r="B38" s="42"/>
      <c r="D38" s="42"/>
      <c r="E38" s="42"/>
      <c r="F38" s="42"/>
      <c r="J38" s="42"/>
    </row>
    <row r="39" ht="15.75" customHeight="1">
      <c r="A39" s="42"/>
      <c r="B39" s="42"/>
      <c r="D39" s="42"/>
      <c r="E39" s="42"/>
      <c r="F39" s="42"/>
      <c r="J39" s="42"/>
    </row>
    <row r="40" ht="15.75" customHeight="1">
      <c r="A40" s="42"/>
      <c r="B40" s="42"/>
      <c r="D40" s="42"/>
      <c r="E40" s="42"/>
      <c r="F40" s="42"/>
      <c r="J40" s="42"/>
    </row>
    <row r="41" ht="15.75" customHeight="1">
      <c r="A41" s="42"/>
      <c r="B41" s="42"/>
      <c r="D41" s="42"/>
      <c r="E41" s="42"/>
      <c r="F41" s="42"/>
      <c r="J41" s="42"/>
    </row>
    <row r="42" ht="15.75" customHeight="1">
      <c r="A42" s="42"/>
      <c r="B42" s="42"/>
      <c r="D42" s="42"/>
      <c r="E42" s="42"/>
      <c r="F42" s="42"/>
      <c r="J42" s="42"/>
    </row>
    <row r="43" ht="15.75" customHeight="1">
      <c r="A43" s="42"/>
      <c r="B43" s="42"/>
      <c r="D43" s="42"/>
      <c r="E43" s="42"/>
      <c r="F43" s="42"/>
      <c r="J43" s="42"/>
    </row>
    <row r="44" ht="15.75" customHeight="1">
      <c r="A44" s="42"/>
      <c r="B44" s="42"/>
      <c r="D44" s="42"/>
      <c r="E44" s="42"/>
      <c r="F44" s="42"/>
      <c r="J44" s="42"/>
    </row>
    <row r="45" ht="15.75" customHeight="1">
      <c r="A45" s="42"/>
      <c r="B45" s="42"/>
      <c r="D45" s="42"/>
      <c r="E45" s="42"/>
      <c r="F45" s="42"/>
      <c r="J45" s="42"/>
    </row>
    <row r="46" ht="15.75" customHeight="1">
      <c r="A46" s="42"/>
      <c r="B46" s="42"/>
      <c r="D46" s="42"/>
      <c r="E46" s="42"/>
      <c r="F46" s="42"/>
      <c r="J46" s="4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4:H21">
    <cfRule type="cellIs" dxfId="7" priority="1" operator="greaterThan">
      <formula>0</formula>
    </cfRule>
  </conditionalFormatting>
  <conditionalFormatting sqref="H4:H21">
    <cfRule type="cellIs" dxfId="8" priority="2" operator="lessThan">
      <formula>0</formula>
    </cfRule>
  </conditionalFormatting>
  <conditionalFormatting sqref="I4:I21">
    <cfRule type="cellIs" dxfId="7" priority="3" operator="greaterThan">
      <formula>0</formula>
    </cfRule>
  </conditionalFormatting>
  <conditionalFormatting sqref="I4:I21">
    <cfRule type="cellIs" dxfId="9" priority="4" operator="lessThan">
      <formula>0</formula>
    </cfRule>
  </conditionalFormatting>
  <dataValidations>
    <dataValidation type="custom" allowBlank="1" showDropDown="1" sqref="D4:F21 H4:I21">
      <formula1>AND(ISNUMBER(D4),(NOT(OR(NOT(ISERROR(DATEVALUE(D4))), AND(ISNUMBER(D4), LEFT(CELL("format", D4))="D")))))</formula1>
    </dataValidation>
    <dataValidation type="list" allowBlank="1" sqref="J4:J21">
      <formula1>"In stock,Temporarily unavailable,Re-purchase needed,Sold out"</formula1>
    </dataValidation>
  </dataValidations>
  <drawing r:id="rId1"/>
  <tableParts count="1">
    <tablePart r:id="rId3"/>
  </tableParts>
</worksheet>
</file>